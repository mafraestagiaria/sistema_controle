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firstSheet="9" activeTab="10"/>
  </bookViews>
  <sheets>
    <sheet name="ORCAMENTO_GERAL" sheetId="1" r:id="rId1"/>
    <sheet name="PLANEJAMENTO_AQUISICOES" sheetId="2" r:id="rId2"/>
    <sheet name="PLANEJAMENTO_SERVICOS_EXISTENTE" sheetId="3" r:id="rId3"/>
    <sheet name="PLANEJAMENTO_NOVOS_SERVICOS" sheetId="7" r:id="rId4"/>
    <sheet name="ORDENS_DE_COMPRA" sheetId="4" r:id="rId5"/>
    <sheet name="NF_DE_SERVICO" sheetId="5" r:id="rId6"/>
    <sheet name="NF_DE_AQUISICAO" sheetId="10" r:id="rId7"/>
    <sheet name="AQUISICAO_MENSAL" sheetId="6" r:id="rId8"/>
    <sheet name="SERVICO_MENSAL" sheetId="8" r:id="rId9"/>
    <sheet name="PROPOSTA_ORCAMENTARIA" sheetId="9" r:id="rId10"/>
    <sheet name="NAO_PLANEJADO" sheetId="11" r:id="rId11"/>
  </sheets>
  <definedNames>
    <definedName name="_xlnm._FilterDatabase" localSheetId="3" hidden="1">PLANEJAMENTO_NOVOS_SERVICOS!$A$1:$I$1</definedName>
    <definedName name="_xlnm._FilterDatabase" localSheetId="2" hidden="1">PLANEJAMENTO_SERVICOS_EXISTENTE!$A$1:$L$1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81" i="7" l="1"/>
  <c r="H180" i="7"/>
  <c r="H179" i="7"/>
  <c r="G130" i="7"/>
  <c r="H130" i="7" s="1"/>
  <c r="G129" i="7"/>
  <c r="H129" i="7" s="1"/>
  <c r="G128" i="7"/>
  <c r="H128" i="7" s="1"/>
  <c r="G127" i="7"/>
  <c r="H127" i="7" s="1"/>
  <c r="G126" i="7"/>
  <c r="H126" i="7" s="1"/>
  <c r="G125" i="7"/>
  <c r="H125" i="7" s="1"/>
  <c r="G124" i="7"/>
  <c r="H124" i="7" s="1"/>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J6069" i="2" l="1"/>
  <c r="J6068" i="2"/>
  <c r="J6067" i="2"/>
  <c r="J6066" i="2"/>
  <c r="J6065" i="2"/>
  <c r="J6064" i="2"/>
  <c r="J6063" i="2"/>
  <c r="J6062" i="2"/>
  <c r="J6061" i="2"/>
  <c r="J6060" i="2"/>
  <c r="J6059" i="2"/>
  <c r="J6058" i="2"/>
  <c r="J6057" i="2"/>
  <c r="J6056" i="2"/>
  <c r="J6055" i="2"/>
  <c r="J6054" i="2"/>
  <c r="J6053" i="2"/>
  <c r="J6052" i="2"/>
  <c r="J6051" i="2"/>
  <c r="J6050" i="2"/>
  <c r="J6049" i="2"/>
  <c r="J6048" i="2"/>
  <c r="J6047" i="2"/>
  <c r="J6046" i="2"/>
  <c r="J6045" i="2"/>
  <c r="J6044" i="2"/>
  <c r="J6043" i="2"/>
  <c r="J6042" i="2"/>
  <c r="J6041" i="2"/>
  <c r="J6040" i="2"/>
  <c r="J6039" i="2"/>
  <c r="J6038" i="2"/>
  <c r="J6037" i="2"/>
  <c r="J6036" i="2"/>
  <c r="J6035" i="2"/>
  <c r="J6034" i="2"/>
  <c r="J6033" i="2"/>
  <c r="J6032" i="2"/>
  <c r="J6031" i="2"/>
  <c r="J6030" i="2"/>
  <c r="J6029" i="2"/>
  <c r="J6028" i="2"/>
  <c r="J6027" i="2"/>
  <c r="J6026" i="2"/>
  <c r="J6025" i="2"/>
  <c r="J6024" i="2"/>
  <c r="J6023" i="2"/>
  <c r="J6022" i="2"/>
  <c r="J6021" i="2"/>
  <c r="J6020" i="2"/>
  <c r="J6019" i="2"/>
  <c r="J6018" i="2"/>
  <c r="J6017" i="2"/>
  <c r="J6016" i="2"/>
  <c r="J6015" i="2"/>
  <c r="J6014" i="2"/>
  <c r="J6013" i="2"/>
  <c r="J6012" i="2"/>
  <c r="J6011" i="2"/>
  <c r="J6010" i="2"/>
  <c r="J6009" i="2"/>
  <c r="J6008" i="2"/>
  <c r="J6007" i="2"/>
  <c r="J6006" i="2"/>
  <c r="J6005" i="2"/>
  <c r="J6004" i="2"/>
  <c r="J6003" i="2"/>
  <c r="J6002" i="2"/>
  <c r="J6001" i="2"/>
  <c r="J6000" i="2"/>
  <c r="J5999" i="2"/>
  <c r="J5998" i="2"/>
  <c r="J5997" i="2"/>
  <c r="J5996" i="2"/>
  <c r="J5995" i="2"/>
  <c r="J5994" i="2"/>
  <c r="J5993" i="2"/>
  <c r="J5992" i="2"/>
  <c r="J5991" i="2"/>
  <c r="J5990" i="2"/>
  <c r="J5989" i="2"/>
  <c r="J5988" i="2"/>
  <c r="J5987" i="2"/>
  <c r="J5986" i="2"/>
  <c r="J5985" i="2"/>
  <c r="J5984" i="2"/>
  <c r="J5983" i="2"/>
  <c r="J5982" i="2"/>
  <c r="J5981" i="2"/>
  <c r="J5980" i="2"/>
  <c r="J5979" i="2"/>
  <c r="J5978" i="2"/>
  <c r="J5977" i="2"/>
  <c r="J5976" i="2"/>
  <c r="J5975" i="2"/>
  <c r="J5974" i="2"/>
  <c r="J5973" i="2"/>
  <c r="J5972" i="2"/>
  <c r="J5971" i="2"/>
  <c r="J5970" i="2"/>
  <c r="J5969" i="2"/>
  <c r="J5968" i="2"/>
  <c r="J5967" i="2"/>
  <c r="J5966" i="2"/>
  <c r="J5965" i="2"/>
  <c r="J5964" i="2"/>
  <c r="J5963" i="2"/>
  <c r="J5962" i="2"/>
  <c r="J5961" i="2"/>
  <c r="J5960" i="2"/>
  <c r="J5959" i="2"/>
  <c r="J5958" i="2"/>
  <c r="J5957" i="2"/>
  <c r="J5956" i="2"/>
  <c r="J5955" i="2"/>
  <c r="J5954" i="2"/>
  <c r="J5953" i="2"/>
  <c r="J5952" i="2"/>
  <c r="J5951" i="2"/>
  <c r="J5950" i="2"/>
  <c r="J5949" i="2"/>
  <c r="J5948" i="2"/>
  <c r="J5947" i="2"/>
  <c r="J5946" i="2"/>
  <c r="J5945" i="2"/>
  <c r="J5944" i="2"/>
  <c r="J5943" i="2"/>
  <c r="J5942" i="2"/>
  <c r="J5941" i="2"/>
  <c r="J5940" i="2"/>
  <c r="J5939" i="2"/>
  <c r="J5938" i="2"/>
  <c r="J5937" i="2"/>
  <c r="J5936" i="2"/>
  <c r="J5935" i="2"/>
  <c r="J5934" i="2"/>
  <c r="J5933" i="2"/>
  <c r="J5932" i="2"/>
  <c r="J5931" i="2"/>
  <c r="J5930" i="2"/>
  <c r="J5929" i="2"/>
  <c r="J5928" i="2"/>
  <c r="J5927" i="2"/>
  <c r="J5926" i="2"/>
  <c r="J5925" i="2"/>
  <c r="J5924" i="2"/>
  <c r="J5923" i="2"/>
  <c r="J5922" i="2"/>
  <c r="J5921" i="2"/>
  <c r="J5920" i="2"/>
  <c r="J5919" i="2"/>
  <c r="J5918" i="2"/>
  <c r="J5917" i="2"/>
  <c r="J5916" i="2"/>
  <c r="J5915" i="2"/>
  <c r="J5914" i="2"/>
  <c r="J5913" i="2"/>
  <c r="J5912" i="2"/>
  <c r="J5911" i="2"/>
  <c r="J5910" i="2"/>
  <c r="J5909" i="2"/>
  <c r="J5908" i="2"/>
  <c r="J5907" i="2"/>
  <c r="J5906" i="2"/>
  <c r="J5905" i="2"/>
  <c r="J5904" i="2"/>
  <c r="J5903" i="2"/>
  <c r="J5902" i="2"/>
  <c r="J5901" i="2"/>
  <c r="J5900" i="2"/>
  <c r="J5899" i="2"/>
  <c r="J5898" i="2"/>
  <c r="J5897" i="2"/>
  <c r="J5896" i="2"/>
  <c r="J5895" i="2"/>
  <c r="J5894" i="2"/>
  <c r="J5893" i="2"/>
  <c r="J5892" i="2"/>
  <c r="J5891" i="2"/>
  <c r="J5890" i="2"/>
  <c r="J5889" i="2"/>
  <c r="J5888" i="2"/>
  <c r="J5887" i="2"/>
  <c r="J5886" i="2"/>
  <c r="J5885" i="2"/>
  <c r="J5884" i="2"/>
  <c r="J5883" i="2"/>
  <c r="J5882" i="2"/>
  <c r="J5881" i="2"/>
  <c r="J5880" i="2"/>
  <c r="J5879" i="2"/>
  <c r="J5878" i="2"/>
  <c r="J5877" i="2"/>
  <c r="J5876" i="2"/>
  <c r="J5875" i="2"/>
  <c r="J5874" i="2"/>
  <c r="J5873" i="2"/>
  <c r="J5872" i="2"/>
  <c r="J5871" i="2"/>
  <c r="J5870" i="2"/>
  <c r="J5869" i="2"/>
  <c r="J5868" i="2"/>
  <c r="J5867" i="2"/>
  <c r="J5866" i="2"/>
  <c r="J5865" i="2"/>
  <c r="J5864" i="2"/>
  <c r="J5863" i="2"/>
  <c r="J5862" i="2"/>
  <c r="J5861" i="2"/>
  <c r="J5860" i="2"/>
  <c r="J5859" i="2"/>
  <c r="J5858" i="2"/>
  <c r="J5857" i="2"/>
  <c r="J5856" i="2"/>
  <c r="J5855" i="2"/>
  <c r="J5854" i="2"/>
  <c r="J5853" i="2"/>
  <c r="J5852" i="2"/>
  <c r="J5851" i="2"/>
  <c r="J5850" i="2"/>
  <c r="J5849" i="2"/>
  <c r="J5848" i="2"/>
  <c r="J5847" i="2"/>
  <c r="J5846" i="2"/>
  <c r="J5845" i="2"/>
  <c r="J5844" i="2"/>
  <c r="J5843" i="2"/>
  <c r="J5842" i="2"/>
  <c r="J5841" i="2"/>
  <c r="J5840" i="2"/>
  <c r="J5839" i="2"/>
  <c r="J5838" i="2"/>
  <c r="J5837" i="2"/>
  <c r="J5836" i="2"/>
  <c r="J5835" i="2"/>
  <c r="J5834" i="2"/>
  <c r="J5833" i="2"/>
  <c r="J5832" i="2"/>
  <c r="J5831" i="2"/>
  <c r="J5830" i="2"/>
  <c r="J5829" i="2"/>
  <c r="J5828" i="2"/>
  <c r="J5827" i="2"/>
  <c r="J5826" i="2"/>
  <c r="J5825" i="2"/>
  <c r="J5824" i="2"/>
  <c r="J5823" i="2"/>
  <c r="J5822" i="2"/>
  <c r="J5821" i="2"/>
  <c r="J5820" i="2"/>
  <c r="J5819" i="2"/>
  <c r="J5818" i="2"/>
  <c r="J5817" i="2"/>
  <c r="J5816" i="2"/>
  <c r="J5815" i="2"/>
  <c r="J5814" i="2"/>
  <c r="J5813" i="2"/>
  <c r="J5812" i="2"/>
  <c r="J5811" i="2"/>
  <c r="J5633" i="2"/>
  <c r="J5632" i="2"/>
  <c r="J5631" i="2"/>
  <c r="J5630" i="2"/>
  <c r="J5629" i="2"/>
  <c r="J5628" i="2"/>
  <c r="J5627" i="2"/>
  <c r="J5626" i="2"/>
  <c r="J5625" i="2"/>
  <c r="J5624" i="2"/>
  <c r="J5623" i="2"/>
  <c r="J5622" i="2"/>
  <c r="J5621" i="2"/>
  <c r="J5620" i="2"/>
  <c r="J5619" i="2"/>
  <c r="J5618" i="2"/>
  <c r="J5617" i="2"/>
  <c r="J5616" i="2"/>
  <c r="J5615" i="2"/>
  <c r="J5614" i="2"/>
  <c r="J5613" i="2"/>
  <c r="J5612" i="2"/>
  <c r="J5611" i="2"/>
  <c r="J5610" i="2"/>
  <c r="J5609" i="2"/>
  <c r="J5608" i="2"/>
  <c r="J5607" i="2"/>
  <c r="J5606" i="2"/>
  <c r="J5605" i="2"/>
  <c r="J5604" i="2"/>
  <c r="J5603" i="2"/>
  <c r="J5602" i="2"/>
  <c r="J5601" i="2"/>
  <c r="J5600" i="2"/>
  <c r="J5599" i="2"/>
  <c r="J5598" i="2"/>
  <c r="J5597" i="2"/>
  <c r="J5596" i="2"/>
  <c r="J5595" i="2"/>
  <c r="J5594" i="2"/>
  <c r="J5593" i="2"/>
  <c r="J5592" i="2"/>
  <c r="J5591" i="2"/>
  <c r="J5590" i="2"/>
  <c r="J5589" i="2"/>
  <c r="J5588" i="2"/>
  <c r="J5587" i="2"/>
  <c r="J5586" i="2"/>
  <c r="J5585" i="2"/>
  <c r="J5584" i="2"/>
  <c r="J5583" i="2"/>
  <c r="J5582" i="2"/>
  <c r="J5581" i="2"/>
  <c r="J5580" i="2"/>
  <c r="J5579" i="2"/>
  <c r="J5578" i="2"/>
  <c r="J5577" i="2"/>
  <c r="J5576" i="2"/>
  <c r="J5575" i="2"/>
  <c r="J5574" i="2"/>
  <c r="J5573" i="2"/>
  <c r="J5572" i="2"/>
  <c r="J5571" i="2"/>
  <c r="J5570" i="2"/>
  <c r="J5569" i="2"/>
  <c r="J5568" i="2"/>
  <c r="J5567" i="2"/>
  <c r="J5566" i="2"/>
  <c r="J5565" i="2"/>
  <c r="J5564" i="2"/>
  <c r="J5563" i="2"/>
  <c r="J5562" i="2"/>
  <c r="J5561" i="2"/>
  <c r="J5560" i="2"/>
  <c r="J5559" i="2"/>
  <c r="J5558" i="2"/>
  <c r="J5557" i="2"/>
  <c r="J5556" i="2"/>
  <c r="J5555" i="2"/>
  <c r="J5554" i="2"/>
  <c r="J5553" i="2"/>
  <c r="J5552" i="2"/>
  <c r="J5551" i="2"/>
  <c r="J5550" i="2"/>
  <c r="J5549" i="2"/>
  <c r="J5548" i="2"/>
  <c r="J5547" i="2"/>
  <c r="J5546" i="2"/>
  <c r="J5545" i="2"/>
  <c r="J5544" i="2"/>
  <c r="J5543" i="2"/>
  <c r="J5542" i="2"/>
  <c r="J5541" i="2"/>
  <c r="J5540" i="2"/>
  <c r="J5539" i="2"/>
  <c r="J5538" i="2"/>
  <c r="J5537" i="2"/>
  <c r="J5536" i="2"/>
  <c r="J5535" i="2"/>
  <c r="J5534" i="2"/>
  <c r="J5533" i="2"/>
  <c r="J5532" i="2"/>
  <c r="J5531" i="2"/>
  <c r="J5530" i="2"/>
  <c r="J5529" i="2"/>
  <c r="J5528" i="2"/>
  <c r="J5527" i="2"/>
  <c r="J5526" i="2"/>
  <c r="J5525" i="2"/>
  <c r="J5524" i="2"/>
  <c r="J5523" i="2"/>
  <c r="J5522" i="2"/>
  <c r="J5521" i="2"/>
  <c r="J5520" i="2"/>
  <c r="J5519" i="2"/>
  <c r="J5518" i="2"/>
  <c r="J5517" i="2"/>
  <c r="J5516" i="2"/>
  <c r="J5515" i="2"/>
  <c r="J5514" i="2"/>
  <c r="J5513" i="2"/>
  <c r="J5512" i="2"/>
  <c r="J5511" i="2"/>
  <c r="J5510" i="2"/>
  <c r="J5509" i="2"/>
  <c r="J5508" i="2"/>
  <c r="J5507" i="2"/>
  <c r="J5506" i="2"/>
  <c r="J5505" i="2"/>
  <c r="J5504" i="2"/>
  <c r="J5503" i="2"/>
  <c r="J5502" i="2"/>
  <c r="J5501" i="2"/>
  <c r="J5500" i="2"/>
  <c r="J5499" i="2"/>
  <c r="J5498" i="2"/>
  <c r="J5497" i="2"/>
  <c r="J5496" i="2"/>
  <c r="J5495" i="2"/>
  <c r="J5494" i="2"/>
  <c r="J5493" i="2"/>
  <c r="J5492" i="2"/>
  <c r="J5491" i="2"/>
  <c r="J5490" i="2"/>
  <c r="J5489" i="2"/>
  <c r="J5488" i="2"/>
  <c r="J5487" i="2"/>
  <c r="J5486" i="2"/>
  <c r="J5485" i="2"/>
  <c r="J5484" i="2"/>
  <c r="J5483" i="2"/>
  <c r="J5482" i="2"/>
  <c r="J5481" i="2"/>
  <c r="J5480" i="2"/>
  <c r="J5479" i="2"/>
  <c r="J5478" i="2"/>
  <c r="J5477" i="2"/>
  <c r="J5476" i="2"/>
  <c r="J5475" i="2"/>
  <c r="J5474" i="2"/>
  <c r="J5473" i="2"/>
  <c r="J5472" i="2"/>
  <c r="J5471" i="2"/>
  <c r="J5470" i="2"/>
  <c r="J5469" i="2"/>
  <c r="J5468" i="2"/>
  <c r="J5467" i="2"/>
  <c r="J5466" i="2"/>
  <c r="J5465" i="2"/>
  <c r="J5464" i="2"/>
  <c r="J5463" i="2"/>
  <c r="J5462" i="2"/>
  <c r="J5461" i="2"/>
  <c r="J5460" i="2"/>
  <c r="J5459" i="2"/>
  <c r="J5458" i="2"/>
  <c r="J5457" i="2"/>
  <c r="J5456" i="2"/>
  <c r="J5455" i="2"/>
  <c r="J5454" i="2"/>
  <c r="J5453" i="2"/>
  <c r="J5452" i="2"/>
  <c r="J5451" i="2"/>
  <c r="J5450" i="2"/>
  <c r="J5449" i="2"/>
  <c r="J5448" i="2"/>
  <c r="J5447" i="2"/>
  <c r="J5446" i="2"/>
  <c r="J5445" i="2"/>
  <c r="J5444" i="2"/>
  <c r="J5443" i="2"/>
  <c r="J5442" i="2"/>
  <c r="J5441" i="2"/>
  <c r="J5440" i="2"/>
  <c r="J5439" i="2"/>
  <c r="J5438" i="2"/>
  <c r="J5437" i="2"/>
  <c r="J5436" i="2"/>
  <c r="J5435" i="2"/>
  <c r="J5434" i="2"/>
  <c r="J5433" i="2"/>
  <c r="J5432" i="2"/>
  <c r="J5431" i="2"/>
  <c r="J5430" i="2"/>
  <c r="J5429" i="2"/>
  <c r="J5428" i="2"/>
  <c r="J5427" i="2"/>
  <c r="J5426" i="2"/>
  <c r="J5425" i="2"/>
  <c r="J5424" i="2"/>
  <c r="J5423" i="2"/>
  <c r="J5422" i="2"/>
  <c r="J5421" i="2"/>
  <c r="J5420" i="2"/>
  <c r="J5419" i="2"/>
  <c r="J5418" i="2"/>
  <c r="J5417" i="2"/>
  <c r="J5416" i="2"/>
  <c r="J5415" i="2"/>
  <c r="J5414" i="2"/>
  <c r="J5413" i="2"/>
  <c r="J5412" i="2"/>
  <c r="J5411" i="2"/>
  <c r="J5410" i="2"/>
  <c r="J5409" i="2"/>
  <c r="J5408" i="2"/>
  <c r="J5407" i="2"/>
  <c r="J5406" i="2"/>
  <c r="J5405" i="2"/>
  <c r="J5404" i="2"/>
  <c r="J5403" i="2"/>
  <c r="J5402" i="2"/>
  <c r="J5401" i="2"/>
  <c r="J5400" i="2"/>
  <c r="J5399" i="2"/>
  <c r="J5398" i="2"/>
  <c r="J5397" i="2"/>
  <c r="J5396" i="2"/>
  <c r="J5395" i="2"/>
  <c r="J5394" i="2"/>
  <c r="J5393" i="2"/>
  <c r="J5392" i="2"/>
  <c r="J5391" i="2"/>
  <c r="J5390" i="2"/>
  <c r="J5389" i="2"/>
  <c r="J5388" i="2"/>
  <c r="J5387" i="2"/>
  <c r="J5386" i="2"/>
  <c r="J5385" i="2"/>
  <c r="J5384" i="2"/>
  <c r="J5383" i="2"/>
  <c r="J5382" i="2"/>
  <c r="J5381" i="2"/>
  <c r="J5380" i="2"/>
  <c r="J5379" i="2"/>
  <c r="J5378" i="2"/>
  <c r="J5377" i="2"/>
  <c r="J5376" i="2"/>
  <c r="J5375" i="2"/>
  <c r="J5374" i="2"/>
  <c r="J5373" i="2"/>
  <c r="J5372" i="2"/>
  <c r="J5371" i="2"/>
  <c r="J5370" i="2"/>
  <c r="J5369" i="2"/>
  <c r="J5368" i="2"/>
  <c r="J5367" i="2"/>
  <c r="J5366" i="2"/>
  <c r="J5365" i="2"/>
  <c r="J5364" i="2"/>
  <c r="J5363" i="2"/>
  <c r="J5362" i="2"/>
  <c r="J5361" i="2"/>
  <c r="J5360" i="2"/>
  <c r="J5359" i="2"/>
  <c r="J5358" i="2"/>
  <c r="J5357" i="2"/>
  <c r="J5356" i="2"/>
  <c r="J5355" i="2"/>
  <c r="J5354" i="2"/>
  <c r="J5353" i="2"/>
  <c r="J5352" i="2"/>
  <c r="J5351" i="2"/>
  <c r="J5350" i="2"/>
  <c r="J5349" i="2"/>
  <c r="J5348" i="2"/>
  <c r="J5347" i="2"/>
  <c r="J5346" i="2"/>
  <c r="J5345" i="2"/>
  <c r="J5344" i="2"/>
  <c r="J5343" i="2"/>
  <c r="J5342" i="2"/>
  <c r="J5341" i="2"/>
  <c r="J5340" i="2"/>
  <c r="J5339" i="2"/>
  <c r="J5338" i="2"/>
  <c r="J5337" i="2"/>
  <c r="J5336" i="2"/>
  <c r="J5335" i="2"/>
  <c r="J5334" i="2"/>
  <c r="J5333" i="2"/>
  <c r="J5332" i="2"/>
  <c r="J5331" i="2"/>
  <c r="J5330" i="2"/>
  <c r="J5329" i="2"/>
  <c r="J5328" i="2"/>
  <c r="J5327" i="2"/>
  <c r="J5326" i="2"/>
  <c r="J5325" i="2"/>
  <c r="J5324" i="2"/>
  <c r="J5323" i="2"/>
  <c r="J5322" i="2"/>
  <c r="J5321" i="2"/>
  <c r="J5320" i="2"/>
  <c r="J5319" i="2"/>
  <c r="J5318" i="2"/>
  <c r="J5317" i="2"/>
  <c r="J5316" i="2"/>
  <c r="J5315" i="2"/>
  <c r="J5314" i="2"/>
  <c r="J5313" i="2"/>
  <c r="J5312" i="2"/>
  <c r="J5311" i="2"/>
  <c r="J5310" i="2"/>
  <c r="J5309" i="2"/>
  <c r="J5308" i="2"/>
  <c r="J5307" i="2"/>
  <c r="J5306" i="2"/>
  <c r="J5305" i="2"/>
  <c r="J5304" i="2"/>
  <c r="J5303" i="2"/>
  <c r="J5302" i="2"/>
  <c r="J5301" i="2"/>
  <c r="J5300" i="2"/>
  <c r="J5299" i="2"/>
  <c r="J5298" i="2"/>
  <c r="J5297" i="2"/>
  <c r="J5296" i="2"/>
  <c r="J5295" i="2"/>
  <c r="J5294" i="2"/>
  <c r="J5293" i="2"/>
  <c r="J5292" i="2"/>
  <c r="J5291" i="2"/>
  <c r="J5290" i="2"/>
  <c r="J5289" i="2"/>
  <c r="J5288" i="2"/>
  <c r="J5287" i="2"/>
  <c r="J5286" i="2"/>
  <c r="J5285" i="2"/>
  <c r="J5284" i="2"/>
  <c r="J5283" i="2"/>
  <c r="J5282" i="2"/>
  <c r="J5281" i="2"/>
  <c r="J5280" i="2"/>
  <c r="J5279" i="2"/>
  <c r="J5278" i="2"/>
  <c r="J5277" i="2"/>
  <c r="J5276" i="2"/>
  <c r="J5275" i="2"/>
  <c r="J5274" i="2"/>
  <c r="J5273" i="2"/>
  <c r="J5272" i="2"/>
  <c r="J5271" i="2"/>
  <c r="J5270" i="2"/>
  <c r="J5269" i="2"/>
  <c r="J5268" i="2"/>
  <c r="J5267" i="2"/>
  <c r="J5266" i="2"/>
  <c r="J5265" i="2"/>
  <c r="J5264" i="2"/>
  <c r="J5263" i="2"/>
  <c r="J5262" i="2"/>
  <c r="J5261" i="2"/>
  <c r="J5260" i="2"/>
  <c r="J5259" i="2"/>
  <c r="J5258" i="2"/>
  <c r="J5257" i="2"/>
  <c r="J5256" i="2"/>
  <c r="J5255" i="2"/>
  <c r="J5254" i="2"/>
  <c r="J5253" i="2"/>
  <c r="J5252" i="2"/>
  <c r="J5251" i="2"/>
  <c r="J5250" i="2"/>
  <c r="J5249" i="2"/>
  <c r="J5248" i="2"/>
  <c r="J5247" i="2"/>
  <c r="J5246" i="2"/>
  <c r="J5245" i="2"/>
  <c r="J5244" i="2"/>
  <c r="J5243" i="2"/>
  <c r="J5242" i="2"/>
  <c r="J5241" i="2"/>
  <c r="J5240" i="2"/>
  <c r="J5239" i="2"/>
  <c r="J5238" i="2"/>
  <c r="J5237" i="2"/>
  <c r="J5236" i="2"/>
  <c r="J5235" i="2"/>
  <c r="J5234" i="2"/>
  <c r="J5233" i="2"/>
  <c r="J5232" i="2"/>
  <c r="J5231" i="2"/>
  <c r="J5230" i="2"/>
  <c r="J5229" i="2"/>
  <c r="J5228" i="2"/>
  <c r="J5227" i="2"/>
  <c r="J5226" i="2"/>
  <c r="J5225" i="2"/>
  <c r="J5224" i="2"/>
  <c r="J5223" i="2"/>
  <c r="J5222" i="2"/>
  <c r="J5221" i="2"/>
  <c r="J5220" i="2"/>
  <c r="J5219" i="2"/>
  <c r="J5218" i="2"/>
  <c r="J5217" i="2"/>
  <c r="J5216" i="2"/>
  <c r="J5215" i="2"/>
  <c r="J5214" i="2"/>
  <c r="J5213" i="2"/>
  <c r="J5212" i="2"/>
  <c r="J5211" i="2"/>
  <c r="J5210" i="2"/>
  <c r="J5209" i="2"/>
  <c r="J5208" i="2"/>
  <c r="J5207" i="2"/>
  <c r="J5206" i="2"/>
  <c r="J5205" i="2"/>
  <c r="J5204" i="2"/>
  <c r="J5203" i="2"/>
  <c r="J5202" i="2"/>
  <c r="J5201" i="2"/>
  <c r="J5200" i="2"/>
  <c r="J5199" i="2"/>
  <c r="J5198" i="2"/>
  <c r="J5197" i="2"/>
  <c r="J5196" i="2"/>
  <c r="J5195" i="2"/>
  <c r="J5194" i="2"/>
  <c r="J5193" i="2"/>
  <c r="J5192" i="2"/>
  <c r="J5191" i="2"/>
  <c r="J5190" i="2"/>
  <c r="J5189" i="2"/>
  <c r="J5188" i="2"/>
  <c r="J5187" i="2"/>
  <c r="J5186" i="2"/>
  <c r="J5185" i="2"/>
  <c r="J5184" i="2"/>
  <c r="J5183" i="2"/>
  <c r="J5182" i="2"/>
  <c r="J5181" i="2"/>
  <c r="J5180" i="2"/>
  <c r="J5179" i="2"/>
  <c r="J5178" i="2"/>
  <c r="J5177" i="2"/>
  <c r="J5176" i="2"/>
  <c r="J5175" i="2"/>
  <c r="J5174" i="2"/>
  <c r="J5173" i="2"/>
  <c r="J5172" i="2"/>
  <c r="J5171" i="2"/>
  <c r="J5170" i="2"/>
  <c r="J5169" i="2"/>
  <c r="J5168" i="2"/>
  <c r="J5167" i="2"/>
  <c r="J5166" i="2"/>
  <c r="J5165" i="2"/>
  <c r="J5164" i="2"/>
  <c r="J5163" i="2"/>
  <c r="J5162" i="2"/>
  <c r="J5161" i="2"/>
  <c r="J5160" i="2"/>
  <c r="J5159" i="2"/>
  <c r="J5158" i="2"/>
  <c r="J5157" i="2"/>
  <c r="J5156" i="2"/>
  <c r="J5155" i="2"/>
  <c r="J5154" i="2"/>
  <c r="J5153" i="2"/>
  <c r="J5152" i="2"/>
  <c r="J5151" i="2"/>
  <c r="J5150" i="2"/>
  <c r="J5149" i="2"/>
  <c r="J5148" i="2"/>
  <c r="J5147" i="2"/>
  <c r="J5146" i="2"/>
  <c r="J5145" i="2"/>
  <c r="J5144" i="2"/>
  <c r="J5143" i="2"/>
  <c r="J5142" i="2"/>
  <c r="J5141" i="2"/>
  <c r="J5140" i="2"/>
  <c r="J5139" i="2"/>
  <c r="J5138" i="2"/>
  <c r="J5137" i="2"/>
  <c r="J5136" i="2"/>
  <c r="J5135" i="2"/>
  <c r="J5134" i="2"/>
  <c r="J5133" i="2"/>
  <c r="J5132" i="2"/>
  <c r="J5131" i="2"/>
  <c r="J5130" i="2"/>
  <c r="J5129" i="2"/>
  <c r="J5128" i="2"/>
  <c r="J5127" i="2"/>
  <c r="J5126" i="2"/>
  <c r="J5125" i="2"/>
  <c r="J5124" i="2"/>
  <c r="J5123" i="2"/>
  <c r="J5122" i="2"/>
  <c r="J5121" i="2"/>
  <c r="J5120" i="2"/>
  <c r="J5119" i="2"/>
  <c r="J5118" i="2"/>
  <c r="J5117" i="2"/>
  <c r="J5116" i="2"/>
  <c r="J5115" i="2"/>
  <c r="J5114" i="2"/>
  <c r="J5113" i="2"/>
  <c r="J5112" i="2"/>
  <c r="J5111" i="2"/>
  <c r="J5110" i="2"/>
  <c r="J5109" i="2"/>
  <c r="J5108" i="2"/>
  <c r="J5107" i="2"/>
  <c r="J5106" i="2"/>
  <c r="J5105" i="2"/>
  <c r="J5104" i="2"/>
  <c r="J5103" i="2"/>
  <c r="J5102" i="2"/>
  <c r="J5101" i="2"/>
  <c r="J5100" i="2"/>
  <c r="J5099" i="2"/>
  <c r="J5098" i="2"/>
  <c r="J5097" i="2"/>
  <c r="J5096" i="2"/>
  <c r="J5095" i="2"/>
  <c r="J5094" i="2"/>
  <c r="J5093" i="2"/>
  <c r="J5092" i="2"/>
  <c r="J5091" i="2"/>
  <c r="J5090" i="2"/>
  <c r="J5089" i="2"/>
  <c r="J5088" i="2"/>
  <c r="J5087" i="2"/>
  <c r="J5086" i="2"/>
  <c r="J5085" i="2"/>
  <c r="J5084" i="2"/>
  <c r="J5083" i="2"/>
  <c r="J5082" i="2"/>
  <c r="J5081" i="2"/>
  <c r="J5080" i="2"/>
  <c r="J5079" i="2"/>
  <c r="J5078" i="2"/>
  <c r="J5077" i="2"/>
  <c r="J5076" i="2"/>
  <c r="J5075" i="2"/>
  <c r="J5074" i="2"/>
  <c r="J5073" i="2"/>
  <c r="J5072" i="2"/>
  <c r="J5071" i="2"/>
  <c r="J5070" i="2"/>
  <c r="J5069" i="2"/>
  <c r="J5068" i="2"/>
  <c r="J5067" i="2"/>
  <c r="J5066" i="2"/>
  <c r="J5065" i="2"/>
  <c r="J5064" i="2"/>
  <c r="J5063" i="2"/>
  <c r="J5062" i="2"/>
  <c r="J5061" i="2"/>
  <c r="J5060" i="2"/>
  <c r="J5059" i="2"/>
  <c r="J5058" i="2"/>
  <c r="J5057" i="2"/>
  <c r="J5056" i="2"/>
  <c r="J5055" i="2"/>
  <c r="J5054" i="2"/>
  <c r="J5053" i="2"/>
  <c r="J5052" i="2"/>
  <c r="J5051" i="2"/>
  <c r="J5050" i="2"/>
  <c r="J5049" i="2"/>
  <c r="J5048" i="2"/>
  <c r="J5047" i="2"/>
  <c r="J5046" i="2"/>
  <c r="J5045" i="2"/>
  <c r="J5044" i="2"/>
  <c r="J5043" i="2"/>
  <c r="J5042" i="2"/>
  <c r="J5041" i="2"/>
  <c r="J5040" i="2"/>
  <c r="J5039" i="2"/>
  <c r="J5038" i="2"/>
  <c r="J5037" i="2"/>
  <c r="J5036" i="2"/>
  <c r="J5035" i="2"/>
  <c r="J5034" i="2"/>
  <c r="J5033" i="2"/>
  <c r="J5032" i="2"/>
  <c r="J5031" i="2"/>
  <c r="J5030" i="2"/>
  <c r="J5029" i="2"/>
  <c r="J5028" i="2"/>
  <c r="J5027" i="2"/>
  <c r="J5026" i="2"/>
  <c r="J5025" i="2"/>
  <c r="J5024" i="2"/>
  <c r="J5023" i="2"/>
  <c r="J5022" i="2"/>
  <c r="J5021" i="2"/>
  <c r="J5020" i="2"/>
  <c r="J5019" i="2"/>
  <c r="J5018" i="2"/>
  <c r="J5017" i="2"/>
  <c r="J5016" i="2"/>
  <c r="J5015" i="2"/>
  <c r="J5014" i="2"/>
  <c r="J5013" i="2"/>
  <c r="J5012" i="2"/>
  <c r="J5011" i="2"/>
  <c r="J5010" i="2"/>
  <c r="J5009" i="2"/>
  <c r="J5008" i="2"/>
  <c r="J5007" i="2"/>
  <c r="J5006" i="2"/>
  <c r="J5005" i="2"/>
  <c r="J5004" i="2"/>
  <c r="J5003" i="2"/>
  <c r="J5002" i="2"/>
  <c r="J5001" i="2"/>
  <c r="J5000" i="2"/>
  <c r="J4999" i="2"/>
  <c r="J4998" i="2"/>
  <c r="J4997" i="2"/>
  <c r="J4996" i="2"/>
  <c r="J4995" i="2"/>
  <c r="J4994" i="2"/>
  <c r="J4993" i="2"/>
  <c r="J4992" i="2"/>
  <c r="J4991" i="2"/>
  <c r="J4990" i="2"/>
  <c r="J4989" i="2"/>
  <c r="J4988" i="2"/>
  <c r="J4987" i="2"/>
  <c r="J4986" i="2"/>
  <c r="J4985" i="2"/>
  <c r="J4984" i="2"/>
  <c r="J4983" i="2"/>
  <c r="J4982" i="2"/>
  <c r="J4981" i="2"/>
  <c r="J4980" i="2"/>
  <c r="J4979" i="2"/>
  <c r="J4978" i="2"/>
  <c r="J4977" i="2"/>
  <c r="J4976" i="2"/>
  <c r="J4975" i="2"/>
  <c r="J4974" i="2"/>
  <c r="J4973" i="2"/>
  <c r="J4972" i="2"/>
  <c r="J4971" i="2"/>
  <c r="J4970" i="2"/>
  <c r="J4969" i="2"/>
  <c r="J4968" i="2"/>
  <c r="J4967" i="2"/>
  <c r="J4966" i="2"/>
  <c r="J4965" i="2"/>
  <c r="J4964" i="2"/>
  <c r="J4963" i="2"/>
  <c r="J4962" i="2"/>
  <c r="J4961" i="2"/>
  <c r="J4960" i="2"/>
  <c r="J4959" i="2"/>
  <c r="J4958" i="2"/>
  <c r="J4957" i="2"/>
  <c r="J4956" i="2"/>
  <c r="J4955" i="2"/>
  <c r="J4954" i="2"/>
  <c r="J4953" i="2"/>
  <c r="J4952" i="2"/>
  <c r="J4951" i="2"/>
  <c r="J4950" i="2"/>
  <c r="J4949" i="2"/>
  <c r="J4948" i="2"/>
  <c r="J4947" i="2"/>
  <c r="J4946" i="2"/>
  <c r="J4945" i="2"/>
  <c r="J4944" i="2"/>
  <c r="J4943" i="2"/>
  <c r="J4942" i="2"/>
  <c r="J4941" i="2"/>
  <c r="J4940" i="2"/>
  <c r="J4939" i="2"/>
  <c r="J4938" i="2"/>
  <c r="J4937" i="2"/>
  <c r="J4936" i="2"/>
  <c r="J4935" i="2"/>
  <c r="J4934" i="2"/>
  <c r="J4933" i="2"/>
  <c r="J4932" i="2"/>
  <c r="J4931" i="2"/>
  <c r="J4930" i="2"/>
  <c r="J4929" i="2"/>
  <c r="J4928" i="2"/>
  <c r="J4927" i="2"/>
  <c r="J4926" i="2"/>
  <c r="J4925" i="2"/>
  <c r="J4924" i="2"/>
  <c r="J4923" i="2"/>
  <c r="J4922" i="2"/>
  <c r="J4921" i="2"/>
  <c r="J4920" i="2"/>
  <c r="J4919" i="2"/>
  <c r="J4918" i="2"/>
  <c r="J4917" i="2"/>
  <c r="J4916" i="2"/>
  <c r="J4915" i="2"/>
  <c r="J4914" i="2"/>
  <c r="J4913" i="2"/>
  <c r="J4912" i="2"/>
  <c r="J4911" i="2"/>
  <c r="J4910" i="2"/>
  <c r="J4909" i="2"/>
  <c r="J4908" i="2"/>
  <c r="J4907" i="2"/>
  <c r="J4906" i="2"/>
  <c r="J4905" i="2"/>
  <c r="J4904" i="2"/>
  <c r="J4903" i="2"/>
  <c r="J4902" i="2"/>
  <c r="J4901" i="2"/>
  <c r="J4900" i="2"/>
  <c r="J4899" i="2"/>
  <c r="J4898" i="2"/>
  <c r="J4897" i="2"/>
  <c r="J4896" i="2"/>
  <c r="J4895" i="2"/>
  <c r="J4894" i="2"/>
  <c r="J4893" i="2"/>
  <c r="J4892" i="2"/>
  <c r="J4891" i="2"/>
  <c r="J4890" i="2"/>
  <c r="J4889" i="2"/>
  <c r="J4888" i="2"/>
  <c r="J4887" i="2"/>
  <c r="J4886" i="2"/>
  <c r="J4885" i="2"/>
  <c r="J4884" i="2"/>
  <c r="J4883" i="2"/>
  <c r="J4882" i="2"/>
  <c r="J4881" i="2"/>
  <c r="J4880" i="2"/>
  <c r="J4879" i="2"/>
  <c r="J4878" i="2"/>
  <c r="J4877" i="2"/>
  <c r="J4876" i="2"/>
  <c r="J4875" i="2"/>
  <c r="J4874" i="2"/>
  <c r="J4873" i="2"/>
  <c r="J4872" i="2"/>
  <c r="J4871" i="2"/>
  <c r="J4870" i="2"/>
  <c r="J4869" i="2"/>
  <c r="J4868" i="2"/>
  <c r="J4867" i="2"/>
  <c r="J4866" i="2"/>
  <c r="J4865" i="2"/>
  <c r="J4864" i="2"/>
  <c r="J4863" i="2"/>
  <c r="J4862" i="2"/>
  <c r="J4861" i="2"/>
  <c r="J4860" i="2"/>
  <c r="J4859" i="2"/>
  <c r="J4858" i="2"/>
  <c r="J4857" i="2"/>
  <c r="J4856" i="2"/>
  <c r="J4855" i="2"/>
  <c r="J4854" i="2"/>
  <c r="J4853" i="2"/>
  <c r="J4852" i="2"/>
  <c r="J4851" i="2"/>
  <c r="J4850" i="2"/>
  <c r="J4849" i="2"/>
  <c r="J4848" i="2"/>
  <c r="J4847" i="2"/>
  <c r="J4846" i="2"/>
  <c r="J4845" i="2"/>
  <c r="J4844" i="2"/>
  <c r="J4843" i="2"/>
  <c r="J4842" i="2"/>
  <c r="J4841" i="2"/>
  <c r="J4840" i="2"/>
  <c r="J4839" i="2"/>
  <c r="J4838" i="2"/>
  <c r="J4837" i="2"/>
  <c r="J4836" i="2"/>
  <c r="J4835" i="2"/>
  <c r="J4834" i="2"/>
  <c r="J4833" i="2"/>
  <c r="J4832" i="2"/>
  <c r="J4831" i="2"/>
  <c r="J4830" i="2"/>
  <c r="J4829" i="2"/>
  <c r="J4828" i="2"/>
  <c r="J4827" i="2"/>
  <c r="J4826" i="2"/>
  <c r="J4825" i="2"/>
  <c r="J4824" i="2"/>
  <c r="J4823" i="2"/>
  <c r="J4822" i="2"/>
  <c r="J4821" i="2"/>
  <c r="J4820" i="2"/>
  <c r="J4819" i="2"/>
  <c r="J4818" i="2"/>
  <c r="J4817" i="2"/>
  <c r="J4816" i="2"/>
  <c r="J4815" i="2"/>
  <c r="J4814" i="2"/>
  <c r="J4813" i="2"/>
  <c r="J4812" i="2"/>
  <c r="J4811" i="2"/>
  <c r="J4810" i="2"/>
  <c r="J4809" i="2"/>
  <c r="J4808" i="2"/>
  <c r="J4807" i="2"/>
  <c r="J4806" i="2"/>
  <c r="J4805" i="2"/>
  <c r="J4804" i="2"/>
  <c r="J4803" i="2"/>
  <c r="J4802" i="2"/>
  <c r="J4801" i="2"/>
  <c r="J4800" i="2"/>
  <c r="J4799" i="2"/>
  <c r="J4798" i="2"/>
  <c r="J4797" i="2"/>
  <c r="J4796" i="2"/>
  <c r="J4795" i="2"/>
  <c r="J4794" i="2"/>
  <c r="J4793" i="2"/>
  <c r="J4792" i="2"/>
  <c r="J4791" i="2"/>
  <c r="J4790" i="2"/>
  <c r="J4789" i="2"/>
  <c r="J4788" i="2"/>
  <c r="J4787" i="2"/>
  <c r="J4786" i="2"/>
  <c r="J4785" i="2"/>
  <c r="J4784" i="2"/>
  <c r="J4783" i="2"/>
  <c r="J4782" i="2"/>
  <c r="J4781" i="2"/>
  <c r="J4780" i="2"/>
  <c r="J4779" i="2"/>
  <c r="J4778" i="2"/>
  <c r="J4777" i="2"/>
  <c r="J4776" i="2"/>
  <c r="J4775" i="2"/>
  <c r="J4774" i="2"/>
  <c r="J4773" i="2"/>
  <c r="J4772" i="2"/>
  <c r="J4771" i="2"/>
  <c r="J4770" i="2"/>
  <c r="J4769" i="2"/>
  <c r="J4768" i="2"/>
  <c r="J4767" i="2"/>
  <c r="J4766" i="2"/>
  <c r="J4765" i="2"/>
  <c r="J4764" i="2"/>
  <c r="J4763" i="2"/>
  <c r="J4762" i="2"/>
  <c r="J4761" i="2"/>
  <c r="J4760" i="2"/>
  <c r="J4759" i="2"/>
  <c r="J4758" i="2"/>
  <c r="J4757" i="2"/>
  <c r="J4756" i="2"/>
  <c r="J4755" i="2"/>
  <c r="J4754" i="2"/>
  <c r="J4753" i="2"/>
  <c r="J4752" i="2"/>
  <c r="J4751" i="2"/>
  <c r="J4750" i="2"/>
  <c r="J4749" i="2"/>
  <c r="J4748" i="2"/>
  <c r="J4747" i="2"/>
  <c r="J4746" i="2"/>
  <c r="J4745" i="2"/>
  <c r="J4744" i="2"/>
  <c r="J4743" i="2"/>
  <c r="J4742" i="2"/>
  <c r="J4741" i="2"/>
  <c r="J4740" i="2"/>
  <c r="J4739" i="2"/>
  <c r="J4738" i="2"/>
  <c r="J4737" i="2"/>
  <c r="J4736" i="2"/>
  <c r="J4735" i="2"/>
  <c r="J4734" i="2"/>
  <c r="J4733" i="2"/>
  <c r="J4732" i="2"/>
  <c r="J4731" i="2"/>
  <c r="J4730" i="2"/>
  <c r="J4729" i="2"/>
  <c r="J4728" i="2"/>
  <c r="J4727" i="2"/>
  <c r="J4726" i="2"/>
  <c r="J4725" i="2"/>
  <c r="J4724" i="2"/>
  <c r="J4723" i="2"/>
  <c r="J4722" i="2"/>
  <c r="J4721" i="2"/>
  <c r="J4720" i="2"/>
  <c r="J4719" i="2"/>
  <c r="J4718" i="2"/>
  <c r="J4717" i="2"/>
  <c r="J4716" i="2"/>
  <c r="J4715" i="2"/>
  <c r="J4714" i="2"/>
  <c r="J4713" i="2"/>
  <c r="J4712" i="2"/>
  <c r="J4711" i="2"/>
  <c r="J4710" i="2"/>
  <c r="J4709" i="2"/>
  <c r="J4708" i="2"/>
  <c r="J4707" i="2"/>
  <c r="J4706" i="2"/>
  <c r="J4705" i="2"/>
  <c r="J4704" i="2"/>
  <c r="J4703" i="2"/>
  <c r="J4702" i="2"/>
  <c r="J4701" i="2"/>
  <c r="J4700" i="2"/>
  <c r="J4699" i="2"/>
  <c r="J4698" i="2"/>
  <c r="J4697" i="2"/>
  <c r="J4696" i="2"/>
  <c r="J4695" i="2"/>
  <c r="J4694" i="2"/>
  <c r="J4693" i="2"/>
  <c r="J4692" i="2"/>
  <c r="J4691" i="2"/>
  <c r="J4690" i="2"/>
  <c r="J4689" i="2"/>
  <c r="J4688" i="2"/>
  <c r="J4687" i="2"/>
  <c r="J4686" i="2"/>
  <c r="J4685" i="2"/>
  <c r="J4684" i="2"/>
  <c r="J4683" i="2"/>
  <c r="J4682" i="2"/>
  <c r="J4681" i="2"/>
  <c r="J4680" i="2"/>
  <c r="J4679" i="2"/>
  <c r="J4678" i="2"/>
  <c r="J4677" i="2"/>
  <c r="J4676" i="2"/>
  <c r="J4675" i="2"/>
  <c r="J4674" i="2"/>
  <c r="J4673" i="2"/>
  <c r="J4672" i="2"/>
  <c r="J4671" i="2"/>
  <c r="J4670" i="2"/>
  <c r="J4669" i="2"/>
  <c r="J4668" i="2"/>
  <c r="J4667" i="2"/>
  <c r="J4666" i="2"/>
  <c r="J4665" i="2"/>
  <c r="J4664" i="2"/>
  <c r="J4663" i="2"/>
  <c r="J4662" i="2"/>
  <c r="J4661" i="2"/>
  <c r="J4660" i="2"/>
  <c r="J4659" i="2"/>
  <c r="J4658" i="2"/>
  <c r="J4657" i="2"/>
  <c r="J4656" i="2"/>
  <c r="J4655" i="2"/>
  <c r="J4654" i="2"/>
  <c r="J4653" i="2"/>
  <c r="J4652" i="2"/>
  <c r="J4651" i="2"/>
  <c r="J4650" i="2"/>
  <c r="J4649" i="2"/>
  <c r="J4648" i="2"/>
  <c r="J4647" i="2"/>
  <c r="J4646" i="2"/>
  <c r="J4645" i="2"/>
  <c r="J4644" i="2"/>
  <c r="J4643" i="2"/>
  <c r="J4642" i="2"/>
  <c r="J4641" i="2"/>
  <c r="J4640" i="2"/>
  <c r="J4639" i="2"/>
  <c r="J4638" i="2"/>
  <c r="J4637" i="2"/>
  <c r="J4636" i="2"/>
  <c r="J4635" i="2"/>
  <c r="J4634" i="2"/>
  <c r="J4633" i="2"/>
  <c r="J4632" i="2"/>
  <c r="J4631" i="2"/>
  <c r="J4630" i="2"/>
  <c r="J4629" i="2"/>
  <c r="J4628" i="2"/>
  <c r="J4627" i="2"/>
  <c r="J4626" i="2"/>
  <c r="J4625" i="2"/>
  <c r="J4624" i="2"/>
  <c r="J4623" i="2"/>
  <c r="J4622" i="2"/>
  <c r="J4621" i="2"/>
  <c r="J4620" i="2"/>
  <c r="J4619" i="2"/>
  <c r="J4618" i="2"/>
  <c r="J4617" i="2"/>
  <c r="J4616" i="2"/>
  <c r="J4615" i="2"/>
  <c r="J4614" i="2"/>
  <c r="J4613" i="2"/>
  <c r="J4612" i="2"/>
  <c r="J4611" i="2"/>
  <c r="J4610" i="2"/>
  <c r="J4609" i="2"/>
  <c r="J4608" i="2"/>
  <c r="J4607" i="2"/>
  <c r="J4606" i="2"/>
  <c r="J4605" i="2"/>
  <c r="J4604" i="2"/>
  <c r="J4603" i="2"/>
  <c r="J4602" i="2"/>
  <c r="J4601" i="2"/>
  <c r="J4600" i="2"/>
  <c r="J4599" i="2"/>
  <c r="J4598" i="2"/>
  <c r="J4597" i="2"/>
  <c r="J4596" i="2"/>
  <c r="J4595" i="2"/>
  <c r="J4594" i="2"/>
  <c r="J4593" i="2"/>
  <c r="J4592" i="2"/>
  <c r="J4591" i="2"/>
  <c r="J4590" i="2"/>
  <c r="J4589" i="2"/>
  <c r="J4588" i="2"/>
  <c r="J4587" i="2"/>
  <c r="J4586" i="2"/>
  <c r="J4585" i="2"/>
  <c r="J4584" i="2"/>
  <c r="J4583" i="2"/>
  <c r="J4582" i="2"/>
  <c r="J4581" i="2"/>
  <c r="J4580" i="2"/>
  <c r="J4579" i="2"/>
  <c r="J4578" i="2"/>
  <c r="J4577" i="2"/>
  <c r="J4576" i="2"/>
  <c r="J4575" i="2"/>
  <c r="J4574" i="2"/>
  <c r="J4573" i="2"/>
  <c r="J4572" i="2"/>
  <c r="J4571" i="2"/>
  <c r="J4570" i="2"/>
  <c r="J4569" i="2"/>
  <c r="J4568" i="2"/>
  <c r="J4567" i="2"/>
  <c r="J4566" i="2"/>
  <c r="J4565" i="2"/>
  <c r="J4564" i="2"/>
  <c r="J4563" i="2"/>
  <c r="J4562" i="2"/>
  <c r="J4561" i="2"/>
  <c r="J4560" i="2"/>
  <c r="J4559" i="2"/>
  <c r="J4558" i="2"/>
  <c r="J4557" i="2"/>
  <c r="J4556" i="2"/>
  <c r="J4555" i="2"/>
  <c r="J4554" i="2"/>
  <c r="J4553" i="2"/>
  <c r="J4552" i="2"/>
  <c r="J4551" i="2"/>
  <c r="J4550" i="2"/>
  <c r="J4549" i="2"/>
  <c r="J4548" i="2"/>
  <c r="J4547" i="2"/>
  <c r="J4546" i="2"/>
  <c r="J4545" i="2"/>
  <c r="J4544" i="2"/>
  <c r="J4543" i="2"/>
  <c r="J4542" i="2"/>
  <c r="J4541" i="2"/>
  <c r="J4540" i="2"/>
  <c r="J4539" i="2"/>
  <c r="J4538" i="2"/>
  <c r="J4537" i="2"/>
  <c r="J4536" i="2"/>
  <c r="J4535" i="2"/>
  <c r="J4534" i="2"/>
  <c r="J4533" i="2"/>
  <c r="J4532" i="2"/>
  <c r="J4531" i="2"/>
  <c r="J4530" i="2"/>
  <c r="J4529" i="2"/>
  <c r="J4528" i="2"/>
  <c r="J4527" i="2"/>
  <c r="J4526" i="2"/>
  <c r="J4525" i="2"/>
  <c r="J4524" i="2"/>
  <c r="J4523" i="2"/>
  <c r="J4522" i="2"/>
  <c r="J4521" i="2"/>
  <c r="J4520" i="2"/>
  <c r="J4519" i="2"/>
  <c r="J4518" i="2"/>
  <c r="J4517" i="2"/>
  <c r="J4516" i="2"/>
  <c r="J4515" i="2"/>
  <c r="J4514" i="2"/>
  <c r="J4513" i="2"/>
  <c r="J4512" i="2"/>
  <c r="J4511" i="2"/>
  <c r="J4510" i="2"/>
  <c r="J4509" i="2"/>
  <c r="J4508" i="2"/>
  <c r="J4507" i="2"/>
  <c r="J4506" i="2"/>
  <c r="J4505" i="2"/>
  <c r="J4504" i="2"/>
  <c r="J4503" i="2"/>
  <c r="J4502" i="2"/>
  <c r="J4501" i="2"/>
  <c r="J4500" i="2"/>
  <c r="J4499" i="2"/>
  <c r="J4498" i="2"/>
  <c r="J4497" i="2"/>
  <c r="J4496" i="2"/>
  <c r="J4495" i="2"/>
  <c r="J4494" i="2"/>
  <c r="J4493" i="2"/>
  <c r="J4492" i="2"/>
  <c r="J4491" i="2"/>
  <c r="J4490" i="2"/>
  <c r="J4489" i="2"/>
  <c r="J4488" i="2"/>
  <c r="J4487" i="2"/>
  <c r="J4486" i="2"/>
  <c r="J4485" i="2"/>
  <c r="J4484" i="2"/>
  <c r="J4483" i="2"/>
  <c r="J4482" i="2"/>
  <c r="J4481" i="2"/>
  <c r="J4480" i="2"/>
  <c r="J4479" i="2"/>
  <c r="J4478" i="2"/>
  <c r="J4477" i="2"/>
  <c r="J4476" i="2"/>
  <c r="J4475" i="2"/>
  <c r="J4474" i="2"/>
  <c r="J4473" i="2"/>
  <c r="J4472" i="2"/>
  <c r="J4471" i="2"/>
  <c r="J4470" i="2"/>
  <c r="J4469" i="2"/>
  <c r="J4468" i="2"/>
  <c r="J4467" i="2"/>
  <c r="J4466" i="2"/>
  <c r="J4465" i="2"/>
  <c r="J4464" i="2"/>
  <c r="J4463" i="2"/>
  <c r="J4462" i="2"/>
  <c r="J4461" i="2"/>
  <c r="J4460" i="2"/>
  <c r="J4459" i="2"/>
  <c r="J4458" i="2"/>
  <c r="J4457" i="2"/>
  <c r="J4456" i="2"/>
  <c r="J4455" i="2"/>
  <c r="J4454" i="2"/>
  <c r="J4453" i="2"/>
  <c r="J4452" i="2"/>
  <c r="J4451" i="2"/>
  <c r="J4450" i="2"/>
  <c r="J4449" i="2"/>
  <c r="J4448" i="2"/>
  <c r="J4447" i="2"/>
  <c r="J4446" i="2"/>
  <c r="J4445" i="2"/>
  <c r="J4444" i="2"/>
  <c r="J4443" i="2"/>
  <c r="J4442" i="2"/>
  <c r="J4441" i="2"/>
  <c r="J4440" i="2"/>
  <c r="J4439" i="2"/>
  <c r="J4438" i="2"/>
  <c r="J4437" i="2"/>
  <c r="J4436" i="2"/>
  <c r="J4435" i="2"/>
  <c r="J4434" i="2"/>
  <c r="J4433" i="2"/>
  <c r="J4432" i="2"/>
  <c r="J4431" i="2"/>
  <c r="J4430" i="2"/>
  <c r="J4429" i="2"/>
  <c r="J4428" i="2"/>
  <c r="J4427" i="2"/>
  <c r="J4426" i="2"/>
  <c r="J4425" i="2"/>
  <c r="J4424" i="2"/>
  <c r="J4423" i="2"/>
  <c r="J4422" i="2"/>
  <c r="J4421" i="2"/>
  <c r="J4420" i="2"/>
  <c r="J4419" i="2"/>
  <c r="J4418" i="2"/>
  <c r="J4417" i="2"/>
  <c r="J4416" i="2"/>
  <c r="J4415" i="2"/>
  <c r="J4414" i="2"/>
  <c r="J4413" i="2"/>
  <c r="J4412" i="2"/>
  <c r="J4411" i="2"/>
  <c r="J4410" i="2"/>
  <c r="J4409" i="2"/>
  <c r="J4408" i="2"/>
  <c r="J4407" i="2"/>
  <c r="J4406" i="2"/>
  <c r="J4405" i="2"/>
  <c r="J4404" i="2"/>
  <c r="J4403" i="2"/>
  <c r="J4402" i="2"/>
  <c r="J4401" i="2"/>
  <c r="J4400" i="2"/>
  <c r="J4399" i="2"/>
  <c r="J4398" i="2"/>
  <c r="J4397" i="2"/>
  <c r="J4396" i="2"/>
  <c r="J4395" i="2"/>
  <c r="J4394" i="2"/>
  <c r="J4393" i="2"/>
  <c r="J4392" i="2"/>
  <c r="J4391" i="2"/>
  <c r="J4390" i="2"/>
  <c r="J4389" i="2"/>
  <c r="J4388" i="2"/>
  <c r="J4387" i="2"/>
  <c r="J4386" i="2"/>
  <c r="J4385" i="2"/>
  <c r="J4384" i="2"/>
  <c r="J4383" i="2"/>
  <c r="J4382" i="2"/>
  <c r="J4381" i="2"/>
  <c r="J4380" i="2"/>
  <c r="J4379" i="2"/>
  <c r="J4378" i="2"/>
  <c r="J4377" i="2"/>
  <c r="J4376" i="2"/>
  <c r="J4375" i="2"/>
  <c r="J4374" i="2"/>
  <c r="J4373" i="2"/>
  <c r="J4372" i="2"/>
  <c r="J4371" i="2"/>
  <c r="J4370" i="2"/>
  <c r="J4369" i="2"/>
  <c r="J4368" i="2"/>
  <c r="J4367" i="2"/>
  <c r="J4366" i="2"/>
  <c r="J4365" i="2"/>
  <c r="J4364" i="2"/>
  <c r="J4363" i="2"/>
  <c r="J4362" i="2"/>
  <c r="J4361" i="2"/>
  <c r="J4360" i="2"/>
  <c r="J4359" i="2"/>
  <c r="J4358" i="2"/>
  <c r="J4357" i="2"/>
  <c r="J4356" i="2"/>
  <c r="J4355" i="2"/>
  <c r="J4354" i="2"/>
  <c r="J4353" i="2"/>
  <c r="J4352" i="2"/>
  <c r="J4351" i="2"/>
  <c r="J4350" i="2"/>
  <c r="J4349" i="2"/>
  <c r="J4348" i="2"/>
  <c r="J4347" i="2"/>
  <c r="J4346" i="2"/>
  <c r="J4345" i="2"/>
  <c r="J4344" i="2"/>
  <c r="J4343" i="2"/>
  <c r="J4342" i="2"/>
  <c r="J4341" i="2"/>
  <c r="J4340" i="2"/>
  <c r="J4339" i="2"/>
  <c r="J4338" i="2"/>
  <c r="J4337" i="2"/>
  <c r="J4336" i="2"/>
  <c r="J4335" i="2"/>
  <c r="J4334" i="2"/>
  <c r="J4333" i="2"/>
  <c r="J4332" i="2"/>
  <c r="J4331" i="2"/>
  <c r="J4330" i="2"/>
  <c r="J4329" i="2"/>
  <c r="J4328" i="2"/>
  <c r="J4327" i="2"/>
  <c r="J4326" i="2"/>
  <c r="J4325" i="2"/>
  <c r="J4324" i="2"/>
  <c r="J4323" i="2"/>
  <c r="J4322" i="2"/>
  <c r="J4321" i="2"/>
  <c r="J4320" i="2"/>
  <c r="J4319" i="2"/>
  <c r="J4318" i="2"/>
  <c r="J4317" i="2"/>
  <c r="J4316" i="2"/>
  <c r="J4315" i="2"/>
  <c r="J4314" i="2"/>
  <c r="J4313" i="2"/>
  <c r="J4312" i="2"/>
  <c r="J4311" i="2"/>
  <c r="J4310" i="2"/>
  <c r="J4309" i="2"/>
  <c r="J4308" i="2"/>
  <c r="J4307" i="2"/>
  <c r="J4306" i="2"/>
  <c r="J4305" i="2"/>
  <c r="J4304" i="2"/>
  <c r="J4303" i="2"/>
  <c r="J4302" i="2"/>
  <c r="J4301" i="2"/>
  <c r="J4300" i="2"/>
  <c r="J4299" i="2"/>
  <c r="J4298" i="2"/>
  <c r="J4297" i="2"/>
  <c r="J4296" i="2"/>
  <c r="J4295" i="2"/>
  <c r="J4294" i="2"/>
  <c r="J4293" i="2"/>
  <c r="J4292" i="2"/>
  <c r="J4291" i="2"/>
  <c r="J4290" i="2"/>
  <c r="J4289" i="2"/>
  <c r="J4288" i="2"/>
  <c r="J4287" i="2"/>
  <c r="J4286" i="2"/>
  <c r="J4285" i="2"/>
  <c r="J4284" i="2"/>
  <c r="J4283" i="2"/>
  <c r="J4282" i="2"/>
  <c r="J4281" i="2"/>
  <c r="J4280" i="2"/>
  <c r="J4279" i="2"/>
  <c r="J4278" i="2"/>
  <c r="J4277" i="2"/>
  <c r="J4276" i="2"/>
  <c r="J4275" i="2"/>
  <c r="J4274" i="2"/>
  <c r="J4273" i="2"/>
  <c r="J4272" i="2"/>
  <c r="J4271" i="2"/>
  <c r="J4270" i="2"/>
  <c r="J4269" i="2"/>
  <c r="J4268" i="2"/>
  <c r="J4267" i="2"/>
  <c r="J4266" i="2"/>
  <c r="J4265" i="2"/>
  <c r="J4264" i="2"/>
  <c r="J4263" i="2"/>
  <c r="J4262" i="2"/>
  <c r="J4261" i="2"/>
  <c r="J4260" i="2"/>
  <c r="J4259" i="2"/>
  <c r="J4258" i="2"/>
  <c r="J4257" i="2"/>
  <c r="J4256" i="2"/>
  <c r="J4255" i="2"/>
  <c r="J4254" i="2"/>
  <c r="J4253" i="2"/>
  <c r="J4252" i="2"/>
  <c r="J4251" i="2"/>
  <c r="J4250" i="2"/>
  <c r="J4249" i="2"/>
  <c r="J4248" i="2"/>
  <c r="J4247" i="2"/>
  <c r="J4246" i="2"/>
  <c r="J4245" i="2"/>
  <c r="J4244" i="2"/>
  <c r="J4243" i="2"/>
  <c r="J4242" i="2"/>
  <c r="J4241" i="2"/>
  <c r="J4240" i="2"/>
  <c r="J4239" i="2"/>
  <c r="J4238" i="2"/>
  <c r="J4237" i="2"/>
  <c r="J4236" i="2"/>
  <c r="J4235" i="2"/>
  <c r="J4234" i="2"/>
  <c r="J4233" i="2"/>
  <c r="J4232" i="2"/>
  <c r="J4231" i="2"/>
  <c r="J4230" i="2"/>
  <c r="J4229" i="2"/>
  <c r="J4228" i="2"/>
  <c r="J4227" i="2"/>
  <c r="J4226" i="2"/>
  <c r="J4225" i="2"/>
  <c r="J4224" i="2"/>
  <c r="J4223" i="2"/>
  <c r="J4222" i="2"/>
  <c r="J4221" i="2"/>
  <c r="J4220" i="2"/>
  <c r="J4219" i="2"/>
  <c r="J4218" i="2"/>
  <c r="J4217" i="2"/>
  <c r="J4216" i="2"/>
  <c r="J4215" i="2"/>
  <c r="J4214" i="2"/>
  <c r="J4213" i="2"/>
  <c r="J4212" i="2"/>
  <c r="J4211" i="2"/>
  <c r="J4210" i="2"/>
  <c r="J4209" i="2"/>
  <c r="J4208" i="2"/>
  <c r="J4207" i="2"/>
  <c r="J4206" i="2"/>
  <c r="J4205" i="2"/>
  <c r="J4204" i="2"/>
  <c r="J4203" i="2"/>
  <c r="J4202" i="2"/>
  <c r="J4201" i="2"/>
  <c r="J4200" i="2"/>
  <c r="J4199" i="2"/>
  <c r="J4198" i="2"/>
  <c r="J4197" i="2"/>
  <c r="J4196" i="2"/>
  <c r="J4195" i="2"/>
  <c r="J4194" i="2"/>
  <c r="J4193" i="2"/>
  <c r="J4192" i="2"/>
  <c r="J4191" i="2"/>
  <c r="J4190" i="2"/>
  <c r="J4189" i="2"/>
  <c r="J4188" i="2"/>
  <c r="J4187" i="2"/>
  <c r="J4186" i="2"/>
  <c r="J4185" i="2"/>
  <c r="J4184" i="2"/>
  <c r="J4183" i="2"/>
  <c r="J4182" i="2"/>
  <c r="J4181" i="2"/>
  <c r="J4180" i="2"/>
  <c r="J4179" i="2"/>
  <c r="J4178" i="2"/>
  <c r="J4177" i="2"/>
  <c r="J4176" i="2"/>
  <c r="J4175" i="2"/>
  <c r="J4174" i="2"/>
  <c r="J4173" i="2"/>
  <c r="J4172" i="2"/>
  <c r="J4171" i="2"/>
  <c r="J4170" i="2"/>
  <c r="J4169" i="2"/>
  <c r="J4168" i="2"/>
  <c r="J4167" i="2"/>
  <c r="J4166" i="2"/>
  <c r="J4165" i="2"/>
  <c r="J4164" i="2"/>
  <c r="J4163" i="2"/>
  <c r="J4162" i="2"/>
  <c r="J4161" i="2"/>
  <c r="J4160" i="2"/>
  <c r="J4159" i="2"/>
  <c r="J4158" i="2"/>
  <c r="J4157" i="2"/>
  <c r="J4156" i="2"/>
  <c r="J4155" i="2"/>
  <c r="J4154" i="2"/>
  <c r="J4153" i="2"/>
  <c r="J4152" i="2"/>
  <c r="J4151" i="2"/>
  <c r="J4150" i="2"/>
  <c r="J4149" i="2"/>
  <c r="J4148" i="2"/>
  <c r="J4147" i="2"/>
  <c r="J4146" i="2"/>
  <c r="J4145" i="2"/>
  <c r="J4144" i="2"/>
  <c r="J4143" i="2"/>
  <c r="J4142" i="2"/>
  <c r="J4141" i="2"/>
  <c r="J4140" i="2"/>
  <c r="J4139" i="2"/>
  <c r="J4138" i="2"/>
  <c r="J4137" i="2"/>
  <c r="J4136" i="2"/>
  <c r="J4135" i="2"/>
  <c r="J4134" i="2"/>
  <c r="J4133" i="2"/>
  <c r="J4132" i="2"/>
  <c r="J4131" i="2"/>
  <c r="J4130" i="2"/>
  <c r="J4129" i="2"/>
  <c r="J4128" i="2"/>
  <c r="J4127" i="2"/>
  <c r="J4126" i="2"/>
  <c r="J4125" i="2"/>
  <c r="J4124" i="2"/>
  <c r="J4123" i="2"/>
  <c r="J4122" i="2"/>
  <c r="J4121" i="2"/>
  <c r="J4120" i="2"/>
  <c r="J4119" i="2"/>
  <c r="J4118" i="2"/>
  <c r="J4117" i="2"/>
  <c r="J4116" i="2"/>
  <c r="J4115" i="2"/>
  <c r="J4114" i="2"/>
  <c r="J4113" i="2"/>
  <c r="J4112" i="2"/>
  <c r="J4111" i="2"/>
  <c r="J4110" i="2"/>
  <c r="J4109" i="2"/>
  <c r="J4108" i="2"/>
  <c r="J4107" i="2"/>
  <c r="J4106" i="2"/>
  <c r="J4105" i="2"/>
  <c r="J4104" i="2"/>
  <c r="J4103" i="2"/>
  <c r="J4102" i="2"/>
  <c r="J4101" i="2"/>
  <c r="J4100" i="2"/>
  <c r="J4099" i="2"/>
  <c r="J4098" i="2"/>
  <c r="J4097" i="2"/>
  <c r="J4096" i="2"/>
  <c r="J4095" i="2"/>
  <c r="J4094" i="2"/>
  <c r="J4093" i="2"/>
  <c r="J4092" i="2"/>
  <c r="J4091" i="2"/>
  <c r="J4090" i="2"/>
  <c r="J4089" i="2"/>
  <c r="J4088" i="2"/>
  <c r="J4087" i="2"/>
  <c r="J4086" i="2"/>
  <c r="J4085" i="2"/>
  <c r="J4084" i="2"/>
  <c r="J4083" i="2"/>
  <c r="J4082" i="2"/>
  <c r="J4081" i="2"/>
  <c r="J4080" i="2"/>
  <c r="J4079" i="2"/>
  <c r="J4078" i="2"/>
  <c r="J4077" i="2"/>
  <c r="J4076" i="2"/>
  <c r="J4075" i="2"/>
  <c r="J4074" i="2"/>
  <c r="J4073" i="2"/>
  <c r="J4072" i="2"/>
  <c r="J4071" i="2"/>
  <c r="J4070" i="2"/>
  <c r="J4069" i="2"/>
  <c r="J4068" i="2"/>
  <c r="J4067" i="2"/>
  <c r="J4066" i="2"/>
  <c r="J4065" i="2"/>
  <c r="J4064" i="2"/>
  <c r="J4063" i="2"/>
  <c r="J4062" i="2"/>
  <c r="J4061" i="2"/>
  <c r="J4060" i="2"/>
  <c r="J4059" i="2"/>
  <c r="J4058" i="2"/>
  <c r="J4057" i="2"/>
  <c r="J4056" i="2"/>
  <c r="J4055" i="2"/>
  <c r="J4054" i="2"/>
  <c r="J4053" i="2"/>
  <c r="J4052" i="2"/>
  <c r="J4051" i="2"/>
  <c r="J4050" i="2"/>
  <c r="J4049" i="2"/>
  <c r="J4048" i="2"/>
  <c r="J4047" i="2"/>
  <c r="J4046" i="2"/>
  <c r="J4045" i="2"/>
  <c r="J4044" i="2"/>
  <c r="J4043" i="2"/>
  <c r="J4042" i="2"/>
  <c r="J4041" i="2"/>
  <c r="J4040" i="2"/>
  <c r="J4039" i="2"/>
  <c r="J4038" i="2"/>
  <c r="J4037" i="2"/>
  <c r="J4036" i="2"/>
  <c r="J4035" i="2"/>
  <c r="J4034" i="2"/>
  <c r="J4033" i="2"/>
  <c r="J4032" i="2"/>
  <c r="J4031" i="2"/>
  <c r="J4030" i="2"/>
  <c r="J4029" i="2"/>
  <c r="J4028" i="2"/>
  <c r="J4027" i="2"/>
  <c r="J4026" i="2"/>
  <c r="J4025" i="2"/>
  <c r="J4024" i="2"/>
  <c r="J4023" i="2"/>
  <c r="J4022" i="2"/>
  <c r="J4021" i="2"/>
  <c r="J4020" i="2"/>
  <c r="J4019" i="2"/>
  <c r="J4018" i="2"/>
  <c r="J4017" i="2"/>
  <c r="J4016" i="2"/>
  <c r="J4015" i="2"/>
  <c r="J4014" i="2"/>
  <c r="J4013" i="2"/>
  <c r="J4012" i="2"/>
  <c r="J4011" i="2"/>
  <c r="J4010" i="2"/>
  <c r="J4009" i="2"/>
  <c r="J4008" i="2"/>
  <c r="J4007" i="2"/>
  <c r="J4006" i="2"/>
  <c r="J4005" i="2"/>
  <c r="J4004" i="2"/>
  <c r="J4003" i="2"/>
  <c r="J4002" i="2"/>
  <c r="J4001" i="2"/>
  <c r="J4000" i="2"/>
  <c r="J3999" i="2"/>
  <c r="J3998" i="2"/>
  <c r="J3997" i="2"/>
  <c r="J3996" i="2"/>
  <c r="J3995" i="2"/>
  <c r="J3994" i="2"/>
  <c r="J3993" i="2"/>
  <c r="J3992" i="2"/>
  <c r="J3991" i="2"/>
  <c r="J3990" i="2"/>
  <c r="J3989" i="2"/>
  <c r="J3988" i="2"/>
  <c r="J3987" i="2"/>
  <c r="J3986" i="2"/>
  <c r="J3985" i="2"/>
  <c r="J3984" i="2"/>
  <c r="J3983" i="2"/>
  <c r="J3982" i="2"/>
  <c r="J3981" i="2"/>
  <c r="J3980" i="2"/>
  <c r="J3979" i="2"/>
  <c r="J3978" i="2"/>
  <c r="J3977" i="2"/>
  <c r="J3976" i="2"/>
  <c r="J3975" i="2"/>
  <c r="J3974" i="2"/>
  <c r="J3973" i="2"/>
  <c r="J3972" i="2"/>
  <c r="J3971" i="2"/>
  <c r="J3970" i="2"/>
  <c r="J3969" i="2"/>
  <c r="J3968" i="2"/>
  <c r="J3967" i="2"/>
  <c r="J3966" i="2"/>
  <c r="J3965" i="2"/>
  <c r="J3964" i="2"/>
  <c r="J3963" i="2"/>
  <c r="J3962" i="2"/>
  <c r="J3961" i="2"/>
  <c r="J3960" i="2"/>
  <c r="J3959" i="2"/>
  <c r="J3958" i="2"/>
  <c r="J3957" i="2"/>
  <c r="J3956" i="2"/>
  <c r="J3955" i="2"/>
  <c r="J3954" i="2"/>
  <c r="J3953" i="2"/>
  <c r="J3952" i="2"/>
  <c r="J3951" i="2"/>
  <c r="J3950" i="2"/>
  <c r="J3949" i="2"/>
  <c r="J3948" i="2"/>
  <c r="J3947" i="2"/>
  <c r="J3946" i="2"/>
  <c r="J3945" i="2"/>
  <c r="J3944" i="2"/>
  <c r="J3943" i="2"/>
  <c r="J3942" i="2"/>
  <c r="J3941" i="2"/>
  <c r="J3940" i="2"/>
  <c r="J3939" i="2"/>
  <c r="J3938" i="2"/>
  <c r="J3937" i="2"/>
  <c r="J3936" i="2"/>
  <c r="J3935" i="2"/>
  <c r="J3934" i="2"/>
  <c r="J3933" i="2"/>
  <c r="J3932" i="2"/>
  <c r="J3931" i="2"/>
  <c r="J3930" i="2"/>
  <c r="J3929" i="2"/>
  <c r="J3928" i="2"/>
  <c r="J3927" i="2"/>
  <c r="J3926" i="2"/>
  <c r="J3925" i="2"/>
  <c r="J3924" i="2"/>
  <c r="J3923" i="2"/>
  <c r="J3922" i="2"/>
  <c r="J3921" i="2"/>
  <c r="J3920" i="2"/>
  <c r="J3919" i="2"/>
  <c r="J3918" i="2"/>
  <c r="J3917" i="2"/>
  <c r="J3916" i="2"/>
  <c r="J3915" i="2"/>
  <c r="J3914" i="2"/>
  <c r="J3913" i="2"/>
  <c r="J3912" i="2"/>
  <c r="J3911" i="2"/>
  <c r="J3910" i="2"/>
  <c r="J3909" i="2"/>
  <c r="J3908" i="2"/>
  <c r="J3907" i="2"/>
  <c r="J3906" i="2"/>
  <c r="J3905" i="2"/>
  <c r="J3904" i="2"/>
  <c r="J3903" i="2"/>
  <c r="J3902" i="2"/>
  <c r="J3901" i="2"/>
  <c r="J3900" i="2"/>
  <c r="J3899" i="2"/>
  <c r="J3898" i="2"/>
  <c r="J3897" i="2"/>
  <c r="J3896" i="2"/>
  <c r="J3895" i="2"/>
  <c r="J3894" i="2"/>
  <c r="J3893" i="2"/>
  <c r="J3892" i="2"/>
  <c r="J3891" i="2"/>
  <c r="J3890" i="2"/>
  <c r="J3889" i="2"/>
  <c r="J3888" i="2"/>
  <c r="J3887" i="2"/>
  <c r="J3886" i="2"/>
  <c r="J3885" i="2"/>
  <c r="J3884" i="2"/>
  <c r="J3883" i="2"/>
  <c r="J3882" i="2"/>
  <c r="J3881" i="2"/>
  <c r="J3880" i="2"/>
  <c r="J3879" i="2"/>
  <c r="J3878" i="2"/>
  <c r="J3877" i="2"/>
  <c r="J3876" i="2"/>
  <c r="J3875" i="2"/>
  <c r="J3874" i="2"/>
  <c r="J3873" i="2"/>
  <c r="J3872" i="2"/>
  <c r="J3871" i="2"/>
  <c r="J3870" i="2"/>
  <c r="J3869" i="2"/>
  <c r="J3868" i="2"/>
  <c r="J3867" i="2"/>
  <c r="J3866" i="2"/>
  <c r="J3865" i="2"/>
  <c r="J3864" i="2"/>
  <c r="J3863" i="2"/>
  <c r="J3862" i="2"/>
  <c r="J3861" i="2"/>
  <c r="J3860" i="2"/>
  <c r="J3859" i="2"/>
  <c r="J3858" i="2"/>
  <c r="J3857" i="2"/>
  <c r="J3856" i="2"/>
  <c r="J3855" i="2"/>
  <c r="J3854" i="2"/>
  <c r="J3853" i="2"/>
  <c r="J3852" i="2"/>
  <c r="J3851" i="2"/>
  <c r="J3850" i="2"/>
  <c r="J3849" i="2"/>
  <c r="J3848" i="2"/>
  <c r="J3847" i="2"/>
  <c r="J3846" i="2"/>
  <c r="J3845" i="2"/>
  <c r="J3844" i="2"/>
  <c r="J3843" i="2"/>
  <c r="J3842" i="2"/>
  <c r="J3841" i="2"/>
  <c r="J3840" i="2"/>
  <c r="J3839" i="2"/>
  <c r="J3838" i="2"/>
  <c r="J3837" i="2"/>
  <c r="J3836" i="2"/>
  <c r="J3835" i="2"/>
  <c r="J3834" i="2"/>
  <c r="J3833" i="2"/>
  <c r="J3832" i="2"/>
  <c r="J3831" i="2"/>
  <c r="J3830" i="2"/>
  <c r="J3829" i="2"/>
  <c r="J3828" i="2"/>
  <c r="J3827" i="2"/>
  <c r="J3826" i="2"/>
  <c r="J3825" i="2"/>
  <c r="J3824" i="2"/>
  <c r="J3823" i="2"/>
  <c r="J3822" i="2"/>
  <c r="J3821" i="2"/>
  <c r="J3820" i="2"/>
  <c r="J3819" i="2"/>
  <c r="J3818" i="2"/>
  <c r="J3817" i="2"/>
  <c r="J3816" i="2"/>
  <c r="J3815" i="2"/>
  <c r="J3814" i="2"/>
  <c r="J3813" i="2"/>
  <c r="J3812" i="2"/>
  <c r="J3811" i="2"/>
  <c r="J3810" i="2"/>
  <c r="J3809" i="2"/>
  <c r="J3808" i="2"/>
  <c r="J3807" i="2"/>
  <c r="J3806" i="2"/>
  <c r="J3805" i="2"/>
  <c r="J3804" i="2"/>
  <c r="J3803" i="2"/>
  <c r="J3802" i="2"/>
  <c r="J3801" i="2"/>
  <c r="J3800" i="2"/>
  <c r="J3799" i="2"/>
  <c r="J3798" i="2"/>
  <c r="J3797" i="2"/>
  <c r="J3796" i="2"/>
  <c r="J3795" i="2"/>
  <c r="J3794" i="2"/>
  <c r="J3793" i="2"/>
  <c r="J3792" i="2"/>
  <c r="J3791" i="2"/>
  <c r="J3790" i="2"/>
  <c r="J3789" i="2"/>
  <c r="J3788" i="2"/>
  <c r="J3787" i="2"/>
  <c r="J3786" i="2"/>
  <c r="J3785" i="2"/>
  <c r="J3784" i="2"/>
  <c r="J3783" i="2"/>
  <c r="J3782" i="2"/>
  <c r="J3781" i="2"/>
  <c r="J3780" i="2"/>
  <c r="J3779" i="2"/>
  <c r="J3778" i="2"/>
  <c r="J3777" i="2"/>
  <c r="J3776" i="2"/>
  <c r="J3775" i="2"/>
  <c r="J3774" i="2"/>
  <c r="J3773" i="2"/>
  <c r="J3772" i="2"/>
  <c r="J3771" i="2"/>
  <c r="J3770" i="2"/>
  <c r="J3769" i="2"/>
  <c r="J3768" i="2"/>
  <c r="J3767" i="2"/>
  <c r="J3766" i="2"/>
  <c r="J3765" i="2"/>
  <c r="J3764" i="2"/>
  <c r="J3763" i="2"/>
  <c r="J3762" i="2"/>
  <c r="J3761" i="2"/>
  <c r="J3760" i="2"/>
  <c r="J3759" i="2"/>
  <c r="J3758" i="2"/>
  <c r="J3757" i="2"/>
  <c r="J3756" i="2"/>
  <c r="J3755" i="2"/>
  <c r="J3754" i="2"/>
  <c r="J3753" i="2"/>
  <c r="J3752" i="2"/>
  <c r="J3751" i="2"/>
  <c r="J3750" i="2"/>
  <c r="J3749" i="2"/>
  <c r="J3748" i="2"/>
  <c r="J3747" i="2"/>
  <c r="J3746" i="2"/>
  <c r="J3745" i="2"/>
  <c r="J3744" i="2"/>
  <c r="J3743" i="2"/>
  <c r="J3742" i="2"/>
  <c r="J3741" i="2"/>
  <c r="J3740" i="2"/>
  <c r="J3739" i="2"/>
  <c r="J3738" i="2"/>
  <c r="J3737" i="2"/>
  <c r="J3736" i="2"/>
  <c r="J3735" i="2"/>
  <c r="J3734" i="2"/>
  <c r="J3733" i="2"/>
  <c r="J3732" i="2"/>
  <c r="J3731" i="2"/>
  <c r="J3730" i="2"/>
  <c r="J3729" i="2"/>
  <c r="J3728" i="2"/>
  <c r="J3727" i="2"/>
  <c r="J3726" i="2"/>
  <c r="J3725" i="2"/>
  <c r="J3724" i="2"/>
  <c r="J3723" i="2"/>
  <c r="J3722" i="2"/>
  <c r="J3721" i="2"/>
  <c r="J3720" i="2"/>
  <c r="J3719" i="2"/>
  <c r="J3718" i="2"/>
  <c r="J3717" i="2"/>
  <c r="J3716" i="2"/>
  <c r="J3715" i="2"/>
  <c r="J3714" i="2"/>
  <c r="J3713" i="2"/>
  <c r="J3712" i="2"/>
  <c r="J3711" i="2"/>
  <c r="J3710" i="2"/>
  <c r="J3709" i="2"/>
  <c r="J3708" i="2"/>
  <c r="J3707" i="2"/>
  <c r="J3706" i="2"/>
  <c r="J3705" i="2"/>
  <c r="J3704" i="2"/>
  <c r="J3703" i="2"/>
  <c r="J3702" i="2"/>
  <c r="J3701" i="2"/>
  <c r="J3700" i="2"/>
  <c r="J3699" i="2"/>
  <c r="J3698" i="2"/>
  <c r="J3697" i="2"/>
  <c r="J3696" i="2"/>
  <c r="J3695" i="2"/>
  <c r="J3694" i="2"/>
  <c r="J3693" i="2"/>
  <c r="J3692" i="2"/>
  <c r="J3691" i="2"/>
  <c r="J3690" i="2"/>
  <c r="J3689" i="2"/>
  <c r="J3688" i="2"/>
  <c r="J3687" i="2"/>
  <c r="J3686" i="2"/>
  <c r="J3685" i="2"/>
  <c r="J3684" i="2"/>
  <c r="J3683" i="2"/>
  <c r="J3682" i="2"/>
  <c r="J3681" i="2"/>
  <c r="J3680" i="2"/>
  <c r="J3679" i="2"/>
  <c r="J3678" i="2"/>
  <c r="J3677" i="2"/>
  <c r="J3676" i="2"/>
  <c r="J3675" i="2"/>
  <c r="J3674" i="2"/>
  <c r="J3673" i="2"/>
  <c r="J3672" i="2"/>
  <c r="J3671" i="2"/>
  <c r="J3670" i="2"/>
  <c r="J3669" i="2"/>
  <c r="J3668" i="2"/>
  <c r="J3667" i="2"/>
  <c r="J3666" i="2"/>
  <c r="J3665" i="2"/>
  <c r="J3664" i="2"/>
  <c r="J3663" i="2"/>
  <c r="J3662" i="2"/>
  <c r="J3661" i="2"/>
  <c r="J3660" i="2"/>
  <c r="J3659" i="2"/>
  <c r="J3658" i="2"/>
  <c r="J3657" i="2"/>
  <c r="J3656" i="2"/>
  <c r="J3655" i="2"/>
  <c r="J3654" i="2"/>
  <c r="J3653" i="2"/>
  <c r="J3652" i="2"/>
  <c r="J3651" i="2"/>
  <c r="J3650" i="2"/>
  <c r="J3649" i="2"/>
  <c r="J3648" i="2"/>
  <c r="J3647" i="2"/>
  <c r="J3646" i="2"/>
  <c r="J3645" i="2"/>
  <c r="J3644" i="2"/>
  <c r="J3643" i="2"/>
  <c r="J3642" i="2"/>
  <c r="J3641" i="2"/>
  <c r="J3640" i="2"/>
  <c r="J3639" i="2"/>
  <c r="J3638" i="2"/>
  <c r="J3637" i="2"/>
  <c r="J3636" i="2"/>
  <c r="J3635" i="2"/>
  <c r="J3634" i="2"/>
  <c r="J3633" i="2"/>
  <c r="J3632" i="2"/>
  <c r="J3631" i="2"/>
  <c r="J3630" i="2"/>
  <c r="J3629" i="2"/>
  <c r="J3628" i="2"/>
  <c r="J3627" i="2"/>
  <c r="J3626" i="2"/>
  <c r="J3625" i="2"/>
  <c r="J3624" i="2"/>
  <c r="J3623" i="2"/>
  <c r="J3622" i="2"/>
  <c r="J3621" i="2"/>
  <c r="J3620" i="2"/>
  <c r="J3619" i="2"/>
  <c r="J3618" i="2"/>
  <c r="J3617" i="2"/>
  <c r="J3616" i="2"/>
  <c r="J3615" i="2"/>
  <c r="J3614" i="2"/>
  <c r="J3613" i="2"/>
  <c r="J3612" i="2"/>
  <c r="J3611" i="2"/>
  <c r="J3610" i="2"/>
  <c r="J3609" i="2"/>
  <c r="J3608" i="2"/>
  <c r="J3607" i="2"/>
  <c r="J3606" i="2"/>
  <c r="J3605" i="2"/>
  <c r="J3604" i="2"/>
  <c r="J3603" i="2"/>
  <c r="J3602" i="2"/>
  <c r="J3601" i="2"/>
  <c r="J3600" i="2"/>
  <c r="J3599" i="2"/>
  <c r="J3598" i="2"/>
  <c r="J3597" i="2"/>
  <c r="J3596" i="2"/>
  <c r="J3595" i="2"/>
  <c r="J3594" i="2"/>
  <c r="J3593" i="2"/>
  <c r="J3592" i="2"/>
  <c r="J3591" i="2"/>
  <c r="J3590" i="2"/>
  <c r="J3589" i="2"/>
  <c r="J3588" i="2"/>
  <c r="J3587" i="2"/>
  <c r="J3586" i="2"/>
  <c r="J3585" i="2"/>
  <c r="J3584" i="2"/>
  <c r="J3583" i="2"/>
  <c r="J3582" i="2"/>
  <c r="J3581" i="2"/>
  <c r="J3580" i="2"/>
  <c r="J3579" i="2"/>
  <c r="J3578" i="2"/>
  <c r="J3577" i="2"/>
  <c r="J3576" i="2"/>
  <c r="J3575" i="2"/>
  <c r="J3574" i="2"/>
  <c r="J3573" i="2"/>
  <c r="J3572" i="2"/>
  <c r="J3571" i="2"/>
  <c r="J3570" i="2"/>
  <c r="J3569" i="2"/>
  <c r="J3568" i="2"/>
  <c r="J3567" i="2"/>
  <c r="J3566" i="2"/>
  <c r="J3565" i="2"/>
  <c r="J3564" i="2"/>
  <c r="J3563" i="2"/>
  <c r="J3562" i="2"/>
  <c r="J3561" i="2"/>
  <c r="J3560" i="2"/>
  <c r="J3559" i="2"/>
  <c r="J3558" i="2"/>
  <c r="J3557" i="2"/>
  <c r="J3556" i="2"/>
  <c r="J3555" i="2"/>
  <c r="J3554" i="2"/>
  <c r="J3553" i="2"/>
  <c r="J3552" i="2"/>
  <c r="J3551" i="2"/>
  <c r="J3550" i="2"/>
  <c r="J3549" i="2"/>
  <c r="J3548" i="2"/>
  <c r="J3547" i="2"/>
  <c r="J3546" i="2"/>
  <c r="J3545" i="2"/>
  <c r="J3544" i="2"/>
  <c r="J3543" i="2"/>
  <c r="J3542" i="2"/>
  <c r="J3541" i="2"/>
  <c r="J3540" i="2"/>
  <c r="J3539" i="2"/>
  <c r="J3538" i="2"/>
  <c r="J3537" i="2"/>
  <c r="J3536" i="2"/>
  <c r="J3535" i="2"/>
  <c r="J3534" i="2"/>
  <c r="J3533" i="2"/>
  <c r="J3532" i="2"/>
  <c r="J3531" i="2"/>
  <c r="J3530" i="2"/>
  <c r="J3529" i="2"/>
  <c r="J3528" i="2"/>
  <c r="J3527" i="2"/>
  <c r="J3526" i="2"/>
  <c r="J3525" i="2"/>
  <c r="J3524" i="2"/>
  <c r="J3523" i="2"/>
  <c r="J3522" i="2"/>
  <c r="J3521" i="2"/>
  <c r="J3520" i="2"/>
  <c r="J3519" i="2"/>
  <c r="J3518" i="2"/>
  <c r="J3517" i="2"/>
  <c r="J3516" i="2"/>
  <c r="J3515" i="2"/>
  <c r="J3514" i="2"/>
  <c r="J3513" i="2"/>
  <c r="J3512" i="2"/>
  <c r="J3511" i="2"/>
  <c r="J3510" i="2"/>
  <c r="J3509" i="2"/>
  <c r="J3508" i="2"/>
  <c r="J3507" i="2"/>
  <c r="J3506" i="2"/>
  <c r="J3505" i="2"/>
  <c r="J3504" i="2"/>
  <c r="J3503" i="2"/>
  <c r="J3502" i="2"/>
  <c r="J3501" i="2"/>
  <c r="J3500" i="2"/>
  <c r="J3499" i="2"/>
  <c r="J3498" i="2"/>
  <c r="J3497" i="2"/>
  <c r="J3496" i="2"/>
  <c r="J3495" i="2"/>
  <c r="J3494" i="2"/>
  <c r="J3493" i="2"/>
  <c r="J3492" i="2"/>
  <c r="J3491" i="2"/>
  <c r="J3490" i="2"/>
  <c r="J3489" i="2"/>
  <c r="J3488" i="2"/>
  <c r="J3487" i="2"/>
  <c r="J3486" i="2"/>
  <c r="J3485" i="2"/>
  <c r="J3484" i="2"/>
  <c r="J3483" i="2"/>
  <c r="J3482" i="2"/>
  <c r="J3481" i="2"/>
  <c r="J3480" i="2"/>
  <c r="J3479" i="2"/>
  <c r="J3478" i="2"/>
  <c r="J3477" i="2"/>
  <c r="J3476" i="2"/>
  <c r="J3475" i="2"/>
  <c r="J3474" i="2"/>
  <c r="J3473" i="2"/>
  <c r="J3472" i="2"/>
  <c r="J3471" i="2"/>
  <c r="J3470" i="2"/>
  <c r="J3469" i="2"/>
  <c r="J3468" i="2"/>
  <c r="J3467" i="2"/>
  <c r="J3466" i="2"/>
  <c r="J3465" i="2"/>
  <c r="J3464" i="2"/>
  <c r="J3463" i="2"/>
  <c r="J3462" i="2"/>
  <c r="J3461" i="2"/>
  <c r="J3460" i="2"/>
  <c r="J3459" i="2"/>
  <c r="J3458" i="2"/>
  <c r="J3457" i="2"/>
  <c r="J3456" i="2"/>
  <c r="J3455" i="2"/>
  <c r="J3454" i="2"/>
  <c r="J3453" i="2"/>
  <c r="J3452" i="2"/>
  <c r="J3451" i="2"/>
  <c r="J3450" i="2"/>
  <c r="J3449" i="2"/>
  <c r="J3448" i="2"/>
  <c r="J3447" i="2"/>
  <c r="J3446" i="2"/>
  <c r="J3445" i="2"/>
  <c r="J3444" i="2"/>
  <c r="J3443" i="2"/>
  <c r="J3442" i="2"/>
  <c r="J3441" i="2"/>
  <c r="J3440" i="2"/>
  <c r="J3439" i="2"/>
  <c r="J3438" i="2"/>
  <c r="J3437" i="2"/>
  <c r="J3436" i="2"/>
  <c r="J3435" i="2"/>
  <c r="J3434" i="2"/>
  <c r="J3433" i="2"/>
  <c r="J3432" i="2"/>
  <c r="J3431" i="2"/>
  <c r="J3430" i="2"/>
  <c r="J3429" i="2"/>
  <c r="J3428" i="2"/>
  <c r="J3427" i="2"/>
  <c r="J3426" i="2"/>
  <c r="J3425" i="2"/>
  <c r="J3424" i="2"/>
  <c r="J3423" i="2"/>
  <c r="J3422" i="2"/>
  <c r="J3421" i="2"/>
  <c r="J3420" i="2"/>
  <c r="J3419" i="2"/>
  <c r="J3418" i="2"/>
  <c r="J3417" i="2"/>
  <c r="J3416" i="2"/>
  <c r="J3415" i="2"/>
  <c r="J3414" i="2"/>
  <c r="J3413" i="2"/>
  <c r="J3412" i="2"/>
  <c r="J3411" i="2"/>
  <c r="J3410" i="2"/>
  <c r="J3409" i="2"/>
  <c r="J3408" i="2"/>
  <c r="J3407" i="2"/>
  <c r="J3406" i="2"/>
  <c r="J3405" i="2"/>
  <c r="J3404" i="2"/>
  <c r="J3403" i="2"/>
  <c r="J3402" i="2"/>
  <c r="J3401" i="2"/>
  <c r="J3400" i="2"/>
  <c r="J3399" i="2"/>
  <c r="J3398" i="2"/>
  <c r="J3397" i="2"/>
  <c r="J3396" i="2"/>
  <c r="J3395" i="2"/>
  <c r="J3394" i="2"/>
  <c r="J3393" i="2"/>
  <c r="J3392" i="2"/>
  <c r="J3391" i="2"/>
  <c r="J3390" i="2"/>
  <c r="J3389" i="2"/>
  <c r="J3388" i="2"/>
  <c r="J3387" i="2"/>
  <c r="J3386" i="2"/>
  <c r="J3385" i="2"/>
  <c r="J3384" i="2"/>
  <c r="J3383" i="2"/>
  <c r="J3382" i="2"/>
  <c r="J3381" i="2"/>
  <c r="J3380" i="2"/>
  <c r="J3379" i="2"/>
  <c r="J3378" i="2"/>
  <c r="J3377" i="2"/>
  <c r="J3376" i="2"/>
  <c r="J3375" i="2"/>
  <c r="J3374" i="2"/>
  <c r="J3373" i="2"/>
  <c r="J3372" i="2"/>
  <c r="J3371" i="2"/>
  <c r="J3370" i="2"/>
  <c r="J3369" i="2"/>
  <c r="J3368" i="2"/>
  <c r="J3367" i="2"/>
  <c r="J3366" i="2"/>
  <c r="J3365" i="2"/>
  <c r="J3364" i="2"/>
  <c r="J3363" i="2"/>
  <c r="J3362" i="2"/>
  <c r="J3361" i="2"/>
  <c r="J3360" i="2"/>
  <c r="J3359" i="2"/>
  <c r="J3358" i="2"/>
  <c r="J3357" i="2"/>
  <c r="J3356" i="2"/>
  <c r="J3355" i="2"/>
  <c r="J3354" i="2"/>
  <c r="J3353" i="2"/>
  <c r="J3352" i="2"/>
  <c r="J3351" i="2"/>
  <c r="J3350" i="2"/>
  <c r="J3349" i="2"/>
  <c r="J3348" i="2"/>
  <c r="J3347" i="2"/>
  <c r="J3346" i="2"/>
  <c r="J3345" i="2"/>
  <c r="J3344" i="2"/>
  <c r="J3343" i="2"/>
  <c r="J3342" i="2"/>
  <c r="J3341" i="2"/>
  <c r="J3340" i="2"/>
  <c r="J3339" i="2"/>
  <c r="J3338" i="2"/>
  <c r="J3337" i="2"/>
  <c r="J3336" i="2"/>
  <c r="J3335" i="2"/>
  <c r="J3334" i="2"/>
  <c r="J3333" i="2"/>
  <c r="J3332" i="2"/>
  <c r="J3331" i="2"/>
  <c r="J3330" i="2"/>
  <c r="J3329" i="2"/>
  <c r="J3328" i="2"/>
  <c r="J3327" i="2"/>
  <c r="J3326" i="2"/>
  <c r="J3325" i="2"/>
  <c r="J3324" i="2"/>
  <c r="J3323" i="2"/>
  <c r="J3322" i="2"/>
  <c r="J3321" i="2"/>
  <c r="J3320" i="2"/>
  <c r="J3319" i="2"/>
  <c r="J3318" i="2"/>
  <c r="J3317" i="2"/>
  <c r="J3316" i="2"/>
  <c r="J3315" i="2"/>
  <c r="J3314" i="2"/>
  <c r="J3313" i="2"/>
  <c r="J3312" i="2"/>
  <c r="J3311" i="2"/>
  <c r="J3310" i="2"/>
  <c r="J3309" i="2"/>
  <c r="J3308" i="2"/>
  <c r="J3307" i="2"/>
  <c r="J3306" i="2"/>
  <c r="J3305" i="2"/>
  <c r="J3304" i="2"/>
  <c r="J3303" i="2"/>
  <c r="J3302" i="2"/>
  <c r="J3301" i="2"/>
  <c r="J3300" i="2"/>
  <c r="J3299" i="2"/>
  <c r="J3298" i="2"/>
  <c r="J3297" i="2"/>
  <c r="J3296" i="2"/>
  <c r="J3295" i="2"/>
  <c r="J3294" i="2"/>
  <c r="J3293" i="2"/>
  <c r="J3292" i="2"/>
  <c r="J3291" i="2"/>
  <c r="J3290" i="2"/>
  <c r="J3289" i="2"/>
  <c r="J3288" i="2"/>
  <c r="J3287" i="2"/>
  <c r="J3286" i="2"/>
  <c r="J3285" i="2"/>
  <c r="J3284" i="2"/>
  <c r="J3283" i="2"/>
  <c r="J3282" i="2"/>
  <c r="J3281" i="2"/>
  <c r="J3280" i="2"/>
  <c r="J3279" i="2"/>
  <c r="J3278" i="2"/>
  <c r="J3277" i="2"/>
  <c r="J3276" i="2"/>
  <c r="J3275" i="2"/>
  <c r="J3274" i="2"/>
  <c r="J3273" i="2"/>
  <c r="J3272" i="2"/>
  <c r="J3271" i="2"/>
  <c r="J3270" i="2"/>
  <c r="J3269" i="2"/>
  <c r="J3268" i="2"/>
  <c r="J3267" i="2"/>
  <c r="J3266" i="2"/>
  <c r="J3265" i="2"/>
  <c r="J3264" i="2"/>
  <c r="J3263" i="2"/>
  <c r="J3262" i="2"/>
  <c r="J3261" i="2"/>
  <c r="J3260" i="2"/>
  <c r="J3259" i="2"/>
  <c r="J3258" i="2"/>
  <c r="J3257" i="2"/>
  <c r="J3256" i="2"/>
  <c r="J3255" i="2"/>
  <c r="J3254" i="2"/>
  <c r="J3253" i="2"/>
  <c r="J3252" i="2"/>
  <c r="J3251" i="2"/>
  <c r="J3250" i="2"/>
  <c r="J3249" i="2"/>
  <c r="J3248" i="2"/>
  <c r="J3247" i="2"/>
  <c r="J3246" i="2"/>
  <c r="J3245" i="2"/>
  <c r="J3244" i="2"/>
  <c r="J3243" i="2"/>
  <c r="J3242" i="2"/>
  <c r="J3241" i="2"/>
  <c r="J3240" i="2"/>
  <c r="J3239" i="2"/>
  <c r="J3238" i="2"/>
  <c r="J3237" i="2"/>
  <c r="J3236" i="2"/>
  <c r="J3235" i="2"/>
  <c r="J3234" i="2"/>
  <c r="J3233" i="2"/>
  <c r="J3232" i="2"/>
  <c r="J3231" i="2"/>
  <c r="J3230" i="2"/>
  <c r="J3229" i="2"/>
  <c r="J3228" i="2"/>
  <c r="J3227" i="2"/>
  <c r="J3226" i="2"/>
  <c r="J3225" i="2"/>
  <c r="J3224" i="2"/>
  <c r="J3223" i="2"/>
  <c r="J3222" i="2"/>
  <c r="J3221" i="2"/>
  <c r="J3220" i="2"/>
  <c r="J3219" i="2"/>
  <c r="J3218" i="2"/>
  <c r="J3217" i="2"/>
  <c r="J3216" i="2"/>
  <c r="J3215" i="2"/>
  <c r="J3214" i="2"/>
  <c r="J3213" i="2"/>
  <c r="J3212" i="2"/>
  <c r="J3211" i="2"/>
  <c r="J3210" i="2"/>
  <c r="J3209" i="2"/>
  <c r="J3208" i="2"/>
  <c r="J3207" i="2"/>
  <c r="J3206" i="2"/>
  <c r="J3205" i="2"/>
  <c r="J3204" i="2"/>
  <c r="J3203" i="2"/>
  <c r="J3202" i="2"/>
  <c r="J3201" i="2"/>
  <c r="J3200" i="2"/>
  <c r="J3199" i="2"/>
  <c r="J3198" i="2"/>
  <c r="J3197" i="2"/>
  <c r="J3196" i="2"/>
  <c r="J3195" i="2"/>
  <c r="J3194" i="2"/>
  <c r="J3193" i="2"/>
  <c r="J3192" i="2"/>
  <c r="J3191" i="2"/>
  <c r="J3190" i="2"/>
  <c r="J3189" i="2"/>
  <c r="J3188" i="2"/>
  <c r="J3187" i="2"/>
  <c r="J3186" i="2"/>
  <c r="J3185" i="2"/>
  <c r="J3184" i="2"/>
  <c r="J3183" i="2"/>
  <c r="J3182" i="2"/>
  <c r="J3181" i="2"/>
  <c r="J3180" i="2"/>
  <c r="J3179" i="2"/>
  <c r="J3178" i="2"/>
  <c r="J3177" i="2"/>
  <c r="J3176" i="2"/>
  <c r="J3175" i="2"/>
  <c r="J3174" i="2"/>
  <c r="J3173" i="2"/>
  <c r="J3172" i="2"/>
  <c r="J3171" i="2"/>
  <c r="J3170" i="2"/>
  <c r="J3169" i="2"/>
  <c r="J3168" i="2"/>
  <c r="J3167" i="2"/>
  <c r="J3166" i="2"/>
  <c r="J3165" i="2"/>
  <c r="J3164" i="2"/>
  <c r="J3163" i="2"/>
  <c r="J3162" i="2"/>
  <c r="J3161" i="2"/>
  <c r="J3160" i="2"/>
  <c r="J3159" i="2"/>
  <c r="J3158" i="2"/>
  <c r="J3157" i="2"/>
  <c r="J3156" i="2"/>
  <c r="J3155" i="2"/>
  <c r="J3154" i="2"/>
  <c r="J3153" i="2"/>
  <c r="J3152" i="2"/>
  <c r="J3151" i="2"/>
  <c r="J3150" i="2"/>
  <c r="J3149" i="2"/>
  <c r="J3148" i="2"/>
  <c r="J3147" i="2"/>
  <c r="J3146" i="2"/>
  <c r="J3145" i="2"/>
  <c r="J3144" i="2"/>
  <c r="J3143" i="2"/>
  <c r="J3142" i="2"/>
  <c r="J3141" i="2"/>
  <c r="J3140" i="2"/>
  <c r="J3139" i="2"/>
  <c r="J3138" i="2"/>
  <c r="J3137" i="2"/>
  <c r="J3136" i="2"/>
  <c r="J3135" i="2"/>
  <c r="J3134" i="2"/>
  <c r="J3133" i="2"/>
  <c r="J3132" i="2"/>
  <c r="J3131" i="2"/>
  <c r="J3130" i="2"/>
  <c r="J3129" i="2"/>
  <c r="J3128" i="2"/>
  <c r="J3127" i="2"/>
  <c r="J3126" i="2"/>
  <c r="J3125" i="2"/>
  <c r="J3124" i="2"/>
  <c r="J3123" i="2"/>
  <c r="J3122" i="2"/>
  <c r="J3121" i="2"/>
  <c r="J3120" i="2"/>
  <c r="J3119" i="2"/>
  <c r="J3118" i="2"/>
  <c r="J3117" i="2"/>
  <c r="J3116" i="2"/>
  <c r="J3115" i="2"/>
  <c r="J3114" i="2"/>
  <c r="J3113" i="2"/>
  <c r="J3112" i="2"/>
  <c r="J3111" i="2"/>
  <c r="J3110" i="2"/>
  <c r="J3109" i="2"/>
  <c r="J3108" i="2"/>
  <c r="J3107" i="2"/>
  <c r="J3106" i="2"/>
  <c r="J3105" i="2"/>
  <c r="J3104" i="2"/>
  <c r="J3103" i="2"/>
  <c r="J3102" i="2"/>
  <c r="J3101" i="2"/>
  <c r="J3100" i="2"/>
  <c r="J3099" i="2"/>
  <c r="J3098" i="2"/>
  <c r="J3097" i="2"/>
  <c r="J3096" i="2"/>
  <c r="J3095" i="2"/>
  <c r="J3094" i="2"/>
  <c r="J3093" i="2"/>
  <c r="J3092" i="2"/>
  <c r="J3091" i="2"/>
  <c r="J3090" i="2"/>
  <c r="J3089" i="2"/>
  <c r="J3088" i="2"/>
  <c r="J3087" i="2"/>
  <c r="J3086" i="2"/>
  <c r="J3085" i="2"/>
  <c r="J3084" i="2"/>
  <c r="J3083" i="2"/>
  <c r="J3082" i="2"/>
  <c r="J3081" i="2"/>
  <c r="J3080" i="2"/>
  <c r="J3079" i="2"/>
  <c r="J3078" i="2"/>
  <c r="J3077" i="2"/>
  <c r="J3076" i="2"/>
  <c r="J3075" i="2"/>
  <c r="J3074" i="2"/>
  <c r="J3073" i="2"/>
  <c r="J3072" i="2"/>
  <c r="J3071" i="2"/>
  <c r="J3070" i="2"/>
  <c r="J3069" i="2"/>
  <c r="J3068" i="2"/>
  <c r="J3067" i="2"/>
  <c r="J3066" i="2"/>
  <c r="J3065" i="2"/>
  <c r="J3064" i="2"/>
  <c r="J3063" i="2"/>
  <c r="J3062" i="2"/>
  <c r="J3061" i="2"/>
  <c r="J3060" i="2"/>
  <c r="J3059" i="2"/>
  <c r="J3058" i="2"/>
  <c r="J3057" i="2"/>
  <c r="J3056" i="2"/>
  <c r="J3055" i="2"/>
  <c r="J3054" i="2"/>
  <c r="J3053" i="2"/>
  <c r="J3052" i="2"/>
  <c r="J3051" i="2"/>
  <c r="J3050" i="2"/>
  <c r="J3049" i="2"/>
  <c r="J3048" i="2"/>
  <c r="J3047" i="2"/>
  <c r="J3046" i="2"/>
  <c r="J3045" i="2"/>
  <c r="J3044" i="2"/>
  <c r="J3043" i="2"/>
  <c r="J3042" i="2"/>
  <c r="J3041" i="2"/>
  <c r="J3040" i="2"/>
  <c r="J3039" i="2"/>
  <c r="J3038" i="2"/>
  <c r="J3037" i="2"/>
  <c r="J3036" i="2"/>
  <c r="J3035" i="2"/>
  <c r="J3034" i="2"/>
  <c r="J3033" i="2"/>
  <c r="J3032" i="2"/>
  <c r="J3031" i="2"/>
  <c r="J3030" i="2"/>
  <c r="J3029" i="2"/>
  <c r="J3028" i="2"/>
  <c r="J3027" i="2"/>
  <c r="J3026" i="2"/>
  <c r="J3025" i="2"/>
  <c r="J3024" i="2"/>
  <c r="J3023" i="2"/>
  <c r="J3022" i="2"/>
  <c r="J3021" i="2"/>
  <c r="J3020" i="2"/>
  <c r="J3019" i="2"/>
  <c r="J3018" i="2"/>
  <c r="J3017" i="2"/>
  <c r="J3016" i="2"/>
  <c r="J3015" i="2"/>
  <c r="J3014" i="2"/>
  <c r="J3013" i="2"/>
  <c r="J3012" i="2"/>
  <c r="J3011" i="2"/>
  <c r="J3010" i="2"/>
  <c r="J3009" i="2"/>
  <c r="J3008" i="2"/>
  <c r="J3007" i="2"/>
  <c r="J3006" i="2"/>
  <c r="J3005" i="2"/>
  <c r="J3004" i="2"/>
  <c r="J3003" i="2"/>
  <c r="J3002" i="2"/>
  <c r="J3001" i="2"/>
  <c r="J3000" i="2"/>
  <c r="J2999" i="2"/>
  <c r="J2998" i="2"/>
  <c r="J2997" i="2"/>
  <c r="J2996" i="2"/>
  <c r="J2995" i="2"/>
  <c r="J2994" i="2"/>
  <c r="J2993" i="2"/>
  <c r="J2992" i="2"/>
  <c r="J2991" i="2"/>
  <c r="J2990" i="2"/>
  <c r="J2989" i="2"/>
  <c r="J2988" i="2"/>
  <c r="J2987" i="2"/>
  <c r="J2986" i="2"/>
  <c r="J2985" i="2"/>
  <c r="J2984" i="2"/>
  <c r="J2983" i="2"/>
  <c r="J2982" i="2"/>
  <c r="J2981" i="2"/>
  <c r="J2980" i="2"/>
  <c r="J2979" i="2"/>
  <c r="J2978" i="2"/>
  <c r="J2977" i="2"/>
  <c r="J2976" i="2"/>
  <c r="J2975" i="2"/>
  <c r="J2974" i="2"/>
  <c r="J2973" i="2"/>
  <c r="J2972" i="2"/>
  <c r="J2971" i="2"/>
  <c r="J2970" i="2"/>
  <c r="J2969" i="2"/>
  <c r="J2968" i="2"/>
  <c r="J2967" i="2"/>
  <c r="J2966" i="2"/>
  <c r="J2965" i="2"/>
  <c r="J2964" i="2"/>
  <c r="J2963" i="2"/>
  <c r="J2962" i="2"/>
  <c r="J2961" i="2"/>
  <c r="J2960" i="2"/>
  <c r="J2959" i="2"/>
  <c r="J2958" i="2"/>
  <c r="J2957" i="2"/>
  <c r="J2956" i="2"/>
  <c r="J2955" i="2"/>
  <c r="J2954" i="2"/>
  <c r="J2953" i="2"/>
  <c r="J2952" i="2"/>
  <c r="J2951" i="2"/>
  <c r="J2950" i="2"/>
  <c r="J2949" i="2"/>
  <c r="J2948" i="2"/>
  <c r="J2947" i="2"/>
  <c r="J2946" i="2"/>
  <c r="J2945" i="2"/>
  <c r="J2944" i="2"/>
  <c r="J2943" i="2"/>
  <c r="J2942" i="2"/>
  <c r="J2941" i="2"/>
  <c r="J2940" i="2"/>
  <c r="J2939" i="2"/>
  <c r="J2938" i="2"/>
  <c r="J2937" i="2"/>
  <c r="J2936" i="2"/>
  <c r="J2935" i="2"/>
  <c r="J2934" i="2"/>
  <c r="J2933" i="2"/>
  <c r="J2932" i="2"/>
  <c r="J2931" i="2"/>
  <c r="J2930" i="2"/>
  <c r="J2929" i="2"/>
  <c r="J2928" i="2"/>
  <c r="J2927" i="2"/>
  <c r="J2926" i="2"/>
  <c r="J2925" i="2"/>
  <c r="J2924" i="2"/>
  <c r="J2923" i="2"/>
  <c r="J2922" i="2"/>
  <c r="J2921" i="2"/>
  <c r="J2920" i="2"/>
  <c r="J2919" i="2"/>
  <c r="J2918" i="2"/>
  <c r="J2917" i="2"/>
  <c r="J2916" i="2"/>
  <c r="J2915" i="2"/>
  <c r="J2914" i="2"/>
  <c r="J2913" i="2"/>
  <c r="J2912" i="2"/>
  <c r="J2911" i="2"/>
  <c r="J2910" i="2"/>
  <c r="J2909" i="2"/>
  <c r="J2908" i="2"/>
  <c r="J2907" i="2"/>
  <c r="J2906" i="2"/>
  <c r="J2905" i="2"/>
  <c r="J2904" i="2"/>
  <c r="J2903" i="2"/>
  <c r="J2902" i="2"/>
  <c r="J2901" i="2"/>
  <c r="J2900" i="2"/>
  <c r="J2899" i="2"/>
  <c r="J2898" i="2"/>
  <c r="J2897" i="2"/>
  <c r="J2896" i="2"/>
  <c r="J2895" i="2"/>
  <c r="J2894" i="2"/>
  <c r="J2893" i="2"/>
  <c r="J2892" i="2"/>
  <c r="J2891" i="2"/>
  <c r="J2890" i="2"/>
  <c r="J2889" i="2"/>
  <c r="J2888" i="2"/>
  <c r="J2887" i="2"/>
  <c r="J2886" i="2"/>
  <c r="J2885" i="2"/>
  <c r="J2884" i="2"/>
  <c r="J2883" i="2"/>
  <c r="J2882" i="2"/>
  <c r="J2881" i="2"/>
  <c r="J2880" i="2"/>
  <c r="J2879" i="2"/>
  <c r="J2878" i="2"/>
  <c r="J2877" i="2"/>
  <c r="J2876" i="2"/>
  <c r="J2875" i="2"/>
  <c r="J2874" i="2"/>
  <c r="J2873" i="2"/>
  <c r="J2872" i="2"/>
  <c r="J2871" i="2"/>
  <c r="J2870" i="2"/>
  <c r="J2869" i="2"/>
  <c r="J2868" i="2"/>
  <c r="J2867" i="2"/>
  <c r="J2866" i="2"/>
  <c r="J2865" i="2"/>
  <c r="J2864" i="2"/>
  <c r="J2863" i="2"/>
  <c r="J2862" i="2"/>
  <c r="J2861" i="2"/>
  <c r="J2860" i="2"/>
  <c r="J2859" i="2"/>
  <c r="J2858" i="2"/>
  <c r="J2857" i="2"/>
  <c r="J2856" i="2"/>
  <c r="J2855" i="2"/>
  <c r="J2854" i="2"/>
  <c r="J2853" i="2"/>
  <c r="J2852" i="2"/>
  <c r="J2851" i="2"/>
  <c r="J2850" i="2"/>
  <c r="J2849" i="2"/>
  <c r="J2848" i="2"/>
  <c r="J2847" i="2"/>
  <c r="J2846" i="2"/>
  <c r="J2845" i="2"/>
  <c r="J2844" i="2"/>
  <c r="J2843" i="2"/>
  <c r="J2842" i="2"/>
  <c r="J2841" i="2"/>
  <c r="J2840" i="2"/>
  <c r="J2839" i="2"/>
  <c r="J2838" i="2"/>
  <c r="J2837" i="2"/>
  <c r="J2836" i="2"/>
  <c r="J2835" i="2"/>
  <c r="J2834" i="2"/>
  <c r="J2833" i="2"/>
  <c r="J2832" i="2"/>
  <c r="J2831" i="2"/>
  <c r="J2830" i="2"/>
  <c r="J2829" i="2"/>
  <c r="J2828" i="2"/>
  <c r="J2827" i="2"/>
  <c r="J2826" i="2"/>
  <c r="J2825" i="2"/>
  <c r="J2824" i="2"/>
  <c r="J2823" i="2"/>
  <c r="J2822" i="2"/>
  <c r="J2821" i="2"/>
  <c r="J2820" i="2"/>
  <c r="J2819" i="2"/>
  <c r="J2818" i="2"/>
  <c r="J2817" i="2"/>
  <c r="J2816" i="2"/>
  <c r="J2815" i="2"/>
  <c r="J2814" i="2"/>
  <c r="J2813" i="2"/>
  <c r="J2812" i="2"/>
  <c r="J2811" i="2"/>
  <c r="J2810" i="2"/>
  <c r="J2809" i="2"/>
  <c r="J2808" i="2"/>
  <c r="J2807" i="2"/>
  <c r="J2806" i="2"/>
  <c r="J2805" i="2"/>
  <c r="J2804" i="2"/>
  <c r="J2803" i="2"/>
  <c r="J2802" i="2"/>
  <c r="J2801" i="2"/>
  <c r="J2800" i="2"/>
  <c r="J2799" i="2"/>
  <c r="J2798" i="2"/>
  <c r="J2797" i="2"/>
  <c r="J2796" i="2"/>
  <c r="J2795" i="2"/>
  <c r="J2794" i="2"/>
  <c r="J2793" i="2"/>
  <c r="J2792" i="2"/>
  <c r="J2791" i="2"/>
  <c r="J2790" i="2"/>
  <c r="J2789" i="2"/>
  <c r="J2788" i="2"/>
  <c r="J2787" i="2"/>
  <c r="J2786" i="2"/>
  <c r="J2785" i="2"/>
  <c r="J2784" i="2"/>
  <c r="J2783" i="2"/>
  <c r="J2782" i="2"/>
  <c r="J2781" i="2"/>
  <c r="J2780" i="2"/>
  <c r="J2779" i="2"/>
  <c r="J2778" i="2"/>
  <c r="J2777" i="2"/>
  <c r="J2776" i="2"/>
  <c r="J2775" i="2"/>
  <c r="J2774" i="2"/>
  <c r="J2773" i="2"/>
  <c r="J2772" i="2"/>
  <c r="J2771" i="2"/>
  <c r="J2770" i="2"/>
  <c r="J2769" i="2"/>
  <c r="J2768" i="2"/>
  <c r="J2767" i="2"/>
  <c r="J2766" i="2"/>
  <c r="J2765" i="2"/>
  <c r="J2764" i="2"/>
  <c r="J2763" i="2"/>
  <c r="J2762" i="2"/>
  <c r="J2761" i="2"/>
  <c r="J2760" i="2"/>
  <c r="J2759" i="2"/>
  <c r="J2758" i="2"/>
  <c r="J2757" i="2"/>
  <c r="J2756" i="2"/>
  <c r="J2755" i="2"/>
  <c r="J2754" i="2"/>
  <c r="J2753" i="2"/>
  <c r="J2752" i="2"/>
  <c r="J2751" i="2"/>
  <c r="J2750" i="2"/>
  <c r="J2749" i="2"/>
  <c r="J2748" i="2"/>
  <c r="J2747" i="2"/>
  <c r="J2746" i="2"/>
  <c r="J2745" i="2"/>
  <c r="J2744" i="2"/>
  <c r="J2743" i="2"/>
  <c r="J2742" i="2"/>
  <c r="J2741" i="2"/>
  <c r="J2740" i="2"/>
  <c r="J2739" i="2"/>
  <c r="J2738" i="2"/>
  <c r="J2737" i="2"/>
  <c r="J2736" i="2"/>
  <c r="J2735" i="2"/>
  <c r="J2734" i="2"/>
  <c r="J2733" i="2"/>
  <c r="J2732" i="2"/>
  <c r="J2731" i="2"/>
  <c r="J2730" i="2"/>
  <c r="J2729" i="2"/>
  <c r="J2728" i="2"/>
  <c r="J2727" i="2"/>
  <c r="J2726" i="2"/>
  <c r="J2725" i="2"/>
  <c r="J2724" i="2"/>
  <c r="J2723" i="2"/>
  <c r="J2722" i="2"/>
  <c r="J2721" i="2"/>
  <c r="J2720" i="2"/>
  <c r="J2719" i="2"/>
  <c r="J2718" i="2"/>
  <c r="J2717" i="2"/>
  <c r="J2716" i="2"/>
  <c r="J2715" i="2"/>
  <c r="J2714" i="2"/>
  <c r="J2713" i="2"/>
  <c r="J2712" i="2"/>
  <c r="J2711" i="2"/>
  <c r="J2710" i="2"/>
  <c r="J2709" i="2"/>
  <c r="J2708" i="2"/>
  <c r="J2707" i="2"/>
  <c r="J2706" i="2"/>
  <c r="J2705" i="2"/>
  <c r="J2704" i="2"/>
  <c r="J2703" i="2"/>
  <c r="J2702" i="2"/>
  <c r="J2701" i="2"/>
  <c r="J2700" i="2"/>
  <c r="J2699" i="2"/>
  <c r="J2698" i="2"/>
  <c r="J2697" i="2"/>
  <c r="J2696" i="2"/>
  <c r="J2695" i="2"/>
  <c r="J2694" i="2"/>
  <c r="J2693" i="2"/>
  <c r="J2692" i="2"/>
  <c r="J2691" i="2"/>
  <c r="J2690" i="2"/>
  <c r="J2689" i="2"/>
  <c r="J2688" i="2"/>
  <c r="J2687" i="2"/>
  <c r="J2686" i="2"/>
  <c r="J2685" i="2"/>
  <c r="J2684" i="2"/>
  <c r="J2683" i="2"/>
  <c r="J2682" i="2"/>
  <c r="J2681" i="2"/>
  <c r="J2680" i="2"/>
  <c r="J2679" i="2"/>
  <c r="J2678" i="2"/>
  <c r="J2677" i="2"/>
  <c r="J2676" i="2"/>
  <c r="J2675" i="2"/>
  <c r="J2674" i="2"/>
  <c r="J2673" i="2"/>
  <c r="J2672" i="2"/>
  <c r="J2671" i="2"/>
  <c r="J2670" i="2"/>
  <c r="J2669" i="2"/>
  <c r="J2668" i="2"/>
  <c r="J2667" i="2"/>
  <c r="J2666" i="2"/>
  <c r="J2665" i="2"/>
  <c r="J2664" i="2"/>
  <c r="J2663" i="2"/>
  <c r="J2662" i="2"/>
  <c r="J2661" i="2"/>
  <c r="J2660" i="2"/>
  <c r="J2659" i="2"/>
  <c r="J2658" i="2"/>
  <c r="J2657" i="2"/>
  <c r="J2656" i="2"/>
  <c r="J2655" i="2"/>
  <c r="J2654" i="2"/>
  <c r="J2653" i="2"/>
  <c r="J2652" i="2"/>
  <c r="J2651" i="2"/>
  <c r="J2650" i="2"/>
  <c r="J2649" i="2"/>
  <c r="J2648" i="2"/>
  <c r="J2647" i="2"/>
  <c r="J2646" i="2"/>
  <c r="J2645" i="2"/>
  <c r="J2644" i="2"/>
  <c r="J2643" i="2"/>
  <c r="J2642" i="2"/>
  <c r="J2641" i="2"/>
  <c r="J2640" i="2"/>
  <c r="J2639" i="2"/>
  <c r="J2638" i="2"/>
  <c r="J2637" i="2"/>
  <c r="J2636" i="2"/>
  <c r="J2635" i="2"/>
  <c r="J2634" i="2"/>
  <c r="J2633" i="2"/>
  <c r="J2632" i="2"/>
  <c r="J2631" i="2"/>
  <c r="J2630" i="2"/>
  <c r="J2629" i="2"/>
  <c r="J2628" i="2"/>
  <c r="J2627" i="2"/>
  <c r="J2626" i="2"/>
  <c r="J2625" i="2"/>
  <c r="J2624" i="2"/>
  <c r="J2623" i="2"/>
  <c r="J2622" i="2"/>
  <c r="J2621" i="2"/>
  <c r="J2620" i="2"/>
  <c r="J2619" i="2"/>
  <c r="J2618" i="2"/>
  <c r="J2617" i="2"/>
  <c r="J2616" i="2"/>
  <c r="J2615" i="2"/>
  <c r="J2614" i="2"/>
  <c r="J2613" i="2"/>
  <c r="J2612" i="2"/>
  <c r="J2611" i="2"/>
  <c r="J2610" i="2"/>
  <c r="J2609" i="2"/>
  <c r="J2608" i="2"/>
  <c r="J2607" i="2"/>
  <c r="J2606" i="2"/>
  <c r="J2605" i="2"/>
  <c r="J2604" i="2"/>
  <c r="J2603" i="2"/>
  <c r="J2602" i="2"/>
  <c r="J2601" i="2"/>
  <c r="J2600" i="2"/>
  <c r="J2599" i="2"/>
  <c r="J2598" i="2"/>
  <c r="J2597" i="2"/>
  <c r="J2596" i="2"/>
  <c r="J2595" i="2"/>
  <c r="J2594" i="2"/>
  <c r="J2593" i="2"/>
  <c r="J2592" i="2"/>
  <c r="J2591" i="2"/>
  <c r="J2590" i="2"/>
  <c r="J2589" i="2"/>
  <c r="J2588" i="2"/>
  <c r="J2587" i="2"/>
  <c r="J2586" i="2"/>
  <c r="J2585" i="2"/>
  <c r="J2584" i="2"/>
  <c r="J2583" i="2"/>
  <c r="J2582" i="2"/>
  <c r="J2581" i="2"/>
  <c r="J2580" i="2"/>
  <c r="J2579" i="2"/>
  <c r="J2578" i="2"/>
  <c r="J2577" i="2"/>
  <c r="J2576" i="2"/>
  <c r="J2575" i="2"/>
  <c r="J2574" i="2"/>
  <c r="J2573" i="2"/>
  <c r="J2572" i="2"/>
  <c r="J2571" i="2"/>
  <c r="J2570" i="2"/>
  <c r="J2569" i="2"/>
  <c r="J2568" i="2"/>
  <c r="J2567" i="2"/>
  <c r="J2566" i="2"/>
  <c r="J2565" i="2"/>
  <c r="J2564" i="2"/>
  <c r="J2563" i="2"/>
  <c r="J2562" i="2"/>
  <c r="J2561" i="2"/>
  <c r="J2560" i="2"/>
  <c r="J2559" i="2"/>
  <c r="J2558" i="2"/>
  <c r="J2557" i="2"/>
  <c r="J2556" i="2"/>
  <c r="J2555" i="2"/>
  <c r="J2554" i="2"/>
  <c r="J2553" i="2"/>
  <c r="J2552" i="2"/>
  <c r="J2551" i="2"/>
  <c r="J2550" i="2"/>
  <c r="J2549" i="2"/>
  <c r="J2548" i="2"/>
  <c r="J2547" i="2"/>
  <c r="J2546" i="2"/>
  <c r="J2545" i="2"/>
  <c r="J2544" i="2"/>
  <c r="J2543" i="2"/>
  <c r="J2542" i="2"/>
  <c r="J2541" i="2"/>
  <c r="J2540" i="2"/>
  <c r="J2539" i="2"/>
  <c r="J2538" i="2"/>
  <c r="J2537" i="2"/>
  <c r="J2536" i="2"/>
  <c r="J2535" i="2"/>
  <c r="J2534" i="2"/>
  <c r="J2533" i="2"/>
  <c r="J2532" i="2"/>
  <c r="J2531" i="2"/>
  <c r="J2530" i="2"/>
  <c r="J2529" i="2"/>
  <c r="J2528" i="2"/>
  <c r="J2527" i="2"/>
  <c r="J2526" i="2"/>
  <c r="J2525" i="2"/>
  <c r="J2524" i="2"/>
  <c r="J2523" i="2"/>
  <c r="J2522" i="2"/>
  <c r="J2521" i="2"/>
  <c r="J2520" i="2"/>
  <c r="J2519" i="2"/>
  <c r="J2518" i="2"/>
  <c r="J2517" i="2"/>
  <c r="J2516" i="2"/>
  <c r="J2515" i="2"/>
  <c r="J2514" i="2"/>
  <c r="J2513" i="2"/>
  <c r="J2512" i="2"/>
  <c r="J2511" i="2"/>
  <c r="J2510" i="2"/>
  <c r="J2509" i="2"/>
  <c r="J2508" i="2"/>
  <c r="J2507" i="2"/>
  <c r="J2506" i="2"/>
  <c r="J2505" i="2"/>
  <c r="J2504" i="2"/>
  <c r="J2503" i="2"/>
  <c r="J2502" i="2"/>
  <c r="J2501" i="2"/>
  <c r="J2500" i="2"/>
  <c r="J2499" i="2"/>
  <c r="J2498" i="2"/>
  <c r="J2497" i="2"/>
  <c r="J2496" i="2"/>
  <c r="J2495" i="2"/>
  <c r="J2494" i="2"/>
  <c r="J2493" i="2"/>
  <c r="J2492" i="2"/>
  <c r="J2491" i="2"/>
  <c r="J2490" i="2"/>
  <c r="J2489" i="2"/>
  <c r="J2488" i="2"/>
  <c r="J2487" i="2"/>
  <c r="J2486" i="2"/>
  <c r="J2485" i="2"/>
  <c r="J2484" i="2"/>
  <c r="J2483" i="2"/>
  <c r="J2482" i="2"/>
  <c r="J2481" i="2"/>
  <c r="J2480" i="2"/>
  <c r="J2479" i="2"/>
  <c r="J2478" i="2"/>
  <c r="J2477" i="2"/>
  <c r="J2476" i="2"/>
  <c r="J2475" i="2"/>
  <c r="J2474" i="2"/>
  <c r="J2473" i="2"/>
  <c r="J2472" i="2"/>
  <c r="J2471" i="2"/>
  <c r="J2470" i="2"/>
  <c r="J2469" i="2"/>
  <c r="J2468" i="2"/>
  <c r="J2467" i="2"/>
  <c r="J2466" i="2"/>
  <c r="J2465" i="2"/>
  <c r="J2464" i="2"/>
  <c r="J2463" i="2"/>
  <c r="J2462" i="2"/>
  <c r="J2461" i="2"/>
  <c r="J2460" i="2"/>
  <c r="J2459" i="2"/>
  <c r="J2458" i="2"/>
  <c r="J2457" i="2"/>
  <c r="J2456" i="2"/>
  <c r="J2455" i="2"/>
  <c r="J2454" i="2"/>
  <c r="J2453" i="2"/>
  <c r="J2452" i="2"/>
  <c r="J2451" i="2"/>
  <c r="J2450" i="2"/>
  <c r="J2449" i="2"/>
  <c r="J2448" i="2"/>
  <c r="J2447" i="2"/>
  <c r="J2446" i="2"/>
  <c r="J2445" i="2"/>
  <c r="J2444" i="2"/>
  <c r="J2443" i="2"/>
  <c r="J2442" i="2"/>
  <c r="J2441" i="2"/>
  <c r="J2440" i="2"/>
  <c r="J2439" i="2"/>
  <c r="J2438" i="2"/>
  <c r="J2437" i="2"/>
  <c r="J2436" i="2"/>
  <c r="J2435" i="2"/>
  <c r="J2434" i="2"/>
  <c r="J2433" i="2"/>
  <c r="J2432" i="2"/>
  <c r="J2431" i="2"/>
  <c r="J2430" i="2"/>
  <c r="J2429" i="2"/>
  <c r="J2428" i="2"/>
  <c r="J2427" i="2"/>
  <c r="J2426" i="2"/>
  <c r="J2425" i="2"/>
  <c r="J2424" i="2"/>
  <c r="J2423" i="2"/>
  <c r="J2422" i="2"/>
  <c r="J2421" i="2"/>
  <c r="J2420" i="2"/>
  <c r="J2419" i="2"/>
  <c r="J2418" i="2"/>
  <c r="J2417" i="2"/>
  <c r="J2416" i="2"/>
  <c r="J2415" i="2"/>
  <c r="J2414" i="2"/>
  <c r="J2413" i="2"/>
  <c r="J2412" i="2"/>
  <c r="J2411" i="2"/>
  <c r="J2410" i="2"/>
  <c r="J2409" i="2"/>
  <c r="J2408" i="2"/>
  <c r="J2407" i="2"/>
  <c r="J2406" i="2"/>
  <c r="J2405" i="2"/>
  <c r="J2404" i="2"/>
  <c r="J2403" i="2"/>
  <c r="J2402" i="2"/>
  <c r="J2401" i="2"/>
  <c r="J2400" i="2"/>
  <c r="J2399" i="2"/>
  <c r="J2398" i="2"/>
  <c r="J2397" i="2"/>
  <c r="J2396" i="2"/>
  <c r="J2395" i="2"/>
  <c r="J2394" i="2"/>
  <c r="J2393" i="2"/>
  <c r="J2392" i="2"/>
  <c r="J2391" i="2"/>
  <c r="J2390" i="2"/>
  <c r="J2389" i="2"/>
  <c r="J2388" i="2"/>
  <c r="J2387" i="2"/>
  <c r="J2386" i="2"/>
  <c r="J2385" i="2"/>
  <c r="J2384" i="2"/>
  <c r="J2383" i="2"/>
  <c r="J2382" i="2"/>
  <c r="J2381" i="2"/>
  <c r="J2380" i="2"/>
  <c r="J2379" i="2"/>
  <c r="J2378" i="2"/>
  <c r="J2377" i="2"/>
  <c r="J2376" i="2"/>
  <c r="J2375" i="2"/>
  <c r="J2374" i="2"/>
  <c r="J2373" i="2"/>
  <c r="J2372" i="2"/>
  <c r="J2371" i="2"/>
  <c r="J2370" i="2"/>
  <c r="J2369" i="2"/>
  <c r="J2368" i="2"/>
  <c r="J2367" i="2"/>
  <c r="J2366" i="2"/>
  <c r="J2365" i="2"/>
  <c r="J2364" i="2"/>
  <c r="J2363" i="2"/>
  <c r="J2362" i="2"/>
  <c r="J2361" i="2"/>
  <c r="J2360" i="2"/>
  <c r="J2359" i="2"/>
  <c r="J2358" i="2"/>
  <c r="J2357" i="2"/>
  <c r="J2356" i="2"/>
  <c r="J2355" i="2"/>
  <c r="J2354" i="2"/>
  <c r="J2353" i="2"/>
  <c r="J2352" i="2"/>
  <c r="J2351" i="2"/>
  <c r="J2350" i="2"/>
  <c r="J2349" i="2"/>
  <c r="J2348" i="2"/>
  <c r="J2347" i="2"/>
  <c r="J2346" i="2"/>
  <c r="J2345" i="2"/>
  <c r="J2344" i="2"/>
  <c r="J2343" i="2"/>
  <c r="J2342" i="2"/>
  <c r="J2341" i="2"/>
  <c r="J2340" i="2"/>
  <c r="J2339" i="2"/>
  <c r="J2338" i="2"/>
  <c r="J2337" i="2"/>
  <c r="J2336" i="2"/>
  <c r="J2335" i="2"/>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sharedStrings.xml><?xml version="1.0" encoding="utf-8"?>
<sst xmlns="http://schemas.openxmlformats.org/spreadsheetml/2006/main" count="44624" uniqueCount="4400">
  <si>
    <t>diretoria</t>
  </si>
  <si>
    <t>orcamento_planejado</t>
  </si>
  <si>
    <t>orcamento_aprovado</t>
  </si>
  <si>
    <t>orc_aprovado_aquisicao</t>
  </si>
  <si>
    <t>orc_aprovado_servico</t>
  </si>
  <si>
    <t>ordens_de_servico</t>
  </si>
  <si>
    <t>nota_fiscal_aquisicao</t>
  </si>
  <si>
    <t>nota_fiscal_servico</t>
  </si>
  <si>
    <t>DIRETORIA</t>
  </si>
  <si>
    <t>GERENCIA</t>
  </si>
  <si>
    <t>TIPO</t>
  </si>
  <si>
    <t xml:space="preserve"> DESCRIÇÃO</t>
  </si>
  <si>
    <t>DESCRIÇÃO(tipo)</t>
  </si>
  <si>
    <t>CUSTEIO/INVESTIMENTO</t>
  </si>
  <si>
    <t>UNIDADE</t>
  </si>
  <si>
    <t>VALOR UNIT</t>
  </si>
  <si>
    <t>VALOR TOTAL</t>
  </si>
  <si>
    <t>DO</t>
  </si>
  <si>
    <t>OCNB</t>
  </si>
  <si>
    <t>Aquisição</t>
  </si>
  <si>
    <t>Tubo pvc junta soldavel diametro 50mm</t>
  </si>
  <si>
    <t>Materiais Hidraulicos</t>
  </si>
  <si>
    <t>Materais de Custeio</t>
  </si>
  <si>
    <t>UND</t>
  </si>
  <si>
    <t>OCSZ</t>
  </si>
  <si>
    <t>OCSC</t>
  </si>
  <si>
    <t>OCSI</t>
  </si>
  <si>
    <t>OCSU</t>
  </si>
  <si>
    <t>OCST</t>
  </si>
  <si>
    <t>Tubo pvc CL 12 JEi PBA diametro DN 75 x 6m</t>
  </si>
  <si>
    <t>Materiais Elétricos</t>
  </si>
  <si>
    <t>OCNP</t>
  </si>
  <si>
    <t>Cap pvc soldavel DE 20 mm</t>
  </si>
  <si>
    <t>Cap pvc soldavel DE 25 mm</t>
  </si>
  <si>
    <t>OCNE</t>
  </si>
  <si>
    <t>Joelho 45aÃ‚Â° soldavel DE 25 mm</t>
  </si>
  <si>
    <t>Luva de Correr 60mm</t>
  </si>
  <si>
    <t>LUVA DE CORRER PARA TUBO SOLDAVEL DE 20 MM</t>
  </si>
  <si>
    <t>MATERIAIS HIDRAULICOS</t>
  </si>
  <si>
    <t>MATERAIS DE CUSTEIO</t>
  </si>
  <si>
    <t>Luva de correr para tubo soldavel DE 20 mm</t>
  </si>
  <si>
    <t>OCSD</t>
  </si>
  <si>
    <t>LUVA DE CORRER PARA TUBO SOLDAVEL DE 25 MM</t>
  </si>
  <si>
    <t>Luva de correr para tubo soldavel DE 25 mm</t>
  </si>
  <si>
    <t>Te soldavel DE 20 mm</t>
  </si>
  <si>
    <t>Te soldavel DE 25 mm</t>
  </si>
  <si>
    <t>Adaptador c/ flange p/caixa agua DE x DNR 32 x 1</t>
  </si>
  <si>
    <t>Adaptador c/ flange p/caixa agua DE x DNR 60 x 2</t>
  </si>
  <si>
    <t>Joelho 90aÃ‚Â° pvc roscavel JR DNR 3/4</t>
  </si>
  <si>
    <t>Cap pvc roscavel JR DNR 1/2</t>
  </si>
  <si>
    <t>Luva de correr esgoto primario DN 75</t>
  </si>
  <si>
    <t>Tubo de ponta e bolsa JE em ferro fundido K-7 JGS DN 350 x 6m</t>
  </si>
  <si>
    <t>Sulfato de Aluminio</t>
  </si>
  <si>
    <t>PÇ</t>
  </si>
  <si>
    <t>Curva 90aÃ‚Â° junta elastica DN 150</t>
  </si>
  <si>
    <t>TONER P/IMPRESSORA HP REF-85 A</t>
  </si>
  <si>
    <t>MATERIAIS DE INFORMÁTICA</t>
  </si>
  <si>
    <t>Envelope pardo grande</t>
  </si>
  <si>
    <t>Materiais de Expediente e Desenho</t>
  </si>
  <si>
    <t>OCS</t>
  </si>
  <si>
    <t>Caneta esferografica preta</t>
  </si>
  <si>
    <t>Lapiseira grafite 0,9 mm</t>
  </si>
  <si>
    <t>Almofada</t>
  </si>
  <si>
    <t>Apontador</t>
  </si>
  <si>
    <t>Copo descartavel para cafe</t>
  </si>
  <si>
    <t>CX</t>
  </si>
  <si>
    <t>Grampeador de mesa met. p/ 30 folhas</t>
  </si>
  <si>
    <t>Grampo para grampeador 26/6 com 5000 UN</t>
  </si>
  <si>
    <t>Grampo para grampeador 23/13</t>
  </si>
  <si>
    <t>Livro para Ata</t>
  </si>
  <si>
    <t>Pasta AZ</t>
  </si>
  <si>
    <t>Materiais de Pinturas e Conservação</t>
  </si>
  <si>
    <t>OCN</t>
  </si>
  <si>
    <t>Perfurador</t>
  </si>
  <si>
    <t>Pincel atomico vermelho</t>
  </si>
  <si>
    <t>Pincel atomico azul</t>
  </si>
  <si>
    <t>Pincel atomico preto</t>
  </si>
  <si>
    <t>Regua</t>
  </si>
  <si>
    <t>Materiais de Oficina e Uso Geral</t>
  </si>
  <si>
    <t>Escarcela c/elastico 30 mm</t>
  </si>
  <si>
    <t>OCSL</t>
  </si>
  <si>
    <t>CABO DE COBRE ELET. SUBMERSIVEL TRIF.CHATO ISOLADO 2,5 MMAÃ‚Â²</t>
  </si>
  <si>
    <t>MATERIAIS ELÉTRICOS</t>
  </si>
  <si>
    <t>M</t>
  </si>
  <si>
    <t>Fuzivel Diazed 2A/500V</t>
  </si>
  <si>
    <t>Fuzivel Diazed 6A/500V</t>
  </si>
  <si>
    <t>Fuzivel Diazed 16A/500V</t>
  </si>
  <si>
    <t>Fuzivel Diazed 20A/500V</t>
  </si>
  <si>
    <t>Fuzivel Diazed 25A/500V</t>
  </si>
  <si>
    <t>Fuzivel NH00 50A/500V</t>
  </si>
  <si>
    <t>Armario</t>
  </si>
  <si>
    <t>Caixa de med. em alta tensao padrao CEMAR</t>
  </si>
  <si>
    <t>OCNI</t>
  </si>
  <si>
    <t>COLA BRANCA</t>
  </si>
  <si>
    <t>Elastico em latex tipo liga</t>
  </si>
  <si>
    <t>CAIXA ARQUIVO</t>
  </si>
  <si>
    <t>MATERIAIS DE EXPEDIENTE E DESENHO</t>
  </si>
  <si>
    <t>Caixa arquivo</t>
  </si>
  <si>
    <t>CAL</t>
  </si>
  <si>
    <t>CAL HIDRATADA</t>
  </si>
  <si>
    <t>KG</t>
  </si>
  <si>
    <t>Cal</t>
  </si>
  <si>
    <t>Cal Hidratada</t>
  </si>
  <si>
    <t>T</t>
  </si>
  <si>
    <t>REGISTRO DE GAVETA EM BRONZE 3"</t>
  </si>
  <si>
    <t>Registro de gaveta em bronze 3"</t>
  </si>
  <si>
    <t>Valvula de retencao horizontal de 3" em bronze</t>
  </si>
  <si>
    <t>Materiais de Manutenção de Hidrometro</t>
  </si>
  <si>
    <t>Cabo eletrico submersivel PP 3 x 10mm</t>
  </si>
  <si>
    <t>SULFATO DE ALUMINIO FERROSO LIQUIDO</t>
  </si>
  <si>
    <t>SULFATO DE ALUMINIO</t>
  </si>
  <si>
    <t>Sulfato de aluminio ferroso liquido</t>
  </si>
  <si>
    <t>HIPOCLORITO DE CALCIO GRANULADO</t>
  </si>
  <si>
    <t>HIPOCLORITO DE CALCIO</t>
  </si>
  <si>
    <t>Hipoclorito de Calcio Granulado</t>
  </si>
  <si>
    <t>Hipoclorito de Calcio</t>
  </si>
  <si>
    <t>Rele temporizador reg. 4 a 20 minutos - Tron</t>
  </si>
  <si>
    <t>Coliert substrato definido enzimatico ONPG-MUG para analise de coliformes totais e coli em agua</t>
  </si>
  <si>
    <t>Outros Materiais de Tratamento</t>
  </si>
  <si>
    <t>SULFATO DE ALUMINIO FERROSO GRANULADO</t>
  </si>
  <si>
    <t>Sulfato de aluminio ferroso granulado</t>
  </si>
  <si>
    <t>Luva de correr PVC DEFOFO DN - 250 mm c/ anel</t>
  </si>
  <si>
    <t>Easy clean em po</t>
  </si>
  <si>
    <t>Válvula de ret. horiz., tipo portinhola única, em F°F° nodular, DN 300 mm</t>
  </si>
  <si>
    <t>Rolamento SKF 6308 C3</t>
  </si>
  <si>
    <t>Aparelho ar condicionado tipo split 12 .000btu. midia 12cr</t>
  </si>
  <si>
    <t>Equipamentos Eletro-Mecanicos</t>
  </si>
  <si>
    <t>Materiais de Investimento</t>
  </si>
  <si>
    <t>Aparelho de ar condicionado tipo Split 30.000 Midia</t>
  </si>
  <si>
    <t>Tubo pvc defofo DN 250 mm</t>
  </si>
  <si>
    <t>Cadeado 60mm</t>
  </si>
  <si>
    <t>Materiais de Proteção e Segurança</t>
  </si>
  <si>
    <t>Disjuntor unip 20A</t>
  </si>
  <si>
    <t>Fita adesiva 3M 45 MM X 45 M</t>
  </si>
  <si>
    <t>Luminaria de emergencia</t>
  </si>
  <si>
    <t>Junta gibault ferro F°F° DN 300mm c/parafuso</t>
  </si>
  <si>
    <t>ALMOFADA CARIMBO AZUL EM PLASTICO Nº 4</t>
  </si>
  <si>
    <t>Almofada carimbo azul em plastico nº 4</t>
  </si>
  <si>
    <t>Apagador p/quadro branco</t>
  </si>
  <si>
    <t>BLOCO AUTO ADESIVO P/MARCACAO</t>
  </si>
  <si>
    <t>Capa A4 p/ encadernacao transparente</t>
  </si>
  <si>
    <t>Prancheta em acrilico Tam 23 X 33 CM</t>
  </si>
  <si>
    <t>Caneta marca texto amarela</t>
  </si>
  <si>
    <t>Tinta para carimbo</t>
  </si>
  <si>
    <t>VR</t>
  </si>
  <si>
    <t>Perfurador grande para 100 folhas</t>
  </si>
  <si>
    <t>COLA BRANCA EM BASTAO COM 10 GR</t>
  </si>
  <si>
    <t>MATERIAIS DE OFICINA E USO GERAL</t>
  </si>
  <si>
    <t>Capa A4 p/ encadernacao cores diversas</t>
  </si>
  <si>
    <t>Grampo para grampeador 26/6 com 1000 UN</t>
  </si>
  <si>
    <t>CLORO LIQUEFEITO</t>
  </si>
  <si>
    <t>Cloro Liquefeito</t>
  </si>
  <si>
    <t>HIPOCLORITO DE CALCIO TABLETE</t>
  </si>
  <si>
    <t>Hipoclorito de Calcio tablete</t>
  </si>
  <si>
    <t>Motobomba BHS516-07 esgios p/motor m6g 20HP 220/380V 60HZ trifasico C/2 cabos chato 3x4mmaÃ‚Â²x3.5M</t>
  </si>
  <si>
    <t>Luva FG DN 3"</t>
  </si>
  <si>
    <t>COLAR DE TOMADA 150MM FF X 1/2</t>
  </si>
  <si>
    <t>COLAR DE TOMADA FOFO DN 200MM X 1/2</t>
  </si>
  <si>
    <t>Registro em pvc BB PBA DN 75 cabecote 85</t>
  </si>
  <si>
    <t>Materiais para Obras</t>
  </si>
  <si>
    <t>Reducao PB DN 150X100 mm</t>
  </si>
  <si>
    <t>Reducao PB DN 200X100 mm</t>
  </si>
  <si>
    <t>acido Cloridrico</t>
  </si>
  <si>
    <t>Alcool Comum 96Gl 1000 ml</t>
  </si>
  <si>
    <t>Algodao Hidrofilo</t>
  </si>
  <si>
    <t>ESCOVA PARA LAVAGEM DE BALOES</t>
  </si>
  <si>
    <t>MATERIAIS DE LABORATÓRIO</t>
  </si>
  <si>
    <t>ESCOVA PARA LAVAGEM DE TUBO GRANDE</t>
  </si>
  <si>
    <t>MOUSE 1000dpi LASER USB WRD</t>
  </si>
  <si>
    <t>MONiTOR 21,5 POLEGADAS BR</t>
  </si>
  <si>
    <t>Materiais de Informática</t>
  </si>
  <si>
    <t>Conjunto moto bomba centrifuga, Q=7,4 - 4 maÃ‚Â³/h x P=9 - 19 mca</t>
  </si>
  <si>
    <t>Anel de borracha JE PBA DN 50/60mm</t>
  </si>
  <si>
    <t>ANEL DE BORRACHA JE PBA DN 75/85MM</t>
  </si>
  <si>
    <t>Anel de borracha JE PBA DN 75/85mm</t>
  </si>
  <si>
    <t>ANEL DE BORRACHA JE PBA DN 100/110MM</t>
  </si>
  <si>
    <t>ANEL DE BORRACHA JE DEFOFO DN 200MM</t>
  </si>
  <si>
    <t>Anel de borracha JE defofo DN 200mm</t>
  </si>
  <si>
    <t>LUVA DE CORRER PVC DEFOFO JEI DN - 150 MM</t>
  </si>
  <si>
    <t>Luva de correr PVC DEFOFO JEi DN - 150 mm</t>
  </si>
  <si>
    <t>Reducao pvc PBA PB 100/110 x 75/85mm</t>
  </si>
  <si>
    <t>Cap pvc PBA DN 50/60 mm PB JE</t>
  </si>
  <si>
    <t>Cap pvc PBA DN 75/85 mm PB JE</t>
  </si>
  <si>
    <t>Cabo flex 2,50 mm2</t>
  </si>
  <si>
    <t>Trena a laser glm 30</t>
  </si>
  <si>
    <t>Cruzeta PVC PBA DN 75/85mm x 50/60mm JE 4B</t>
  </si>
  <si>
    <t>Reagente DPD Cloro livre Sache 5 ML</t>
  </si>
  <si>
    <t>ADAPTADOR PVC PBA DN 110MM</t>
  </si>
  <si>
    <t>Adaptador PVC PBA DN 110mm</t>
  </si>
  <si>
    <t>Sabao Barra</t>
  </si>
  <si>
    <t>SABAO LIQUIDO</t>
  </si>
  <si>
    <t>MATERIAIS DE COPA,COZINHA E LIMPEZA</t>
  </si>
  <si>
    <t>COLAR DE TOMADA PVC DN 60 X 1/2"</t>
  </si>
  <si>
    <t>colar de tomada PVC DN 60 x 1/2"</t>
  </si>
  <si>
    <t>COLAR DE TOMADA PVC DN 85 X 1/2"</t>
  </si>
  <si>
    <t>colar de tomada PVC DN 85 x 1/2"</t>
  </si>
  <si>
    <t>COLAR DE TOMADA PVC DN 100 X 1/2</t>
  </si>
  <si>
    <t>colar de tomada PVC DN 100 x 1/2</t>
  </si>
  <si>
    <t>TUBO PVC SOLD DN 20 X 6,0MM</t>
  </si>
  <si>
    <t>Tubo pvc SOLD DN 20 x 6,0mm</t>
  </si>
  <si>
    <t>Luva PVC LR 25 x 3/4</t>
  </si>
  <si>
    <t>Joelho 90aÃ‚Â° PVC SOLD 25 mm</t>
  </si>
  <si>
    <t>Anel de borracha JE DEFOFO DN250mm</t>
  </si>
  <si>
    <t>ANEL DE BORRACHA JE DEFOFO DN300</t>
  </si>
  <si>
    <t>Anel de borracha JE DEFOFO DN300</t>
  </si>
  <si>
    <t>Papel A4 Branco Alcalino nao rec.Med. 297x210mm</t>
  </si>
  <si>
    <t>ADAPTADOR PVC SOLD DN 20 X 1/2"</t>
  </si>
  <si>
    <t>Adaptador PVC sold DN 20 X 1/2"</t>
  </si>
  <si>
    <t>COLAR DE TOMADA 50 X 1/2"</t>
  </si>
  <si>
    <t>TORNEIRA DE JARDIM PVC 3/4"</t>
  </si>
  <si>
    <t>Torneira de jardim PVC 3/4"</t>
  </si>
  <si>
    <t>Ar condicionado 18.000 BTUS</t>
  </si>
  <si>
    <t>Doacoes, Patrocinios e Premiações</t>
  </si>
  <si>
    <t>Cadeira de escritorio tipo diretor com assento de espuma injetada</t>
  </si>
  <si>
    <t>Equipamentos, Moveis e Utensilios</t>
  </si>
  <si>
    <t>CAP FOFO 150MM</t>
  </si>
  <si>
    <t>AVENTAL PVC</t>
  </si>
  <si>
    <t>MATERIAIS DE PROTEÇÃO E SEGURANÇA</t>
  </si>
  <si>
    <t>Avental Pvc</t>
  </si>
  <si>
    <t>Luva de Uniao 1231014,1</t>
  </si>
  <si>
    <t>Tubo aco galvan dn 2 x 6m</t>
  </si>
  <si>
    <t>Luva em aco galv. sem costura Din2440:DN 2.1/2" m/Tupy Exc.p/ME e EPP na lei Est.10.403/15</t>
  </si>
  <si>
    <t>Tubulações e Materais Complementares</t>
  </si>
  <si>
    <t>Valvula de retencao HORiZONTAL em bronze c/roscas 125:DN 4" X 7,6 Kg, m/dulong cota principal</t>
  </si>
  <si>
    <t>Tubo edutores de PVC geomecanico c/luva de bronze DN 2.1/2" X 4m,m/Lider Cota principal</t>
  </si>
  <si>
    <t>cabo de cobre isol.em PVC submer.chato 3X35mmaÃ‚Â²,1Kv,m/Sil,Exc.p/ME e EPP lei Est.10.403/15</t>
  </si>
  <si>
    <t>cabo de cobre isol.em PVC submer.chato 3X50mmaÃ‚Â²,1Kv,m/Sil,Exc.p/ME e EPP lei Est.10.403/15</t>
  </si>
  <si>
    <t>Grampeador Grande p/100 fls.</t>
  </si>
  <si>
    <t>Camisa de brim manga longa, tecido100%algodao, sarja 2 X 1,cor8048(pantone 17-1506) corpo da camisa</t>
  </si>
  <si>
    <t>Materiais de Fardamento</t>
  </si>
  <si>
    <t>Camisa de brim manga curta, tecido100%algodao, sarja 2 X 1,cor8048(pantone 17-1506) corpo da camisa</t>
  </si>
  <si>
    <t>Camisa gola polo, meia abert.c/dois botoes tam.18cm,manga CURTA, bainha c/ribana,em malha PV COR AZUL ROYAL</t>
  </si>
  <si>
    <t>Camisa gola polo,manga longa, bainha c/ribana, COR AZUL ROYAL,pont.PP,P,M,G,GG,quant.30,70,180,130,40</t>
  </si>
  <si>
    <t>Calca masculina mod. jeans tecido Denim Azul,faixa refletiva de sint.pont.36,38,40,42,44..quant.70,150,800,800,650,600..</t>
  </si>
  <si>
    <t>Calca feminina mod. jeans tecido Denim Azul,pont.36,38,40,42,44,46,48,50,52,quant.50,80,80,80,50,30,30,20,20</t>
  </si>
  <si>
    <t>Luva Glavanizada 2</t>
  </si>
  <si>
    <t>Abracadeira T 801 300 mm</t>
  </si>
  <si>
    <t>ACHOCOLATADO EM PO</t>
  </si>
  <si>
    <t>Achocolatado em Po</t>
  </si>
  <si>
    <t>Materiais de Copa,Cozinha e Limpeza</t>
  </si>
  <si>
    <t>Filme PVC</t>
  </si>
  <si>
    <t>LUVA 20MM SOLDAVEL</t>
  </si>
  <si>
    <t>Luva 20MM Soldavel</t>
  </si>
  <si>
    <t>LUVA DE UNIAO 20MM SOLDAVEL</t>
  </si>
  <si>
    <t>Luva de Uniao 20MM Soldavel</t>
  </si>
  <si>
    <t>Barra de Ferro</t>
  </si>
  <si>
    <t>Adaptador 25 MM</t>
  </si>
  <si>
    <t>BROCA DE ACO P/METAIS 10.0 MM</t>
  </si>
  <si>
    <t>Veda Rosca 12MMX05M</t>
  </si>
  <si>
    <t>Cabo P/Picareta</t>
  </si>
  <si>
    <t>Luva soldavel krona 60mm</t>
  </si>
  <si>
    <t>ACUCAR</t>
  </si>
  <si>
    <t>LANCHES E REFEIÇÕES</t>
  </si>
  <si>
    <t>Acucar</t>
  </si>
  <si>
    <t>Lanches e Refeições</t>
  </si>
  <si>
    <t>CINTO</t>
  </si>
  <si>
    <t>COLAR DE TOMADA 110 X 1/2</t>
  </si>
  <si>
    <t>COLAR DE TOMADA 110 x 1/2</t>
  </si>
  <si>
    <t>Adaptador soldavel curto 20 x 1/2</t>
  </si>
  <si>
    <t>Caps 25MM Soldavel</t>
  </si>
  <si>
    <t>CAPS 20MM SOLDAVEL</t>
  </si>
  <si>
    <t>Cadeado 45mm</t>
  </si>
  <si>
    <t>Cadeira</t>
  </si>
  <si>
    <t>Assento Sanitario</t>
  </si>
  <si>
    <t>Telha Fibrocimento 1,83 x 1. 6 mm</t>
  </si>
  <si>
    <t>Luminaria Facil Led 2X16w Altovolt 6500k BC</t>
  </si>
  <si>
    <t>Boia</t>
  </si>
  <si>
    <t>Desinfetante Economico Jasmin 1000ml</t>
  </si>
  <si>
    <t>Acucar Branca de Neve 1 kg</t>
  </si>
  <si>
    <t>Cafe em Po</t>
  </si>
  <si>
    <t>Sabao Garoto Neutro 5X200g</t>
  </si>
  <si>
    <t>DESCARBONIZANTE</t>
  </si>
  <si>
    <t>LUBRIFICANTES</t>
  </si>
  <si>
    <t>CONTATOR 32A 220V</t>
  </si>
  <si>
    <t>Porca 8mm</t>
  </si>
  <si>
    <t>PCT</t>
  </si>
  <si>
    <t>Rolamento SKF 6215 2Z</t>
  </si>
  <si>
    <t>Luva Emenda 70MM LT 7918</t>
  </si>
  <si>
    <t>Luva Emenda 50MM LT 7916</t>
  </si>
  <si>
    <t>Tubo de PVC Sold 20MM</t>
  </si>
  <si>
    <t>Tubo de PVC Sold 50MM</t>
  </si>
  <si>
    <t>CAPS LL 20MM SOLDAVEL</t>
  </si>
  <si>
    <t>Caps LL 20MM Soldavel</t>
  </si>
  <si>
    <t>LUVA 20MM LL</t>
  </si>
  <si>
    <t>Luva 20MM LL</t>
  </si>
  <si>
    <t>Luva DEFOFO 200 mm</t>
  </si>
  <si>
    <t>Luva DEFOFO 300 mm</t>
  </si>
  <si>
    <t>Luva DEFOFO 150 mm</t>
  </si>
  <si>
    <t>Anel DEFOFO 200 mm</t>
  </si>
  <si>
    <t>Cano PVC Soldavel 60 mm</t>
  </si>
  <si>
    <t>Joelho PVC LL 20 MM</t>
  </si>
  <si>
    <t>Massa Plastica Massafix Branco 1KG</t>
  </si>
  <si>
    <t>CAIXA DE FERRAMENTA 7 GAVETAS MARCON</t>
  </si>
  <si>
    <t>Caixa de Ferramenta 7 Gavetas Marcon</t>
  </si>
  <si>
    <t>Cadeado 50mm</t>
  </si>
  <si>
    <t>Luva Red. F.G 3x2'/2</t>
  </si>
  <si>
    <t>Cap 32mm</t>
  </si>
  <si>
    <t>Cola PVC 75</t>
  </si>
  <si>
    <t>Rolamento SkF 6212 60X110X22</t>
  </si>
  <si>
    <t>ROLAMENTO SKF 6312-2Z/C3 60X130X31</t>
  </si>
  <si>
    <t>Rolamento SKF 6208-2Z/40X80X18</t>
  </si>
  <si>
    <t>BROCA ACO RAPIDO 5/16 7,90MM</t>
  </si>
  <si>
    <t>Broca aco rapido 5/16 7,90mm</t>
  </si>
  <si>
    <t>BROCA ACO RAPIDO 1/4 6,35MM</t>
  </si>
  <si>
    <t>Broca aco rapido 1/4 6,35mm</t>
  </si>
  <si>
    <t>BROCA ACO RAPIDO 4,0MM</t>
  </si>
  <si>
    <t>Broca aco rapido 4,0mm</t>
  </si>
  <si>
    <t>BROCA ACO RAPIDO 3/8 9,50MM</t>
  </si>
  <si>
    <t>Broca aco rapido 3/8 9,50mm</t>
  </si>
  <si>
    <t>BROCA ACO RAPIDO 1/2 12,70MM</t>
  </si>
  <si>
    <t>Broca aco rapido 1/2 12,70mm</t>
  </si>
  <si>
    <t>BROCA ACO RAPIDO 7/16 11,10MM</t>
  </si>
  <si>
    <t>Cabo sintenax 25,00mm2 1kv flexivel</t>
  </si>
  <si>
    <t>Materiais de Construção Civil e Pintura</t>
  </si>
  <si>
    <t>Chave .Combinada .polegada.1.5/16 1.5/16</t>
  </si>
  <si>
    <t>Joelho Soldavel 20mm</t>
  </si>
  <si>
    <t>Tubo Soldavel 20mm</t>
  </si>
  <si>
    <t>TUBO SOLDAVEL 85MM</t>
  </si>
  <si>
    <t>Tubo Soldavel 85mm</t>
  </si>
  <si>
    <t>Registro Sold. 20</t>
  </si>
  <si>
    <t>Luva de correr PVC DN 75/85MM</t>
  </si>
  <si>
    <t>VALVULA DE RETENCAO HORIZONTAL ROSQUEADA EM BRONZE 3''</t>
  </si>
  <si>
    <t>Valvula de Retencao Horizontal Rosqueada em Bronze 3''</t>
  </si>
  <si>
    <t>Desengraxante B-838 48210-5 5LT</t>
  </si>
  <si>
    <t>Lubrificantes</t>
  </si>
  <si>
    <t>Abracadeira Regulavel com Parafuso 130X142MM</t>
  </si>
  <si>
    <t>Cabo de Aco com PVC A. F 6x7 5/16" 8MM</t>
  </si>
  <si>
    <t>Trena Stt Bolso 5M/16</t>
  </si>
  <si>
    <t>Ferramentas Perecíveis</t>
  </si>
  <si>
    <t>ALICATE BOMBA D'AGUA</t>
  </si>
  <si>
    <t>Alicate Bomba D'agua</t>
  </si>
  <si>
    <t>BASE PARA MOUSE</t>
  </si>
  <si>
    <t>Base para Mouse</t>
  </si>
  <si>
    <t>GARRAFA DE CAFE (PRONTO)</t>
  </si>
  <si>
    <t>Garrafa de Cafe (Pronto)</t>
  </si>
  <si>
    <t>Rebite Aluminio 3,2X12,0 (100PC) 312 Vond</t>
  </si>
  <si>
    <t>150-1/4X4 Chave Fenda Simples</t>
  </si>
  <si>
    <t>8280E-200 ALICATE ELETRICISTA</t>
  </si>
  <si>
    <t>8280E-200 Alicate Eletricista</t>
  </si>
  <si>
    <t>Adaptador Curto Akros 20X1/2</t>
  </si>
  <si>
    <t>ADESIVO COLA PARA TUBO PVC 75G</t>
  </si>
  <si>
    <t>Adesivo Cola Para Tubo PVC 75g</t>
  </si>
  <si>
    <t>Copo Descartavel 180ml</t>
  </si>
  <si>
    <t>Grampeador</t>
  </si>
  <si>
    <t>Caneta Azul</t>
  </si>
  <si>
    <t>Arquivo</t>
  </si>
  <si>
    <t>Tesoura</t>
  </si>
  <si>
    <t>Regidtro de Gaveta em Bronze 2.1/2"</t>
  </si>
  <si>
    <t>Manometro</t>
  </si>
  <si>
    <t>Tubo Galvanizado 5580 M 3"</t>
  </si>
  <si>
    <t>Cano Soldavel 50MM</t>
  </si>
  <si>
    <t>Chave Combinada 17mm</t>
  </si>
  <si>
    <t>Chave Estrela</t>
  </si>
  <si>
    <t>Facao p/ Mato</t>
  </si>
  <si>
    <t>Parafuso Sext. 3/4x3"</t>
  </si>
  <si>
    <t>Gaxeta 5/16</t>
  </si>
  <si>
    <t>BASE PARA CARIMBO</t>
  </si>
  <si>
    <t>ANEL BORRACHA P/TUBO CONEXAO PVC,DN 100 MM P/REDE AGUA</t>
  </si>
  <si>
    <t>Anel borracha p/tubo conexao pvc,DN 100 mm p/rede agua</t>
  </si>
  <si>
    <t>ANEL BORRACHA P/TUBO CONEXAO PVC,DN 50 MM P/REDE AGUA</t>
  </si>
  <si>
    <t>Anel borracha p/tubo conexao pvc,DN 50 mm p/rede agua</t>
  </si>
  <si>
    <t>Balde de Plastico</t>
  </si>
  <si>
    <t>Porca 1/2</t>
  </si>
  <si>
    <t>Fita de Auta Fusao</t>
  </si>
  <si>
    <t>Porca Ferro 5/8</t>
  </si>
  <si>
    <t>Torneira de Registro 3/4</t>
  </si>
  <si>
    <t>Desengripante</t>
  </si>
  <si>
    <t>CHAVE FENDA 1/8X3''</t>
  </si>
  <si>
    <t>Chave Fenda 1/8X3''</t>
  </si>
  <si>
    <t>Caps Soldavel 40mm</t>
  </si>
  <si>
    <t>ADAPTADOR SOLDAVEL 60MM</t>
  </si>
  <si>
    <t>Adaptador Soldavel 60mm</t>
  </si>
  <si>
    <t>Luva Defofo 400 mm</t>
  </si>
  <si>
    <t>Anel Defofo 400mm</t>
  </si>
  <si>
    <t>Registro fofo BBC 85mm</t>
  </si>
  <si>
    <t>CURVA PVC 90 DN 50 PB JE</t>
  </si>
  <si>
    <t>ROLAMENTO SKF INDUSTRIAL (I) 6312-Z/C3 60X130X31</t>
  </si>
  <si>
    <t>Rolamento SKF industrial (i) 6312-Z/C3 60x130x31</t>
  </si>
  <si>
    <t>REGISTRO DE GAVETA FOFO FLV DN 150MM C/ C.B</t>
  </si>
  <si>
    <t>Registro de Gaveta Fofo FLV DN 150mm c/ C.B</t>
  </si>
  <si>
    <t>Luva de Correr 50MM</t>
  </si>
  <si>
    <t>Luva de Correr Soldavel 60MM</t>
  </si>
  <si>
    <t>REDUcaO PVC JE PB DN100MM X 50MM</t>
  </si>
  <si>
    <t>REDUcaO PVC JE PB DN 75MM X 50MM</t>
  </si>
  <si>
    <t>TE de RED. PVC PBA 3B DN 100X75 / 110X85MM</t>
  </si>
  <si>
    <t>Te PVC PBA JE DN 50 3B</t>
  </si>
  <si>
    <t>Tubo de Aco Galvonizado Dn 3 Sem Costura Dim 2441, Esper 2,65mm</t>
  </si>
  <si>
    <t>Tubo de PVC Soldavel 32mm</t>
  </si>
  <si>
    <t>Cano PVC Sold. 25MM</t>
  </si>
  <si>
    <t>Luva tupy galvanizada 3</t>
  </si>
  <si>
    <t>Acoplamento Elastico E-194</t>
  </si>
  <si>
    <t>Material de Reparo de Bombas</t>
  </si>
  <si>
    <t>ALCOOL GEL 500ML</t>
  </si>
  <si>
    <t>Alcool Gel 500ML</t>
  </si>
  <si>
    <t>Detergente Liquido</t>
  </si>
  <si>
    <t>ESCOVAO LAVAR ROUPA</t>
  </si>
  <si>
    <t>Limpa Aluminio</t>
  </si>
  <si>
    <t>SABAO EM PO</t>
  </si>
  <si>
    <t>CAIXA DE PAPEL A4 500F</t>
  </si>
  <si>
    <t>Caixa de Papel A4 500F</t>
  </si>
  <si>
    <t>Joelho Sold. 25</t>
  </si>
  <si>
    <t>Luva de Correr PVC Defofo Dn 200 c/Anel</t>
  </si>
  <si>
    <t>Curva Soldavel Duro 90x50mm Pb</t>
  </si>
  <si>
    <t>Tubo PVC PN 40 Dn 50mm</t>
  </si>
  <si>
    <t>Tubo Master PVC Soldavel 32mm</t>
  </si>
  <si>
    <t>Luva de Correr 110mm</t>
  </si>
  <si>
    <t>COLA PVC</t>
  </si>
  <si>
    <t>CHAVE DE FENDA</t>
  </si>
  <si>
    <t>Chave de Fenda</t>
  </si>
  <si>
    <t>Alicate Universal</t>
  </si>
  <si>
    <t>DISJUNTOR 40A</t>
  </si>
  <si>
    <t>DISJUNTOR DE 25A</t>
  </si>
  <si>
    <t>Fita de Alta Tensao</t>
  </si>
  <si>
    <t>Fita Adesiva de Baixa Tensao</t>
  </si>
  <si>
    <t>ESTILETE STARRETT</t>
  </si>
  <si>
    <t>Estilete Starrett</t>
  </si>
  <si>
    <t>Caps 60MM</t>
  </si>
  <si>
    <t>Cap 20mm</t>
  </si>
  <si>
    <t>Cap 25mm</t>
  </si>
  <si>
    <t>Cadeado 35mm</t>
  </si>
  <si>
    <t>Cadeado 40mm</t>
  </si>
  <si>
    <t>SOFT STARTER ABB MOD.PSR 10560070; E.E.E. S.FRANCISCO</t>
  </si>
  <si>
    <t>Bota</t>
  </si>
  <si>
    <t>Caps Soldavel 20 mm</t>
  </si>
  <si>
    <t>Bateria 150A Heliar</t>
  </si>
  <si>
    <t>AGUA SANITARIA</t>
  </si>
  <si>
    <t>Saco para Lixo 30Lt</t>
  </si>
  <si>
    <t>BOM AR</t>
  </si>
  <si>
    <t>Bom Ar</t>
  </si>
  <si>
    <t>Desodor</t>
  </si>
  <si>
    <t>Veja Limpeza Pesada 550ml</t>
  </si>
  <si>
    <t>Grampo para Grampeador</t>
  </si>
  <si>
    <t>Pincel Marcador</t>
  </si>
  <si>
    <t>Prancheta Oficio</t>
  </si>
  <si>
    <t>Fita Durex</t>
  </si>
  <si>
    <t>ROLDANA PARA POCO 16CM VONDER</t>
  </si>
  <si>
    <t>Roldana Para Poco 16cm Vonder</t>
  </si>
  <si>
    <t>CAIXA DE FERRAMENTAS 5 GAVETAS 50X19X20CM VONDER</t>
  </si>
  <si>
    <t>Caixa de Ferramentas 5 Gavetas 50x19x20cm Vonder</t>
  </si>
  <si>
    <t>Alicate de Pressao 10 41070/110 Tramontina</t>
  </si>
  <si>
    <t>TUBO PVC SOLDAVEL 60MM X 6M</t>
  </si>
  <si>
    <t>Tubo PVC soldavel 60mm x 6m</t>
  </si>
  <si>
    <t>Arco de Serra CB Plast. Vonder</t>
  </si>
  <si>
    <t>Tubo PVC Soldavel 20mm</t>
  </si>
  <si>
    <t>Cola Adesivo</t>
  </si>
  <si>
    <t>Fuzivel NH 00 160A 3NA3 836</t>
  </si>
  <si>
    <t>Rele de Tempo TEi-01 03 MC 94-242VCA 1</t>
  </si>
  <si>
    <t>RELE REL-01-03 MC 220-380VCA CONT NIV</t>
  </si>
  <si>
    <t>Luva de Correr Soldavel 85mm</t>
  </si>
  <si>
    <t>Curva Soldavel 90X25MM</t>
  </si>
  <si>
    <t>TUBO SOLDAVEL PVC BRASIL 20MM</t>
  </si>
  <si>
    <t>Tubo Soldavel PVC Brasil 20mm</t>
  </si>
  <si>
    <t>MARTELO DE ACO 25MM 40370/025 TRAMONTINA</t>
  </si>
  <si>
    <t>Martelo de Aco 25mm 40370/025 Tramontina</t>
  </si>
  <si>
    <t>Gaxeta 1/2 21385 grafitada</t>
  </si>
  <si>
    <t>ESCADA DE ABRIR E EXT DE11 DEGRAUS</t>
  </si>
  <si>
    <t>Escada de abrir e ext de11 degraus</t>
  </si>
  <si>
    <t>Graxa skx gs -265-a 500g</t>
  </si>
  <si>
    <t>Luva de correr soldavel 50mm</t>
  </si>
  <si>
    <t>ADAPTADOR SOLD CURTO KRONA 20MM X 1/2</t>
  </si>
  <si>
    <t>Adaptador sold curto krona 20mm x 1/2</t>
  </si>
  <si>
    <t>Tubete 3/4'' Completo</t>
  </si>
  <si>
    <t>Abracadeira 9mm de Aco 13-19</t>
  </si>
  <si>
    <t>Estopa branca polimento</t>
  </si>
  <si>
    <t>CAIXA DE PAPEL A4</t>
  </si>
  <si>
    <t>Caixa de Papel A4</t>
  </si>
  <si>
    <t>Joelho soldavel 60 MM</t>
  </si>
  <si>
    <t>ALICATE AMPERIMENTRO 1000A ET-3200</t>
  </si>
  <si>
    <t>FERRAMENTAS PERECÍVEIS</t>
  </si>
  <si>
    <t>Alicate Amperimentro 1000A ET-3200</t>
  </si>
  <si>
    <t>Bateria Alcalina 9V 6LR61 Rayovac</t>
  </si>
  <si>
    <t>Abracadeira Mental Aberta 2</t>
  </si>
  <si>
    <t>Chuveiro S/Registro 4</t>
  </si>
  <si>
    <t>Abracadeira Tipo U2</t>
  </si>
  <si>
    <t>Fita isolante 19mmx20m</t>
  </si>
  <si>
    <t>Rodo Plastico 40cm</t>
  </si>
  <si>
    <t>Luva; PVC; MA; Soldavel; 50mm</t>
  </si>
  <si>
    <t>Adaptador; PVC; Soldavel; 25mm</t>
  </si>
  <si>
    <t>Adesivo Plastico para Tubo n MET; AZ; Bisnaga 75g</t>
  </si>
  <si>
    <t>Cabo Flex 6mm SiL</t>
  </si>
  <si>
    <t>Cabo 4mm SiL</t>
  </si>
  <si>
    <t>Cabo 10mm SiL</t>
  </si>
  <si>
    <t>Registro de Esfera Plastubo Soldavel 32mm</t>
  </si>
  <si>
    <t>Registro de Esfera Plastubo Soldavel 25mm</t>
  </si>
  <si>
    <t>CURVA SOLDAVEL</t>
  </si>
  <si>
    <t>Adesivo para PVC, 175 g, SiLOC</t>
  </si>
  <si>
    <t>Rele de Falta de Fase 3UG0612-3UG0612-1XK0</t>
  </si>
  <si>
    <t>Bola eletrica p/caixa dagua 15a 1,5m</t>
  </si>
  <si>
    <t>Broca p/concreto 12,00mm</t>
  </si>
  <si>
    <t>Lamp.mista 250W 250W E -40</t>
  </si>
  <si>
    <t>Barra chata</t>
  </si>
  <si>
    <t>Adapt sold cto 110mmx4</t>
  </si>
  <si>
    <t>ESCOVA DE ACO</t>
  </si>
  <si>
    <t>Escova de Aco</t>
  </si>
  <si>
    <t>Cadeado 30mm</t>
  </si>
  <si>
    <t>Lampada de 20w</t>
  </si>
  <si>
    <t>Livro protocolo 104 fls</t>
  </si>
  <si>
    <t>Abracadeira tipo U i 1/4</t>
  </si>
  <si>
    <t>Clips 2/0 Galvanizado ACC</t>
  </si>
  <si>
    <t>TUBO DE FITA DE ALTA G</t>
  </si>
  <si>
    <t>Tubo de Fita de Alta g</t>
  </si>
  <si>
    <t>TUBO DE FITA DE ALTA P</t>
  </si>
  <si>
    <t>Cavadeira</t>
  </si>
  <si>
    <t>Bateria 100AMP</t>
  </si>
  <si>
    <t>Gadanho com Cabo</t>
  </si>
  <si>
    <t>DESENGRIPANTE SPRAY 321ML MUNDIAL PRIME</t>
  </si>
  <si>
    <t>Desengripante Spray 321ml Mundial Prime</t>
  </si>
  <si>
    <t>ADAPTADOR SOLDAVEL CURTO COM BOLSA/ROSCA 32MMX1U</t>
  </si>
  <si>
    <t>Adaptador Soldavel Curto Com Bolsa/Rosca 32mmx1U</t>
  </si>
  <si>
    <t>Estopa para Limpeza</t>
  </si>
  <si>
    <t>Tubo soldavel 25 mm</t>
  </si>
  <si>
    <t>REDUcaO PB JE FOFO/PVC DN 150 X 100</t>
  </si>
  <si>
    <t>Luva nitrifica com forro destinada tamanho Grande</t>
  </si>
  <si>
    <t>REDUcaO CONCENTRiCA FLANGEADA 200 x150mm-</t>
  </si>
  <si>
    <t>Rele Temporizador</t>
  </si>
  <si>
    <t>Arquivo morto</t>
  </si>
  <si>
    <t>Cone para sinalizacao para transito</t>
  </si>
  <si>
    <t>VALVULA RETENcaO WAFFER PORTiNHOLA DUPLA PN10/16 DN 200</t>
  </si>
  <si>
    <t>Chave contactora</t>
  </si>
  <si>
    <t>Bateria automotiva</t>
  </si>
  <si>
    <t>Rele Bimet. (3UA58)</t>
  </si>
  <si>
    <t>RELE DE TEMPO WEG 03-30S 220-240VCA/24VCC</t>
  </si>
  <si>
    <t>Tarugo de Bronze 3</t>
  </si>
  <si>
    <t>Chave Combinada 19mm</t>
  </si>
  <si>
    <t>ESMERIL DUPLA CLASSIC 8''</t>
  </si>
  <si>
    <t>Pa de Bico com Cabo Tramontina</t>
  </si>
  <si>
    <t>Graxeta Grafitada 1/4</t>
  </si>
  <si>
    <t>Cabo Sintenax 3 x 35mm2 1KV Flex</t>
  </si>
  <si>
    <t>Eletroduto de luva p/eletroduto, com 1.1/4"</t>
  </si>
  <si>
    <t>Disjuntor termomagnetico monofasico 20a siemens</t>
  </si>
  <si>
    <t>Eletroduto de luva p/eletroduto com 1"</t>
  </si>
  <si>
    <t>SABONETE</t>
  </si>
  <si>
    <t>ALAVANCA</t>
  </si>
  <si>
    <t>Alavanca</t>
  </si>
  <si>
    <t>Ventosa triplice funcao/flange DN 50 PN25</t>
  </si>
  <si>
    <t>Luva LR 25 x 20mm</t>
  </si>
  <si>
    <t>LUVA LR 20 X 1/2''</t>
  </si>
  <si>
    <t>Luva LR 20 x 1/2''</t>
  </si>
  <si>
    <t>Luva Latex Amarela 012173312 Tam-G</t>
  </si>
  <si>
    <t>Disjuntor Fame Din 3p 100A C FD 5248</t>
  </si>
  <si>
    <t>LUVA DE CORRER PBA DN 100/110MM</t>
  </si>
  <si>
    <t>Luva de Correr PBA DN 100/110mm</t>
  </si>
  <si>
    <t>Registro de Gaveta FOFO FLC DN 150mm</t>
  </si>
  <si>
    <t>Grampo 26/6</t>
  </si>
  <si>
    <t>Eletrodo Revestido 2,50mm 5kg</t>
  </si>
  <si>
    <t>Gonzo 5/8</t>
  </si>
  <si>
    <t>Zarcao</t>
  </si>
  <si>
    <t>Cafe Santa Clara</t>
  </si>
  <si>
    <t>CABO DE COBRE ISOL.EM PVC SUBMER.CHATO, 3 X 25MMAÃ‚Â², 1KV</t>
  </si>
  <si>
    <t>Grafite 0.7</t>
  </si>
  <si>
    <t>Registro Soldavel 25mm</t>
  </si>
  <si>
    <t>Adaptador 25x3/4''</t>
  </si>
  <si>
    <t>Caneta Faber Castel Azul 32FC/AZ</t>
  </si>
  <si>
    <t>Fuzivel DZ 010A 5SB2 51</t>
  </si>
  <si>
    <t>Fuzivel DZ 016A 5SB2 61</t>
  </si>
  <si>
    <t>Fuzivel DZ 025A 5SB2 81</t>
  </si>
  <si>
    <t>Fuzivel DZ 004A 5SB2 21 Siemens</t>
  </si>
  <si>
    <t>Fuzivel DZ 006A 5SB2 31</t>
  </si>
  <si>
    <t>Disjuntor Steck Din 1P C 16A SDDD61C16 3KA</t>
  </si>
  <si>
    <t>Disjuntor Steck Din 1P C 25A SDDD61C25 3KA</t>
  </si>
  <si>
    <t>Disjuntor Steck Din 3P C 25A SDDD63C25 3KA</t>
  </si>
  <si>
    <t>Disjuntor Steck Din 3P C 20A SDDD63C20 3KA</t>
  </si>
  <si>
    <t>Disjuntor Steck Din 3P C 32A SDDD63C32 3KA</t>
  </si>
  <si>
    <t>Luva de Uniao 32mm Soldavel</t>
  </si>
  <si>
    <t>Registro 60 mm</t>
  </si>
  <si>
    <t>Balde de Plastico 12L para Construcao</t>
  </si>
  <si>
    <t>Vassourao de Gari</t>
  </si>
  <si>
    <t>ADAPTADOR DE 20MM</t>
  </si>
  <si>
    <t>Adaptador de 20mm</t>
  </si>
  <si>
    <t>Clips 2/0 galv super mu lt</t>
  </si>
  <si>
    <t>HD Sata 02 TB Seagate</t>
  </si>
  <si>
    <t>Joelho LR 1/2x20mm</t>
  </si>
  <si>
    <t>NIPLE GALVANIZADO 4</t>
  </si>
  <si>
    <t>Niple Galvanizado 4</t>
  </si>
  <si>
    <t>Alicate de crimpagem RJ 45</t>
  </si>
  <si>
    <t>Bomba lavador de parabrisa</t>
  </si>
  <si>
    <t>Aditivo para radiador</t>
  </si>
  <si>
    <t>Nobreak SCH APC 1500V A Back-ups 115/22</t>
  </si>
  <si>
    <t>Alicate de Bico</t>
  </si>
  <si>
    <t>Chave Biela Gedore 19mm</t>
  </si>
  <si>
    <t>CHAVE DE FENDA CABO AMARELO TRAMONTINA 1/4 X 10</t>
  </si>
  <si>
    <t>Jogo de Chave Torx</t>
  </si>
  <si>
    <t>Lampada Eletronica Avant 60w</t>
  </si>
  <si>
    <t>Fardo de Papel Higienico</t>
  </si>
  <si>
    <t>Fardo de Papel Toalha</t>
  </si>
  <si>
    <t>Alcool Gel</t>
  </si>
  <si>
    <t>Caixa de Copo Descartavel</t>
  </si>
  <si>
    <t>Caixa de Copo Descartavel (150ml)</t>
  </si>
  <si>
    <t>Valvula pe c/ crivo 200 MM</t>
  </si>
  <si>
    <t>Registro gav. bronze 3"</t>
  </si>
  <si>
    <t>ADAPTADOR PVC SOLDAVEL 20MM</t>
  </si>
  <si>
    <t>CAIXA DE FERRAMENTA</t>
  </si>
  <si>
    <t>Caixa de ferramenta</t>
  </si>
  <si>
    <t>Cadeado</t>
  </si>
  <si>
    <t>ACOPLAMENTO ELASTICO E-148</t>
  </si>
  <si>
    <t>MATERIAL DE REPARO DE BOMBAS</t>
  </si>
  <si>
    <t>Acoplamento Elastico E-148</t>
  </si>
  <si>
    <t>Valvula de Retencao Horizontal Portinhola unica FOFO FL DN 200</t>
  </si>
  <si>
    <t>Lustra Moveis</t>
  </si>
  <si>
    <t>Te de Reducao Viqua 75mm x50mm</t>
  </si>
  <si>
    <t>Cabo Sintenax 3 x 6mm Flex</t>
  </si>
  <si>
    <t>Cabo Sintenax 3 x 16mm Flex</t>
  </si>
  <si>
    <t>COLAR DE 50MM</t>
  </si>
  <si>
    <t>Luva Lisa de 20mm</t>
  </si>
  <si>
    <t>Arco de Serra</t>
  </si>
  <si>
    <t>Cabo flex 2,5 mm</t>
  </si>
  <si>
    <t>Cabo flex 4,00 mm2</t>
  </si>
  <si>
    <t>Amperimetro FM 72 Esc 50/100A Direto</t>
  </si>
  <si>
    <t>Terminal de Pressao Cabo MC 185mm</t>
  </si>
  <si>
    <t>Cabo Sintenax 185 mm2 PT 1KV XLPE</t>
  </si>
  <si>
    <t>ENVELOPE</t>
  </si>
  <si>
    <t>Fita Gomada 770 48x50mm Adelbras</t>
  </si>
  <si>
    <t>Marcador Para Quadro Branco Preta Compactor</t>
  </si>
  <si>
    <t>Bateria Heliar</t>
  </si>
  <si>
    <t>LIMPA MOVEIS</t>
  </si>
  <si>
    <t>LIMPA VIDROS</t>
  </si>
  <si>
    <t>Limpador Multiuso</t>
  </si>
  <si>
    <t>SACO PARA CHAO ALVEJADO MD</t>
  </si>
  <si>
    <t>LUVA UNIAO GALVANIZADA 4 CONICA</t>
  </si>
  <si>
    <t>Luva Uniao Galvanizada 4 Conica</t>
  </si>
  <si>
    <t>Adesivo para cano 75g</t>
  </si>
  <si>
    <t>Luva Lisa Soldavel 20mm</t>
  </si>
  <si>
    <t>JOELHO LISO SOLDAVEL 20MM</t>
  </si>
  <si>
    <t>COLAR SOLDAVEL 60MM 1/2</t>
  </si>
  <si>
    <t>Disjuntor Trifasico Mini 10A/40A Pial</t>
  </si>
  <si>
    <t>Broca de Aco Rapido iRWiN</t>
  </si>
  <si>
    <t>Chave Allen JG 42-9m 1.5-10mm</t>
  </si>
  <si>
    <t>Chave Philips</t>
  </si>
  <si>
    <t>Barra Roscada 10mm</t>
  </si>
  <si>
    <t>CHAVE TORX JOGO C/ ARMACAO VTX-4 9PC</t>
  </si>
  <si>
    <t>LONA 4 X 7 PLUS REFORCADA AZUL/LARANJA</t>
  </si>
  <si>
    <t>Lona 4 x 7 Plus Reforcada Azul/Laranja</t>
  </si>
  <si>
    <t>Lampada Led 4,8w Pera</t>
  </si>
  <si>
    <t>Veda Rosca 18 x 25M</t>
  </si>
  <si>
    <t>Colar tomada 150 x 2"</t>
  </si>
  <si>
    <t>Jogo de chaves tramontina 6 pecas</t>
  </si>
  <si>
    <t>COLA PARA TUBO 75G</t>
  </si>
  <si>
    <t>Vassoura de Piacava</t>
  </si>
  <si>
    <t>Conector 25mm Preto Sindal</t>
  </si>
  <si>
    <t>Adaptador Soldavel Curto LR 50mm x 1.1/U</t>
  </si>
  <si>
    <t>ALCOOL 70% FINO 1000ML</t>
  </si>
  <si>
    <t>alcool 70% Fino 1000ml</t>
  </si>
  <si>
    <t>Lampada Compacta 45W</t>
  </si>
  <si>
    <t>Broca p/ Concreto</t>
  </si>
  <si>
    <t>Abracadeira Nylon Branca 140X2,5</t>
  </si>
  <si>
    <t>LUVA FG DN 2"</t>
  </si>
  <si>
    <t>REGISTRO GAV BRONZE DN 2"</t>
  </si>
  <si>
    <t>Adaptador PVC Roscavel DN 60x2''</t>
  </si>
  <si>
    <t>Arame Galvanizado</t>
  </si>
  <si>
    <t>Cabo Flexivel</t>
  </si>
  <si>
    <t>Abracadeira Nylon Branca/Preta 400x4,80</t>
  </si>
  <si>
    <t>Lampada Eletronica 4U 34W</t>
  </si>
  <si>
    <t>Cabo Eletrico 4 x 70mm 2 FPR</t>
  </si>
  <si>
    <t>DISJUNTOR MONOFASICO DIN 02A</t>
  </si>
  <si>
    <t>Rele Controle de Nivel 220/380V</t>
  </si>
  <si>
    <t>RELE FALTA DE FASE 220/380V</t>
  </si>
  <si>
    <t>Rele Falta de Fase 220/380V</t>
  </si>
  <si>
    <t>acido Muriatico</t>
  </si>
  <si>
    <t>Caixa Padrao Trifasica</t>
  </si>
  <si>
    <t>Lampada Eletronica 4U 45W</t>
  </si>
  <si>
    <t>Valvula pe com Crivo Fofo FL Dn 150mm</t>
  </si>
  <si>
    <t>Chave de Grifo</t>
  </si>
  <si>
    <t>Contactor Monofasico 18A 220V</t>
  </si>
  <si>
    <t>Disjuntor Trifasico Din 40A</t>
  </si>
  <si>
    <t>Rele de Tempo 15,0S 220VCA</t>
  </si>
  <si>
    <t>Hidraulico 68 4 Lt</t>
  </si>
  <si>
    <t>Luva Galvanizada 4"</t>
  </si>
  <si>
    <t>Luva Reducao 4 X 2" Galvanizado</t>
  </si>
  <si>
    <t>Cola Bastao 40gr 3m</t>
  </si>
  <si>
    <t>Vassoura Verde FJ-1103 Reg. Arame com Cabo</t>
  </si>
  <si>
    <t>Kit Cinta Amarracao de Cargas CG 5059</t>
  </si>
  <si>
    <t>Tubo PVC Duro Soldavel 85mm x 6mt</t>
  </si>
  <si>
    <t>Luva Soldavel 110mm</t>
  </si>
  <si>
    <t>Curva 90aÃ‚Â° FOFO FL DN 100mm</t>
  </si>
  <si>
    <t>Luva de Correr PVC Defofo Dn 150 c/Anel</t>
  </si>
  <si>
    <t>Registro de Gaveta FOFO FLC DN 100mm</t>
  </si>
  <si>
    <t>Tubo Galvanizado NBR 5580 Leve 21,30x2,25 1/2</t>
  </si>
  <si>
    <t>Fuzivel NH 125A Tam 1 3NA3 132 Siemens</t>
  </si>
  <si>
    <t>Filtro para caixa</t>
  </si>
  <si>
    <t>Bobina termica de 300m p/ registrador eletronico de ponto</t>
  </si>
  <si>
    <t>LUVA DE CORRER DN 20</t>
  </si>
  <si>
    <t>LUVA DE CORRER DEFOFO JE DN 200</t>
  </si>
  <si>
    <t>Cano soldavel 20mm</t>
  </si>
  <si>
    <t>Acoplamento Elastico</t>
  </si>
  <si>
    <t>Luva correr soldavel 60mm</t>
  </si>
  <si>
    <t>RELE DE SOBRECARGA 3US55 10 A 16A</t>
  </si>
  <si>
    <t>Rele de Sobrecarga 3US55 10 A 16A</t>
  </si>
  <si>
    <t>RELE DE SOBRECARGA 3US55 16 A 25A</t>
  </si>
  <si>
    <t>Rele de Sobrecarga 3US55 16 A 25A</t>
  </si>
  <si>
    <t>RELE BIME 63-80A 3UA58 40-2U</t>
  </si>
  <si>
    <t>Rele Bime 63-80A 3UA58 40-2U</t>
  </si>
  <si>
    <t>RELE DE SOBRECARGA 3US55 25 A 32A</t>
  </si>
  <si>
    <t>Rele de Sobrecarga 3US55 25 A 32A</t>
  </si>
  <si>
    <t>Luva correr soldavel 85</t>
  </si>
  <si>
    <t>CONTATOR WEG 18A 220V WEG</t>
  </si>
  <si>
    <t>Contator WEG 18A 220V WEG</t>
  </si>
  <si>
    <t>Contator Siem 18A 220V</t>
  </si>
  <si>
    <t>CONTATOR 25A 220V</t>
  </si>
  <si>
    <t>Luva Ferro Galvanizado 2</t>
  </si>
  <si>
    <t>Kit Maleta de Ferramenta Tramontina 110 Pecas de Multiusos</t>
  </si>
  <si>
    <t>Registro de Gaveta Docol Dn 100 4 Pol Docol</t>
  </si>
  <si>
    <t>JOELHO PVC SOLDAVEL 90AÃ‚Â° 20MM P/ AGUA</t>
  </si>
  <si>
    <t>JOELHO PVC SOLDAVEL 90aÃ‚Â° 20MM P/ AGUA</t>
  </si>
  <si>
    <t>Broca para Ferro 5/32</t>
  </si>
  <si>
    <t>Registro esfera em pvc 20mm x 1/2</t>
  </si>
  <si>
    <t>Niple PR 3/4</t>
  </si>
  <si>
    <t>Te PR 3/4</t>
  </si>
  <si>
    <t>Luminaria completa 2x220W</t>
  </si>
  <si>
    <t>Luva Reducao 2.1/2 X 2 Galvanizada</t>
  </si>
  <si>
    <t>Pilha AAA</t>
  </si>
  <si>
    <t>Marcador quadro branco azul</t>
  </si>
  <si>
    <t>Marcador quadro branco vermelho</t>
  </si>
  <si>
    <t>Rele de Tempo RTW-RE 3-30S 240V/24VDC 1NA</t>
  </si>
  <si>
    <t>Caderno</t>
  </si>
  <si>
    <t>Chibanca</t>
  </si>
  <si>
    <t>Adesivo 75g</t>
  </si>
  <si>
    <t>COLAR DE TOMADA 60MM</t>
  </si>
  <si>
    <t>ADAP SOLDAVEL CURTO 20MM</t>
  </si>
  <si>
    <t>TUBO DE 25MM</t>
  </si>
  <si>
    <t>Tubo de 25mm</t>
  </si>
  <si>
    <t>Tubo PVC de 50mm</t>
  </si>
  <si>
    <t>TE SOLDAVEL LiSO 60MM</t>
  </si>
  <si>
    <t>Cano Soldavel 25mm</t>
  </si>
  <si>
    <t>Anti ferrugem</t>
  </si>
  <si>
    <t>Alicate Tipo Telefone Bico R</t>
  </si>
  <si>
    <t>Jogo de Chave Combinada</t>
  </si>
  <si>
    <t>ALICATE DE PRESSAO</t>
  </si>
  <si>
    <t>Alicate de Pressao</t>
  </si>
  <si>
    <t>Alicate Amperimeto</t>
  </si>
  <si>
    <t>Canivete Multiuso</t>
  </si>
  <si>
    <t>Jogo de Chaves</t>
  </si>
  <si>
    <t>Alicate de Corte</t>
  </si>
  <si>
    <t>Saco Alvejado</t>
  </si>
  <si>
    <t>BROCA AR 1/2</t>
  </si>
  <si>
    <t>Broca ar 1/2</t>
  </si>
  <si>
    <t>ADAPTADOR SOLDAVEL CURTO COM BOLSA/ROSCA 75MM X 2.1/2</t>
  </si>
  <si>
    <t>Adaptador Soldavel Curto Com Bolsa/Rosca 75mm x 2.1/2</t>
  </si>
  <si>
    <t>Luva de Raspar</t>
  </si>
  <si>
    <t>Garrafa Termica</t>
  </si>
  <si>
    <t>Abracadeira T-50-L 390mm</t>
  </si>
  <si>
    <t>Franela</t>
  </si>
  <si>
    <t>Luva FG Dn 2 1/2''</t>
  </si>
  <si>
    <t>Caixa de liga elastica</t>
  </si>
  <si>
    <t>Pasta Arquivo</t>
  </si>
  <si>
    <t>Vaso cx acoplado belize branco</t>
  </si>
  <si>
    <t>Adaptador soldavel curto 25x3/4</t>
  </si>
  <si>
    <t>Luva LR 25mm</t>
  </si>
  <si>
    <t>Rele de nivel inferior/superior 220V</t>
  </si>
  <si>
    <t>Cabo flex 10 mm</t>
  </si>
  <si>
    <t>Valvula de Retencao Horizontal Portinhola unica FOFO FL DN 100</t>
  </si>
  <si>
    <t>OCND</t>
  </si>
  <si>
    <t>Carro de Mao</t>
  </si>
  <si>
    <t>Facao</t>
  </si>
  <si>
    <t>Jogo broca aco rapido</t>
  </si>
  <si>
    <t>Jogo chave de fenda</t>
  </si>
  <si>
    <t>Broca ar p 1/4</t>
  </si>
  <si>
    <t>oculos incolor</t>
  </si>
  <si>
    <t>Broca de Aco Rapido 8mm</t>
  </si>
  <si>
    <t>Liga elastico</t>
  </si>
  <si>
    <t>Parafuso sextavado 8 x 16 mm</t>
  </si>
  <si>
    <t>Luva Ferro Galvanizado 1</t>
  </si>
  <si>
    <t>CAIXA CANETA BIC CRISTAL</t>
  </si>
  <si>
    <t>Caixa caneta bic cristal</t>
  </si>
  <si>
    <t>Registro de Gaveta em Bronze Dn 4</t>
  </si>
  <si>
    <t>Lampada PL TP. 4U Fluorescente 45W</t>
  </si>
  <si>
    <t>Corrente Galvanizada 9.5mm 3/8''</t>
  </si>
  <si>
    <t>Cabo Flexivel 1,50mm</t>
  </si>
  <si>
    <t>Trena de Fibra 30m Cx Aberta</t>
  </si>
  <si>
    <t>CABO DE COBRE ISOLADO EM PVC,SINGELO FLEXIVEL 1 X 16MMAÃ‚Â², 1 KV</t>
  </si>
  <si>
    <t>CABO DE COBRE ISOLADO EM PVC,SINGELO FLEXIVEL 1 X 35MMAÃ‚Â², 1 KV</t>
  </si>
  <si>
    <t>CABO DE COBRE ISOLADO EM PVC,SINGELO FLEXIVEL 1 X 95MMAÃ‚Â², 1 KV</t>
  </si>
  <si>
    <t>FITA ZEBRADA</t>
  </si>
  <si>
    <t>Fita zebrada</t>
  </si>
  <si>
    <t>ESTUFA BACTERIOLOGIA E ESTERILIZACAO 150L</t>
  </si>
  <si>
    <t>EQUIPAMENTOS DE LABORATORIO</t>
  </si>
  <si>
    <t>MATERIAIS DE INVESTIMENTO</t>
  </si>
  <si>
    <t>Estufa Bacteriologia e Esterilizacao 150L</t>
  </si>
  <si>
    <t>Equipamentos de Laboratorio</t>
  </si>
  <si>
    <t>AUTOCLAVE VERTICAL 137LT- MODELO CS-137</t>
  </si>
  <si>
    <t>Autoclave vertical 137LT- MODELO CS-137</t>
  </si>
  <si>
    <t>TUBO DE FITA DE BAIXA TENSAO</t>
  </si>
  <si>
    <t>Tubo de Fita de Baixa Tensao</t>
  </si>
  <si>
    <t>Cola de Silicone</t>
  </si>
  <si>
    <t>Adaptador soldavel curto</t>
  </si>
  <si>
    <t>DISJUNTOR CAIXA MOLDADA 225A TRIPOLAR</t>
  </si>
  <si>
    <t>Filtro de linha 5 tomadas</t>
  </si>
  <si>
    <t>LUVA REDUCAO 4 X 3 GALVANIZADA</t>
  </si>
  <si>
    <t>Luva reducao 4 x 3 galvanizada</t>
  </si>
  <si>
    <t>Bucha reducao soldavel curta 75 x 60 mm</t>
  </si>
  <si>
    <t>CAiXA CHAMEX A4</t>
  </si>
  <si>
    <t>LUVA LR 25 X 1/2 PVC</t>
  </si>
  <si>
    <t>Luva LR 25 x 1/2 PVC</t>
  </si>
  <si>
    <t>Adaptador curto SR 20 x 1/2</t>
  </si>
  <si>
    <t>CANETA COMPACTOR</t>
  </si>
  <si>
    <t>Chave combinada 3/4</t>
  </si>
  <si>
    <t>Parafuso sextavado 6 x 10 mm</t>
  </si>
  <si>
    <t>Chave combinada 24 mm</t>
  </si>
  <si>
    <t>Chave combinada 32 mm</t>
  </si>
  <si>
    <t>Anel Oring</t>
  </si>
  <si>
    <t>Fita Gomada</t>
  </si>
  <si>
    <t>LUVA PBA 60MM</t>
  </si>
  <si>
    <t>Luva PBA 60mm</t>
  </si>
  <si>
    <t>Boia automatica</t>
  </si>
  <si>
    <t>Fuzivel NH retardado</t>
  </si>
  <si>
    <t>DISJUNTOR 50A</t>
  </si>
  <si>
    <t>Adaptador Soldavel Curto 32x1</t>
  </si>
  <si>
    <t>LUVA DE REDUCAO 3'' X 2 1/2''</t>
  </si>
  <si>
    <t>Luva de Reducao 3'' x 2 1/2''</t>
  </si>
  <si>
    <t>Parafuso Sextavado 8x25mm</t>
  </si>
  <si>
    <t>Conector 4mm</t>
  </si>
  <si>
    <t>ADAPTADOR EM FaÃ‚ÂºFaÃ‚Âº P/PVC DN 60mm</t>
  </si>
  <si>
    <t>ADAPTADOR EM FaÃ‚ÂºFaÃ‚Âº P/PVC DN 85mm</t>
  </si>
  <si>
    <t>Luva de Correr Soldavel 25mm</t>
  </si>
  <si>
    <t>Porta Papel</t>
  </si>
  <si>
    <t>Fuzivel DZ 002A 5SB2 11</t>
  </si>
  <si>
    <t>VENTOSA TRiPLiCE FUNcaO FLANGEADA PN 10/16/25 DN 50-RFi</t>
  </si>
  <si>
    <t>Bateria Selada 12V 18AH</t>
  </si>
  <si>
    <t>Chave Boia Eletrica inferior E Superior</t>
  </si>
  <si>
    <t>Adesivo de Silicone</t>
  </si>
  <si>
    <t>Bomba Periferica</t>
  </si>
  <si>
    <t>Contator 75A 220v</t>
  </si>
  <si>
    <t>Luva 60mm LL</t>
  </si>
  <si>
    <t>Disjuntor tripolar 175A</t>
  </si>
  <si>
    <t>Motobomba Autoaspirante MBAS-50NX 1/2CV</t>
  </si>
  <si>
    <t>Jogo de Chave</t>
  </si>
  <si>
    <t>JOELHO LR 25X3/4</t>
  </si>
  <si>
    <t>CLIPS NIQUELADOS</t>
  </si>
  <si>
    <t>Clips niquelados</t>
  </si>
  <si>
    <t>Pincel atomico piloto</t>
  </si>
  <si>
    <t>Caneta bic cristal</t>
  </si>
  <si>
    <t>Filtro 5 com torneira</t>
  </si>
  <si>
    <t>Abracadeira soldavel 20 mm</t>
  </si>
  <si>
    <t>Arquivo com divisorias</t>
  </si>
  <si>
    <t>Tonner 85 A</t>
  </si>
  <si>
    <t>Tubo pvc esgoto 100 mm</t>
  </si>
  <si>
    <t>ESPONJA BOMBRIL</t>
  </si>
  <si>
    <t>Caixa de detregente</t>
  </si>
  <si>
    <t>Rolos de papel aluminio</t>
  </si>
  <si>
    <t>Materiais de Laboratório</t>
  </si>
  <si>
    <t>Chave Seccionadora Fuzivel NH 160A. 3NP4070</t>
  </si>
  <si>
    <t>Fuzivel NH00 100A</t>
  </si>
  <si>
    <t>RELE CONTROLE DE NIVEL 220V</t>
  </si>
  <si>
    <t>Rele Controle de Nivel 220V</t>
  </si>
  <si>
    <t>Amperimetro FM72 Esc A-100/5 Lig. TC</t>
  </si>
  <si>
    <t>Rele Falta de Fase 380-220V</t>
  </si>
  <si>
    <t>Botao De Comando Duplo</t>
  </si>
  <si>
    <t>Rele Bimet. WEG RW67 2D 63-80A</t>
  </si>
  <si>
    <t>Amperimetro FM96 Quad 0-100A</t>
  </si>
  <si>
    <t>Disjuntor Tripolar Din 3P 50A</t>
  </si>
  <si>
    <t>Voltimetro FM 72 0-500V</t>
  </si>
  <si>
    <t>Colar de Tomada em Ferro 110x3/4</t>
  </si>
  <si>
    <t>Disjuntor Tripolar Din 3P 100A</t>
  </si>
  <si>
    <t>Lampada Compacta 15W</t>
  </si>
  <si>
    <t>Lampada Compacta 20W</t>
  </si>
  <si>
    <t>Bobina para Contator 3TF46/47 220V</t>
  </si>
  <si>
    <t>Cabo PP Flex 1KV 3x10mm</t>
  </si>
  <si>
    <t>Haste Cooperweld 2,00 x 1/2</t>
  </si>
  <si>
    <t>Memoria de Notebook</t>
  </si>
  <si>
    <t>Bateira de Lithium CR 2032 3V</t>
  </si>
  <si>
    <t>Fonte Universal Para Notebook</t>
  </si>
  <si>
    <t>Luva de Correr PBA Dn50 x De60 mm</t>
  </si>
  <si>
    <t>Luva de Correr PBA 85 c/Anel</t>
  </si>
  <si>
    <t>ALICATE</t>
  </si>
  <si>
    <t>Alicate</t>
  </si>
  <si>
    <t>COLAR DE TOMADA PVC DE 50 DN 60MM X 3/4</t>
  </si>
  <si>
    <t>Colar de Tomada PVC de 50 DN 60mm x 3/4</t>
  </si>
  <si>
    <t>COLAR DE TOMADA PVC DE 75 DN 85MM X 1/2</t>
  </si>
  <si>
    <t>CONTATOR 3TF-44 220V</t>
  </si>
  <si>
    <t>Rele de Tempo 0 a 30 minutos</t>
  </si>
  <si>
    <t>ESCOVA PARA LAVAR</t>
  </si>
  <si>
    <t>Calha de zinco</t>
  </si>
  <si>
    <t>Tubo de 40mm</t>
  </si>
  <si>
    <t>ADESiVO COLA SUPER BONDER</t>
  </si>
  <si>
    <t>Camisa em Malha Algodao</t>
  </si>
  <si>
    <t>Oleo Caixa de Marcha</t>
  </si>
  <si>
    <t>CONTATOR 45A 220V</t>
  </si>
  <si>
    <t>RELE FALTA DE FASE FSN-22 380VCA</t>
  </si>
  <si>
    <t>Rele Falta de Fase FSN-22 380VCA</t>
  </si>
  <si>
    <t>Valvula de Metal de Poco 3/4</t>
  </si>
  <si>
    <t>Luva 25mm LR</t>
  </si>
  <si>
    <t>Car 80</t>
  </si>
  <si>
    <t>Cadeira imbituba BA 92018/010 tramontina</t>
  </si>
  <si>
    <t>Mesa Quadrada Empilhavel, 70x70 BCA pes fixo iBAP</t>
  </si>
  <si>
    <t>Acetileno 9Kg ind Gas ONU 1001</t>
  </si>
  <si>
    <t>Anticorrosivo</t>
  </si>
  <si>
    <t>Extrator de Grampo</t>
  </si>
  <si>
    <t>Saco de naylon</t>
  </si>
  <si>
    <t>Limpa Contato Eletrico</t>
  </si>
  <si>
    <t>Grampo Carroceria</t>
  </si>
  <si>
    <t>Cabo Flex 3 x 6mmaÃ‚Â²</t>
  </si>
  <si>
    <t>Chave de teste</t>
  </si>
  <si>
    <t>Chave Allen</t>
  </si>
  <si>
    <t>Te em pvc PBA DN 100mm</t>
  </si>
  <si>
    <t>Jogo de soquete</t>
  </si>
  <si>
    <t>Organizador de Pastas</t>
  </si>
  <si>
    <t>Escada</t>
  </si>
  <si>
    <t>Organizador de Mesa</t>
  </si>
  <si>
    <t>Borracha de Silicone para Juntas</t>
  </si>
  <si>
    <t>Caixa disjuntor</t>
  </si>
  <si>
    <t>ANTE-FERRUGEM</t>
  </si>
  <si>
    <t>Ante-Ferrugem</t>
  </si>
  <si>
    <t>Caixa de lapis</t>
  </si>
  <si>
    <t>DISJUNTOR SIEM 70A</t>
  </si>
  <si>
    <t>Puro Ar</t>
  </si>
  <si>
    <t>TE RED DURO 50X32</t>
  </si>
  <si>
    <t>Te red duro 50x32</t>
  </si>
  <si>
    <t>Caixa envelope A4</t>
  </si>
  <si>
    <t>Registro Esfera Viqua</t>
  </si>
  <si>
    <t>Canoa</t>
  </si>
  <si>
    <t>Tampao Articulado FaÃ‚Â°FaÃ‚Â° 600mm, classe minima D 400</t>
  </si>
  <si>
    <t>CALHA ALUMiNiO</t>
  </si>
  <si>
    <t>Furadeira</t>
  </si>
  <si>
    <t>Bocal Porcelana E-40 Foxlux</t>
  </si>
  <si>
    <t>Chave inglesa 10 ajustavel</t>
  </si>
  <si>
    <t>Baygon</t>
  </si>
  <si>
    <t>CHAVE DE PARTiDA</t>
  </si>
  <si>
    <t>Materiais de Manutenção de Veículos</t>
  </si>
  <si>
    <t>Rele de Sobrecarga 3US58 40-57A</t>
  </si>
  <si>
    <t>Copo Descartavel para agua</t>
  </si>
  <si>
    <t>BROCA CHATA</t>
  </si>
  <si>
    <t>PARA-RAiO P/RESERVAToRiO ELEVADO 100MaÃ‚Â³ A 150M3</t>
  </si>
  <si>
    <t>Grampo</t>
  </si>
  <si>
    <t>LUVA DE CORRER DEFOFO PVC JE DN 150MM</t>
  </si>
  <si>
    <t>Nipel Galvanizado 3''</t>
  </si>
  <si>
    <t>Luva a compresao de cobre</t>
  </si>
  <si>
    <t>Lima para enxada</t>
  </si>
  <si>
    <t>Disco Diamantado Standard Turbo 105 mm Bosch</t>
  </si>
  <si>
    <t>TRENA PROFiSSiONAL</t>
  </si>
  <si>
    <t>Balde de graxa</t>
  </si>
  <si>
    <t>JOELHO FERRO GALVANIZADO 4</t>
  </si>
  <si>
    <t>Joelho Ferro Galvanizado 4</t>
  </si>
  <si>
    <t>BANDEJA</t>
  </si>
  <si>
    <t>bandeja</t>
  </si>
  <si>
    <t>ESPANADOR</t>
  </si>
  <si>
    <t>Algodao</t>
  </si>
  <si>
    <t>alcool</t>
  </si>
  <si>
    <t>DUREPOX</t>
  </si>
  <si>
    <t>Durepox</t>
  </si>
  <si>
    <t>Sulfato de aluminio ferroso liquido SiST.DO iNTERiOR</t>
  </si>
  <si>
    <t>COLAR DE TOMADA PVC C/ TRAVAS SAIDA ROSCA 50 X 1/2" OU 50MM X 3/4" P/ LIGACAO PREDIAL AGUA</t>
  </si>
  <si>
    <t>COLAR DE TOMADA PVC C/ TRAVAS SAiDA ROSCA 50 x 1/2" OU 50MM X 3/4" P/ LiGAcaO PREDiAL aGUA</t>
  </si>
  <si>
    <t>Horimetro</t>
  </si>
  <si>
    <t>COLAR DE TOMADA PVC C/ TRAVAS SAiDA ROSCA 110 x 1/2" OU 110MM X 3/4" P/ LiGAcaO PREDiAL aGUA</t>
  </si>
  <si>
    <t>Vaselina para pneus</t>
  </si>
  <si>
    <t>MiNA GRAFiTE</t>
  </si>
  <si>
    <t>Bolsa de lona</t>
  </si>
  <si>
    <t>Bateria estacionaria de 70AH x 12v</t>
  </si>
  <si>
    <t>CMB SUBMERSiVEL P/ POcO DE 8" C/aGUA AGRESSiVAS VAZaO 15,0maÃ‚Â³/h, MOD.S4S-14-10+7,5CV</t>
  </si>
  <si>
    <t>CMB SUBMERSiVEL P/ POcO DE 8" C/aGUA AGRESSiVAS VAZaO 25,0maÃ‚Â³/h. MOD.S6S-18-6+7,5CV</t>
  </si>
  <si>
    <t>CMB SUBMERSiVEL,TRiF.380V P/ POcO DE 6" C/aGUA Normais VAZaO 40,0maÃ‚Â³/h mod.s40/17+45cv</t>
  </si>
  <si>
    <t>CMB SUBMERSiVEL P/ POcO DE 8" C/aGUA AGRESSiVAS VAZaO 40,0maÃ‚Â³/h. MOD.S6S-48-05+17,5</t>
  </si>
  <si>
    <t>CMB SUBMERSiVEL P/ POcO DE 8" C/aGUA AGRESSiVAS VAZaO 45,0maÃ‚Â³/h. MOD.S6S-48-06+20CV</t>
  </si>
  <si>
    <t>Camera digital</t>
  </si>
  <si>
    <t>CMB SUB LEaO S45/10+35,0 CV 380V</t>
  </si>
  <si>
    <t>Extrator Espatula</t>
  </si>
  <si>
    <t>Adaptador Curto SR 25X3/4</t>
  </si>
  <si>
    <t>ADESIVO POLYTUBES</t>
  </si>
  <si>
    <t>Cap Soldavel 20mm</t>
  </si>
  <si>
    <t>TUBO SOLDAVEL 20MM 6MTS</t>
  </si>
  <si>
    <t>OCNA</t>
  </si>
  <si>
    <t>Tubo Soldavel 20mm 6mts</t>
  </si>
  <si>
    <t>Te Soldavel 25MM</t>
  </si>
  <si>
    <t>Tubo Soldavel 25MM</t>
  </si>
  <si>
    <t>Bomba PerifaÃ‚Â¨rica</t>
  </si>
  <si>
    <t>VALVULA DE Pe E CRIVO 10 AcO/FaÃ‚Â°FaÃ‚Â° DN400</t>
  </si>
  <si>
    <t>TRANSFORMADOR TRiF.300KVA,TENSaO 15KV,PRiM,13.800V,TENSaO SEC.380/220V</t>
  </si>
  <si>
    <t>QUADRO DE COMANDO TEN.FORcA 380V,TEN. COMANDO220V C/CHAVE PARTIDA ESTATICA TIPO SOFT-STARTER MOD.SSW-07 P/85A</t>
  </si>
  <si>
    <t>REGiSTROESFERA PVC 20 MM</t>
  </si>
  <si>
    <t>POLiMERO CATiONiCO GRANULADO</t>
  </si>
  <si>
    <t>impressora</t>
  </si>
  <si>
    <t>Tubo de Aco Galvonizado Sem Costura Dim 2440 DN 3" X 6M</t>
  </si>
  <si>
    <t>VEJA</t>
  </si>
  <si>
    <t>VASSOURA</t>
  </si>
  <si>
    <t>Valvula de ret. horiz., tipo portinhola unica, em FaÃ‚Â°FaÃ‚Â° nodular, DN 100</t>
  </si>
  <si>
    <t>Valvula de ret. horiz., tipo portinhola unica, em FaÃ‚Â°FaÃ‚Â° nodular, DN 100 LUSiTANOS</t>
  </si>
  <si>
    <t>Valvula de ret. horiz., tipo portinhola unica, em FaÃ‚Â°FaÃ‚Â° nodular, DN 100 PiMENTA ii</t>
  </si>
  <si>
    <t>Valvula de ret. horiz., tipo portinhola unica, em FaÃ‚Â°FaÃ‚Â° nodular, DN 150</t>
  </si>
  <si>
    <t>Valvula de ret. horiz., tipo portinhola unica, em FaÃ‚Â°FaÃ‚Â° nodular, DN 150 LEMANJa</t>
  </si>
  <si>
    <t>Valvula de ret. horiz., tipo portinhola unica, em FaÃ‚Â°FaÃ‚Â° nodular, DN 150 iPEM SaO CRiSTOVaO</t>
  </si>
  <si>
    <t>Valvula de ret. horiz., tipo portinhola unica, em FaÃ‚Â°FaÃ‚Â° nodular, DN 150 ANA JANSEM</t>
  </si>
  <si>
    <t>Valvula de ret. horiz., tipo portinhola unica, em FaÃ‚Â°FaÃ‚Â° nodular, DN 200</t>
  </si>
  <si>
    <t>Valvula de ret. horiz., tipo portinhola unica, em FaÃ‚Â°FaÃ‚Â° nodular, DN 200 PORTiNHO</t>
  </si>
  <si>
    <t>Valvula de ret. horiz., tipo portinhola unica, em FaÃ‚Â°FaÃ‚Â° nodular, DN 200 1.3 ANA JANSEM</t>
  </si>
  <si>
    <t>Valvula de ret. horiz., tipo portinhola unica, em FaÃ‚Â°FaÃ‚Â° nodular, DN 250 PiMENTA 1</t>
  </si>
  <si>
    <t>Valvula de ret. horiz., tipo portinhola unica, em FaÃ‚Â°FaÃ‚Â° nodular, DN 250 estrela</t>
  </si>
  <si>
    <t>Valvula de ret. horiz., tipo portinhola unica, em FaÃ‚Â°FaÃ‚Â° nodular, DN 250 becoda presa</t>
  </si>
  <si>
    <t>Valvula de ret. horiz., tipo portinhola unica, em FaÃ‚Â°FaÃ‚Â° nodular, DN 300</t>
  </si>
  <si>
    <t>Valvula de ret. horiz., tipo portinhola unica, em FaÃ‚Â°FaÃ‚Â° nodular, DN 300 cohatrac</t>
  </si>
  <si>
    <t>Valvula de ret. horiz., tipo portinhola unica, em FaÃ‚Â°FaÃ‚Â° nodular, DN 300 sao francisco</t>
  </si>
  <si>
    <t>Valvula de ret. horiz., tipo portinhola unica, em FaÃ‚Â°FaÃ‚Â° nodular, DN 300 turu</t>
  </si>
  <si>
    <t>Valvula de ret. horiz., tipo portinhola unica, em FaÃ‚Â°FaÃ‚Â° nodular, DN 400</t>
  </si>
  <si>
    <t>caminhao 3/4 marca ford, modelo cargo 816 S 4x2</t>
  </si>
  <si>
    <t>Veiculos</t>
  </si>
  <si>
    <t>DiSPOSiTiVO DE PARTiDAS DE MOTORES ELETRiCOS TiPO SOFT STARTER P/MOTOR</t>
  </si>
  <si>
    <t>SOFT STARTER TRIF. CORRENTE NOMINAL 85A,220-575 V, MODELO: SSW060085-T2257-PSZ</t>
  </si>
  <si>
    <t>SOFT STARTER TRiF. CORRENTE NOMiNAL 85A,220-575 V, MODELO: SSW060085-T2257-PSZ</t>
  </si>
  <si>
    <t>CMB SUBMERSiVEL P/ POcO DE 8" C/aGUA AGRESSiVAS VAZaO 18,0maÃ‚Â³/H</t>
  </si>
  <si>
    <t>Lixadeira</t>
  </si>
  <si>
    <t>TRANSFORMADOR TRiF.150KVA, 60hz,TENSaO ,PRiM,13.800V,TENSaO SEC.380/220V</t>
  </si>
  <si>
    <t>CONTATOR DE POTeNCiA 12A</t>
  </si>
  <si>
    <t>Rele de nivel C/3 ELETRODOS 220V</t>
  </si>
  <si>
    <t>Amperimetro de leitura direta 0 a 40A Tam. 72mm x 72mm</t>
  </si>
  <si>
    <t>Amperimetro de leitura direta 0 a 60A Tam. 72mm x 72mm</t>
  </si>
  <si>
    <t>CONTATOR AUXILIAR,4NA+2NF,220VCA</t>
  </si>
  <si>
    <t>CONTATOR AUXiLiAR,4NA+2NF,220Vca</t>
  </si>
  <si>
    <t>DiSJUNTOR TRiP.200A, 380V,10KA</t>
  </si>
  <si>
    <t>FUSIVEL NH 125A,TAM.02</t>
  </si>
  <si>
    <t>RELE DE SOBRECARGA TERMICO REG. 63 A 90A</t>
  </si>
  <si>
    <t>Rele de Sobrecarga TERMiCO REG. 63 A 90A</t>
  </si>
  <si>
    <t>Chave Boia tipo Nivel Superior ou inferior, cabo curto (15 metros) -- marca Margirius</t>
  </si>
  <si>
    <t>Fita isolante Autofusao (Largura = 19mm comprimento 30 mts) M/3m scotch 23lb</t>
  </si>
  <si>
    <t>Voltimetro de 0 a 600V, 72 mm x 72 mm</t>
  </si>
  <si>
    <t>Arame</t>
  </si>
  <si>
    <t>CABO DE COBRE ISOLADO 35MMAÃ‚Â², 1K/90AÃ‚Â°C</t>
  </si>
  <si>
    <t>TERMINAL DE COMPRESSAO P/CABO DE 35MMAÃ‚Â²</t>
  </si>
  <si>
    <t>TERMINAL DE COMPRESSAO P/CABO DE 16MMAÃ‚Â²</t>
  </si>
  <si>
    <t>CMB SUBMERSiVEL P/ POcO DE 4" C/aGUA AGRESSiVAS VAZaO 8,0maÃ‚Â³/h, MOD.S4S-08-09+3,0CV</t>
  </si>
  <si>
    <t>ABAFADOR DE RUIDOS</t>
  </si>
  <si>
    <t>Abafador de ruidos</t>
  </si>
  <si>
    <t>Vaso sanitario</t>
  </si>
  <si>
    <t>CMB SUBMERSIVEL TRIF. 380V, P/POCO DE 10" C/AGUAS NORMAIS VAZAO=60,0M3/H AMT=125MCA</t>
  </si>
  <si>
    <t>CMB Submersivel Trif. 380v, p/poco de 10" c/aguas Normais Vazao=60,0m3/h AMT=125mca</t>
  </si>
  <si>
    <t>Alinhador de eixos a laser, Marca Fixturlaser</t>
  </si>
  <si>
    <t>Alinhador de Polias, Marca Fixturlaser</t>
  </si>
  <si>
    <t>Conjunto girante completo c/mancal ,eixo rolamentos, retentores selo e rotor da bomba imbil, modelo E8 M/iMBiL/E-8</t>
  </si>
  <si>
    <t>CMB SUBMERSIVEL TRIF. 380V, P/POCO DE 8" C/AGUAS NORMAIS: VAZAO=15,0M3/H AMT=60 MCA</t>
  </si>
  <si>
    <t>CMB Submersivel Trif. 380v, p/Poco de 8" c/aguas Normais: Vazao=15,0m3/h AMT=60 mca</t>
  </si>
  <si>
    <t>CMB SUBMERSiVEL TRRiF. 380V, P/ POcO DE 6" C/ aGUAS AGRESSiVAS: VAZaO = 35,0M/H AMT=70MCA M/VANBRO MOD. VBSP - 68</t>
  </si>
  <si>
    <t>CMB SUBMERSiVEL TRRiF. 380V, P/ POcO DE 6" C/ aGUAS AGRESSiVAS: VAZaO = 40,0M/H AMT=60MCA M/VANBRO MOD. VBSP - 68</t>
  </si>
  <si>
    <t>CMB SUBMERSiVEL TRRiF. 380V, P/ POcO DE 6" C/ aGUAS AGRESSiVAS: VAZaO = 60,0M/H AMT=110MCA M/VANBRO MOD. VBSP - 68</t>
  </si>
  <si>
    <t>Registro de Gaveta DN 75</t>
  </si>
  <si>
    <t>CMB SUBMERSIVEL TRIF. 380V, P/POCO DE 8" C/AGUAS NORMAIS VAZAO=55,0M3/H AMT=55 MCAMOD.S40/07+18CV</t>
  </si>
  <si>
    <t>CMB Submersivel Trif. 380V, p/Poco de 8" c/aguas Normais Vazao=55,0m3/h AMT=55 mcaMod.S40/07+18CV</t>
  </si>
  <si>
    <t>Amperimetro de leitura direta, escal 0 a 25 A, tam. 72mm x 72mm, M/Stark</t>
  </si>
  <si>
    <t>Contator Auxiliar, 2NA+2NF, 220Vca (ABNT NBR iEC 60947-4), M/WEG</t>
  </si>
  <si>
    <t>RELE DE FALTA DE FASE RST 380V</t>
  </si>
  <si>
    <t>Painel p/instalac. de 01 (uma) Soft-Starter c/dimensao 800 x 2.000 x 650mm, barram. de cobre p/motores 06 terminais 500v</t>
  </si>
  <si>
    <t>Terminal tipo olhal p/cabo cobre isolado 1 x 50mm2</t>
  </si>
  <si>
    <t>SOFT STARTER P/ MOTOR TRiFASiCO, CORRENTE DE CARGA DE ATE 30A MARCA WEG</t>
  </si>
  <si>
    <t>SOFT STARTER P/ MOTOR TRIFASICO, CORRENTE DE CARGA DE ATE 60A MARCA WEG</t>
  </si>
  <si>
    <t>SOFT STARTER P/ MOTOR TRiFASiCO, CORRENTE DE CARGA DE ATE 60A MARCA WEG</t>
  </si>
  <si>
    <t>SOFT STARTER P/ MOTOR TRiFASiCO, CORRENTE DE CARGA DE ATE 85A MARCA WEG</t>
  </si>
  <si>
    <t>SOFT STARTER P/ MOTOR TRIFASICO, CORRENTE DE CARGA DE ATE 130A MARCA WEG</t>
  </si>
  <si>
    <t>Contator de Potencia 63A, 380V/220V - 2NA +2NF</t>
  </si>
  <si>
    <t>CONTATOR DE POTENCIA 140A, 380V/220V -2NA+2NF</t>
  </si>
  <si>
    <t>Contator de Potencia 140A, 380V/220V -2NA+2NF</t>
  </si>
  <si>
    <t>Disjuntor Tripolar 90A, TensÃ£o de Trabalho 380V, Tipo Cx. Mold. 10KA</t>
  </si>
  <si>
    <t>Disjuntor 125A, Tensao de Trab.380V, Tipo Cx. Mold. 10KA</t>
  </si>
  <si>
    <t>Dispositivo de sinalizacao de comando c/lampadaincorporada 220Vmm, VERDE</t>
  </si>
  <si>
    <t>Dispositivo de sinalizacao de comando c/lampada incorporada, 220V, 22mm, VERMELHO</t>
  </si>
  <si>
    <t>FITA ISOLANTE(LARGURA=19MM,COMPRIMENTO=10M</t>
  </si>
  <si>
    <t>Fusivel Diazed retardado 10A</t>
  </si>
  <si>
    <t>Fusivel Diazed retardado 20A</t>
  </si>
  <si>
    <t>Fusivel Diazed retardado 25A</t>
  </si>
  <si>
    <t>Fusivel Diazed retardado 35A</t>
  </si>
  <si>
    <t>Fusivel Diazed retardado 50A</t>
  </si>
  <si>
    <t>Fusivel NH 250A, tamanho 01</t>
  </si>
  <si>
    <t>FUSIVEL NH 400A, TAMANHO 02</t>
  </si>
  <si>
    <t>Rele de sobrecarga termico reg. 10 a 16a</t>
  </si>
  <si>
    <t>Rele de sobrecarga termico reg. 32 a 40a</t>
  </si>
  <si>
    <t>Rele de sobrecarga termico reg. 50 a 63a</t>
  </si>
  <si>
    <t>DISJUNTOR TRIPOLAR 80A, TENSAO DE TRABALHO 380V, TIPO CX. MOLD. 10 KA</t>
  </si>
  <si>
    <t>Disjuntor Tripolar 80A, Tensao de Trabalho 380V, Tipo Cx. Mold. 10 KA</t>
  </si>
  <si>
    <t>ESMERILHADEIRA</t>
  </si>
  <si>
    <t>Esmerilhadeira</t>
  </si>
  <si>
    <t>CMB,SUBMERSIVEL,TRIFASICO 380V, PARA POCOS DE 6", COM AGUAS NORMAIS: VAZAO =40,0 M3/H E AMT=100 MCA, MARCA LEAO</t>
  </si>
  <si>
    <t>CMB,Submersivel,Trifasico 380V, para Pocos de 6", com aguas Normais: Vazao =40,0 m3/h e AMT=100 MCA, marca LEaO</t>
  </si>
  <si>
    <t>Almotolia</t>
  </si>
  <si>
    <t>SOFT STARTER/ MOTOR TRIFASICO, CORRENTE DE CARGA ATE 30A (DEMAIS ESPECIFICACOES TECNICA CONF. PROPOSTA COMERCIAL ANEXA)</t>
  </si>
  <si>
    <t>Soft Starter/ motor trifasico, corrente de carga ate 30A (demais especificacoes tecnica conf. proposta comercial anexa)</t>
  </si>
  <si>
    <t>Uniao em aco galv. s/costura Din2440:DN 3"</t>
  </si>
  <si>
    <t>Quadro de Comando p/acionamento, trif. composto de duas chaves freq.60Hz; Potencia 60 Cv; tensao de forca 380vca 220vca</t>
  </si>
  <si>
    <t>LANTERNA RECARREGaVEL</t>
  </si>
  <si>
    <t>PA LiXO LORENZOL PLASTiCO CABO LONGO</t>
  </si>
  <si>
    <t>ORBi QUiMiCA JUNTA LiQUiDA</t>
  </si>
  <si>
    <t>Diazed retardado 2A SiEMENS</t>
  </si>
  <si>
    <t>CMB SUBMERSiVEL P/ POcO DE 8" C/aGUA AGRESSiVAS VAZaO 35,0maÃ‚Â³/h. MOD.S6S-30-06+15CV</t>
  </si>
  <si>
    <t>ACOPLAMENTO</t>
  </si>
  <si>
    <t>ANCiNHO</t>
  </si>
  <si>
    <t>Martelete</t>
  </si>
  <si>
    <t>Desempenadeira</t>
  </si>
  <si>
    <t>ALTRONIC RELE PROTECAO FALTADEFASE - 01 220/380V</t>
  </si>
  <si>
    <t>Altronic Rele Protecao Faltadefase - 01 220/380V</t>
  </si>
  <si>
    <t>LAPiS AZUL/PRETO</t>
  </si>
  <si>
    <t>EASY CLEAN 1KG</t>
  </si>
  <si>
    <t>CMB SUBMERSiVEL P/ POcO DE 8" C/aGUA AGRESSiVAS VAZaO 50,0maÃ‚Â³/h. MOD.S6S-48-04+15CV</t>
  </si>
  <si>
    <t>CMB SUBMERSiVEL P/ POcO DE 8" C/aGUA NORMAiS VAZaO 80,0maÃ‚Â³/h, MOD.S8S-78-07+60CV</t>
  </si>
  <si>
    <t>Chave Boia Sup e inf 15A</t>
  </si>
  <si>
    <t>CMB SUBMERSiVEL P/ POcO DE 6" C/aGUA NORMAiS VAZaO 40,0maÃ‚Â³/h MOD.S30/7+15CV</t>
  </si>
  <si>
    <t>CMB SUBMERSiVEL P/ POcO DE 6" C/aGUA NORMAiS VAZaO 45,0maÃ‚Â³/h MOD.S40/17+18CV</t>
  </si>
  <si>
    <t>Odorizador Ambiente</t>
  </si>
  <si>
    <t>Toner Hp Laserjet</t>
  </si>
  <si>
    <t>FONTE ATX 24 PINOS 500W REAL</t>
  </si>
  <si>
    <t>Fonte ATX 24 Pinos 500W Real</t>
  </si>
  <si>
    <t>Luva Fg DN 4"</t>
  </si>
  <si>
    <t>CMB Submersivel, Trif.380V, p/poco de 8", aguas Agressivas:Vazao=50m3/h AMT=125 mcaMod.S6S48-09+30Cv</t>
  </si>
  <si>
    <t>CMB Submersivel, Trif.380V, p/poco de 8", aguas Agressivas:Vazao=60m3/h AMT=100 mca Mod.S6S60-08+30Cv</t>
  </si>
  <si>
    <t>LUVA DE RED. EM AcO GALV. S/COSTURA DN4" X DN 3"</t>
  </si>
  <si>
    <t>BUCHA DE REDUcaO EM AcO GALV. S/COSTURA DN3" X DN 2.1/2"</t>
  </si>
  <si>
    <t>BUCHA DE REDUcaO EM AcO GALV. S/COSTURA DN4" X DN 3"</t>
  </si>
  <si>
    <t>CMB SUBMERSiVEL P/ POcO DE 8" C/aGUA AGRESSiVAS VAZaO 40maÃ‚Â³/h. MOD.S6S-48-07+25CV</t>
  </si>
  <si>
    <t>ROLAMENTO SKF IND (I) 6314-2Z/C3 70X150X35</t>
  </si>
  <si>
    <t>ROLAMENTO SKF iND (i) 6314-2Z/C3 70X150X35</t>
  </si>
  <si>
    <t>Tramontina Alicate</t>
  </si>
  <si>
    <t>Altronic Disjuntor</t>
  </si>
  <si>
    <t>Aparelho de ar condicionado tipo split 9.000btu's</t>
  </si>
  <si>
    <t>CMB Submersivel Trif. 380V, p/poco de 8", c/aguas Agressivas: Vazao=60,0m3/h AMT=130mca</t>
  </si>
  <si>
    <t>CMB Submersivel Trif.380V, p/poco de 8" c/aguas Agressivas: Vazao=60,0m3/h AMT=130 mca</t>
  </si>
  <si>
    <t>Inversor de solda</t>
  </si>
  <si>
    <t>Selim PVC JE 90GRAUS DN 125x100mm p/ coletor de esgoto</t>
  </si>
  <si>
    <t>PASTA LUBRiFiCANTE DE 400g</t>
  </si>
  <si>
    <t>CAFETEIRA</t>
  </si>
  <si>
    <t>CAFETEiRA</t>
  </si>
  <si>
    <t>SABAO</t>
  </si>
  <si>
    <t>Chave Gedore Allen Hexagonal CURTA</t>
  </si>
  <si>
    <t>Disjuntor DiN Tripolar 63A Tramont</t>
  </si>
  <si>
    <t>Valvula Ret. Horiz Pot Unic Fofo Fl Dn 75MM</t>
  </si>
  <si>
    <t>Valvula de Retencao Horizontal Bronze DN 4</t>
  </si>
  <si>
    <t>CMB Submersivel Trif. 380V, p/poco de 8", c/aguas Agressivas: Vazao=60,0maÃ‚Â³/h AMT=100mca</t>
  </si>
  <si>
    <t>Copo Descartavel FC 180ML</t>
  </si>
  <si>
    <t>QUEROSENE</t>
  </si>
  <si>
    <t>Adesivo Plastico</t>
  </si>
  <si>
    <t>Balde Concreto Plast 12L Com Bico Preto</t>
  </si>
  <si>
    <t>Valvula Pe c/crivo</t>
  </si>
  <si>
    <t>EQUIPAMENTO JAR TEST, C/06 PROVAS DIGITAIS</t>
  </si>
  <si>
    <t>EQUiPAMENTO JAR TEST, C/06 PROVAS DiGiTAiS</t>
  </si>
  <si>
    <t>EQUiPAMENTO JAR TEST, C/03 PROVAS DiGiTAiS, CAP.: 2.000ML</t>
  </si>
  <si>
    <t>EQUiPAMENTO JAR TEST, C/06 PROVAS DiGiTAiS, CAP.: 2.000ML</t>
  </si>
  <si>
    <t>TE SOLDAVEL 110MM</t>
  </si>
  <si>
    <t>TE SOLDaVEL 110mm</t>
  </si>
  <si>
    <t>Tarugo</t>
  </si>
  <si>
    <t>Amperimetro de leitura direta 100A Tam. 72mm x 72mm Deflexao 90</t>
  </si>
  <si>
    <t>CONJUNTO MOTO BOMBA Submersivel .trif.38V,p/Poco 10'',c/aguas Normas:Vazao=60,0maÃ‚Â³/h ATM=75mca M/Leao Mod.S65/7+27,5C</t>
  </si>
  <si>
    <t>MOTOCiCLETA</t>
  </si>
  <si>
    <t>Microfone</t>
  </si>
  <si>
    <t>Equipamentos para Áudio, Vídeo e Foto</t>
  </si>
  <si>
    <t>NOTEBOOK SAMSUNG</t>
  </si>
  <si>
    <t>Notebook Samsung</t>
  </si>
  <si>
    <t>PEN DRIVER - MEMORIA FLASHER CAPACIDADE DE 8GB MARCA /MODELO SANDISK</t>
  </si>
  <si>
    <t>CABO DE COBRE MONOFASICO, FLEXIVEL, ISOLADO EM PVC A 70AÃ‚Â° C, P/TENSAO NOMINAL ATE 750V DE 1,5MM2, COR PRETA</t>
  </si>
  <si>
    <t>CABO DE COBRE MONOFASICO, FLEXIVEL, ISOLADO EM PVC A 70AÃ‚Â°C P/TENSAO NOMINAL ATE 750V DE 1,5MM2 NA COR CINZA, MARCA CO</t>
  </si>
  <si>
    <t>L200 Triton Sport GL 2.4D</t>
  </si>
  <si>
    <t>Luva de correr junta mecanica, classe K-7, p/ambiente agressivo DN 400, marca FUNCY</t>
  </si>
  <si>
    <t>MULTiMETRO DiGiTAL</t>
  </si>
  <si>
    <t>tubo em ferro fundido dn 400</t>
  </si>
  <si>
    <t>Amperimetro de leitura direta, escala 0 a 150A, tam 72mm</t>
  </si>
  <si>
    <t>Amperimetro de leitura direta, escala 0 a 200A, tam 72mm</t>
  </si>
  <si>
    <t>Contator de potencia 85A, 220V 2NA + 2NF</t>
  </si>
  <si>
    <t>RELE DE SOBRECARGA TERMICO REG, 90 A 120A</t>
  </si>
  <si>
    <t>Rele de sobrecarga termico reg, 90 a 120A</t>
  </si>
  <si>
    <t>Fusivel NH 100, tamanho 01</t>
  </si>
  <si>
    <t>Fusivel NH 200A tamanho 01</t>
  </si>
  <si>
    <t>Fusivel NH 40A, tamanho 00 m/TEE</t>
  </si>
  <si>
    <t>Fusivel NH 50A, tamanho 00 m/TEE</t>
  </si>
  <si>
    <t>Fusivel NH 80A, tamanho 00</t>
  </si>
  <si>
    <t>Haste de aterramento aco cobreado. Diametro: 16mm, L: 1500mm</t>
  </si>
  <si>
    <t>Densimetro Escala 1.000/ 1.500 SUB 0,005 NCM 90258000</t>
  </si>
  <si>
    <t>CMB CENTRIFUGA DE EIXO HORIZONTAL, Q=200MAÃ‚Â³/H AMT=77MCA., ROTOR EM ACO INOX, MOTOR DE INDUCAO ELETRICA TRIFASICO 380V</t>
  </si>
  <si>
    <t>EQUIPAMENTOS ELETRO-MECANICOS</t>
  </si>
  <si>
    <t>PAQUiMETRO</t>
  </si>
  <si>
    <t>EXTiNTOR</t>
  </si>
  <si>
    <t>CMB Submersivel, Trif.380V, p/poco de 8", c/ agua Agressivas, vazao 60.0/80.0m3/h AMT=216.0/190mca</t>
  </si>
  <si>
    <t>AVENTAL</t>
  </si>
  <si>
    <t>Avental</t>
  </si>
  <si>
    <t>Reg. de Gaveta chato em FaÃ‚Â°FaÃ‚Â°, copo e castelo emFaÃ‚Â°FaÃ‚Â° nodular, vedacao em bronze DN 50</t>
  </si>
  <si>
    <t>Reg. de Gaveta chato em FaÃ‚Â°FaÃ‚Â°, copo e castelo emFaÃ‚Â°FaÃ‚Â° nodular, vedacao em bronze DN 75</t>
  </si>
  <si>
    <t>Reg. de Gaveta chato em FaÃ‚Â°FaÃ‚Â°, copo e castelo emFaÃ‚Â°FaÃ‚Â° nodular, vedacao em bronze DN 150</t>
  </si>
  <si>
    <t>Reg. de Gaveta chato em FaÃ‚Â°FaÃ‚Â°, copo e castelo emFaÃ‚Â°FaÃ‚Â° nodular, vedacao em bronze DN 200 cota principal</t>
  </si>
  <si>
    <t>CMB SUBMERSIVEL TRIF.380V P/POCO DE 6", C/AGUAS NORMAIS: VAZAO=35.0/50.M3 E AMT=170.0/140.0MCA</t>
  </si>
  <si>
    <t>CMB SUBMERSIVEL MONOFASICO, P/POCO DE 4", C/AGUAS NORMAIS: VAZAO=3.0/5M3/H AMT= 97.0/65 MCA MARCA LEAO</t>
  </si>
  <si>
    <t>CMB Submersivel Monofasico, p/Poco de 4", c/aguas Normais: Vazao=3.0/5m3/h AMT= 97.0/65 mca Marca LEaO</t>
  </si>
  <si>
    <t>CMB Submersivel Monofasico, p/Poco de 6", c/aguas Agressivas: Vazao=45.0/60m3/h AMT= 125.0/85.0 mca Marca LEaO</t>
  </si>
  <si>
    <t>CMB Submersivel Trif.380V p/Poco 6", c/aguas Agressivas: Vazao=30.0/50.0m3/h AMT=105.0/75.0mca, p/Poco do interior</t>
  </si>
  <si>
    <t>TALHA ELÉTRICA C/ CORRENTE 3.000 KG C/ TROLE ELÉTRICO, 15 METROS</t>
  </si>
  <si>
    <t>TALHA ELÉTRICA C/ CORRENTE 3.000 KG
 C/ TROLE ELÉTRICO, 15 METROS</t>
  </si>
  <si>
    <t>PANO DE CHAO</t>
  </si>
  <si>
    <t>ESTOJO DE ANALiSES GENCO PH CLORO</t>
  </si>
  <si>
    <t>ESTABiLiZADOR</t>
  </si>
  <si>
    <t>CMB SUBMERSiVEL TRIF 380V, P/POÃƒâ€¡O DE 6'' C/aGUAS AGRESSIVAS: VAZaO=55.0/80.0 AMT=81.0/61.0MCA, M/WILO MOD SP16.70-06</t>
  </si>
  <si>
    <t>CMB SUBMERSiVEL TRIF 380V, P/POÃƒâ€¡O DE 6'' C/aGUAS AGRESSIVAS: VAZaO=30.0/50.0 AMT=160.0/117.0MCA, M/WILO MOD SP16.52-</t>
  </si>
  <si>
    <t>Aparelho de Ar CondicionadoTipo Split Capac. de 18.000 BTU's 220 Volts seloA/MARCA Modelo AGRATTO CCS18FiRA-02</t>
  </si>
  <si>
    <t>ADOCANTE</t>
  </si>
  <si>
    <t>CMB SUBMERSIVEL TRIF.380V, P/POCO DE 6", C/AGUAS AGRESSIVAS:VAZAO:25.0/45M3/H AMT=87.0/48.0MCA ME/EPP/GRANDE</t>
  </si>
  <si>
    <t>CMB SUBMERSIVEL TRIF.380V, P/POCO6",VAZAO=45.0/60.0 AMT=125.0/85.0MCA M/WILO</t>
  </si>
  <si>
    <t>CMB Submersivel Trif.380V, p/poco6",Vazao=30.0/50.0 AMT=160.0/117.0mca M/Wilo P/Sao Bento P-12 e Esperantinopolis P-01A</t>
  </si>
  <si>
    <t>CMB Submersivel Trif.380V, p/poco de 6"c/aguas Agressivas: Vazao:32m3/h AMT=68mca M/WiLO Planalto Anil Pingao P01</t>
  </si>
  <si>
    <t>CMB Submersivel Trif.380V, p/poco de 6"c/aguas Agressivas: Vazao:22m3/h AMT=115mca M/WiLO Vila Embratel P01</t>
  </si>
  <si>
    <t>CMB Submersivel Trif.380V, p/poco de 6"c/aguas Agressivas: Vazao:60m3/h AMT=126.0mca M/WiLO Poco Vila Janaina P01</t>
  </si>
  <si>
    <t>CMB SUBMERSiVEL TRiF 380 V, p/POcO DE 6'', C/aGUAS AGRESSiVAS: VAZaO= 12.0/24.0 MaÃ‚Â³/H AMT=20.5/124.0 mca, M/WiLO MOD.</t>
  </si>
  <si>
    <t>CMB SUBMERSiVEL TRiF 380 V, p/POcO DE 6'', C/aGUAS AGRESSiVAS: VAZaO= 35.0/55.0 MaÃ‚Â³/H AMT=132.0/90.0 mca, M/WiLO MOD.</t>
  </si>
  <si>
    <t>CMB SUBMERSiVEL TRiF 380 V, p/POcO DE 6'', C/aGUAS AGRESSiVAS: VAZaO= 12.0/24.0 MaÃ‚Â³/H AMT=75.0/44.0 mca, M/WiLO MOD.</t>
  </si>
  <si>
    <t>CMB SUBMERSiVEL TRiF 380 V, p/POcO DE 7'', C/aGUAS AGRESSiVAS: VAZaO= 70.0/100.0 AMT=190.0/145.0 mca, M/WiLO MOD. SP17.8</t>
  </si>
  <si>
    <t>Aparelho de Ar Condicionado Tipo Split Capacidade 9.000 BTUS 220 Volts, MARCA AGRATO, Fabr. Ventisol ECO 410</t>
  </si>
  <si>
    <t>inversor de Frequencia de baixa tensao p/controle de partida</t>
  </si>
  <si>
    <t>CANELETA</t>
  </si>
  <si>
    <t>CMB Submersivel Trif. 380V p/poco de 6" c/aguas Agressivas, Vazao:22m3/h AMT=85mca M/WiLO</t>
  </si>
  <si>
    <t>CMB Submersivel Trif. 380V p/poco de 6" c/aguas Agressivas, Vazao:35m3/h AMT=75,0mca M/WiLO</t>
  </si>
  <si>
    <t>PORTA CANETA</t>
  </si>
  <si>
    <t>ADESiVO P/ JUNTA</t>
  </si>
  <si>
    <t>CREME DESENGRAXANTE P/ MAOS</t>
  </si>
  <si>
    <t>CAiXA DE CORRESPONDeNCiA</t>
  </si>
  <si>
    <t>Adaptador pvc</t>
  </si>
  <si>
    <t>COMPASSO</t>
  </si>
  <si>
    <t>BOMBRiL</t>
  </si>
  <si>
    <t>SODA CAUSTiCA</t>
  </si>
  <si>
    <t>BLOQUETE</t>
  </si>
  <si>
    <t>REBiTADOR</t>
  </si>
  <si>
    <t>QUADRO E COMANDO E PROTEcaO C/SOFT-STARTER P/2 MOTORES POT.100CV</t>
  </si>
  <si>
    <t>FRASCO COM TAMPA ROSCA, DESCARTAVEL, ESTERIL, CAPACIDADE DE 120 ML, MARCACAO DE 100 ML, CAIXA COM 200 UNIDADES</t>
  </si>
  <si>
    <t>frasco com tampa rosca, descartavel, esteril, capacidade de 120 ML, MARCAcaO DE 100 ML, CAiXA COM 200 UNiDADES</t>
  </si>
  <si>
    <t>Bota de seguranca cano longo tipo impermeavel , cor preta e sem forro de uso profissional confeccionada em policloreto</t>
  </si>
  <si>
    <t>SOFT STARTE - 130A - 50CV - 75CV / 380V - 100CV/440V SEM IHM - COM BY-PASS INCORPORADA, ALIMENTACA 220/575 - ALIMENTACAO</t>
  </si>
  <si>
    <t>Soft Starte - 130A - 50CV - 75CV / 380V - 100CV/440V Sem iHM - com by-pass incorporada, alimentaca 220/575 - Alimentacao</t>
  </si>
  <si>
    <t>Luva de nitrilica na cor verde, palma antiderrapante em alto relevo sem forro</t>
  </si>
  <si>
    <t>Amaciante</t>
  </si>
  <si>
    <t>Hipoclorito de Calcio. asp fisico em pastilha,Quimica CACL.202anidro.peso molecular 142,98g/mol.teor de pureza minima</t>
  </si>
  <si>
    <t>FITA ZEBRADA P/ ISOLAMENTO 7CMX200M NA COR PRETA E AMARELA, MARCA SEGMENTO C.A - ISENTO</t>
  </si>
  <si>
    <t>Fita Zebrada p/ isolamento 7cmX200m na cor preta e amarela, Marca SEGMENTO C.A - isento</t>
  </si>
  <si>
    <t>Bolsa porta ferramenta,confeccionada em lona imperrmeave na cor verde,com reforco no fundo e nas laterais,costura l</t>
  </si>
  <si>
    <t>Capacete de seguranca aba total V-Gard,com Push Key e jugular, carneira de tecido,testeira absorvedora de suor produzida</t>
  </si>
  <si>
    <t>TORQUiMETRO</t>
  </si>
  <si>
    <t>Ar condicionado tipo Split capacidade 22.000 btu's 220 volts selo A</t>
  </si>
  <si>
    <t>Aparelho de Ar condicionado tipo Split capacidade 18.000 BTU, 220 volts selo A</t>
  </si>
  <si>
    <t>Aparelho de Ar condicionado tipo Split modelo ECO R410 capacidade 12.000 BTU,</t>
  </si>
  <si>
    <t>Mala para ferramentas</t>
  </si>
  <si>
    <t>CMB SUBMERSIVEL TRIF.380V,P/POÃƑÂ§O DE 6",C/VAZAO 28.0/50.0MÃ‚Â³/H.AMT=199.0/152.0MCA.MARCAWILO MOD.SP16.30-06XC6-WR-11C</t>
  </si>
  <si>
    <t>CMB Submersivel Trif.380V,p/PoÃƒÂ§o de 6",c/Vazao 28.0/50.0mÃ‚Â³/h.AMT=199.0/152.0mca.MarcaWILO Mod.SP16.30-06XC6-WR-11C</t>
  </si>
  <si>
    <t>Valvula de Alivio de Pressao</t>
  </si>
  <si>
    <t>Material de Reparo de Equipamentos Eletromecanicos</t>
  </si>
  <si>
    <t>TERMINAL GARFO</t>
  </si>
  <si>
    <t>Graxeiro reto</t>
  </si>
  <si>
    <t>Kit teclado e mouse</t>
  </si>
  <si>
    <t>DISPENSER OARA COPOS DESCARTÃ¡VEIS</t>
  </si>
  <si>
    <t>Dispenser oara copos descartÃ¡veis</t>
  </si>
  <si>
    <t>Capa para encadernação</t>
  </si>
  <si>
    <t>Conjunto de reagentes, aplicação quantitativo de alumínio em água, características adicionais colorimétrico, concentraçã</t>
  </si>
  <si>
    <t>Te soldável 85 mm</t>
  </si>
  <si>
    <t>Adaptador Curto SR 60 mm x2</t>
  </si>
  <si>
    <t>Conduite Flex. metalico 1/2 "</t>
  </si>
  <si>
    <t>Cal (pintura)</t>
  </si>
  <si>
    <t>Selo mecânico F22/47,6 para bomba Imbil E-8/EP-6</t>
  </si>
  <si>
    <t>Válvula Flap E 6 SA Soft A48 CL30 Neoprene para bomba Imbil EP-6/E-6</t>
  </si>
  <si>
    <t>Selo mecânico F22/41,3 para bomba Imbil E-3/EP-3</t>
  </si>
  <si>
    <t>Válvula Flap E-2 para bomba Imbil E-3</t>
  </si>
  <si>
    <t>Tampa pressão Ans 125/400</t>
  </si>
  <si>
    <t>Bomba p encher pneu</t>
  </si>
  <si>
    <t>DISJUNTOR TERMOMAGNÉTICO TIPO CAIXA MOLDURADA, TRIPOLAR , 30KA, 100A</t>
  </si>
  <si>
    <t>Disjuntor termomagnético tipo caixa moldurada, tripolar , 30KA, 100A</t>
  </si>
  <si>
    <t>DISJUNTOR TERMOMAGNÉTICO TIPO CAIXA MOLDURADA, TRIPOLAR , 30KA, 150A</t>
  </si>
  <si>
    <t>Disjuntor termomagnético tipo caixa moldurada, tripolar , 30KA, 150A</t>
  </si>
  <si>
    <t>Disjuntor termomagnético tipo caixa moldurada, tripolar , 30KA, 200A</t>
  </si>
  <si>
    <t>DISJUNTOR TERMOMAGNÉTICO TIPO CAIXA MOLDURADA, TRIPOLAR , 30KA, 250A</t>
  </si>
  <si>
    <t>Disjuntor termomagnético tipo caixa moldurada, tripolar , 30KA, 250A</t>
  </si>
  <si>
    <t>Disjuntor para manobra e proteção de motores, 40/45/50KA-380/415V.16A</t>
  </si>
  <si>
    <t>Fusível NH 10A tamanho 00</t>
  </si>
  <si>
    <t>Fusível NH 32A tamanho 00</t>
  </si>
  <si>
    <t>Fusível NH 50A tamanho 00</t>
  </si>
  <si>
    <t>Fusível NH 125A tamanho 00</t>
  </si>
  <si>
    <t>Limpa Telas</t>
  </si>
  <si>
    <t>Carregador de pilha</t>
  </si>
  <si>
    <t>AMPERÍMETRO TIPO FERRO MÓVEL,72MMX72MM-PARA MEDIÇÃO DIRETA - FUNDO DE ESCALA DE 5 A 60A</t>
  </si>
  <si>
    <t>Contator de potência 9A, 380V-1NA+1NF</t>
  </si>
  <si>
    <t>CONTATOR DE POTÊNCIA 12A, 380V-1NA+1NF</t>
  </si>
  <si>
    <t>Contator de potência 12A, 380V-1NA+1NF</t>
  </si>
  <si>
    <t>CONTATOR DE POTÊNCIA 16A, 380V-1NA+1NF</t>
  </si>
  <si>
    <t>Contator de potência 16A, 380V-1NA+1NF</t>
  </si>
  <si>
    <t>Contator de potência 25A, 380V-1NA+1NF</t>
  </si>
  <si>
    <t>Contator de potência 32A, 380V-1NA+1NF</t>
  </si>
  <si>
    <t>CONTATOR DE POTÊNCIA 45A, 380V-2NA+2NF</t>
  </si>
  <si>
    <t>Contator de potência 45A, 380V-2NA+2NF</t>
  </si>
  <si>
    <t>CONTATOR DE POTÊNCIA 63A, 380V-2NA+2NF</t>
  </si>
  <si>
    <t>Contator de potência 63A, 380V-2NA+2NF</t>
  </si>
  <si>
    <t>CONTATOR DE POTÊNCIA 75A, 380V-2NA+2NF</t>
  </si>
  <si>
    <t>Contator de potência 75A, 380V-2NA+2NF</t>
  </si>
  <si>
    <t>Contator de potência 85A, 380V-2NA+2NF</t>
  </si>
  <si>
    <t>RELÉ DE SOBRECARGA TÉRMICO, 10-16A</t>
  </si>
  <si>
    <t>Relé de sobrecarga térmico, 10-16A</t>
  </si>
  <si>
    <t>Relé de sobrecarga térmico, 16-25A</t>
  </si>
  <si>
    <t>RELÉ DE SOBRECARGA TÉRMICO, 20-32A</t>
  </si>
  <si>
    <t>Relé de sobrecarga térmico, 20-32A</t>
  </si>
  <si>
    <t>Relé de sobrecarga térmico, 32-40A</t>
  </si>
  <si>
    <t>RELÉ DE SOBRECARGA TÉRMICO, 63-90A</t>
  </si>
  <si>
    <t>Relé de sobrecarga térmico, 63-90A</t>
  </si>
  <si>
    <t>Relé de sobrecarga térmico, 70-88A</t>
  </si>
  <si>
    <t>RELÉ DE SOBRECARGA TÉRMICO, 90-120A</t>
  </si>
  <si>
    <t>Relé de sobrecarga térmico, 90-120A</t>
  </si>
  <si>
    <t>VOLTÍMETRO (72 X 72)MM - ESC. 0 A 500V</t>
  </si>
  <si>
    <t>Voltímetro (72 x 72)MM - ESC. 0 A 500V</t>
  </si>
  <si>
    <t>VOLTÍMETRO (96 X 96)MM - ESC. 0 A 500V</t>
  </si>
  <si>
    <t>Voltímetro (96 x 96)MM - ESC. 0 A 500V</t>
  </si>
  <si>
    <t>Contator auxiliar, 3NA+1NF, 220Vca</t>
  </si>
  <si>
    <t>Contator auxiliar, 4NA+2NF, 220Vca</t>
  </si>
  <si>
    <t>Relé de sobrecarga térmico, 1-1 6A</t>
  </si>
  <si>
    <t>Relé de sobrecarga térmico, 1, 6-2, 5A</t>
  </si>
  <si>
    <t>Relé de sobrecarga térmico, 2-,5-4A</t>
  </si>
  <si>
    <t>Relé de sobrecarga térmico, 4-6, 3A</t>
  </si>
  <si>
    <t>Relé de sobrecarga térmico, 6,3 - 10A</t>
  </si>
  <si>
    <t>RELÉ DE SOBRECARGA TÉRMICO, 160-250A</t>
  </si>
  <si>
    <t>Relé de sobrecarga térmico, 160-250A</t>
  </si>
  <si>
    <t>Relé de falta de fase, 380V</t>
  </si>
  <si>
    <t>LUVA FERRO 4</t>
  </si>
  <si>
    <t>Luva Ferro 4</t>
  </si>
  <si>
    <t>Luva roscavel 3/4</t>
  </si>
  <si>
    <t>Chave Philips 1/4x6</t>
  </si>
  <si>
    <t>Eletroduto 3/4</t>
  </si>
  <si>
    <t>DISJUNTOR TERMOMAGNÉTICO TIPO CAIXA MOLDADA, TRIPOLAR, 30KA,125A;</t>
  </si>
  <si>
    <t>DISJUNTOR TERMOMAGNÉTICO TIPO CAIXA MOLDADA, TRIPOLAR, 30KA,175A;</t>
  </si>
  <si>
    <t>Disjuntor termomagnético tipo caixa moldada, tripolar, 30KA,175A;</t>
  </si>
  <si>
    <t>Disjuntor termomagnético tipo caixa moldada, tripolar, 30KA,225A;</t>
  </si>
  <si>
    <t>Disjuntor termomagnético tipo caixa moldada, tripolar, 30KA,600A</t>
  </si>
  <si>
    <t>Disjuntor para manobra e proteção de motores, 40/45/50KA-380/415V, 6,3A</t>
  </si>
  <si>
    <t>Disjuntor para manobra e proteção de motores, 40/45/50KA-380/415V, 25A</t>
  </si>
  <si>
    <t>Fusível NH 6A tamanho 00</t>
  </si>
  <si>
    <t>Fusível NH 16A tamanho 00</t>
  </si>
  <si>
    <t>Fusível NH 25A tamanho 00</t>
  </si>
  <si>
    <t>Fusível NH 200A tamanho 01</t>
  </si>
  <si>
    <t>FUSÍVEL NH 224A TAMANHO 01</t>
  </si>
  <si>
    <t>Fusível NH 224A tamanho 01</t>
  </si>
  <si>
    <t>Fusível NH 315A tamanho 02</t>
  </si>
  <si>
    <t>Bebedouro</t>
  </si>
  <si>
    <t>REFRIGERADOR ESMALTEC ROC 31 245 L</t>
  </si>
  <si>
    <t>Sulfato de aluminio ferroso granulado( kg)</t>
  </si>
  <si>
    <t>Relé de sobrecarga térmico, 8,12,5A</t>
  </si>
  <si>
    <t>Carregador Portátil</t>
  </si>
  <si>
    <t>Registro de gaveta com flanges. Tipo de registro: gaveta chato cunha rigida DN 150. Tipo de extremidades; Flanges.. Pres</t>
  </si>
  <si>
    <t>Registro de gaveta com flanges. Tipo de registro: gaveta chato cunha rigida dn 100. Tipo de extremidades; Flanges.. Pres</t>
  </si>
  <si>
    <t>Aplicador silicone</t>
  </si>
  <si>
    <t>Boia de Nivel Sensor Control</t>
  </si>
  <si>
    <t>BOMBEADOR EBARA 4BPS8F-07 ESTAGIOS VAL/ASP FF SAIDA 1.1/2 P/2HP</t>
  </si>
  <si>
    <t>Access Point Ubiquiti Networks MIMO - UAP-AC-LITE BR</t>
  </si>
  <si>
    <t>Martelo Borracha 60mm</t>
  </si>
  <si>
    <t>RELÓGIO COMPARADOR CENTESIMAL 10 MM</t>
  </si>
  <si>
    <t>Lençol borracha com lona</t>
  </si>
  <si>
    <t>Tomada femea 20 A</t>
  </si>
  <si>
    <t>Armário 3 portas VD ( Bens de pequeno valor)</t>
  </si>
  <si>
    <t>Bens de Pequeno Valor (Uso Administrativo)</t>
  </si>
  <si>
    <t>Fita isolante 5M anti-chamas</t>
  </si>
  <si>
    <t>Acendedor p/ maçarico e bico de gás</t>
  </si>
  <si>
    <t>Alavanca aço frizada</t>
  </si>
  <si>
    <t>Abraçadeira condulente top 3/4</t>
  </si>
  <si>
    <t>Cadeira de escritório giratório</t>
  </si>
  <si>
    <t>GPS Garmin e trex 30x</t>
  </si>
  <si>
    <t>Abraçadeira aperto manual</t>
  </si>
  <si>
    <t>Kit Serra Copo</t>
  </si>
  <si>
    <t>Máscara de solda automática com regulagem</t>
  </si>
  <si>
    <t>Anel de vedação Flap E6 em borracha</t>
  </si>
  <si>
    <t>Parafusadeira 12 V c/ bateria Litio</t>
  </si>
  <si>
    <t>Bens de Pequeno Valor (Uso Operacional)</t>
  </si>
  <si>
    <t>Trena fibra de vidro 100 m</t>
  </si>
  <si>
    <t>Rotor fofo Meganorm 150/315</t>
  </si>
  <si>
    <t>Compressor ar direto G3 c/m 1/3 HP</t>
  </si>
  <si>
    <t>CMB submersa Vazão= 15,0 m3/h e AMT= 70 mca TRIFÁSICO(380V) 6" AGRESSIVAS</t>
  </si>
  <si>
    <t>CMB submersa Vazão= 15,0m3/h e AMT= 120 mca TRIFÁSICO (380V) 6" AGRESSIVAS;</t>
  </si>
  <si>
    <t>CMB submersa Vazão= 20,0 m3/h e AMT= 80 mca TRIFÁSICO(380V) 6" AGRESSIVAS</t>
  </si>
  <si>
    <t>CMB submersa Vazão= 20,0 m3/h e AMT 155 mca TRIFÁSICO(380V) 6" AGRESSIVAS;</t>
  </si>
  <si>
    <t>CMB submersa Vazão=60,0 m3/h e AMT=140mca TRIFÁSICO(380V) 8" AGRESSIVAS;</t>
  </si>
  <si>
    <t>Conjunto moto bomba submersível para esgoto com vazão 25m3/h AMT= 72mca trifásica 220/380 V, 60Hz, potência de até 23 CV</t>
  </si>
  <si>
    <t>CMB  KSB -Vazão = 50,00m?/h e ATM = 120 mca</t>
  </si>
  <si>
    <t>CMB  KSB -Vazão = 400,00 m?/h AMT = 57 mca</t>
  </si>
  <si>
    <t>CMB  KSB -VAZÃO = 120,00M?/H AMT = 82 MCA</t>
  </si>
  <si>
    <t>CMB  KSB -Vazão = 195,00 m?/h AMT = 50 mca</t>
  </si>
  <si>
    <t>CMB  KSB -Vazão = 200,00 m?/h AMT = 53 mca</t>
  </si>
  <si>
    <t>Água desmineralizada</t>
  </si>
  <si>
    <t>Dulub Hipoide 90 gl4 bd 20l</t>
  </si>
  <si>
    <t>Tubo coletor de esgoto pvc, jei, dn 150 mm (nbr 7362) HIDROPLAST</t>
  </si>
  <si>
    <t>Tubo Edutor de Alta Resistência Upvc - CLASSE HEAVY (Reforçado) de 4'x3,05m, esp=8,2mm CRI</t>
  </si>
  <si>
    <t>Registro Fofo bolsa 110 mm</t>
  </si>
  <si>
    <t>Alcool Isopropilico</t>
  </si>
  <si>
    <t>Bicicleta Flash azul Aro 26</t>
  </si>
  <si>
    <t>Materiais para evento</t>
  </si>
  <si>
    <t>Painel de Automação Modular PLC com 24 DI, 16 DO, 2 AI de 4 a 20 mA, RS 484/232 e ethernet; IHM 7"</t>
  </si>
  <si>
    <t>Contratos de Montagem e Instalação de Equipamentos</t>
  </si>
  <si>
    <t>Painel de Automação Compacto PLC com 9 Di, 7 DO, 2 AI de 4 a 20 mA, RS485/232 e ethernet; 24 Vcc RS 485/232; M</t>
  </si>
  <si>
    <t>Painel de Automação Compacto PLC com 9 DI, 7 DO, 2 AI de 4 a 20 mA, RS485/232 e ethernet; 24 Vcc RS RS485/232 Modem GPR</t>
  </si>
  <si>
    <t>Registro Gaveta Fofo Fl PN 10/16 DN 300 MM C/ Volante</t>
  </si>
  <si>
    <t>Acelerador CDL(roçadeira)</t>
  </si>
  <si>
    <t>Adaptador inferior em aço inox para tubo edutor de alta resistência classe heavy (reforçado) DN 4 ' MARCA C.R.I</t>
  </si>
  <si>
    <t>Adaptador superior em aço inox para tubo edutor de alta resistência classe heavy (reforçado) DN 4' MARCA C.R.I</t>
  </si>
  <si>
    <t>Válvula de retenção horizontal bronze c rosca cl 125 DN 1 1/2 ' 1,300 KG</t>
  </si>
  <si>
    <t>Acetileno 1Kg ind Gas ONU 1001</t>
  </si>
  <si>
    <t>Motor elétrico de indução trifásico rotor gaiola de esquilo, Potência 15 CV, 220/380V, 60 Hz, 4 Polos, Categoria N, WEG</t>
  </si>
  <si>
    <t>Motor elétrico de indução trifásico rotor gaiola de esquilo, Potência 20 CV, 220/380V, 60 Hz, 4 Polos, Categoria N,WEG</t>
  </si>
  <si>
    <t>Motor elétrico de indução trifásico rotor gaiola de esquilo, Potência 25 CV, 220/380V, 60 Hz, 4 Polos, Categoria N, WEG</t>
  </si>
  <si>
    <t>Motor elétrico de indução trifásico rotor gaiola de esquilo, Potência 60 CV, 220/380V, 60 Hz, 4 Polos, Categoria N, WEG</t>
  </si>
  <si>
    <t>Motor elétrico de indução trifásico rotor gaiola de esquilo, Potência 100 CV, 220/380V, 60 Hz, 4 Polos, Categoria N, WEG</t>
  </si>
  <si>
    <t>Eletrodo 6013 2,50 mm</t>
  </si>
  <si>
    <t>ALCOOL GEL 70% 4,3 KG CILCLO FARMA</t>
  </si>
  <si>
    <t>Camisa social masculina manga curta fechamento frontal c/botões em toda extensão,bolso frontal no lado esquerdo gram155</t>
  </si>
  <si>
    <t>Camisa social masculina manga curta fechamento frontal c/ botões em toda extensão,bolso frontal no lado esquerd gram.300</t>
  </si>
  <si>
    <t>Camisa social feminina com manga 3/4,com gola, acinturada c/ pences fechamento frontal com 08 botões em toda extensão155</t>
  </si>
  <si>
    <t>Camisa social feminina c/manga curta, com gola mandarim chinês,acinturada com pences fechamento frontal c/ 08 botões300</t>
  </si>
  <si>
    <t>Jaleco branco com manga comprida e punho sanfonado, com três bolsos- Excin</t>
  </si>
  <si>
    <t>Camisa masculina,manga longa com elástico nos punhos,colarinho básico, frente aberta, fechamento através de botões e cas</t>
  </si>
  <si>
    <t>Prensa cabo rosca Lukma</t>
  </si>
  <si>
    <t>Guincho</t>
  </si>
  <si>
    <t>Tubo Agua; PVC; 60 MM</t>
  </si>
  <si>
    <t>Microfone Shotgun com alcance de frequência 40Hz a 20kHz; Sensibilidade 38 dB at 1kHz; Tipo de bateria 2x AA; A relação</t>
  </si>
  <si>
    <t>Estabilizador para gravação com uso de câmara, com rotação de 360 nos três eixos, capacidade de carga: 0,36 a 1.8kg, Ba</t>
  </si>
  <si>
    <t>Lavadora de Alta Pressão k1 220 V</t>
  </si>
  <si>
    <t>Cabo cobre PP 3X6 MM</t>
  </si>
  <si>
    <t>Eletroduto ferro galvanizado</t>
  </si>
  <si>
    <t>Bebedouro Industrial Inox 200 Litros 220 V 4 torneiras</t>
  </si>
  <si>
    <t>Serra Tico-Tico</t>
  </si>
  <si>
    <t>ADAPTADOR SOLDAVEL 25 MM</t>
  </si>
  <si>
    <t>Adaptador soldavel 25 mm</t>
  </si>
  <si>
    <t>Bota Couro</t>
  </si>
  <si>
    <t>Redução excentrica</t>
  </si>
  <si>
    <t>Registro de gaveta bronze c/ roscas cl. 150 DN 1 1/2 1700kg</t>
  </si>
  <si>
    <t>Registro de gaveta bronze c/ roscas cl. 150 DN 2 2700kg</t>
  </si>
  <si>
    <t>Válvula de retenção horizontal bronze c/ roscas cl. 125 DN 2 2000kg</t>
  </si>
  <si>
    <t>VÁLVULA DE RETENÇÃO HORIZONTAL C/ ROSCAS CL 125 DN 2 1/2 3400KG</t>
  </si>
  <si>
    <t>Válvula de retenção horizontal c/ roscas cl 125 DN 2 1/2 3400kg</t>
  </si>
  <si>
    <t>Válvula de retenção horizontal bronze c/ roscas CL 125 DN 3 4200kg;</t>
  </si>
  <si>
    <t>Válvula de retenção horizontal bronze c/ roscas CL. 125 DN 4 7600kg</t>
  </si>
  <si>
    <t>Registro de gaveta bronze c/ roscas cl 150 DN 4 11600kg</t>
  </si>
  <si>
    <t>REAGENTE DPD LIVRE (N.N - DIETIL-P-FENILDIAMINA), SACHE, PARA ANÁLISE DE CLORO RESIDUAL LIVRE EM ÁGUA TRAT 5ML</t>
  </si>
  <si>
    <t>OUTROS MATERIAIS DE TRATAMENTO</t>
  </si>
  <si>
    <t>Reagente DPD Livre (N.N - Dietil-P-Fenildiamina), sache, para análise de cloro residual livre em água trat 5ml</t>
  </si>
  <si>
    <t>Rolamento radial de esferas 6312 C3 (321) A60</t>
  </si>
  <si>
    <t>Tampa de mancal em A48 CL 30B (360) A60</t>
  </si>
  <si>
    <t>Luva protetora do eixo A 60 (524)</t>
  </si>
  <si>
    <t>Pé de apoio bomba A50 (183)</t>
  </si>
  <si>
    <t>Rolamento radial de esferas 6308 C3 (321) A40</t>
  </si>
  <si>
    <t>Rolamento radial de esferas 6306 C3 (321) A30</t>
  </si>
  <si>
    <t>Tampa de pressão (183) MEGANORM 100-400</t>
  </si>
  <si>
    <t>Rotor 417mm em inox (230) MEGANORM 125-400</t>
  </si>
  <si>
    <t>Tampa de pressão (183) MEGANORM 125-400</t>
  </si>
  <si>
    <t>Corpo espiral (102) MEGANORM 125-400</t>
  </si>
  <si>
    <t>Anel de desgaste do rotor 180/195X17 (503) MEGANORM 125-400</t>
  </si>
  <si>
    <t>Rotor 413mm em inox (230) MEGANORM 150-400</t>
  </si>
  <si>
    <t>Tampa de pressão (183) MEGANORM 150-400</t>
  </si>
  <si>
    <t>Corpo espiral (102) MEGANORM 150-400</t>
  </si>
  <si>
    <t>Anel de desgaste do rotor 180/195X17 (503) MEGANORM 150-400</t>
  </si>
  <si>
    <t>Anel de desgaste da carcaça 210/225X21 (502) MEGANORM 150-400</t>
  </si>
  <si>
    <t>Rotor 219mm em inox (230) MEGANORM 80-200</t>
  </si>
  <si>
    <t>Anel de desgaste do rotor MEGANORM 80-200</t>
  </si>
  <si>
    <t>Anel de desgaste da carcaça MEGANORM 80-200</t>
  </si>
  <si>
    <t>Rotor 404rmm em inox (230) MEGANORM 80-400</t>
  </si>
  <si>
    <t>Corpo de mancal RDL 150-310 (350) MODELO RDL 150-400</t>
  </si>
  <si>
    <t>Rolamento radial de esferas 6308 Z C3 (322) MODELO RDL 150-400</t>
  </si>
  <si>
    <t>Rotor 209mm EM INOX (230) Modelo KWPK 65-200</t>
  </si>
  <si>
    <t>Suporte de mancal P35/80 0300ZN46 (330) Modelo KWPK 65-200</t>
  </si>
  <si>
    <t>Luva protetora do eixo P35/80 (524) Modelo KWPK 65-200</t>
  </si>
  <si>
    <t>Tampa do mancal P35/80LB (360) Modelo KWPK 65-200</t>
  </si>
  <si>
    <t>Eixo em aço SAE 1045 (210) Modelo KWPK 100-315K</t>
  </si>
  <si>
    <t>Eixo em aço SAE 1045 (210) Modelo ETA 150-26</t>
  </si>
  <si>
    <t>Suporte do mancal em A48 CL 30B (330) A60</t>
  </si>
  <si>
    <t>Fusivel Diazed 6A 500 VCA</t>
  </si>
  <si>
    <t>Ph-metro de bancada Digital com ATC</t>
  </si>
  <si>
    <t>Registro de gaveta fofo DN 100/110</t>
  </si>
  <si>
    <t>Lençol borracha liso 1000x 4,8 mm</t>
  </si>
  <si>
    <t>Impressora multifuncional</t>
  </si>
  <si>
    <t>Transformador 550VA 220/380/440 -220/110V 60HZ</t>
  </si>
  <si>
    <t>Materiais para Manutenções Móveis e Equipamentos</t>
  </si>
  <si>
    <t>Desktop Intel Core 13-10100T; Windows 10 Professional; Memória 8gb DDR4; SSD 256gb; DVD-RW; Gigabit Lan 10/100/1000Mbps;</t>
  </si>
  <si>
    <t>Equipamentos de Informatica</t>
  </si>
  <si>
    <t>Registro tipo chato, exterminate flange-flange,diâmetro nominal de dn 100, material ferro fundido nodular, pressão nomin</t>
  </si>
  <si>
    <t>Registro tipo chato,exterminate flange-flange, diâmetro nominal de dn 150, material ferro fundido nodular,pressão nomina</t>
  </si>
  <si>
    <t>Registro tipo chato, exterminate flange-flange, diâmetro nominal de dn 200, material ferro fundido nodular, p</t>
  </si>
  <si>
    <t>Registro tipo chato, exterminate flange-flange, diâmetro nominal de dn 250, material ferro fundido nodular,pressão nomin</t>
  </si>
  <si>
    <t>Registro tipo chato, exterminate flange-flange, diâmetro nominal de dn 300, material ferro fundido nodular, pressão nomi</t>
  </si>
  <si>
    <t>Soprador Bosch 1980 GBL 800 E 220V</t>
  </si>
  <si>
    <t>Painel elétrico C/2 SOFT START 10CV, 380V/60Hz</t>
  </si>
  <si>
    <t>Painel Elétrico C/2 SOFT START 12,5CV, 380V/60Hz</t>
  </si>
  <si>
    <t>Painel Elétrico C/2 SOFT START 15CV, 380V/60Hz</t>
  </si>
  <si>
    <t>Painel Elétrico C/2 SOFT START 20CV, 380V/60Hz</t>
  </si>
  <si>
    <t>Painel Elétrico C/2 SOFT START 40CV, 380V/60Hz</t>
  </si>
  <si>
    <t>PAINEL ELÉTRICO C/2 SOFT START 50CV, 380V/60HZ</t>
  </si>
  <si>
    <t>CONTRATOS DE MONTAGEM E INSTALAÇÃO DE EQUIPAMENTOS</t>
  </si>
  <si>
    <t>Painel Elétrico C/2 SOFT START 50CV, 380V/60Hz</t>
  </si>
  <si>
    <t>PAINEL ELÉTRICO C/2 SOFT START 60CV, 380V/60HZ</t>
  </si>
  <si>
    <t>Painel Elétrico C/2 SOFT START 60CV, 380V/60Hz</t>
  </si>
  <si>
    <t>Carvão antracito (0,9mm- 1,1mm) Marca: tratae</t>
  </si>
  <si>
    <t>AREIA(0,5MM-0,6MM) MARCA: ARGA FÁCIL.</t>
  </si>
  <si>
    <t>M³</t>
  </si>
  <si>
    <t>SEIXO(3,2MM-6,4MM) MARCA: ARGA FÁCIL</t>
  </si>
  <si>
    <t>SEIXO(6,4MM-12,7MM) ; MARCA: ARGA FÁCIL</t>
  </si>
  <si>
    <t>Carvão antracito(1,0mm) UND:kg;Marca: tratae</t>
  </si>
  <si>
    <t>Carvão antracito(0,8mm-1,0mm) kg;Marca:tratae</t>
  </si>
  <si>
    <t>AREIA(0,8MM-2,4MM) UND:M3 MARCA: ARGA FÁCIL</t>
  </si>
  <si>
    <t>Areia(0,8mm-2,4mm) UND:m3 Marca: arga fácil</t>
  </si>
  <si>
    <t>AREIA(2,4MM-4,8MM)UND:M3;MARCA: ARGA FÁCIL</t>
  </si>
  <si>
    <t>Seixo(4,8mm-12,5mm) UND:m3;Marca:arga fácil</t>
  </si>
  <si>
    <t>SEIXO(12,5MM-19,0MM)UND:M3;MARCA:ARGA FÁCIL</t>
  </si>
  <si>
    <t>Seixo(12,5mm-19,0mm)UND:m3;Marca:arga fácil</t>
  </si>
  <si>
    <t>SEIXO(19,0MM-38,0MM)UND: M3; MARCA:ARGA FÁCIL</t>
  </si>
  <si>
    <t>Seixo(19,0mm-38,0mm)UND: m3; Marca:arga fácil</t>
  </si>
  <si>
    <t>SEIXO(38,0MM-63,0MM) UND:M3;MARCA:ARGA FÁCIL</t>
  </si>
  <si>
    <t>Seixo(38,0mm-63,0mm) UND:m3;Marca:arga fácil</t>
  </si>
  <si>
    <t>Contator 3TS 34 220V</t>
  </si>
  <si>
    <t>Cabo para para enxada</t>
  </si>
  <si>
    <t>CMB Submersível para águas normaisTrifásica; AMT:144;Marca:Leão;modelo:R28A-11+22,5CV380V;Vazão:28DN6;Eixo vertical;água</t>
  </si>
  <si>
    <t>CMB Submersível para águas normaisTrifásica; AMT:186;Marca:Leão;modelo:R28A-14+27,5CV380;Vazão:28DN6;Eixo vertical;água</t>
  </si>
  <si>
    <t>CMB Submersível para águas normaisTrifásica; AMT:89;Marca:Leão;modelo:R28A-16+32,5CV380;Vazão:45DN6;Eixo vertical;água</t>
  </si>
  <si>
    <t>CMB Submersível P/ águas normaisTrifásica; AMT:126;Marca:Leão;modelo:S65-12+45CV380V;Vazão:70DN8;Eixo vertical;água</t>
  </si>
  <si>
    <t>Furadeira de impacto + broca tramontina</t>
  </si>
  <si>
    <t>Redução soldável 32x25 mm</t>
  </si>
  <si>
    <t>REDUÇÃO SOLDÁVEL 25X20 MM</t>
  </si>
  <si>
    <t>Redução soldável 25x20 mm</t>
  </si>
  <si>
    <t>Kit's de vedação com anéis para bomba Imbil</t>
  </si>
  <si>
    <t>Cadeira giratória tela diretor</t>
  </si>
  <si>
    <t>Cadeira fixa tecido</t>
  </si>
  <si>
    <t>Tubo em aço galvanizado dn=2x6,00m,sem costura,com roscas nbr 5580(din 2440),ESP=3,00mm(ampla concorrência); UND:und</t>
  </si>
  <si>
    <t>TUBO EM AÇO GALVANIZADO DN=2 X 6,00M,SEM COSTURA,COM ROSCAS NBR 5580(DIN 2440)ESP=3,00MM(COTA RESERVADA A ME/EPP; UND:UN</t>
  </si>
  <si>
    <t>TUBULAÇÕES E MATERAIS COMPLEMENTARES</t>
  </si>
  <si>
    <t>Tubo em aço galvanizado dn=2 x 6,00m,sem costura,com roscas nbr 5580(din 2440)esp=3,00mm(cota reservada a me/epp; UND:un</t>
  </si>
  <si>
    <t>TUBO EM AÇO GALVANIZADO DN=2 1/2 X 6,00MM,SEM COSTURA, COM ROSCAS NBR 5580 DIN 2440, ESP=3,35MM AMPLA CONCORRÊNCIA; UND:</t>
  </si>
  <si>
    <t>Tubo em aço galvanizado dn=2 1/2 x 6,00mm,sem costura, com roscas nbr 5580 din 2440, esp=3,35mm ampla concorrência; UND:</t>
  </si>
  <si>
    <t>Tubo em aço galvanizado dn=1 1/2x 6,00m, sem costura, com roscas nbr 5580 din 2440, esp=3,35mm cota reservada a me/epp;</t>
  </si>
  <si>
    <t>TUBO EM AÇO GALVANIZADO DN=3X 6,00M,SEM COSTURA, COM ROSCAS NBR 5580 DIN 2440, ESP=3,35MM COTA RESERVADA A ME/EPP; UND:U</t>
  </si>
  <si>
    <t>Tubo em aço galvanizado dn=3x 6,00m,sem costura, com roscas nbr 5580 din 2440, esp=3,35mm cota reservada a me/epp; UND:u</t>
  </si>
  <si>
    <t>Tubo em aço galvanizado dn= 4x 6,00m, sem costura, com roscas nbr 5580 din 2440, esp=3,75mm ampla concorrência. UND: und</t>
  </si>
  <si>
    <t>Luva de ferro galvanizado, com rosca bsp, de 1 1/2 item exclusivo para me/epp; UND:und</t>
  </si>
  <si>
    <t>LUVA DE FERRO GALVANIZADO, COM ROSCA BSP, DE 2 1/2 AMPLA CONCORRÊNCIA; UND:UND</t>
  </si>
  <si>
    <t>Luva aço galvanizado de 4 (item exclusivo para me/epp) UND:und</t>
  </si>
  <si>
    <t>Tubo edutor pvc geomecânico dn 2x4,00m; UND:m</t>
  </si>
  <si>
    <t>Tubo edutor pvc geomecânico dn 2 1 1/2x4,00m; UND:m</t>
  </si>
  <si>
    <t>LUVA DE FERRO GALVANIZADO COM ROSCA BSP, 3"; UNID:UND</t>
  </si>
  <si>
    <t>Luva de ferro galvanizado com rosca BSP, 3"; UNID:UND</t>
  </si>
  <si>
    <t>União em aço galvanizado D=2"</t>
  </si>
  <si>
    <t>União em aço galvanizado D=3"</t>
  </si>
  <si>
    <t>União em aço galvanizado D=4"</t>
  </si>
  <si>
    <t>Roçadeira Husq 143RII</t>
  </si>
  <si>
    <t>ANEL DE BORRACHA ABF DN 200 MM</t>
  </si>
  <si>
    <t>Anel de borracha ABF DN 200 MM</t>
  </si>
  <si>
    <t>ANEL DE BORRACHA ABF DN 75 MM</t>
  </si>
  <si>
    <t>Anel de borracha ABF DN 75 MM</t>
  </si>
  <si>
    <t>Antena interna de TV</t>
  </si>
  <si>
    <t>Hexa T 5 kg</t>
  </si>
  <si>
    <t>PÊNDULO ELETRODO</t>
  </si>
  <si>
    <t>Disjuntor steck DIN IP 25A</t>
  </si>
  <si>
    <t>Jogo de broca</t>
  </si>
  <si>
    <t>Curva de 90 graus de ferro galvanizado com rosca bsp macho/fêmea de 2 1/2</t>
  </si>
  <si>
    <t>Curva de 90 graus de ferro galvanizado, com rosca bsp macho/fêmea de 3</t>
  </si>
  <si>
    <t>Curva 90 graus de ferro galvanizado com rosca bsp macho/fêmea de 4</t>
  </si>
  <si>
    <t>Curva 45 graus de ferro galvanizado, com rosca bsp macho/ fêmea de 2</t>
  </si>
  <si>
    <t>Curva 45 graus de ferro galvanizado com rosca bsp macho/fêmea de 2 1/2</t>
  </si>
  <si>
    <t>Curva 45 graus de ferro galvanizado com rosca bsp macho/fêmea de 3</t>
  </si>
  <si>
    <t>Curva 45 graus em aço galvanizado D= 4;</t>
  </si>
  <si>
    <t>Luva de aço galvanizado de 2</t>
  </si>
  <si>
    <t>Tê em aço galvanizado D= 2 1/2</t>
  </si>
  <si>
    <t>Tê em aço galvanizado D=3</t>
  </si>
  <si>
    <t>União em aço galvanizado D= 2 1/2"</t>
  </si>
  <si>
    <t>Caixa de som BPC-D- 02L USB</t>
  </si>
  <si>
    <t>Canaleta perfil dupla face 20x10x2mt</t>
  </si>
  <si>
    <t>Avental S/ Costura Raspa</t>
  </si>
  <si>
    <t>Disjuntor tripolar DIN 32A</t>
  </si>
  <si>
    <t>Disjuntor para manobra e proteção de motores, 40/45/50KA - 380/415V, 250A</t>
  </si>
  <si>
    <t>Transformador de corrente, isolado em epoxi, classe 15KV, 50-5A uso interno classe exatidão 10B-100</t>
  </si>
  <si>
    <t>Transformador de corrente, isolado em epoxi, classe 15KV, 60-5A uso interno classe exatidão 10B-101</t>
  </si>
  <si>
    <t>Transformador de corrente, isolado em epoxi, classe 15KV, 100-5A uso interno classe exatidão 10B-101</t>
  </si>
  <si>
    <t>Transformador de corrente, isolado em epoxi, classe 15KV, 150-5A uso interno classe exatidão 10B-102</t>
  </si>
  <si>
    <t>Transformador de corrente, isolado em epoxi, classe 15KV, 200-5A uso interno classe exatidão 10B-100</t>
  </si>
  <si>
    <t>VÁLVULA RETENTORA HORIZONTAL BRONZE DN 3"</t>
  </si>
  <si>
    <t>Válvula retentora horizontal bronze DN 3"</t>
  </si>
  <si>
    <t>Cadeira de escritório diretor preta</t>
  </si>
  <si>
    <t>Cadeira giratória executiva telada com regulagem de altura</t>
  </si>
  <si>
    <t>Disjuntor tripolar caixa moldada 150A</t>
  </si>
  <si>
    <t>Pasta Sanfonada</t>
  </si>
  <si>
    <t>Cap esgoto 100 mm</t>
  </si>
  <si>
    <t>Disjuntor série SD63 63A CURVA 3KA</t>
  </si>
  <si>
    <t>Válvula de retenção horizontal em f f nodular,tipo portinhola única em bronze, eixo limitador em aço inox,DN 75 BUNA N</t>
  </si>
  <si>
    <t>Válvula de retenção horizontal em f f nodular,tipo portinhola única em bronze, eixo limitador em aço inox,DN 100 BUNA N</t>
  </si>
  <si>
    <t>Válvula de retenção horizontal em f f nodular,tipo portinhola única em bronze, eixo limitador em aço inox,DN 150 BUNA N</t>
  </si>
  <si>
    <t>Válvula de retenção horizontal em f f nodular,tipo portinhola única em bronze, eixo limitador em aço inox,DN 200 BUNA N</t>
  </si>
  <si>
    <t>Válvula de retenção horizontal em f f nodular,tipo portinhola única em bronze, eixo limitador em aço inox,DN 250 BUNA N</t>
  </si>
  <si>
    <t>ESCOVA PARA LAVAGEM DE BECKER</t>
  </si>
  <si>
    <t>Macromedidor eletromagnético de vazão do tipo inserção com haste de comprimento de 665mm,conversor com display gráfico d</t>
  </si>
  <si>
    <t>Macromedidores</t>
  </si>
  <si>
    <t>Luva união rosca 2"</t>
  </si>
  <si>
    <t>Cabo CCI 06 pares</t>
  </si>
  <si>
    <t>Curva de ferro galvanizado 90°(macho/fêmea) nbr 5580/din 2440 dn 2</t>
  </si>
  <si>
    <t>Cap de ferro galvanizado nbr 5580/din 2440 dn 2</t>
  </si>
  <si>
    <t>Cap de ferro galvanizado nbr 5580/din 2440 dn 2 1/2</t>
  </si>
  <si>
    <t>Cap de ferro galvanizado nbr 5580/din2440 dn 3</t>
  </si>
  <si>
    <t>Luva de união de ferro galvanizado nbr 5580/ din 2440 dn 2</t>
  </si>
  <si>
    <t>Luva de redução de ferro galvanizado nbr 5580/din 2440 dn 2 1/2 x 2</t>
  </si>
  <si>
    <t>Luva de redução de ferro galvanizado nbr 5580/din 2440 dn 3 x 2 1/2</t>
  </si>
  <si>
    <t>Luva de ferro galvanizado nbr 5580/din 2440 dn 2 1/2</t>
  </si>
  <si>
    <t>Niple de ferro galvanizado nbr 5580/din 2440 dn 3</t>
  </si>
  <si>
    <t>Bucha de redução de ferro galvanizado nbr 5580/din 2440 dn 2 1/2 x 2</t>
  </si>
  <si>
    <t>Bucha de redução de ferro galvanizado nbr 5580/din 2440 dn 3 x 2 1/2</t>
  </si>
  <si>
    <t>Luva de união de ferro galvanizado nbr 5580/din 2440 dn 2 1/2</t>
  </si>
  <si>
    <t>Apresentador de slides</t>
  </si>
  <si>
    <t>Suporte para notebook regulável</t>
  </si>
  <si>
    <t>Pincel recarregável para quadro branco</t>
  </si>
  <si>
    <t>KIT TECLADO E MOUSE SEM FIO</t>
  </si>
  <si>
    <t>Kit teclado e mouse sem fio</t>
  </si>
  <si>
    <t>Contator 3TF47 220V</t>
  </si>
  <si>
    <t>Contator 3TS 36 220V</t>
  </si>
  <si>
    <t>Disjuntor 60A</t>
  </si>
  <si>
    <t>Bucha de redução soldável longa 85x60 mm</t>
  </si>
  <si>
    <t>Cabo Flexível 120 mm</t>
  </si>
  <si>
    <t>Bloco adesivo post-it 38mmx50mm, tipo removível, autoadesivo; unidade: bloco 100,00 fl</t>
  </si>
  <si>
    <t>CANETA MARCA TEXTO VERDE</t>
  </si>
  <si>
    <t>Caneta marca texto verde</t>
  </si>
  <si>
    <t>Disco de corte 4,5"</t>
  </si>
  <si>
    <t>Flutuante para acomodação de CMB, capacidade 5 toneladas.</t>
  </si>
  <si>
    <t>Balsas Flutuantes para CMBs</t>
  </si>
  <si>
    <t>FLUTUANTE PARA ACOMODAÇÃO DE CMB, CAPACIDADE 7 TONELADAS</t>
  </si>
  <si>
    <t>BALSAS FLUTUANTES PARA CMBS</t>
  </si>
  <si>
    <t>Flutuante para acomodação de CMB, capacidade 7 toneladas</t>
  </si>
  <si>
    <t>Pen-drive,32gb, USB 2.0.</t>
  </si>
  <si>
    <t>Fita adesiva,crepe monoface, largura 49mm e comprimento 50m</t>
  </si>
  <si>
    <t>Lapiseira para grafite 0.7mm,cor de plástico e ponta de metal</t>
  </si>
  <si>
    <t>Quadro de comando para 1 motor de 2hp com inversor de frequência Marca:HDA</t>
  </si>
  <si>
    <t>Quadro de comando para 2 motores de até 5hp com 1 partida direta para o agitador 1 e 1 partida direta para o agitador 2</t>
  </si>
  <si>
    <t>Cadeira de escritório secretária giratória regulagem de altura a gás, revestimento em tecido AZUL - FK</t>
  </si>
  <si>
    <t>Pen drive 16GB</t>
  </si>
  <si>
    <t>Talha manual de corrente, portátil, capacidade 3 toneladas,altura de elevação 5metros, fixação por gancho 2/1</t>
  </si>
  <si>
    <t>SSD KINGSTON A400;240GB</t>
  </si>
  <si>
    <t>Luva a compressão 25 mm</t>
  </si>
  <si>
    <t>Redução pvc pba JE 85X60</t>
  </si>
  <si>
    <t>Cabo para foice</t>
  </si>
  <si>
    <t>Vassoura arame</t>
  </si>
  <si>
    <t>Broca aço rápido 1/8</t>
  </si>
  <si>
    <t>Broca aço rápido 3/32</t>
  </si>
  <si>
    <t>Broca aço rápido 5/64</t>
  </si>
  <si>
    <t>Broca aço rápido 7/64</t>
  </si>
  <si>
    <t>Cabo de força 4 X 60mm 2 X 1,5m PP 1KV</t>
  </si>
  <si>
    <t>Adesivo 3M juntas de motores diesel refil</t>
  </si>
  <si>
    <t>Tubo soldável 6m / 60 mm</t>
  </si>
  <si>
    <t>Válvula de sucção pvc roscável DN 3/4 - krona</t>
  </si>
  <si>
    <t>Geofone mecânico</t>
  </si>
  <si>
    <t>ADAPTADOR WIRELESS USB 150 MBPS</t>
  </si>
  <si>
    <t>Adaptador wireless USB 150 mbps</t>
  </si>
  <si>
    <t>CHAVE ROTATIVA P/ VOLTÍMETRO</t>
  </si>
  <si>
    <t>Colar para tubo 60mm</t>
  </si>
  <si>
    <t>Impressora Epson L3250 Mult tanque de tinta</t>
  </si>
  <si>
    <t>ADOÇANTE NATURAL COLOR ANDINA</t>
  </si>
  <si>
    <t>Adaptador curto 50x1.1/2</t>
  </si>
  <si>
    <t>Relé contator 3TS31 - 12A 220 VCA 60 HZ</t>
  </si>
  <si>
    <t>Relé contator 3TS31 - 18A 220 VCA 60 HZ</t>
  </si>
  <si>
    <t>Chave Biela 8mm</t>
  </si>
  <si>
    <t>Contator 3TS36 380V</t>
  </si>
  <si>
    <t>CONTATOR DE POTÊNCIA 25A,380V 2NA+2NF</t>
  </si>
  <si>
    <t>Contator de potência 25A,380V 2NA+2NF</t>
  </si>
  <si>
    <t>CONTATOR DE POTÊNCIA 32A,380V 2NA+2NF</t>
  </si>
  <si>
    <t>Contator de potência 32A,380V 2NA+2NF</t>
  </si>
  <si>
    <t>CONTATOR DE POTÊNCIA 38A, 380V 2NA+2NF</t>
  </si>
  <si>
    <t>Contator de potência 38A, 380V 2NA+2NF</t>
  </si>
  <si>
    <t>CONTATOR DE POTÊNCIA 110A, 380V 2NA+2NF</t>
  </si>
  <si>
    <t>Contator de potência 110A, 380V 2NA+2NF</t>
  </si>
  <si>
    <t>CONTATOR DE POTÊNCIA,170A 380V 2NA+2NF</t>
  </si>
  <si>
    <t>Contator de potência,170A 380V 2NA+2NF</t>
  </si>
  <si>
    <t>Contator de potência 205A 380V 2NA+2NF</t>
  </si>
  <si>
    <t>Disjuntor termomagnético tipo caixa moldada,tripolar,10KA,60A</t>
  </si>
  <si>
    <t>Disjuntor termomagnético tipo caixa moldada,tripolar,30KA 250A</t>
  </si>
  <si>
    <t>Disjuntor termomagnético tipo caixa moldada, tripolar,40KA, 350A</t>
  </si>
  <si>
    <t>TALHA MANUAL 2TON 3M</t>
  </si>
  <si>
    <t>Talha manual 2TON 3M</t>
  </si>
  <si>
    <t>SMART TV LED 50 polegadas</t>
  </si>
  <si>
    <t>SOFT STARTER PARA MOTOR TRIFÁSICO 380V,60HZ,CORRENTE DE CARGA ATÉ 200A</t>
  </si>
  <si>
    <t>Soft starter para motor trifásico 380V,60Hz,corrente de carga até 200A</t>
  </si>
  <si>
    <t>Relé/contator 3TS33-25A Bobina 220VCA</t>
  </si>
  <si>
    <t>Cabo de força 4 x 35,0mm² + 2x1,5mm² (PP 1Kv)</t>
  </si>
  <si>
    <t>Cabo de força 4 x 2,5mm² + 2 x 1,5mm²</t>
  </si>
  <si>
    <t>Cabo de força 4 x 70,0mm² + 2x1,5mm² (PP 1Kv)</t>
  </si>
  <si>
    <t>Cabo flexível PP 3x25 mm²</t>
  </si>
  <si>
    <t>Abraçadeira tipo U 1 metal</t>
  </si>
  <si>
    <t>Abraçadeira zincada U 1/2</t>
  </si>
  <si>
    <t>Joelho 45 soldável DN 32</t>
  </si>
  <si>
    <t>Chave combinada 22mm</t>
  </si>
  <si>
    <t>Chave combinada 20mm</t>
  </si>
  <si>
    <t>CURVA 45 FG DN 2 1/2"</t>
  </si>
  <si>
    <t>Reparo caixa acoplado universal</t>
  </si>
  <si>
    <t>Serra copo bimetal 22mm</t>
  </si>
  <si>
    <t>Soft-starter Weg HMI - SSW07/08-RS</t>
  </si>
  <si>
    <t>Disjuntor steck Din 3P C 80A</t>
  </si>
  <si>
    <t>Lâmpada Led bulbo 6500k E27 30W</t>
  </si>
  <si>
    <t>Lâmpada Led bulbo 6500k E27 20W</t>
  </si>
  <si>
    <t>Pára raio polim 15KV 10KA</t>
  </si>
  <si>
    <t>Manômetro 0-150 PSI 0-10KGF/CM2</t>
  </si>
  <si>
    <t>JOELHO SOLDÁVEL 90X60 MM</t>
  </si>
  <si>
    <t>Joelho soldável 90x60 mm</t>
  </si>
  <si>
    <t>PROCESSADOR INTEL CORE I5 2310 1155 2.9 GHZ</t>
  </si>
  <si>
    <t>Bóia automática de nível inferior 30A</t>
  </si>
  <si>
    <t>Luva de correr 25 mm</t>
  </si>
  <si>
    <t>Luva de correr 20 mm</t>
  </si>
  <si>
    <t>Lampada Led 40W</t>
  </si>
  <si>
    <t>CHAVE PHILIPS 3/16X6</t>
  </si>
  <si>
    <t>Chave Philips 3/16x6</t>
  </si>
  <si>
    <t>CHAVE PHILIPS 1/4 X 8</t>
  </si>
  <si>
    <t>Chave Philips 1/4 x 8</t>
  </si>
  <si>
    <t>Kit para registro de gaveta</t>
  </si>
  <si>
    <t>Terminal pino 25mm</t>
  </si>
  <si>
    <t>Terminal pino 35mm²</t>
  </si>
  <si>
    <t>Terminal pino10mm</t>
  </si>
  <si>
    <t>Disjuntor trifásico mini 80/100A</t>
  </si>
  <si>
    <t>Disjuntor trifásico mini 70/100A</t>
  </si>
  <si>
    <t>Disjuntor Trifásico Mini 40A</t>
  </si>
  <si>
    <t>Cadeira escritório PT BF088 casa ok</t>
  </si>
  <si>
    <t>Fita adesiva papel crepe</t>
  </si>
  <si>
    <t>Cadeira escritório giratória tela dir com rodízio preto</t>
  </si>
  <si>
    <t>Rádio comunicador calcance 20 km RC3002 G2</t>
  </si>
  <si>
    <t>Rolamento SKF 6209-Z/C3 45X85X19</t>
  </si>
  <si>
    <t>Chave 12/13 MM</t>
  </si>
  <si>
    <t>RELÉ SOBRECARGA TÉRMICO 32-40A. UNIDADE:UNID. MARCA:STARK ELECTRIC LR2 30-40</t>
  </si>
  <si>
    <t>Relé sobrecarga térmico 32-40A. Unidade:unid. Marca:stark electric LR2 30-40</t>
  </si>
  <si>
    <t>RELÉ SOBRECARGA TÉRMICO 50-63A. UNIDADE:UNID. MARCA:STARK ELECTRIC LR2 48-63</t>
  </si>
  <si>
    <t>Relé sobrecarga térmico 50-63A. Unidade:unid. Marca:stark electric LR2 48-63</t>
  </si>
  <si>
    <t>RELÉ SOBRECARGA TÉRMICO 63-90A. UNIDADE:UNID. MARCA: STARK ELECTRIC LR2 63-80</t>
  </si>
  <si>
    <t>Relé sobrecarga térmico 63-90A. Unidade:unid. Marca: stark electric LR2 63-80</t>
  </si>
  <si>
    <t>RELÉ SOBRECARGA TÉRMICO 90-120A. UNIDADE:UNID. MARCA: STARK ELECTRIC LR2 95-120</t>
  </si>
  <si>
    <t>Relé sobrecarga térmico 90-120A. Unidade:unid. Marca: stark electric LR2 95-120</t>
  </si>
  <si>
    <t>RELÉ SOBRECARGA TÉRMICO 120-150A. UNIDADE:UNID MARCA: STARK ELECTRIC LR2 95-120</t>
  </si>
  <si>
    <t>Relé sobrecarga térmico 120-150A. Unidade:unid Marca: stark electric LR2 95-120</t>
  </si>
  <si>
    <t>Manometro seco vertical 60 PSI</t>
  </si>
  <si>
    <t>Jogo lima com cabo</t>
  </si>
  <si>
    <t>Refletor led 100w</t>
  </si>
  <si>
    <t>Terminal olhal 35 mm²</t>
  </si>
  <si>
    <t>BOLSA PARA FERRAMENTAS 38X21X33</t>
  </si>
  <si>
    <t>Bolsa para ferramentas 38x21x33</t>
  </si>
  <si>
    <t>Engate plástico 50cm 1/2</t>
  </si>
  <si>
    <t>Colete em Brim azul royal com ziper na abertura 2 bolsos inferior ,um superior</t>
  </si>
  <si>
    <t>REGISTRO DE GAVETA BRUTO ROSCÁVEL BRONZE DN 4"</t>
  </si>
  <si>
    <t>Registro de gaveta bruto roscável bronze DN 4"</t>
  </si>
  <si>
    <t>Válvula retentora horizontal bronze DN 4"</t>
  </si>
  <si>
    <t>TUBO SOLDÁVEL 110MM</t>
  </si>
  <si>
    <t>Tubo soldável 110mm</t>
  </si>
  <si>
    <t>Cabo flexível 2,5 mm</t>
  </si>
  <si>
    <t>Cabo flexível 4 mm</t>
  </si>
  <si>
    <t>WHIT LUB</t>
  </si>
  <si>
    <t>Whit Lub</t>
  </si>
  <si>
    <t>Jogo de chaves hexagonal</t>
  </si>
  <si>
    <t>Disjuntor Tripolar de 80A</t>
  </si>
  <si>
    <t>Corda de seda traçada 12mm</t>
  </si>
  <si>
    <t>Silicone acelitico Wmax incolor</t>
  </si>
  <si>
    <t>Vassoura Nylon c/ cabo</t>
  </si>
  <si>
    <t>Adaptador soldável curto 60x2</t>
  </si>
  <si>
    <t>Alicate rebitador</t>
  </si>
  <si>
    <t>Broca aço rápido 11/64</t>
  </si>
  <si>
    <t>Rebite Aluminio 4,0X10 mm (100PC)</t>
  </si>
  <si>
    <t>Multifuncional brother DCP-T420</t>
  </si>
  <si>
    <t>ABRAÇADEIRA 9MM AÇO 12-16</t>
  </si>
  <si>
    <t>Abraçadeira 9mm aço 12-16</t>
  </si>
  <si>
    <t>Silicone acetico tekbond 280G</t>
  </si>
  <si>
    <t>Lixa ferro P80</t>
  </si>
  <si>
    <t>Lixa ferro P120</t>
  </si>
  <si>
    <t>Eletrodo 6130 2,5mm inox vareta</t>
  </si>
  <si>
    <t>SOFT STARTER PARA MOTOR TRIFÁSICO,380V,60HZ,CORRENTE DE CARGA ATÉ 60A</t>
  </si>
  <si>
    <t>SOFT STARTER PARA MOTOR TRIFÁSICO,380V,60HZ,CORRENTE DE CARGA ATÉ 85A</t>
  </si>
  <si>
    <t>SOFT STARTER PARA MOTOR TRIFÁSICO,380V,60HZ,CORRENTE DE CARGA ATÉ 130A</t>
  </si>
  <si>
    <t>Cabo de cobre pp cordplast 3x6,0mm,450/750V</t>
  </si>
  <si>
    <t>Filtro de linha 6 tomadas preto</t>
  </si>
  <si>
    <t>Cap soldável marrom 40mm</t>
  </si>
  <si>
    <t>Cap soldável marrom 50mm</t>
  </si>
  <si>
    <t>Joelho soldável 25mm</t>
  </si>
  <si>
    <t>Joelho soldável 32mm</t>
  </si>
  <si>
    <t>Joelho soldável 40mm</t>
  </si>
  <si>
    <t>joelho soldável 50mm</t>
  </si>
  <si>
    <t>REGISTRO ESFERA PVC SOLDÁVEL 50MM</t>
  </si>
  <si>
    <t>Registro esfera pvc soldável 50mm</t>
  </si>
  <si>
    <t>Conector 10mm</t>
  </si>
  <si>
    <t>Abraçadeira T50R 200mm</t>
  </si>
  <si>
    <t>BLOCO DE ANOTAÇÃOES 38X51 MM</t>
  </si>
  <si>
    <t>ROLAMENTO SKF 6314 ZZ C3</t>
  </si>
  <si>
    <t>CHAVE DE FENDA 5/16X10</t>
  </si>
  <si>
    <t>CHAVE PHILIPS 3/16X5</t>
  </si>
  <si>
    <t>Chave philips 3/16x5</t>
  </si>
  <si>
    <t>Bolsa para ferramentas 34x25x20</t>
  </si>
  <si>
    <t>Rolamento industrial SKF 6201-22</t>
  </si>
  <si>
    <t>Selo mecânico 12mm</t>
  </si>
  <si>
    <t>Cabo de cobre isolado epr,flexível,35mm,8,7/15kv/90°C (eprotenax ou similar)</t>
  </si>
  <si>
    <t>CABO DE COBRE ISOLADO EPR, FLEXÍVEL,50MM,0,6/1KV/90°C (EPROTENAX-G7 OU SIMILAR)</t>
  </si>
  <si>
    <t>Cabo de cobre isolado epr, flexível,50mm,12/20kv/90°C (eprotenax ou similar)</t>
  </si>
  <si>
    <t>Joelho soldável 90x85mm</t>
  </si>
  <si>
    <t>Tubo soldável 85mmx6m</t>
  </si>
  <si>
    <t>Luva de correr soldável 20mm</t>
  </si>
  <si>
    <t>Trena fibra longa 50mt aberta</t>
  </si>
  <si>
    <t>BUCHA DE REDUÇÃO SOLDÁVEL CURTA 25X20MM</t>
  </si>
  <si>
    <t>Bucha de redução soldável curta 25x20mm</t>
  </si>
  <si>
    <t>ESTABILIZADOR 1000VA</t>
  </si>
  <si>
    <t>Estabilizador 1000VA</t>
  </si>
  <si>
    <t>Corda Poliester Pet 16mm verde</t>
  </si>
  <si>
    <t>Acelerador CPL 143R2 236R</t>
  </si>
  <si>
    <t>Balde pvc p/ construção reforçado 10lts</t>
  </si>
  <si>
    <t>Òculos de segurança panda lente fumê</t>
  </si>
  <si>
    <t>VEDA ROSCA 18MMX10MM</t>
  </si>
  <si>
    <t>Veda rosca 18mmx10mm</t>
  </si>
  <si>
    <t>Chave combinada 12mm</t>
  </si>
  <si>
    <t>Chave combinada 14mm</t>
  </si>
  <si>
    <t>Chave combinada 10mm</t>
  </si>
  <si>
    <t>Bóia elétrica 5m</t>
  </si>
  <si>
    <t>Chave combinada 9mm</t>
  </si>
  <si>
    <t>Cabo de cobre isolado epr,flexível,70mm2,0,6/1kv/90°C (eprotenax ou similar)</t>
  </si>
  <si>
    <t>CABO DE COBRE ISOLADO EM PVC,SUBMERSÍVEL,CHATO,3X10MM2,1KV. UNIDADE:M</t>
  </si>
  <si>
    <t>CABO DE COBRE ISOLADO EM PVC,SUBMERSÍVEL,CHATO,3X16MM2,1KV. UNIDADE:M.</t>
  </si>
  <si>
    <t>Cabo de cobre isolado em pvc,submersível,chato,3x16mm2,1kv. Unidade:m.</t>
  </si>
  <si>
    <t>CABO DE COBRE ISOLADO EM PVC,SUBMERSÍVEL,CHATO,3X35MM2,1KV. UNIDADE:M.</t>
  </si>
  <si>
    <t>Cabo de cobre isolado em pvc,submersível,chato,3x35mm2,1kv. Unidade:m.</t>
  </si>
  <si>
    <t>CABO DE COBRE ISOLADO EM PVC,SUBMERSÍVEL,CHATO,3X50MM2,1KV. UNIDADE:M.</t>
  </si>
  <si>
    <t>Cabo de cobre isolado em pvc,submersível,chato,3x50mm2,1kv. Unidade:m.</t>
  </si>
  <si>
    <t>Cabo de cobre isolado em pvc,submersível,chato, 3x95mm2,1kv. Unidade:m.</t>
  </si>
  <si>
    <t>Contator 40A 3TS35110AN2 220V 1NA1NF AC-3 50/60HZ</t>
  </si>
  <si>
    <t>Adesivo Insta tekbond</t>
  </si>
  <si>
    <t>MARRETA COM CABO 1000G</t>
  </si>
  <si>
    <t>Marreta com cabo 1000g</t>
  </si>
  <si>
    <t>Cap soldável 110mm</t>
  </si>
  <si>
    <t>Luva de correr PBA 60 com anel</t>
  </si>
  <si>
    <t>Alavanca lisa 1"x1,80mt</t>
  </si>
  <si>
    <t>Anel PBA DN100 DI110mm</t>
  </si>
  <si>
    <t>Aguarras Anjo 900ml (solvente)</t>
  </si>
  <si>
    <t>Tubo água pvc 50 mm</t>
  </si>
  <si>
    <t>Disjuntor tripolar 16A</t>
  </si>
  <si>
    <t>Parafuso sextavado aço 8.8 8x40x1,25</t>
  </si>
  <si>
    <t>RELÉ CONTATOR 3TS36-45A BOBINA 220VCA 60 HZ 1NA+1NF</t>
  </si>
  <si>
    <t>Òleo de tambor tutela 90 1lt</t>
  </si>
  <si>
    <t>Rolamento eixo 6308-ZNR SKF</t>
  </si>
  <si>
    <t>Eletrodo para solda 2,5mm serralheiro</t>
  </si>
  <si>
    <t>Rolamento SKF 6310ZZ/C3</t>
  </si>
  <si>
    <t>Broca aço rápido 3/8</t>
  </si>
  <si>
    <t>Broca aço rápido 5/16</t>
  </si>
  <si>
    <t>Broca aço rápido 3/16</t>
  </si>
  <si>
    <t>MOUSE PAD</t>
  </si>
  <si>
    <t>Mouse pad</t>
  </si>
  <si>
    <t>Chave combinada 28mm</t>
  </si>
  <si>
    <t>RELÉ CONTATOR 3TS34 - 32A BOBINA 220 VCA 60 HZ</t>
  </si>
  <si>
    <t>Relé contator 3TS34 - 32A Bobina 220 VCA 60 HZ</t>
  </si>
  <si>
    <t>Tubo pvc soldável 6M 50mm</t>
  </si>
  <si>
    <t>Calculadora de mesa 12 DIG</t>
  </si>
  <si>
    <t>ROLAMENTO 6311 ZZC3 NSK</t>
  </si>
  <si>
    <t>Envelope ofício 260x360mm</t>
  </si>
  <si>
    <t>Fio de Naylon para roçadeira</t>
  </si>
  <si>
    <t>Disjuntor Din FD P 50A</t>
  </si>
  <si>
    <t>Disjuntor Din FD P 40A</t>
  </si>
  <si>
    <t>Luva de correr 32</t>
  </si>
  <si>
    <t>Bóia de nível</t>
  </si>
  <si>
    <t>FITA AUTO FUSÃO 19MM X 2M</t>
  </si>
  <si>
    <t>Fita auto fusão 19mm x 2m</t>
  </si>
  <si>
    <t>Lâmpada Led bulbo E27 30W T120 LD 2400 LM BC</t>
  </si>
  <si>
    <t>Lâmpada Led bulbo E27 20W T100 LD 2400 LM BC</t>
  </si>
  <si>
    <t>Fusível Diazed DII 10A 500VCA</t>
  </si>
  <si>
    <t>FUSÍVEL DIAZED DII 16A 500VCA</t>
  </si>
  <si>
    <t>Fusível Diazed DII 16A 500VCA</t>
  </si>
  <si>
    <t>FUSÍVEL DIAZED DII 20A 500VCA</t>
  </si>
  <si>
    <t>FUSÍVEL DIAZED DII 63A 500VCA</t>
  </si>
  <si>
    <t>Impressora Evolis ZENIUS Classic Fire Red Impressora USB, com software Cardpresso XXS Lite</t>
  </si>
  <si>
    <t>Ventosa tríplice função com flanges, dn 50. Marca:vcp usial</t>
  </si>
  <si>
    <t>Ventosa tríplice função com flanges, dn 100. Marca:vcp usial</t>
  </si>
  <si>
    <t>Ventosa tríplice função com flanges, dn 150. Marca:vcp usial</t>
  </si>
  <si>
    <t>Ventosa tríplice função com flanges, dn 200. Marca:vcp usial</t>
  </si>
  <si>
    <t>RELÉ DE SOBRECARGA TÉRMICO 0,4- 63A. MARCA:SOPRANO RTT25</t>
  </si>
  <si>
    <t>Relé de sobrecarga térmico 0,4- 63A. Marca:SOPRANO RTT25</t>
  </si>
  <si>
    <t>Cabo de cobre isolado hepr (xlpe),16mm,1kv/90°C. Marca:pw fios e cabos</t>
  </si>
  <si>
    <t>Cabo de cobre isolado hepr xlpe, 35mm,1kv/90ºC. Marca:pw fios e cabos</t>
  </si>
  <si>
    <t>Cabo de cobre isolado hepr xlpe,2,5mm,1kv/90°C. Marca:pw fios e cabos</t>
  </si>
  <si>
    <t>cabo de cobre isolado hepr xlpe 4,0mm,1kv/90°C. Marca:pw fios e cabos</t>
  </si>
  <si>
    <t>cabo de cobre isolado hepr xlpe 6,0mm,1kv/90°C. Marca:pw fios e cabos</t>
  </si>
  <si>
    <t>cabo de cobre isolado hepr xlpe,10mm, 1kv/90°C. Marca:pw fios e cabos</t>
  </si>
  <si>
    <t>cabo de cobre isolado hepr xlpe,16mm,1kv/90°C. Marca:pw fios e cabos</t>
  </si>
  <si>
    <t>Fita isolante anti-chama 18mmx5mm</t>
  </si>
  <si>
    <t>Cadeado 25mm</t>
  </si>
  <si>
    <t>Terminal tubular 16mm - 5mm</t>
  </si>
  <si>
    <t>Mangueira jardim parede dupla 20mt</t>
  </si>
  <si>
    <t>Barra 5/16 12mts</t>
  </si>
  <si>
    <t>Abraçadeira MTX FN 12-16</t>
  </si>
  <si>
    <t>GRAXA GT LIT AZUL 1KG</t>
  </si>
  <si>
    <t>Rolamento de esfera 6308 -ZZ C3 Timken</t>
  </si>
  <si>
    <t>Trena de fibra 20 mt kala</t>
  </si>
  <si>
    <t>TALHA MANUAL 1 TON X3MT</t>
  </si>
  <si>
    <t>LUVA DE REDUÇÃO GALVANIZADA 4"X3" TUPY</t>
  </si>
  <si>
    <t>Lâmpada Led Bulbo T40W 6500K LD 3200</t>
  </si>
  <si>
    <t>Refletor Led Slim PR Bivolt 100W 5500k</t>
  </si>
  <si>
    <t>União 25mm</t>
  </si>
  <si>
    <t>Torneira bico preto</t>
  </si>
  <si>
    <t>Rolamento industrial 6310 2RS/C3</t>
  </si>
  <si>
    <t>Cabo flex 16mm</t>
  </si>
  <si>
    <t>ANEL BORRACHA PARA TUBO/CONEXÃO PVC PBA DN 100MM,PARA REDE ÁGUA. MARCA:GIBABOR TOROIDAL PBA</t>
  </si>
  <si>
    <t>Anel borracha para tubo/conexão pvc pba dn 100mm,para rede água. Marca:gibabor toroidal pba</t>
  </si>
  <si>
    <t>Anel borracha para tubo pvc defofo dn 150 nbr 7665. Marca:gibabor defofo</t>
  </si>
  <si>
    <t>Anel borracha para tubo pvc defofo dn 200 nbr 7665. Marca:gibabor defofo</t>
  </si>
  <si>
    <t>Anel borracha para tubo pvc defofo dn 250 nbr 7665. Marca:gibabor defofo</t>
  </si>
  <si>
    <t>Anel borracha para tubo pvc defofo dn 300 nbr 7665. Marca:gibabor defofo</t>
  </si>
  <si>
    <t>Anel borracha para fofo junta elástica dn 400 para água. Marca:gibabor/2gs</t>
  </si>
  <si>
    <t>Cabo de cobre isolado em pvc,submersível,chato,3x6mm2,1kv. Unidade:m. Marca:wireflex wirenax flat 90°C</t>
  </si>
  <si>
    <t>Cabo de cobre isolado em pvc submersível,chato 3x10mm2,1kv. Unidade:m. Marca:wireflex wirenax flat 90°C</t>
  </si>
  <si>
    <t>CABO DE COBRE ISOLADO EM PVC,SUBMERSÍVEL,CHATO, 3X25MM2,1KV. UNIDADE:M. MARCA:WIREFLEX WIRENAX FLAT 90°C</t>
  </si>
  <si>
    <t>Cabo de cobre isolado em pvc,submersível,chato, 3x25mm2,1kv. Unidade:m. Marca:wireflex wirenax flat 90°C</t>
  </si>
  <si>
    <t>Cabo de cobre isolado em pvc,submersível,chato,3x35mm2,1kv. Unidade:m. Marca:wireflex wirenax flat 90°C</t>
  </si>
  <si>
    <t>Cabo de cobre isolado em pvc submersível chato,3x50mm2,1kv. Unidade:m. Marca:wireflex wirenax flat 90°C</t>
  </si>
  <si>
    <t>Cabo de cobre isolado em pvc,submersível,chato,3x70mm2,1kv. Unidade:m. Marca:wireflex wirenax flat 90°C</t>
  </si>
  <si>
    <t>Registro de esfera,pvc,com volante,vs,roscavel,dn 3/4,com corpo dividido. Marca:tigre</t>
  </si>
  <si>
    <t>Colar tomada pvc,com travas,saída com rosca de 60mmx1/2,para ligação predial de água. Marca:tigre</t>
  </si>
  <si>
    <t>Colar tomada pvc com travas,saída com rosca,de 85mmx1/2, para ligação predial de água. Marca:tigre.</t>
  </si>
  <si>
    <t>Colar tomada pvc com travas,saída com rosca,de110mmx1/2,para ligação predial de água. Marca:tigre.</t>
  </si>
  <si>
    <t>TUBO GALVANIZADO 2.1/2 C 6 M</t>
  </si>
  <si>
    <t>Tubo galvanizado 2.1/2 c 6 m</t>
  </si>
  <si>
    <t>Luva ferro 2. 1/2</t>
  </si>
  <si>
    <t>COLA PARA CANO 175G C/ PINCEL</t>
  </si>
  <si>
    <t>Cola para cano 175G c/ pincel</t>
  </si>
  <si>
    <t>FITA VEDA ROSCA ROLO 10M</t>
  </si>
  <si>
    <t>Fita veda rosca rolo 10m</t>
  </si>
  <si>
    <t>Rolamento SKF 6203-2RSH/C3GJN ALT DT SKF</t>
  </si>
  <si>
    <t>Joelho soldável 90liso 60mm</t>
  </si>
  <si>
    <t>JOELHO SOLDÁVEL 90 ROSCA 20X1/2</t>
  </si>
  <si>
    <t>Joelho soldável 90 rosca 20x1/2</t>
  </si>
  <si>
    <t>Tapis soldável de 100mm</t>
  </si>
  <si>
    <t>TAPIS SOLDÁVEL DE 50MM</t>
  </si>
  <si>
    <t>Tubo krona soldável 85mmx6mt</t>
  </si>
  <si>
    <t>TUBO KRONA SOLDÁVEL 20MMX6MT</t>
  </si>
  <si>
    <t>Tubo krona soldável 20mmx6mt</t>
  </si>
  <si>
    <t>Fio cabo flexível 2.5 branco nambi</t>
  </si>
  <si>
    <t>Fio cabo flexível 4.0 vermelho nambi</t>
  </si>
  <si>
    <t>Fio cabo flexível 2.5 azul nambi</t>
  </si>
  <si>
    <t>Tinta Vertex latex acrílica 18lt branco neve</t>
  </si>
  <si>
    <t>Tinta Vertex latex acrílica 18lt azul céu</t>
  </si>
  <si>
    <t>Massa acrílica externa verbras 18lt</t>
  </si>
  <si>
    <t>Rolamento industrial 6205</t>
  </si>
  <si>
    <t>Corda 18mm</t>
  </si>
  <si>
    <t>Corrente galvanizada 3.0-12.5 metro</t>
  </si>
  <si>
    <t>Barra cantoneira 1x1/8</t>
  </si>
  <si>
    <t>Relé Supervisor trifásico modelo 21-23-25-27 mm380 VCA</t>
  </si>
  <si>
    <t>Refletor black slim SMD 6500 K 100W</t>
  </si>
  <si>
    <t>Livro protocolo de correspondência</t>
  </si>
  <si>
    <t>Registro de gaveta fofo BBC DN 100/110mm</t>
  </si>
  <si>
    <t>Corretivo tipo fita</t>
  </si>
  <si>
    <t>Broca para concreto 8mm</t>
  </si>
  <si>
    <t>Broca para concreto 10mm</t>
  </si>
  <si>
    <t>Disco de desbate 7x1/4x7/8</t>
  </si>
  <si>
    <t>Relé proteção FFS 220/380V trifásico</t>
  </si>
  <si>
    <t>Fita isolante anti-chama 19m x10m</t>
  </si>
  <si>
    <t>Niple duplo fg DN 1POL</t>
  </si>
  <si>
    <t>Luva união FG DN 1pol</t>
  </si>
  <si>
    <t>Tee FG 90 DN 2 POL</t>
  </si>
  <si>
    <t>Cal (pintura) 5 kg</t>
  </si>
  <si>
    <t>Registro 60 soldável</t>
  </si>
  <si>
    <t>Dulub hidráulico 68BL</t>
  </si>
  <si>
    <t>Anticorrosivo White Lub 300ml</t>
  </si>
  <si>
    <t>Luva soldável lisa 25mm</t>
  </si>
  <si>
    <t>SERRA STARRET 300 MM</t>
  </si>
  <si>
    <t>Cabo flexível 10mm 750V</t>
  </si>
  <si>
    <t>Cabo flexível 1,5mm 750V</t>
  </si>
  <si>
    <t>Luva de correr pvc DN 100MM com anel</t>
  </si>
  <si>
    <t>SOLDA 6013 AZUL FINA 2,5MM</t>
  </si>
  <si>
    <t>Solda 6013 azul fina 2,5mm</t>
  </si>
  <si>
    <t>CHAVE GRIFO 36</t>
  </si>
  <si>
    <t>Registro gaveta bronze bruto DN 3</t>
  </si>
  <si>
    <t>MOTOESMERIL PLUS MENEGOTTI 1/2 CV220</t>
  </si>
  <si>
    <t>Refil Epson T664220 Ciano</t>
  </si>
  <si>
    <t>Refil Epson T664420 Amarelo</t>
  </si>
  <si>
    <t>Webcamfullhd 1080p autofoco rot 360</t>
  </si>
  <si>
    <t>Válvula de retenção</t>
  </si>
  <si>
    <t>Rolamento 6202 ZZ</t>
  </si>
  <si>
    <t>União roscável 1/2</t>
  </si>
  <si>
    <t>Niple roscável 1/2</t>
  </si>
  <si>
    <t>ODCD</t>
  </si>
  <si>
    <t>LUVA LR 25X3/4</t>
  </si>
  <si>
    <t>DISCO CORTE P/FERRO E INOX 557559 115X1.0 X22,23</t>
  </si>
  <si>
    <t>Disco corte p/ferro e inox 557559 115x1.0 x22,23</t>
  </si>
  <si>
    <t>LENTE PARA SOLDA 10</t>
  </si>
  <si>
    <t>Cabo PP 500V 3x1,50mm</t>
  </si>
  <si>
    <t>Registro esférico plástico 85</t>
  </si>
  <si>
    <t>Disjuntor Série SD63 50A trifásico</t>
  </si>
  <si>
    <t>Disjuntor Série SD63 63A trifásico</t>
  </si>
  <si>
    <t>Anel oring 2-131N 2,62X42,52</t>
  </si>
  <si>
    <t>Rolamento 6212-ZZ-C3 60X110X22</t>
  </si>
  <si>
    <t>Rolamento de esfera 6310-ZZ</t>
  </si>
  <si>
    <t>Biscoito rancheiro rosca coco</t>
  </si>
  <si>
    <t>Biscoito fortaleza cream cracker</t>
  </si>
  <si>
    <t>Biscoito fortaleza maria</t>
  </si>
  <si>
    <t>ALAVANCA 1,5MT</t>
  </si>
  <si>
    <t>Alavanca 1,5mt</t>
  </si>
  <si>
    <t>Adesivo 500g vedacit</t>
  </si>
  <si>
    <t>Envelope pardo ofício</t>
  </si>
  <si>
    <t>Envelope pardo A4</t>
  </si>
  <si>
    <t>Cola instantânea tecbond</t>
  </si>
  <si>
    <t>Estopa tipo extra 100% algodão 150G</t>
  </si>
  <si>
    <t>SERRA PARA CANO</t>
  </si>
  <si>
    <t>Serra para cano</t>
  </si>
  <si>
    <t>COLAR DE TOMADA PBA DN 60X1/2</t>
  </si>
  <si>
    <t>Colar de tomada PBA DN 60X1/2</t>
  </si>
  <si>
    <t>Terminal Pré-isolado tipo garfo</t>
  </si>
  <si>
    <t>Terminal Pré-isolado pino</t>
  </si>
  <si>
    <t>DISCO DE CORTE MET/INOX 4" 1/2"X1,,X7/8"</t>
  </si>
  <si>
    <t>Disco de corte met/inox 4" 1/2"X1,,X7/8"</t>
  </si>
  <si>
    <t>Rolamento 6308</t>
  </si>
  <si>
    <t>Rolamento 6309</t>
  </si>
  <si>
    <t>Toner Compatível HP 35A /36A /78A/85A PRETO</t>
  </si>
  <si>
    <t>Açúcar demerara 1kg</t>
  </si>
  <si>
    <t>Saco para lixo 50L</t>
  </si>
  <si>
    <t>Saco para lixo 100L</t>
  </si>
  <si>
    <t>Lixeira 7L pedal</t>
  </si>
  <si>
    <t>Vassoura de palha</t>
  </si>
  <si>
    <t>DESINFETANTE 1L</t>
  </si>
  <si>
    <t>Desinfetante 1L</t>
  </si>
  <si>
    <t>Detergente líquido 500ml</t>
  </si>
  <si>
    <t>PAPEL TOALHA 2X60</t>
  </si>
  <si>
    <t>LUVA DE CORRER DEFOFO DN 150MM</t>
  </si>
  <si>
    <t>Luva de correr defofo DN 150mm</t>
  </si>
  <si>
    <t>Luva de correr PBA DN 100 de110mm</t>
  </si>
  <si>
    <t>Luva galvanizada redução 4x3</t>
  </si>
  <si>
    <t>Bucha galvanizada de redução 4x3</t>
  </si>
  <si>
    <t>Luva LR 32x1</t>
  </si>
  <si>
    <t>Lente solda</t>
  </si>
  <si>
    <t>Registro 50mm</t>
  </si>
  <si>
    <t>Sabão em pó 1Kg</t>
  </si>
  <si>
    <t>Barra chata 1/2 x 1/8 6m</t>
  </si>
  <si>
    <t>LUVA DE REDUÇÃO FERRO GALVANIZADO 2.1/2X3</t>
  </si>
  <si>
    <t>Luva de redução ferro galvanizado 2.1/2x3</t>
  </si>
  <si>
    <t>NIPLE FERRO GALVANIZADO 3</t>
  </si>
  <si>
    <t>Niple ferro galvanizado 3</t>
  </si>
  <si>
    <t>Luvas simples ferro galvanizado 1.1/4</t>
  </si>
  <si>
    <t>Adaptador curto 40x1,1/4</t>
  </si>
  <si>
    <t>LUVA SIMPLES FERRO GALVANIZADO 3</t>
  </si>
  <si>
    <t>Luva simples ferro galvanizado 3</t>
  </si>
  <si>
    <t>GAXETA DE ALGODÃO 1/4</t>
  </si>
  <si>
    <t>Abraçadeira nylon 100x2,5</t>
  </si>
  <si>
    <t>Relé contator 3TS32 220VCA 18A</t>
  </si>
  <si>
    <t>Desengripante spray white lub 300ml</t>
  </si>
  <si>
    <t>LUVA PVC 20X1/2</t>
  </si>
  <si>
    <t>Luva pvc 20x1/2</t>
  </si>
  <si>
    <t>REGISTRO ESFERA PVC 20MM SOLDÁVEL</t>
  </si>
  <si>
    <t>Registro esfera pvc 20mm soldável</t>
  </si>
  <si>
    <t>Redução 25x20mm</t>
  </si>
  <si>
    <t>Fusível NH 36 AMP</t>
  </si>
  <si>
    <t>Chave biela 14mm</t>
  </si>
  <si>
    <t>Chave combinada 15mm</t>
  </si>
  <si>
    <t>Marreta com cabo 2kg</t>
  </si>
  <si>
    <t>CAFÉ BOM DIA TRADICIONAL ALMOFADA 250G</t>
  </si>
  <si>
    <t>Refrigerante 2,5L</t>
  </si>
  <si>
    <t>Suco Del Valle Frut laranja 1,5L</t>
  </si>
  <si>
    <t>Filtro de linha 4 tomadas</t>
  </si>
  <si>
    <t>ABRAÇADEIRA NYLON 200X48 BC 100 UN TP 8</t>
  </si>
  <si>
    <t>Botina com cadarço nobuk</t>
  </si>
  <si>
    <t>Balde de óleo Rimula RT4 X 15W40 SHELL FR 20L</t>
  </si>
  <si>
    <t>Disco abrasivo Flap 4.1/2 x 7/8 GR 120</t>
  </si>
  <si>
    <t>BARRA ROSCÁVEL 6 METROS 3/4</t>
  </si>
  <si>
    <t>Solda Inox 2mm ok 6130</t>
  </si>
  <si>
    <t>Relé/contator - 3TS35- 40A - BOBINA 220VCA - 60HZ -1NA + 1NF</t>
  </si>
  <si>
    <t>Terminal cobre 16 mm pré isolado</t>
  </si>
  <si>
    <t>Capacete com carneira branco</t>
  </si>
  <si>
    <t>Amperímetro digital 22 mm vermelho 50A a 250 vca</t>
  </si>
  <si>
    <t>Tubo soldável 6.00m 32mm</t>
  </si>
  <si>
    <t>Fio de corte quadrado 3,3 mm x 228 m preto</t>
  </si>
  <si>
    <t>Lubrificante Stihl 8017 500ml</t>
  </si>
  <si>
    <t>Conjunto Flap E6 SA A48 CL 30</t>
  </si>
  <si>
    <t>Rolamento de esfera 6206 ZZ</t>
  </si>
  <si>
    <t>Adesivo Epoxi 16GR</t>
  </si>
  <si>
    <t>Tee soldável 60mm</t>
  </si>
  <si>
    <t>Projetor Led 200W 6500k PT 11000 LM</t>
  </si>
  <si>
    <t>TUBO SOLDÁVEL 32X6M</t>
  </si>
  <si>
    <t>Rolamento 6205ZZ</t>
  </si>
  <si>
    <t>Rolamento 6206ZZ</t>
  </si>
  <si>
    <t>Flanela 29x49cm</t>
  </si>
  <si>
    <t>TERMOMETRO INFRAVERMELHO MT 350A</t>
  </si>
  <si>
    <t>Luva de correr defofo DN 100mm</t>
  </si>
  <si>
    <t>ANEL DE BORRACHA DEFOFO DN 100MM</t>
  </si>
  <si>
    <t>Óleo imperium 68 20L</t>
  </si>
  <si>
    <t>COLAR DE TOMADA PVC C/ TRAVA DN 50MMX 1/2''</t>
  </si>
  <si>
    <t>Solda ok 3,25x350</t>
  </si>
  <si>
    <t>Parafuso de aço 5/8 x 3RG</t>
  </si>
  <si>
    <t>COLAR DE TOMADA 40X1/2</t>
  </si>
  <si>
    <t>Luva soldável de correr 50mm com anel</t>
  </si>
  <si>
    <t>Botão schneider XBSAW34M2 22MM led 220w 240vac</t>
  </si>
  <si>
    <t>Adaptador 60mm</t>
  </si>
  <si>
    <t>Fita isolante 3m Isolante 3M 33 + 20 mts</t>
  </si>
  <si>
    <t>Botão schneider XBSAW33M1 22MM led 220w 240vac</t>
  </si>
  <si>
    <t>Disjuntor Unip 63A</t>
  </si>
  <si>
    <t>Luva a compressão 35 mm</t>
  </si>
  <si>
    <t>Weg Relé de tempo RTW -17 3-30MIN 220V</t>
  </si>
  <si>
    <t>Chave Bóia cb -3002 Sup/inf 25 A-2,00m</t>
  </si>
  <si>
    <t>Luva a compressão 16 mm</t>
  </si>
  <si>
    <t>Cap soldável 50mm</t>
  </si>
  <si>
    <t>Bucha galvanizada red. 5x4</t>
  </si>
  <si>
    <t>LUVA GALVANIZADA 2.1/2"</t>
  </si>
  <si>
    <t>Luva galvanizada 2.1/2"</t>
  </si>
  <si>
    <t>Picareta estreita c/ cabo</t>
  </si>
  <si>
    <t>Cruzeta PBA 60MM c/ anel</t>
  </si>
  <si>
    <t>Lima grosa 10" s/ cabo</t>
  </si>
  <si>
    <t>Tee soldável 32mm</t>
  </si>
  <si>
    <t>Weg relé de nivel biv. 100-240</t>
  </si>
  <si>
    <t>Terminal tipo pino 1,50 a 2,50mm</t>
  </si>
  <si>
    <t>Luva de ferro 4 polegadas</t>
  </si>
  <si>
    <t>Fita isolante 19mm x 10m Auto fusão</t>
  </si>
  <si>
    <t>Álcool gel 70% 1L</t>
  </si>
  <si>
    <t>Saco de lixo 30L</t>
  </si>
  <si>
    <t>RELÉ DE NÍVEL 100 240V 50 WEG</t>
  </si>
  <si>
    <t>Relé de nível 100 240V 50 Weg</t>
  </si>
  <si>
    <t>Relé temporizador eletron RTW17 WEG</t>
  </si>
  <si>
    <t>Monitor 21.5 Led HDMI preto</t>
  </si>
  <si>
    <t>Adesivo 3M para junta</t>
  </si>
  <si>
    <t>Lâmina serra a. carb. flex p/ pvc</t>
  </si>
  <si>
    <t>Disco de desbaste 4.1/2x3/16x7/8</t>
  </si>
  <si>
    <t>Abraçadeira nylon 140x2,5 preta</t>
  </si>
  <si>
    <t>TERMINAL PRÉ-ISOLADO PINO FIO 50MM</t>
  </si>
  <si>
    <t>Óleo 2T-500ml essencial lubrax 1315</t>
  </si>
  <si>
    <t>Bateria alcalina 9V</t>
  </si>
  <si>
    <t>TERMINAL PRÉ-ISOLADO 35MM</t>
  </si>
  <si>
    <t>Bucha de redução soldável curta 75x60mm</t>
  </si>
  <si>
    <t>Kit chave soquete 12 peças</t>
  </si>
  <si>
    <t>Chave combinada 11/16</t>
  </si>
  <si>
    <t>Chave combinada 11mm</t>
  </si>
  <si>
    <t>TALHADEIRA 3/4X12 AÇO INOX</t>
  </si>
  <si>
    <t>Talhadeira 3/4x12 aço inox</t>
  </si>
  <si>
    <t>Terminal pré-isolado fio 4mm</t>
  </si>
  <si>
    <t>Rolamento 6312</t>
  </si>
  <si>
    <t>Adaptador soldável 32mm</t>
  </si>
  <si>
    <t>Registro soldável de 20mm</t>
  </si>
  <si>
    <t>Camera digital webcam 480P WC051 MIC PT ML</t>
  </si>
  <si>
    <t>ÁLCOOL EM GEL 70 500G</t>
  </si>
  <si>
    <t>Álcool em gel 70 500g</t>
  </si>
  <si>
    <t>Fusível diazed 02AMP</t>
  </si>
  <si>
    <t>Relé proteção FF-01 05S 220-380V</t>
  </si>
  <si>
    <t>RELÉ PROTEÇÃO TEI 01-03 MC24 A 240V</t>
  </si>
  <si>
    <t>CONTATOR 3TF46 220V</t>
  </si>
  <si>
    <t>Contator 3TF46 220V</t>
  </si>
  <si>
    <t>MARRETA COM CABO 1KG</t>
  </si>
  <si>
    <t>Graxa azul 500g lítio</t>
  </si>
  <si>
    <t>Barra chata de ferro 1/4x5/8</t>
  </si>
  <si>
    <t>Barra chata de ferro 1x1/4</t>
  </si>
  <si>
    <t>Óleo para compressores e sistema pneumático max P100</t>
  </si>
  <si>
    <t>ACOPLAMENTO GS-168</t>
  </si>
  <si>
    <t>Acoplamento GS-168</t>
  </si>
  <si>
    <t>BROCA DE AÇO RÁPIDO 1/4</t>
  </si>
  <si>
    <t>Lâmpada tubo led T-08 9W 6500K 60cm</t>
  </si>
  <si>
    <t>Corda 6mm</t>
  </si>
  <si>
    <t>Rolamento industrial 6210</t>
  </si>
  <si>
    <t>WEG ELETRODO METALICO PENDULO P/ RELE NIVEL</t>
  </si>
  <si>
    <t>Cabo flexível 750V 2,50mm</t>
  </si>
  <si>
    <t>TERMINAL A COMPRESSÃO 70MM</t>
  </si>
  <si>
    <t>Anel PBA 75mm</t>
  </si>
  <si>
    <t>Torneira Cozinha PAR BM</t>
  </si>
  <si>
    <t>Dispositivo de sinalização de comando, c/ lâmina incorporada, 220 V, vermelho</t>
  </si>
  <si>
    <t>Desinfetante 5L</t>
  </si>
  <si>
    <t>Parafuso sextavado inox 1/2x2.1/2</t>
  </si>
  <si>
    <t>Cabo de aço 5/16</t>
  </si>
  <si>
    <t>Eletrodo ok inox 6130 2,5mm</t>
  </si>
  <si>
    <t>Adaptador soldável curto 85x3</t>
  </si>
  <si>
    <t>Conector grampo aluminio 50-200mm</t>
  </si>
  <si>
    <t>Disjuntor monofásico 25A</t>
  </si>
  <si>
    <t>Gaxeta 3/4</t>
  </si>
  <si>
    <t>Redução 40-25</t>
  </si>
  <si>
    <t>Carrinho de mão 50L com pneu</t>
  </si>
  <si>
    <t>Luva FF FG DN 2.1/2 pol</t>
  </si>
  <si>
    <t>PROCESSADORES INTEL CORE I9,INTEL CO I7, INTEL CORE IS, INTEL CORE I3, INTEL PENTIUM E INTEL CELERON LGA1200 DDR4 3200DD</t>
  </si>
  <si>
    <t>Processadores Intel Core i9,intel Co i7, Intel Core iS, Intel Core i3, Intel Pentium e Intel Celeron LGA1200 DDR4 3200DD</t>
  </si>
  <si>
    <t>CONE SINALIZADOR 75CM PVC</t>
  </si>
  <si>
    <t>Rolamento 6204ZZ</t>
  </si>
  <si>
    <t>Tomada tripla 10AP</t>
  </si>
  <si>
    <t>Açúcar cristal 1kg</t>
  </si>
  <si>
    <t>Papel higiênico 11x30m</t>
  </si>
  <si>
    <t>Desengripante bril lub fit 300ml</t>
  </si>
  <si>
    <t>Tap roscável</t>
  </si>
  <si>
    <t>Cabo de aço plastificado 4.8-3/16</t>
  </si>
  <si>
    <t>Graxa p/ rolamento MP2 18kg</t>
  </si>
  <si>
    <t>Jogo de macho manual BSW 3/16</t>
  </si>
  <si>
    <t>Abraçadeira T80R 100mm</t>
  </si>
  <si>
    <t>Abraçadeira T50R 100/1ML UV</t>
  </si>
  <si>
    <t>Rebite Aluminio 3,2X16,00 100PC</t>
  </si>
  <si>
    <t>Tubo de Ferro Fundido Dúctil Ponta e Bolsa (PB) com Junta Elástica(JE) de 6m de comprimento e diâmetro de 400 mm conf.</t>
  </si>
  <si>
    <t>Luva de Correr Junta Mecânica em Ferro Fundido (F°F°) Dúctil comdiâmetro de 400mm, Classe K7 e PN10, Flange e Contra Fla</t>
  </si>
  <si>
    <t>Elo fusível prata 0,5 H padrão cemar</t>
  </si>
  <si>
    <t>Elo Fusivel 6K</t>
  </si>
  <si>
    <t>Elo Fusivel 8K</t>
  </si>
  <si>
    <t>Fita Led 2835 12V 6000K 4,8W</t>
  </si>
  <si>
    <t>Rolamento de esfera 6205- 2RS C3</t>
  </si>
  <si>
    <t>Rolamento de esfera 6305- 2RS C3</t>
  </si>
  <si>
    <t>Relé falta de fase modelo-01 MC 220-380VCA 0,5S</t>
  </si>
  <si>
    <t>Relé bimetálico - 3US56 - ajust. (25 - 36A) - 1NA + 1NF</t>
  </si>
  <si>
    <t>Lubrax turbina 68 20lts</t>
  </si>
  <si>
    <t>Eletrodo p/ relé de nível 9663</t>
  </si>
  <si>
    <t>LUVA DE EMENDA P/ COMPRESSÃO 25MM</t>
  </si>
  <si>
    <t>Relé bimetálico weg RW117 1D 90-112A</t>
  </si>
  <si>
    <t>Extensão 1,5m 5T 2P+T 10A/250V cinza</t>
  </si>
  <si>
    <t>Fita fixa forte 3m 24mm x 2m</t>
  </si>
  <si>
    <t>Fita veda rosca 50MT</t>
  </si>
  <si>
    <t>Fusível NH00 100A</t>
  </si>
  <si>
    <t>Relé térmico 20-32A</t>
  </si>
  <si>
    <t>Contator 3TF 34</t>
  </si>
  <si>
    <t>Relé térmico 63-80A</t>
  </si>
  <si>
    <t>Terminal olhal 50mm²</t>
  </si>
  <si>
    <t>Relé térmico 16-25A</t>
  </si>
  <si>
    <t>Relé de nível 220V</t>
  </si>
  <si>
    <t>Fusível NH 63A</t>
  </si>
  <si>
    <t>Regsitro fofo bolsa/bolsa 60mm</t>
  </si>
  <si>
    <t>JOELHO SOLDÁVEL 90G 25MM</t>
  </si>
  <si>
    <t>Joelho soldável 90g 25mm</t>
  </si>
  <si>
    <t>Tubo defofo DN 150mm</t>
  </si>
  <si>
    <t>Óleo lubrax 20W50</t>
  </si>
  <si>
    <t>Alavanca ferro 1x1,5m</t>
  </si>
  <si>
    <t>Disjuntor din tripolar 50A steck</t>
  </si>
  <si>
    <t>TAPS SOLDÁVEL 60MM</t>
  </si>
  <si>
    <t>Taps soldável 60mm</t>
  </si>
  <si>
    <t>REGISTRO ESFERA 40MM SOLDÁVEL</t>
  </si>
  <si>
    <t>Registro esfera 40mm soldável</t>
  </si>
  <si>
    <t>Abraçadeira nylon 200x2,5mm</t>
  </si>
  <si>
    <t>Cabo de cobre NU 35mm</t>
  </si>
  <si>
    <t>Lubrificante stihl 8017H 500ml</t>
  </si>
  <si>
    <t>Tubo galvanizado NBR -5580 1.1/2 x 3.00L</t>
  </si>
  <si>
    <t>Plug c/ rosca 1/2</t>
  </si>
  <si>
    <t>Fita gomada 36mm x 50m</t>
  </si>
  <si>
    <t>Anticorrosivo desengripante spray 300ml</t>
  </si>
  <si>
    <t>Fita isolante 19mm x 5m</t>
  </si>
  <si>
    <t>Jardineira de segurança KP 500 com botas</t>
  </si>
  <si>
    <t>Rolamento 6203 ZZ</t>
  </si>
  <si>
    <t>Saco de lixo 40L</t>
  </si>
  <si>
    <t>Saco de lixo 200L</t>
  </si>
  <si>
    <t>Fio cabo flexível 06mm preto sil</t>
  </si>
  <si>
    <t>Abraçadeira MS 111-123</t>
  </si>
  <si>
    <t>Abraçadeira inox 4'' MS 105-117</t>
  </si>
  <si>
    <t>FLANELA 28X48</t>
  </si>
  <si>
    <t>LIMPADOR PERFUMADO 1L</t>
  </si>
  <si>
    <t>Microfone para conferência MXL AC-404 USB profissional</t>
  </si>
  <si>
    <t>Filtro de linha 8 tomadas com proteção</t>
  </si>
  <si>
    <t>REGISTRO DE GAVETA HD 1.1/2</t>
  </si>
  <si>
    <t>Fita gomada 780 48x50</t>
  </si>
  <si>
    <t>Pasta aba elástico 55mm</t>
  </si>
  <si>
    <t>Curva 90 soldável 50mm</t>
  </si>
  <si>
    <t>Rolamento 6308 PRO</t>
  </si>
  <si>
    <t>Rolamento 6208 CA</t>
  </si>
  <si>
    <t>Central telefônica, equipada:- Placa CODEC ICIPI30- Placa BASE ICIPI30- Placa 32 ramais analógicos</t>
  </si>
  <si>
    <t>Filtro químico GMC contra vapores orgânicos e gases ácidos compatível com o respirador semifacil comfo II</t>
  </si>
  <si>
    <t>TALHA ELÉTRICA DE CORRENTE, TRIFÁSICA, 380V, 60HZ, FIXAÇÃO POR GANCHO 2/1, CAPACIDADE 3 TONELADAS, ALTURA DE ELEVAÇÃO 9M</t>
  </si>
  <si>
    <t>TALHA ELÉTRICA DE CORRENTE, TRIFÁSICA, 380V,60HZ, FIXAÇÃO POR GANCHO 2/1, CAPACIDADE 5 TONELADAS, ALTURA DE ELEVAÇÃO 9M</t>
  </si>
  <si>
    <t>Talha Elétrica de Corrente, trifásica, 380V,60Hz, fixação por gancho 2/1, Capacidade 5 toneladas, altura de elevação 9m</t>
  </si>
  <si>
    <t>Pá quadrada</t>
  </si>
  <si>
    <t>Luva de redução FF FG DN 2.1/2x2 pol</t>
  </si>
  <si>
    <t>Rolamento SKF industrial 6308-2Z 40x90x23</t>
  </si>
  <si>
    <t>ROLAMENTO SKF INDUSTRIAL 6310-2Z/C3 50X110X27</t>
  </si>
  <si>
    <t>Rolamento SKF industrial 6310-2Z/C3 50x110x27</t>
  </si>
  <si>
    <t>Arame de aço recozido BWG18 1.25mm</t>
  </si>
  <si>
    <t>FOICE PARA ROÇADEIRA S/ CABO</t>
  </si>
  <si>
    <t>Cabo para enxada 1,50m</t>
  </si>
  <si>
    <t>Lâmpada Led bulbo T40W bivolt 6500K LD 3200 LUMES</t>
  </si>
  <si>
    <t>Alicate universal isolado</t>
  </si>
  <si>
    <t>Alicate de corte diagonal</t>
  </si>
  <si>
    <t>Manômetro GL Q 100 mm pressão de 0-20 mca, caixa de aço inox com interno de latão, fecho tipo baioneta</t>
  </si>
  <si>
    <t>Manômetro GL O 100 mm pressão de 0-30 mca, caixa de aço inox com interno de latão, fecho tipo baioneta</t>
  </si>
  <si>
    <t>Manômetro GL O 100 mm pressão de 0-50 mca, caixa de aço inox com interno de latão, fecho tipo baioneta</t>
  </si>
  <si>
    <t>Manômetro GL O 100 mm pressão de 0-100 mca, caixa de aço inox com interno de latão, fecho tipo baioneta</t>
  </si>
  <si>
    <t>Manômetro GL O 100 mm pressão de 0-200 mca, caixa de aço inox com interno de latão, fecho tipo baioneta</t>
  </si>
  <si>
    <t>Toner compatível TN1060 brother</t>
  </si>
  <si>
    <t>WEG RELE DE SOBRECARGA RW-67 57-70A</t>
  </si>
  <si>
    <t>TERMINAL A COMPRESSÃO 1 - FURO 95MM</t>
  </si>
  <si>
    <t>WEG RELE FALTA DE FASE RMW17 380/480V</t>
  </si>
  <si>
    <t>Luva de correr defofo 300mm c/ anel</t>
  </si>
  <si>
    <t>ENXADA LARGA C/ CABO 2,0 130CM</t>
  </si>
  <si>
    <t>LUVA SOLDÁVEL REDUÇÃO 32X25MM</t>
  </si>
  <si>
    <t>Registro esfera roscável 2''</t>
  </si>
  <si>
    <t>ANEL DE BORRACHA DN 75MM DE 85MM</t>
  </si>
  <si>
    <t>Relé proteção FSN-22 MM-380</t>
  </si>
  <si>
    <t>Contator trifásico 3TS35 40A</t>
  </si>
  <si>
    <t>Contator trifásico 3TS36 45A</t>
  </si>
  <si>
    <t>Disjuntor weg trifásico 63A 230/400VA</t>
  </si>
  <si>
    <t>Capa e contra capa A4 p/ encadernação</t>
  </si>
  <si>
    <t>ROLDANA PARA POÇO-08</t>
  </si>
  <si>
    <t>BARRA ROSQUEADA 1/2 C/ 1.00MT</t>
  </si>
  <si>
    <t>CHAVE GRIFO N12</t>
  </si>
  <si>
    <t>Chave grifo N12</t>
  </si>
  <si>
    <t>Extensão 3 tomadas 10 metros slim tripolar</t>
  </si>
  <si>
    <t>Registro de gaveta chato em Fº Fº, corpo e castelo em Fº Fº nodular, vedação em bronze, anel de borracha DN 50</t>
  </si>
  <si>
    <t>Registro de gaveta chato em Fº Fº, corpo e castelo em Fº Fº nodular, vedação em bronze, anel de borracha DN 75</t>
  </si>
  <si>
    <t>REGISTRO DE GAVETA CHATO EM Fº Fº, CORPO E CASTELO EM Fº Fº NODULAR, VEDAÇÃO EM BRONZE, ANEL DE BORRACHA DN 100</t>
  </si>
  <si>
    <t>Registro de gaveta chato em Fº Fº, corpo e castelo em Fº Fº nodular, vedação em bronze, anel de borracha DN 100</t>
  </si>
  <si>
    <t>REGISTRO DE GAVETA CHATO EM Fº Fº, CORPO E CASTELO EM Fº Fº NODULAR, VEDAÇÃO EM BRONZE, ANEL DE BORRACHA DN 150</t>
  </si>
  <si>
    <t>Registro de gaveta chato em Fº Fº, corpo e castelo em Fº Fº nodular, vedação em bronze, anel de borracha DN 150</t>
  </si>
  <si>
    <t>REGISTRO DE GAVETA CHATO EM Fº Fº, CORPO E CASTELO EM Fº Fº NODULAR, VEDAÇÃO EM BRONZE, ANEL DE BORRACHA DN 200</t>
  </si>
  <si>
    <t>Registro de gaveta chato em Fº Fº, corpo e castelo em Fº Fº nodular, vedação em bronze, anel de borracha DN 200</t>
  </si>
  <si>
    <t>Registro de gaveta chato em Fº Fº, corpo e castelo em Fº Fº nodular, vedação em bronze, anel de borracha DN 250</t>
  </si>
  <si>
    <t>REGISTRO DE GAVETA CHATO EM Fº Fº, CORPO E CASTELO EM Fº Fº NODULAR, VEDAÇÃO EM BRONZE, ANEL DE BORRACHA DN 300</t>
  </si>
  <si>
    <t>Registro de gaveta chato em Fº Fº, corpo e castelo em Fº Fº nodular, vedação em bronze, anel de borracha DN 300</t>
  </si>
  <si>
    <t>Registro de gaveta chato em Fº Fº, corpo e castelo em Fº Fº nodular, vedação em bronze, anel de borracha DN 400</t>
  </si>
  <si>
    <t>Registro de gaveta chato em Fº Fº, corpo e castelo em Fº Fº nodular, vedação em bronze, anel de borracha DN 500</t>
  </si>
  <si>
    <t>Joelho LR 25mm</t>
  </si>
  <si>
    <t>ABRAÇADEIRA NYLON 3,5MM X 280MM</t>
  </si>
  <si>
    <t>DVR gravador de video 16 canais intelbrais</t>
  </si>
  <si>
    <t>Corretivo tipo fita 5x6m</t>
  </si>
  <si>
    <t>Liga pct 500 grs</t>
  </si>
  <si>
    <t>Grampeador médio</t>
  </si>
  <si>
    <t>Conjunto Moto-Bomba (CMB) tipo SUBMERSO, vazão = 20,0 m³/h e AMT = 100 mca, TRIFÁSICO (380V)</t>
  </si>
  <si>
    <t>Conjunto Moto-Bomba (CMB) tipo SUBMERSO, vazão = 35,0 m³/h e AMT = 98 mca, TRIFÁSICO (380V)</t>
  </si>
  <si>
    <t>Contator 3TF33 220V</t>
  </si>
  <si>
    <t>Escada de alum. domestica 4 degraus</t>
  </si>
  <si>
    <t>DESENGRIPANTE WHITE LUB</t>
  </si>
  <si>
    <t>Conjunto Moto Bomba (CMB) tipo SUBMERSO, Vazão 25,0m³/h e AMT=80mca, TRIFÁSICO (380V), para poços de 6''</t>
  </si>
  <si>
    <t>Conjunto Moto Bomba (CMB) tipo SUBMERSO, Vazão 30,0m³/h e AMT=60mca, TRIFÁSICO (380V), para poços de 6''</t>
  </si>
  <si>
    <t>Conjunto Moto Bomba (CMB) tipo SUBMERSO, Vazão 30,0m³/h e AMT=135mca, TRIFÁSICO (380V), para poços de 6''</t>
  </si>
  <si>
    <t>CONJUNTO MOTO BOMBA (CMB) TIPO SUBMERSO, VAZÃO 36,0M³/H E AMT=72MCA, TRIFÁSICO (380V), PARA POÇOS DE 6''</t>
  </si>
  <si>
    <t>CONJUNTO MOTO BOMBA (CMB) TIPO SUBMERSO, VAZÃO 20,0M³/H E AMT=65MCA, TRIFÁSICO (380V), PARA POÇOS DE 6''</t>
  </si>
  <si>
    <t>Conjunto Moto Bomba (CMB) tipo SUBMERSO, Vazão 20,0m³/h e AMT=65mca, TRIFÁSICO (380V), para poços de 6''</t>
  </si>
  <si>
    <t>Conjunto Moto Bomba (CMB) tipo SUBMERSO, Vazão 20,0m³/h e AMT=80mca, TRIFÁSICO (380V), para poços de 6''</t>
  </si>
  <si>
    <t>CONJUNTO MOTO BOMBA (CMB) TIPO SUBMERSO, VAZÃO 20,0M³/H E AMT=112MCA, TRIFÁSICO (380V), PARA POÇOS DE 6''</t>
  </si>
  <si>
    <t>Conjunto Moto Bomba (CMB) tipo SUBMERSO, Vazão 20,0m³/h e AMT=120mca, TRIFÁSICO (380V), para poços de 6''</t>
  </si>
  <si>
    <t>Conjunto Moto Bomba (CMB) tipo SUBMERSO, Vazão 30,0m³/h e AMT=130mca, TRIFÁSICO (380V), para poços de 6''</t>
  </si>
  <si>
    <t>Conjunto Moto Bomba (CMB) tipo SUBMERSO, Vazão 40,0m³/h e AMT=90mca, TRIFÁSICO (380V), para poços de 6''</t>
  </si>
  <si>
    <t>CONJUNTO MOTO BOMBA (CMB) TIPO SUBMERSO, VAZÃO 25,0M³/H E AMT=55MCA, TRIFÁSICO (380V), PARA POÇOS DE 6''</t>
  </si>
  <si>
    <t>Conjunto Moto Bomba (CMB) tipo SUBMERSO, Vazão 25,0m³/h e AMT=70mca, TRIFÁSICO (380V), para poços de 6''</t>
  </si>
  <si>
    <t>Conjunto Moto Bomba (CMB) tipo SUBMERSO, Vazão 30,0m³/h e AMT=40mca, TRIFÁSICO (380V), para poços de 6''</t>
  </si>
  <si>
    <t>Conjunto Moto Bomba (CMB) tipo SUBMERSO, Vazão 30,0m³/h e AMT=50mca, TRIFÁSICO (380V), para poços de 6''</t>
  </si>
  <si>
    <t>Registro 32</t>
  </si>
  <si>
    <t>Conjunto Moto Bomba (CMB) tipo SUBMERSO, Vazão 60,0m³/h e AMT=110mca, TRIFÁSICO (380V), para poços de 6''</t>
  </si>
  <si>
    <t>Conjunto Moto Bomba (CMB) tipo SUBMERSO, Vazão 65,0m³/h e AMT=112mca, TRIFÁSICO (380V), para poços de 6''</t>
  </si>
  <si>
    <t>Conjunto Moto Bomba (CMB) tipo SUBMERSO, Vazão 20,0m³/h e AMT=113mca, TRIFÁSICO (380V), para poços de 8''</t>
  </si>
  <si>
    <t>Conjunto Moto Bomba (CMB) tipo SUBMERSO, Vazão 20,0m³/h e AMT=145mca, TRIFÁSICO (380V), para poços de 8''</t>
  </si>
  <si>
    <t>Conjunto Moto Bomba (CMB) tipo SUBMERSO, Vazão 10,0m³/h e AMT=80mca, TRIFÁSICO (380V), para poços de 8''</t>
  </si>
  <si>
    <t>Conjunto Moto Bomba (CMB) tipo SUBMERSO, Vazão 10,0m³/h e AMT=105mca, TRIFÁSICO (380V), para poços de 8''</t>
  </si>
  <si>
    <t>Conjunto Moto Bomba (CMB) tipo SUBMERSO, Vazão 42,0m³/h e AMT=130mca, TRIFÁSICO 24 (380V), para poços de 8''</t>
  </si>
  <si>
    <t>Conjunto Moto Bomba (CMB) tipo SUBMERSO, Vazão 30,0m³/h e AMT=60mca, TRIFÁSICO (380V), para poços de 8''</t>
  </si>
  <si>
    <t>Conjunto Moto Bomba (CMB) tipo SUBMERSO, Vazão 35,0m³/h e AMT=107mca, TRIFÁSICO (380V), para poços de 8''</t>
  </si>
  <si>
    <t>Conjunto Moto Bomba (CMB) tipo SUBMERSO, Vazão 40,0m³/h e AMT=160mca, TRIFÁSICO (380V), para poços de 8''</t>
  </si>
  <si>
    <t>Conjunto Moto Bomba (CMB) tipo SUBMERSO, Vazão 64,0m³/h e AMT=82mca, TRIFÁSICO (380V), para poços de 10''</t>
  </si>
  <si>
    <t>ESTABILIZADOR 700VA BIVOLT/115V</t>
  </si>
  <si>
    <t>Estabilizador 700VA bivolt/115V</t>
  </si>
  <si>
    <t>LENÇOL BORRACHA LISO 1000X4,0MM C/ 1 LONA PRETO</t>
  </si>
  <si>
    <t>Rele de tempo RTW-17 6-60min 220V</t>
  </si>
  <si>
    <t>WEG CONTATOR CWM-80 220V</t>
  </si>
  <si>
    <t>Weg contator CWM-80 220V</t>
  </si>
  <si>
    <t>PAPEL HIGIÊNICO 30M 1X16</t>
  </si>
  <si>
    <t>CHAVE DE FENDA 1/4X6 150MM</t>
  </si>
  <si>
    <t>Chave de fenda 1/4x6 150mm</t>
  </si>
  <si>
    <t>WEG RELE DE SOBRECARGA RW 67 25-40A</t>
  </si>
  <si>
    <t>Weg rele de sobrecarga RW 67 25-40A</t>
  </si>
  <si>
    <t>Cavadeira articulada 1.40cm</t>
  </si>
  <si>
    <t>Rolamento de esfera 6206-2RS C3 timken</t>
  </si>
  <si>
    <t>Rolamento de esfera 6201-2RS timken</t>
  </si>
  <si>
    <t>Rolamento de esfera 6204-2RS C3 timken</t>
  </si>
  <si>
    <t>Machadinha cabo fibra 600g</t>
  </si>
  <si>
    <t>Rolamento 6304-2RSH</t>
  </si>
  <si>
    <t>COPO 150ML C/ 100 UND</t>
  </si>
  <si>
    <t>Escova de aço c/ cabo e raspador</t>
  </si>
  <si>
    <t>Trena 5m</t>
  </si>
  <si>
    <t>ESPONJA MULTIUSO</t>
  </si>
  <si>
    <t>Esponja multiuso</t>
  </si>
  <si>
    <t>Alicate p/ anel J41 int cv</t>
  </si>
  <si>
    <t>Desktop Lenovo ThinkCentre M80s, processador intel i5 10500, memória DDR4 de 8 gigas, SSD M.2 de 512 gigas</t>
  </si>
  <si>
    <t>Notebook Lenovo ThinkCent K14, processador AMD Ryzen 3 5400, memória DDR4 de 16 gigas, SSD M.2 de 256 gigas</t>
  </si>
  <si>
    <t>Grampeador 20 fls</t>
  </si>
  <si>
    <t>DISCO DE CORTE 7X0,60X7/8</t>
  </si>
  <si>
    <t>Botão de comando duplo B10D G2 F1 C5 P0 L0 Q0 1NA+1NF visor VD</t>
  </si>
  <si>
    <t>Canaleta 30x30</t>
  </si>
  <si>
    <t>Terminal cobre 1;5 2;5 pre isolado</t>
  </si>
  <si>
    <t>Barra roscada zincada 3/8x1.0m</t>
  </si>
  <si>
    <t>Rolamento timken 6309-ZZ 45x100x25</t>
  </si>
  <si>
    <t>Rolamento timken 6209-ZZ 45x85x19</t>
  </si>
  <si>
    <t>COPO DESCARTÁVEL 150ML</t>
  </si>
  <si>
    <t>Lona polietileno azul 4x4</t>
  </si>
  <si>
    <t>Jogo de chave hexagonal longa</t>
  </si>
  <si>
    <t>Lamina serra manual bimetal starret BS1218</t>
  </si>
  <si>
    <t>JUNTA LIQUIDA PRETA</t>
  </si>
  <si>
    <t>Adaptador 20mm x 1/2</t>
  </si>
  <si>
    <t>Cap PBA 110mm</t>
  </si>
  <si>
    <t>Tee PBA 85mm</t>
  </si>
  <si>
    <t>Cabo aço galvanizado 3,2mm 1/8''</t>
  </si>
  <si>
    <t>HD externo 1TB seagate 2.5 USB</t>
  </si>
  <si>
    <t>Serra aço rapido 18T starret</t>
  </si>
  <si>
    <t>Papel A4 75g 210x297mm resma c/ 500 fls</t>
  </si>
  <si>
    <t>ESTOPA BRANCA 50KG</t>
  </si>
  <si>
    <t>Torneira de jardim 1130x1/2CR</t>
  </si>
  <si>
    <t>Luva de redução ferro galvanizado 1.1/4x2</t>
  </si>
  <si>
    <t>Niple ferro galvanizado 1/2</t>
  </si>
  <si>
    <t>Torneira boia p cx d'água 1/2-3/4 gotas</t>
  </si>
  <si>
    <t>Enxada larga 2,5</t>
  </si>
  <si>
    <t>Tubo soldável 50x6m</t>
  </si>
  <si>
    <t>BUCHA DE REDUÇÃO SOLDÁVEL LONGA 50X20MM</t>
  </si>
  <si>
    <t>Bucha de redução soldável longa 50x20mm</t>
  </si>
  <si>
    <t>CAVADEIRA COM CABO 120CM</t>
  </si>
  <si>
    <t>Cavadeira com cabo 120cm</t>
  </si>
  <si>
    <t>Fita de Led strip 5m 2835</t>
  </si>
  <si>
    <t>Cabo flex PP 2x1</t>
  </si>
  <si>
    <t>LUVA DE REDUÇÃO FG 3X2</t>
  </si>
  <si>
    <t>Luva de redução FG 3x2</t>
  </si>
  <si>
    <t>ROLAMENTO INDUSTRIAL 6308 2RSC3</t>
  </si>
  <si>
    <t>Niple FG 3</t>
  </si>
  <si>
    <t>Rolamento industrial 6309 2RS-C3</t>
  </si>
  <si>
    <t>Broca aço rápido 3,5mm</t>
  </si>
  <si>
    <t>Broca aço rápido 5mm</t>
  </si>
  <si>
    <t>Jogo de chave allen rob 420-9m 1.5-10mm</t>
  </si>
  <si>
    <t>COLAR DE TOMADA FOFO DN 250X2</t>
  </si>
  <si>
    <t>Registro de esfera soldável 3</t>
  </si>
  <si>
    <t>Jogo de chave soquete sext. 172 peças</t>
  </si>
  <si>
    <t>Paquimetro inox 200x0.05</t>
  </si>
  <si>
    <t>Curva p/ eletroduto soldável 32mm</t>
  </si>
  <si>
    <t>TEE SOLDÁVEL 25MM</t>
  </si>
  <si>
    <t>Tee soldável 25mm</t>
  </si>
  <si>
    <t>Caneta fixa com corrente</t>
  </si>
  <si>
    <t>Cabo cobre NU 25mm</t>
  </si>
  <si>
    <t>Monitor 19,5 led HQ HDMI VGA</t>
  </si>
  <si>
    <t>Escova de aço carbografite trançada 4,1/2x1/2x7/8</t>
  </si>
  <si>
    <t>Luva LR 40x1 1/4</t>
  </si>
  <si>
    <t>Oxigênio med gás onu 1072</t>
  </si>
  <si>
    <t>Mini arco de serra c/ serra</t>
  </si>
  <si>
    <t>Chave de fenda 5/16x8</t>
  </si>
  <si>
    <t>Cabo PP flex NAX 1KV 3x6mm</t>
  </si>
  <si>
    <t>Alicate crimpador AC-611</t>
  </si>
  <si>
    <t>Aditivo radiador 1L</t>
  </si>
  <si>
    <t>RELE DE NÍVEL RNW 240V 50WEG</t>
  </si>
  <si>
    <t>Rele de nível RNW 240V 50WEG</t>
  </si>
  <si>
    <t>CABO FLEXÍVEL PP 2X4MM</t>
  </si>
  <si>
    <t>Computador desktop</t>
  </si>
  <si>
    <t>Monitor de vídeo wall profissional full hd 49 polegadas</t>
  </si>
  <si>
    <t>Monitor de vídeo com tela LCD com Led widescreen 16:9 de 18.5 polegadas de área visível</t>
  </si>
  <si>
    <t>Switch 24 portas gerenciável</t>
  </si>
  <si>
    <t>Nobreak 2500kva</t>
  </si>
  <si>
    <t>Rack para servidor tipo piso</t>
  </si>
  <si>
    <t>Câmera com visão noturna com acesso wifi e cabo, acesso ao aplicativo ICSEE</t>
  </si>
  <si>
    <t>RELE ALTRONIC DE PROTEÇÃO FFS-1 FALTA DE FASE</t>
  </si>
  <si>
    <t>Esmerilhadeira vonder 4.1/2 EAV650 c/disco 220V</t>
  </si>
  <si>
    <t>Eletrodo 6013 3,25mm 4x5kg</t>
  </si>
  <si>
    <t>Relé de tempo TEI 01-03 MC 24A</t>
  </si>
  <si>
    <t>Bolsa p/ ferramentas 32 divisões</t>
  </si>
  <si>
    <t>Rolamento de esfera 6216-C3</t>
  </si>
  <si>
    <t>Rolamento de esfera 6312 - ZZ FAG</t>
  </si>
  <si>
    <t>Reparo p/ torneira 1/4 16 estrias 5am</t>
  </si>
  <si>
    <t>Hidrômetro de velocidade,monojato,transmissão magnética,relojoaria seca, classe metrológica"B",vazão0,75m/h x 15mm</t>
  </si>
  <si>
    <t>Hidrômetros</t>
  </si>
  <si>
    <t>Luva de raspa cano longo</t>
  </si>
  <si>
    <t>Arla universal</t>
  </si>
  <si>
    <t>Teclado Lenovo</t>
  </si>
  <si>
    <t>Mouse Lenovo</t>
  </si>
  <si>
    <t>Monitor Lenovo S24E-03 23,8’’ POL. 1920x1080</t>
  </si>
  <si>
    <t>Mouse wireles</t>
  </si>
  <si>
    <t>Unidade Condensadora Elgin 45HJFE18 18000BTUS INV</t>
  </si>
  <si>
    <t>Fita autofusão 3m 19x5m</t>
  </si>
  <si>
    <t>Prateleira 25x90 superior</t>
  </si>
  <si>
    <t>Registro de esfera c/ união PVC dn 60-2"</t>
  </si>
  <si>
    <t>Registro de esfera c/ união PVC dn 32-1"</t>
  </si>
  <si>
    <t>Pano copa 42x55</t>
  </si>
  <si>
    <t>Registro de gaveta chato em Fº Fº, corpo e castelo em Fº Fº nodular, vedação em bronze, DN 350</t>
  </si>
  <si>
    <t>Disjuntor Din FD 3P CURVA 50A 515 52200</t>
  </si>
  <si>
    <t>CMB centrífuga eixo horiz. para água bruta rotor em ferro fundido,c/motor elétrico trifásico380v vazão150 m3/h AMT 60mca</t>
  </si>
  <si>
    <t>CMB centrífuga eixo horiz. para água bruta rotor em ferro fundido,c/motor elétrico trifásico380v vazão 52 m3/h AMT 27mca</t>
  </si>
  <si>
    <t>CMB centrífuga eixo horiz. para água bruta rotor em ferro fundido,c/motor elétrico trifásico380v vazão350 m3/h AMT 35mca</t>
  </si>
  <si>
    <t>CMB CENTRÍFUGA EIXO HORIZ. PARA ÁGUA BRUTA ROTOR EM FERRO FUNDIDO,C/MOTOR ELÉTRICO TRIFÁSICO380V VAZÃO45 M3/H AMT 55MCA</t>
  </si>
  <si>
    <t>CORTADOR DE TUBOS DE PVC</t>
  </si>
  <si>
    <t>Cortador de tubos de PVC</t>
  </si>
  <si>
    <t>Reg. Gav. Oval F°F° Corpo e Castelo em F°F nod ved em bronze, haste n asc em aço inox c/volt, c flng JE PN 16 S/by DN150</t>
  </si>
  <si>
    <t>Reg. Gav. Oval F°F° Corpo e Castelo em F°F nod ved em bronze, haste n asc em aço inox c/volt, c flng JE PN 16 S/by DN200</t>
  </si>
  <si>
    <t>Reg. Gav. Oval F°F° Corpo e Castelo em F°F nod ved em bronze, haste n asc em aço inox c/volt, c flng JE PN 16 S/by DN250</t>
  </si>
  <si>
    <t>Reg. Gav. Oval F°F° Corpo e Castelo em F°F nod ved em bronze, haste n asc em aço inox c/volt, c flng JE PN 16 S/by DN300</t>
  </si>
  <si>
    <t>Reg. Gav. Oval F°F° Corpo e Castelo em F°F nod ved em bronze, haste n asc em aço inox c/volt, c flng JE PN 16 S/by DN400</t>
  </si>
  <si>
    <t>CONTADOR ALTRONIC 3TS35 40A 380V</t>
  </si>
  <si>
    <t>Contador Altronic 3TS35 40A 380V</t>
  </si>
  <si>
    <t>CONTADOR ALTRONIC 3TS33 25A 220V</t>
  </si>
  <si>
    <t>Contador Altronic 3TS33 25A 220V</t>
  </si>
  <si>
    <t>Relé Altronic Sobrecarga 25-36A 3US56</t>
  </si>
  <si>
    <t>Camera Segurança Bullet HDCVI 2.8MM VHL 1120 B</t>
  </si>
  <si>
    <t>Disjuntor Trifásico Mini Weg 16/40A</t>
  </si>
  <si>
    <t>Disjuntor Trifásico Mini Steck/Weg 100A</t>
  </si>
  <si>
    <t>Rolamento 6201 2Z GBR/Bulk 12X32X10</t>
  </si>
  <si>
    <t>Oleo 20W30</t>
  </si>
  <si>
    <t>ESCOVA DE ACO CIRCULAR 6X3/4 X 5/8</t>
  </si>
  <si>
    <t>NIPLE FERRO GALVANIZADO 1.1/4</t>
  </si>
  <si>
    <t>Niple ferro galvanizado 1.1/4</t>
  </si>
  <si>
    <t>CHAVE DE FENDA 1/4X8</t>
  </si>
  <si>
    <t>Parafuso 12MM</t>
  </si>
  <si>
    <t>Cola 3M</t>
  </si>
  <si>
    <t>CINTA P/ ELEVAÇÃO DE CARGA SLING 3TON 5MNOLL</t>
  </si>
  <si>
    <t>CONECTOR RJ45 CAT6E</t>
  </si>
  <si>
    <t>Tomada dupla p/ perfil 10A</t>
  </si>
  <si>
    <t>Lâmpada Led bulbo E40 70W 5000K</t>
  </si>
  <si>
    <t>Adesivo silicone alta temperatura 315° C 280ml</t>
  </si>
  <si>
    <t>Nobreak WEG 1200VA Home BIV 115 V 90MIN</t>
  </si>
  <si>
    <t>Disco flap Starret 115-80FC 4.1/2 G-80</t>
  </si>
  <si>
    <t>Disco flap Starret FDS 115-120FC G-120</t>
  </si>
  <si>
    <t>Luva de correr junta mecânica DN 300 MM</t>
  </si>
  <si>
    <t>Escada de alumínio 5 degraus</t>
  </si>
  <si>
    <t>Niple duplo fg DN 4 Pol - RMD</t>
  </si>
  <si>
    <t>Cadeira plástica</t>
  </si>
  <si>
    <t>Cola para Vidro</t>
  </si>
  <si>
    <t>Abracadeira Nylon 4,8X500</t>
  </si>
  <si>
    <t>Parafuso sextavado ZB 3/8X2</t>
  </si>
  <si>
    <t>Silicone STP Aerosol 300ML/200G</t>
  </si>
  <si>
    <t>Tubo 300MM</t>
  </si>
  <si>
    <t>Vassoura Gari 28 CM c/cabo 1,4M</t>
  </si>
  <si>
    <t>Vassoura Gari 40 cm c/cabo 1,4M</t>
  </si>
  <si>
    <t>Barra de Armação 3/4x3/16 6M</t>
  </si>
  <si>
    <t>Disjuntor 3P - Curva C - 3KA 63A</t>
  </si>
  <si>
    <t>ABRACADEIRA NYLON 3.6X30 CM</t>
  </si>
  <si>
    <t>FITA AUTOFUSÃO 3M 19MMX10M</t>
  </si>
  <si>
    <t>Luva LR Soldavel 50X1.1/2</t>
  </si>
  <si>
    <t>Lâmpada Led Bulbo T 50W BIV 6500 K</t>
  </si>
  <si>
    <t>Chave grifo 18</t>
  </si>
  <si>
    <t>Rolamento 6207 2Z C3 skf 35x72x17</t>
  </si>
  <si>
    <t>COLAR PARA TUBO 75MM</t>
  </si>
  <si>
    <t>Bucha de redução FG DN 3X2 pol RMD</t>
  </si>
  <si>
    <t>Pá de bico empunhadura metálica cabo 74 cm P: 1,76kg</t>
  </si>
  <si>
    <t>Foice roçadeira cabo 110 cm/P: 1,24kg</t>
  </si>
  <si>
    <t>Enxada em aço com cabo de madeira Cabo 130cm / P: 1,29kg</t>
  </si>
  <si>
    <t>ALAVANCA: PONTEIRO LISA EM FERRO 7/8 1,50M</t>
  </si>
  <si>
    <t>Pé de cabra em aço,acabamento, pintura elástica,tipo simples tamanho 600X110X34M</t>
  </si>
  <si>
    <t>MARTELO DE SOLDADOR/ PICADOR</t>
  </si>
  <si>
    <t>Martelo de Soldador/ picador</t>
  </si>
  <si>
    <t>Tesoura de grama com lâmina metálica e cabo de madeira</t>
  </si>
  <si>
    <t>Ancinho curvo leve com cabo</t>
  </si>
  <si>
    <t>Serra Mármore 220V</t>
  </si>
  <si>
    <t>Relé Altronic proteção 5-14A MM 220/380</t>
  </si>
  <si>
    <t>Mangote de borracha trançada com alma de aço, diâmetro interno de 6" (150mm), pressão mínima de trabalho de 150PSI, flan</t>
  </si>
  <si>
    <t>Pincel de cerda trincha 212</t>
  </si>
  <si>
    <t>DISJUNTOR STECK DIN 06A</t>
  </si>
  <si>
    <t>Relé Térmico 25 - 36A</t>
  </si>
  <si>
    <t>Balde de Aço Galvanizado 10 Lt</t>
  </si>
  <si>
    <t>TERMINAL GARFO/OLHAL - ISOL. NU 25MM</t>
  </si>
  <si>
    <t>Saco para lixo 15 L</t>
  </si>
  <si>
    <t>Abraçadeira de Nylon 280X4,8</t>
  </si>
  <si>
    <t>Anauger sensorcontrol 25A</t>
  </si>
  <si>
    <t>CONTATOR TRIPOLAR CJX2-25 D2510 220V 60 HZ</t>
  </si>
  <si>
    <t>BOTOEIRA LIGA E DESLIGA</t>
  </si>
  <si>
    <t>Botoeira Liga e Desliga</t>
  </si>
  <si>
    <t>DISJUNTOR 3 TRIPOLAR 70A</t>
  </si>
  <si>
    <t>Disjuntor 3 tripolar 70A</t>
  </si>
  <si>
    <t>Disjuntor 3 tripolar 20A</t>
  </si>
  <si>
    <t>Filtro de água Ap 200</t>
  </si>
  <si>
    <t>Macaco Hidraulico Gar 10TN</t>
  </si>
  <si>
    <t>Tubete de vedação</t>
  </si>
  <si>
    <t>Arruela de vedação</t>
  </si>
  <si>
    <t>TRENA C/IMÃ EMBORRACHADA</t>
  </si>
  <si>
    <t>Trena c/Imã Emborrachada</t>
  </si>
  <si>
    <t>Adesivo para tubos PVC 17 GR</t>
  </si>
  <si>
    <t>Chave Soq. Impto 3/4k - 32 GED 55 mm</t>
  </si>
  <si>
    <t>Resina Poliester p/fibra de vidro Carplast</t>
  </si>
  <si>
    <t>Clorador de pastilha 6,5m3/h 1,9 kg</t>
  </si>
  <si>
    <t>Relé Temporizador Multifuncional Altronic FFS 01MC220-3801VC</t>
  </si>
  <si>
    <t>Mesa Gavea Freijo - M Leão</t>
  </si>
  <si>
    <t>Vassoura Cepa Pêlo Macio 50 cm cabo 1,4m Max</t>
  </si>
  <si>
    <t>Substrato enzimático definido CPRG-MUG, para identificação e contagem de Coliformes Totais e Escherichia Coli.</t>
  </si>
  <si>
    <t>SUPORTE DE MESA DUPLO AC367 PARA MONITOR 10-27 POL</t>
  </si>
  <si>
    <t>Cabo para picareta</t>
  </si>
  <si>
    <t>Algarismo colonial todas as numerações - Lider</t>
  </si>
  <si>
    <t>Válvula borboleta flangeada Diâmetro nominal 400mm,16 furos,Pressão nominal= 16,distância entre flanges=203Mm Ved EPDMN</t>
  </si>
  <si>
    <t>Tubo esgoto pvc 100 mm 6m</t>
  </si>
  <si>
    <t>Jogo de chave Allen 30 peças</t>
  </si>
  <si>
    <t>Refil para maçarico</t>
  </si>
  <si>
    <t>Memória SSD 240GB</t>
  </si>
  <si>
    <t>Parafuso 5x8</t>
  </si>
  <si>
    <t>REGISTRO DE GAVETA FOFO FLC PN 10/16 DN 75/80 MM</t>
  </si>
  <si>
    <t>Registro de gaveta fofo FLC PN 10/16 DN 75/80 MM</t>
  </si>
  <si>
    <t>Mangueira multiuso gas 3/8x3.0 c/tarja amarela</t>
  </si>
  <si>
    <t>Terminal 50mm</t>
  </si>
  <si>
    <t>BUCHA DE REDUÇÃO 32X25</t>
  </si>
  <si>
    <t>Bucha de redução 32x25</t>
  </si>
  <si>
    <t>Lençol borracha Liso 400x3 cm</t>
  </si>
  <si>
    <t>Caixa de som 2.0 8W RMS</t>
  </si>
  <si>
    <t>Aparelho de Ar condicionado SPLIT, capacidade 18.000 BTU's, Agratto Split High Wall One</t>
  </si>
  <si>
    <t>Aparelho de Ar condicionado SPLIT, capacidade 22.000 BTU's, Agratto Split High Wall One</t>
  </si>
  <si>
    <t>CLIPES GALVANIZADO PARA CABO DE AÇO 3/8</t>
  </si>
  <si>
    <t>Tubo de silicone</t>
  </si>
  <si>
    <t>LUVA DE REDUÇÃO 50X60</t>
  </si>
  <si>
    <t>Luva de redução 50x60</t>
  </si>
  <si>
    <t>Parafusadeira e Furadeira 12V 3/8</t>
  </si>
  <si>
    <t>Óleo 2T-500ml</t>
  </si>
  <si>
    <t>Lâmpada Osram Mista HWL E27 160W 220V 40X1</t>
  </si>
  <si>
    <t>Fita Veda Tudo 90cm Brasilit</t>
  </si>
  <si>
    <t>Escrivaninha Belgrado</t>
  </si>
  <si>
    <t>Caixa c/ 10 resmas de papel A4 75</t>
  </si>
  <si>
    <t>Tee FG 90 DN 3Pol</t>
  </si>
  <si>
    <t>Joelho Roscável 90 1 Polegada</t>
  </si>
  <si>
    <t>Metalon 20X20 Galvanizado</t>
  </si>
  <si>
    <t>CURVA SOLDÁVEL 90 X 110MM</t>
  </si>
  <si>
    <t>Curva Soldável 90 x 110mm</t>
  </si>
  <si>
    <t>Colar de Tomada PVC DN 300 x 3/4</t>
  </si>
  <si>
    <t>Jogo Extrator de Porca 5/16 à 5/8" - 1/2 à 7/8</t>
  </si>
  <si>
    <t>RODO 60CM</t>
  </si>
  <si>
    <t>Parafuso sextavado 3/8x4</t>
  </si>
  <si>
    <t>Arruela lisa 3/8</t>
  </si>
  <si>
    <t>Mangueira Jardim 25m</t>
  </si>
  <si>
    <t>Adaptador bluetooth USB 5.0 AD0574</t>
  </si>
  <si>
    <t>DESINFETANTE 2L</t>
  </si>
  <si>
    <t>Desinfetante 2L</t>
  </si>
  <si>
    <t>Abraçadeira Nylon 4,8mm x 300mm</t>
  </si>
  <si>
    <t>Lixeira 15lt c/ pedal plástico</t>
  </si>
  <si>
    <t>Jogo de Chave Allen</t>
  </si>
  <si>
    <t>Cap Galvanizado 2"</t>
  </si>
  <si>
    <t>Contator 3TS33</t>
  </si>
  <si>
    <t>Curva Eletroduto PVC 40mm 90° Soldável</t>
  </si>
  <si>
    <t>Cordão Borracha CB 7MM 7mm</t>
  </si>
  <si>
    <t>CORRENTE ZEBRADA LONGA 3,2MM -1/8</t>
  </si>
  <si>
    <t>TAPS PVC 20MM</t>
  </si>
  <si>
    <t>Taps Pvc 20mm</t>
  </si>
  <si>
    <t>Fita de Empacotar Transparente 45x45</t>
  </si>
  <si>
    <t>Trena Longa 30m</t>
  </si>
  <si>
    <t>Mousepad c/apoio Gel Gliter Confort 2</t>
  </si>
  <si>
    <t>ESCOVA AÇO 3FL C/CABO</t>
  </si>
  <si>
    <t>Escova Aço 3FL c/Cabo</t>
  </si>
  <si>
    <t>ESCOVA AÇO 4FL C/CABO</t>
  </si>
  <si>
    <t>Escova Aço 4FL c/Cabo</t>
  </si>
  <si>
    <t>Chave Turquesa Aço Nº 12</t>
  </si>
  <si>
    <t>JOELHO LR 25X1/2</t>
  </si>
  <si>
    <t>Joelho LR 25X1/2</t>
  </si>
  <si>
    <t>Chave combinada 8mm</t>
  </si>
  <si>
    <t>Chave combinada 6mm</t>
  </si>
  <si>
    <t>Chave combinada 7mm</t>
  </si>
  <si>
    <t>Desengraxante IL H7</t>
  </si>
  <si>
    <t>Máscara de Solda Automática sem Regulagem</t>
  </si>
  <si>
    <t>Bobina de Chapa Galvanizada 0,50X1m</t>
  </si>
  <si>
    <t>Chapa Galvanizada Tradicional 100cm</t>
  </si>
  <si>
    <t>BROCA AÇO RÁPIDO ESCALONADA 4MMX12MM</t>
  </si>
  <si>
    <t>Broca Aço Rápido Escalonada 4mmx12mm</t>
  </si>
  <si>
    <t>Jogo Macho 12M X 1.75mm</t>
  </si>
  <si>
    <t>União Soldável 85mm</t>
  </si>
  <si>
    <t>Joelho Soldável 85mm</t>
  </si>
  <si>
    <t>Adaptador Soldável Curto 85mm</t>
  </si>
  <si>
    <t>Tee Soldável 75mm</t>
  </si>
  <si>
    <t>Biscoito Rancheiro Rosca Chocolate</t>
  </si>
  <si>
    <t>Bomba de Ar 2 Cilindros, C/Pedal Manual e Manômetro</t>
  </si>
  <si>
    <t>Pistola de Aplicação de Silicone</t>
  </si>
  <si>
    <t>Luva de Emenda a Compressão de Cobre - 6 AWG / 16mm LF-16</t>
  </si>
  <si>
    <t>Abraçadeira com Rosca Sem Fim 18 à 32cm</t>
  </si>
  <si>
    <t>Memória Ram Desk 8Gb DDR3 1600MHz</t>
  </si>
  <si>
    <t>REGISTRO FOFO FLANGEADO DN 150MM</t>
  </si>
  <si>
    <t>Registro Fofo Flangeado DN 150mm</t>
  </si>
  <si>
    <t>Chave combinada 21mm</t>
  </si>
  <si>
    <t>TERMINAL DE COMPRESSÃO 70MM 1C/2F</t>
  </si>
  <si>
    <t>ANEL DE BORRACHA ABF DN 100 MM</t>
  </si>
  <si>
    <t>MATERIAIS DE MANUTENÇÃO DE HIDROMETRO</t>
  </si>
  <si>
    <t>Anel de borracha ABF DN 100 MM</t>
  </si>
  <si>
    <t>Acoplamento Eflex EA-128 - ACB</t>
  </si>
  <si>
    <t>Broca Aço Rápido 7/32</t>
  </si>
  <si>
    <t>Bujão Plug Galvanizado 2"</t>
  </si>
  <si>
    <t>Disjuntor Weg trifásico 32A 230/400VCA</t>
  </si>
  <si>
    <t>Lâmpada Led bulbo E40 30W 6500k</t>
  </si>
  <si>
    <t>Disco corte 4 1/2X2</t>
  </si>
  <si>
    <t>Fio de Nylon para roçadeira 3mm</t>
  </si>
  <si>
    <t>Terminal 70MM</t>
  </si>
  <si>
    <t>Cabo antichama</t>
  </si>
  <si>
    <t>Redução 60X50</t>
  </si>
  <si>
    <t>Redução 60X32</t>
  </si>
  <si>
    <t>Redução 50X25</t>
  </si>
  <si>
    <t>Mouse com fuio USB 2.0</t>
  </si>
  <si>
    <t>Adesivo Epoxi 1kg</t>
  </si>
  <si>
    <t>NIPEL GALVANIZADO TUPY 4</t>
  </si>
  <si>
    <t>Canaleta 50x50</t>
  </si>
  <si>
    <t>Canaleta 20x20</t>
  </si>
  <si>
    <t>Canaleta 50x80</t>
  </si>
  <si>
    <t>Abracadeira T18L 100/5ml 200mm</t>
  </si>
  <si>
    <t>Sinaleiro monobloco 220vca verde</t>
  </si>
  <si>
    <t>Chave soquete jg 1/4 16 peças</t>
  </si>
  <si>
    <t>Chave biela 16mm</t>
  </si>
  <si>
    <t>Chave biela 9mm</t>
  </si>
  <si>
    <t>Kit capacete plt branco + protetor auditivo + meia haste + prot facial incolor</t>
  </si>
  <si>
    <t>Capacete segurança ump II branco c/jugular</t>
  </si>
  <si>
    <t>Luva FG FF DN 1</t>
  </si>
  <si>
    <t>Adesivo junta (cola juntas)</t>
  </si>
  <si>
    <t>Rolamento 6205 6304 6308 FAG</t>
  </si>
  <si>
    <t>Rolamento 6204 6209 6308 11749 cobra</t>
  </si>
  <si>
    <t>Auto transformador 200VA 140W</t>
  </si>
  <si>
    <t>TONER SAMSUNG MLT-D101S</t>
  </si>
  <si>
    <t>Eletrodo para Solda OK-46 2,5mm</t>
  </si>
  <si>
    <t>Luva Nitrílica G - C/100 Unid</t>
  </si>
  <si>
    <t>Lona polietileno azul 6x4m</t>
  </si>
  <si>
    <t>Lona Polietileno Laranja 5x3m</t>
  </si>
  <si>
    <t>Estabilizador TS Shara PowerEst1000 Bivolt 6T Saida 115V</t>
  </si>
  <si>
    <t>Bomba Sapo Sapeca 220V</t>
  </si>
  <si>
    <t>Processador Intel Core I3 2120 3.30GHZ 3MB 1155</t>
  </si>
  <si>
    <t>Óleo Motossera Magnum Sthil</t>
  </si>
  <si>
    <t>Motopoda Stihl H75 4138-200-CX</t>
  </si>
  <si>
    <t>Luva Protetora do Eixo 38/55x144-CS 60</t>
  </si>
  <si>
    <t>Retentor Mancal CS60 - KSB</t>
  </si>
  <si>
    <t>Motosserra 56CC 2T 3,2CV</t>
  </si>
  <si>
    <t>Alicate Desencapador Fixo</t>
  </si>
  <si>
    <t>Broca aço rápido 13/32</t>
  </si>
  <si>
    <t>Broca aço rápido 15/32</t>
  </si>
  <si>
    <t>Broca aço rápido 5/32</t>
  </si>
  <si>
    <t>Broca aço rápido 9/32</t>
  </si>
  <si>
    <t>Manometro 0-300PSI/0-20 KGF/CM CX INOX</t>
  </si>
  <si>
    <t>Processador 1151 intel core i3 7100 3.9 Ghz OEM</t>
  </si>
  <si>
    <t>Rele de Sobrecarga 3US58 88-115A</t>
  </si>
  <si>
    <t>Chave philips 3/16X3</t>
  </si>
  <si>
    <t>CHAVE INGLESA CABO DE BORRACHA 12''</t>
  </si>
  <si>
    <t>Selo mecânico T-KSB 22mm</t>
  </si>
  <si>
    <t>Rolamento 6316 2Z -C3</t>
  </si>
  <si>
    <t>Àgua sanitária 1L</t>
  </si>
  <si>
    <t>Vassoura Naylon</t>
  </si>
  <si>
    <t>Corda 16MM</t>
  </si>
  <si>
    <t>Desengripante Chemicolor Orange 250ml</t>
  </si>
  <si>
    <t>Bucha Redução Soldável Curta 85x60mm</t>
  </si>
  <si>
    <t>GRAXEIRA 38 45 GRAUS</t>
  </si>
  <si>
    <t>Monitor 23´´ LED VXPRO VX230X1920x1080 60Hz pt</t>
  </si>
  <si>
    <t>Tinta Verbras Econômica Acril Azul Oceano 18L</t>
  </si>
  <si>
    <t>Lona Reforcada Azul/Laranja 6x6</t>
  </si>
  <si>
    <t>Camera webcam HD720p 4290721 Intelbras</t>
  </si>
  <si>
    <t>Fio Roçadeira Quadrado</t>
  </si>
  <si>
    <t>Corda Trancada PP 12mmx15m</t>
  </si>
  <si>
    <t>BANQUETA SLIM MATERIAL ECOLOGICOREGULAGEM DE ALTURA NUDE</t>
  </si>
  <si>
    <t>Fuzivel NH1 200A/500V</t>
  </si>
  <si>
    <t>Terminal Tubular Compressao 35/50mm</t>
  </si>
  <si>
    <t>Contator Tron 3TS34 - 32A 220/380 V</t>
  </si>
  <si>
    <t>MESA EM L</t>
  </si>
  <si>
    <t>EQUIPAMENTOS, MOVEIS E UTENSILIOS</t>
  </si>
  <si>
    <t>MACROMEDIDOR DE ULTRASSÔNICO</t>
  </si>
  <si>
    <t>MACROMEDIDORES</t>
  </si>
  <si>
    <t>ANALISADOR DE QUALIDADE DE ENERGIA</t>
  </si>
  <si>
    <t>EQUIPAMENTOS ELETRO MECÂNICOS</t>
  </si>
  <si>
    <t xml:space="preserve">Lapela sem fio
- Tipo: Microfone sem fio digital 
- Frequência: 2.4 GHz 
- Alcance: Até 200m em linha reta 
- Tempo de bateria: Aproximadamente 10 horas 
- Formato: Lapela com design ultracompacto 
</t>
  </si>
  <si>
    <t xml:space="preserve">Drone 4k
- Sensor: CMOS 1/1.3”
- Resolução de vídeo: 4K a 60 fps / HDR
- Tempo de voo: Até 45 minutos
- Alcance: Até 20 km
- Modos de voo: ActiveTrack, MasterShots, QuickShots 
- Estabilização: Gimbal de 3 eixos 
- Peso: Abaixo de 249g (isento de registro em alguns países) 
</t>
  </si>
  <si>
    <t>Notebook 
Tela de 15 polegadas, processador 13ª geração Intel® Core™ i7-13650HX (14-core, cache de 24MB, até 4.9GHz); 
Sistema operacional Windows 11 Pro, português – Brasil; 
Placa de vídeo NVIDIA® GeForce® RTX™ 4050, 6GB GDDR6; 
Memória 16GB DDR5 (2x8GB) 4800MT/s Expansível até 32GB (2 slots soDIMM); 
Armazenamento SSD de 1TB PCIe NVMe M.2 
Tela Full HD de 15.6" (1920 x 1080), 165Hz, 300 nits, sRGB-100%, 3 ms, com NVIDIA G-SYNC e Advanced Optimus 
Teclado retroiluminado RGB 4-zones (compatível apenas com Windows), numérico e em português</t>
  </si>
  <si>
    <t>Impressora 
Tecnologia de conectividade: Wi-Fi, USB, Ethernet. 
Tecnologia de impressão: Tanque de tinta 
Saída da impressora: Colorido 
Resolução máxima de impressão em cores: ‎4800 x 1200 dpi A/W 
Tamanho da folha: ‎A3 
Formato: ‎Tudo em um (Impressora, Scanner, Copiadora)</t>
  </si>
  <si>
    <t xml:space="preserve">Câmera
Sensor: Full Frame Exmor R CMOS de 24.2 MP
- Processador: BIONZ X
- ISO: 100-51200 (expansível até 50-204800)
- Autofoco: 693 pontos de detecção de fase
- Vídeo: 4K HDR (HLG) com gravação a 30 fps
- Disparo contínuo: 10 fps - Estabilização: Sensor de 5 eixos
- Conectividade: Wi-Fi, Bluetooth, NFC
- Tela: LCD de 3” inclinável
</t>
  </si>
  <si>
    <t>Frasco com tampa rosca esterializado - colisure - c total/e.coli</t>
  </si>
  <si>
    <t>Mesa em L</t>
  </si>
  <si>
    <t>bomba KSB meganorm 200-15-400</t>
  </si>
  <si>
    <t>BOMBA IMBIL ITAP 100330</t>
  </si>
  <si>
    <t>MOTOR WEG W22 30CV 1765 RPM</t>
  </si>
  <si>
    <t>ROTOR AÇO INOX PARA BOMBA KSB MEGANORM 200-150-400</t>
  </si>
  <si>
    <t>ACOPLAMENTO TIPO PNEU A-90 - DAGOSS</t>
  </si>
  <si>
    <t>LUVA PROTETORA EIXO GX 47/70X170-CS 80 -KSB</t>
  </si>
  <si>
    <t>CORPO ESPIRAL DA KSB MEGANORM 200-150-400</t>
  </si>
  <si>
    <t>EIXOCS80ES DRY DA KSB MEGANORM 200-150-400</t>
  </si>
  <si>
    <t>ROLAMENTO DE ESFERA 6216-C3 SKF</t>
  </si>
  <si>
    <t>KIT PAR RETENTOR MANCAL CS80 - KSB</t>
  </si>
  <si>
    <t>RETENTOR 80 X 100 X10</t>
  </si>
  <si>
    <t>valvula retenção tipo portinhola unica com flange - bronze DN200</t>
  </si>
  <si>
    <t>SELO MECANICO ESC EP6/E8-SB</t>
  </si>
  <si>
    <t>VALVULA RETENÇÃO DUPLA PORTINHOLA WAFER PN -16 DN200</t>
  </si>
  <si>
    <t>SKF - ROLAMENTO 5311 SNR C3</t>
  </si>
  <si>
    <t>SKF - ROLAMENTO 3310 S C3</t>
  </si>
  <si>
    <t>CORREIA TIPO B 78</t>
  </si>
  <si>
    <t>JOGO DE ORINGS BOMBA IMBIL E-08</t>
  </si>
  <si>
    <t>KIT</t>
  </si>
  <si>
    <t>VALVULA FLAP BOMBA IMBIL E-08</t>
  </si>
  <si>
    <t>DE</t>
  </si>
  <si>
    <t>EPRO</t>
  </si>
  <si>
    <t>CANETA MARCA TEXTO AZUL</t>
  </si>
  <si>
    <t>EPRE</t>
  </si>
  <si>
    <t>APONTADOR</t>
  </si>
  <si>
    <t>EMAR</t>
  </si>
  <si>
    <t>GRAMPO PARA GRAMPEADOR 23/13</t>
  </si>
  <si>
    <t>PINCEL ATOMICO VERMELHO</t>
  </si>
  <si>
    <t>PINCEL ATOMICO AZUL</t>
  </si>
  <si>
    <t>PINCEL ATOMICO PRETO</t>
  </si>
  <si>
    <t>TESOURA COM LAMINA EM ACO INO NAÃ‚Âº 8</t>
  </si>
  <si>
    <t>ARMARIO</t>
  </si>
  <si>
    <t>EOBR</t>
  </si>
  <si>
    <t>ELASTICO EM LATEX TIPO LIGA</t>
  </si>
  <si>
    <t>FITA ADESIVA 3M 45 MM X 45 M</t>
  </si>
  <si>
    <t>APAGADOR P/QUADRO BRANCO</t>
  </si>
  <si>
    <t>CANETA MARCA TEXTO LARANJA</t>
  </si>
  <si>
    <t>CANETA MARCA TEXTO ROSA</t>
  </si>
  <si>
    <t>EXTRATOR DE GRAMPO TIPO ESPATULA METAL</t>
  </si>
  <si>
    <t>PRANCHETA EM ACRILICO TAM 23 X 33 CM</t>
  </si>
  <si>
    <t>PAPEL A3 BRANCO MED 297 X 420</t>
  </si>
  <si>
    <t>CANETA MARCA TEXTO AMARELA</t>
  </si>
  <si>
    <t>PORTA OBJETO EM ACRILICO CONJ P/ LAPIS FUME</t>
  </si>
  <si>
    <t>CORRETIVO SECO EM FITA DE RESINA POLI. 5 MM</t>
  </si>
  <si>
    <t>GRAMPO PARA GRAMPEADOR 26/6 COM 1000 UN</t>
  </si>
  <si>
    <t>ALCOOL COMUM 96GL 1000 ML</t>
  </si>
  <si>
    <t>TECLADO USB BUSSLIM BRAZIL</t>
  </si>
  <si>
    <t>TRENA A LASER GLM 30</t>
  </si>
  <si>
    <t>LEITE EM PO</t>
  </si>
  <si>
    <t>GUARDANAPO 33X33</t>
  </si>
  <si>
    <t>MARGARINA</t>
  </si>
  <si>
    <t>CALCULADORA DE MESA GR. 12 DIGITS KL 8831B KA</t>
  </si>
  <si>
    <t>MATERIAIS DE PINTURAS E CONSERVAÇÃO</t>
  </si>
  <si>
    <t>FLANELA</t>
  </si>
  <si>
    <t>CAFE EM PO</t>
  </si>
  <si>
    <t>ROLAMENTO SKF 6215 2Z</t>
  </si>
  <si>
    <t>MASSA PLASTICA MASSAFIX BRANCO 1KG</t>
  </si>
  <si>
    <t>TECLADO POWERX USB MULTIMIDIA KB-260M PRETO</t>
  </si>
  <si>
    <t>LUVA LATEX AMARELA FORRADA MEDIA T8M</t>
  </si>
  <si>
    <t>CANETA AZUL</t>
  </si>
  <si>
    <t>MATERIAIS DE CONSTRUÇÃO CIVIL E PINTURA</t>
  </si>
  <si>
    <t>REGIDTRO DE GAVETA EM BRONZE 2.1/2"</t>
  </si>
  <si>
    <t>FACAO P/ MATO</t>
  </si>
  <si>
    <t>DETERGENTE LIQUIDO</t>
  </si>
  <si>
    <t>CAIXA DE CANETA</t>
  </si>
  <si>
    <t>ALICATE UNIVERSAL</t>
  </si>
  <si>
    <t>ENVELOPE 229X329 (A4)</t>
  </si>
  <si>
    <t>GRAMPO PARA GRAMPEADOR</t>
  </si>
  <si>
    <t>LIGA PARA CEDULA</t>
  </si>
  <si>
    <t>GRAMPEADOR DE MESA TAM. GRANDE</t>
  </si>
  <si>
    <t>FILTRO PRA CAFE</t>
  </si>
  <si>
    <t>PASTILHA PALIO/FIAT TK 105 PD/60</t>
  </si>
  <si>
    <t>MATERIAIS DE MANUTENÇÃO DE VEÍCULOS</t>
  </si>
  <si>
    <t>CADEADO LT-35MM</t>
  </si>
  <si>
    <t>EXTREM. FOFO JGS FP DN150</t>
  </si>
  <si>
    <t>ARQUIVO MORTO</t>
  </si>
  <si>
    <t>PROTETOR AURICLULAR AUDITIVO COM CONFECCIONADO EMSILICONE</t>
  </si>
  <si>
    <t>PRANCHETA</t>
  </si>
  <si>
    <t>GRAFITE 0.7</t>
  </si>
  <si>
    <t>PRANCHETA OFFICE MADEIRA CRU STALO 9033</t>
  </si>
  <si>
    <t>MARCADOR PARA QUADRO BRANCO PRETA COMPACTOR</t>
  </si>
  <si>
    <t>PROTETOR TERM. ROL INF. 140 GR</t>
  </si>
  <si>
    <t>ADAPTADOR PVC ROSCAVEL DN 60X2''</t>
  </si>
  <si>
    <t>LAPIS PRETO</t>
  </si>
  <si>
    <t>MARCADOR QUADRO BRANCO AZUL</t>
  </si>
  <si>
    <t>MARCADOR QUADRO BRANCO VERMELHO</t>
  </si>
  <si>
    <t>ADAPTADOR SOLDAVEL CURTO 25X3/4</t>
  </si>
  <si>
    <t>TRENA DE FIBRA 30M CX ABERTA</t>
  </si>
  <si>
    <t>CAIXA CHAMEX A4</t>
  </si>
  <si>
    <t>LAPISEIRA 0.5</t>
  </si>
  <si>
    <t>COADOR DE CAFE</t>
  </si>
  <si>
    <t>EXTRATOR DE GRAMPO</t>
  </si>
  <si>
    <t>ORGANIZADOR DE MESA</t>
  </si>
  <si>
    <t>CAIXA DE CLIPS</t>
  </si>
  <si>
    <t>TRENA PROFISSIONAL</t>
  </si>
  <si>
    <t>CPU</t>
  </si>
  <si>
    <t>BORRACHA</t>
  </si>
  <si>
    <t>LAVA LOUCA</t>
  </si>
  <si>
    <t>DESGRAMPO PARA GRAMPEADOR</t>
  </si>
  <si>
    <t>GABINETE PADRAO HOOPSON P/CPU</t>
  </si>
  <si>
    <t>L200 TRITON SPORT GL 2.4D</t>
  </si>
  <si>
    <t>VEICULOS</t>
  </si>
  <si>
    <t>POST - IT</t>
  </si>
  <si>
    <t>CMB SUBMERSIVEL TRIF 380 V, P/POCO DE 6'', C/AGUAS AGRESSIVAS: VAZAO= 30.0/50.0 MAÃ‚Â³/H AMT=160.0/117.0 MCA, M/WILO MOD</t>
  </si>
  <si>
    <t>ESCALIMETRO</t>
  </si>
  <si>
    <t>LAPIS</t>
  </si>
  <si>
    <t>CANETA</t>
  </si>
  <si>
    <t>GAVETEIRO</t>
  </si>
  <si>
    <t>LUVAS EM RASPA PARA SOLDADOR,PUNHO15CM,COM REFORCO INTERNO E COSTURA EM NYLON.MARCA TEKNOLUVAS C.A21245</t>
  </si>
  <si>
    <t>ANEL DE DESGASTE DA CARCAÇA 120/130X11 (502) MEGANORM 65-250</t>
  </si>
  <si>
    <t>ANEIS DE VEDAÇÃO A21X26 (458)MODELO RDL 150-400</t>
  </si>
  <si>
    <t>DESKTOP INTEL CORE 13-10100T; WINDOWS 10 PROFESSIONAL; MEMÓRIA 8GB DDR4; SSD 256GB; DVD-RW; GIGABIT LAN 10/100/1000MBPS;</t>
  </si>
  <si>
    <t>EQUIPAMENTOS DE INFORMATICA</t>
  </si>
  <si>
    <t>CMB SUBMERSO DE EIXO VERTICAL P/ÁGUA AGRESSIVAS 6",380V,, 35,0 M3/H, 171,0 MCA, 0,0 M3/H, 50,0 M3/H, 335,0 MCA, 70,0 MCA</t>
  </si>
  <si>
    <t>CMB SUBMERSO DE EIXO VERTICAL P/ÁGUA AGRESSIVAS 6",380V,70,0 M3/H, 103,0 MCA, 0,0 M3/H, 90,0 M3/H, 188,0 MCA, 63,0 MCA</t>
  </si>
  <si>
    <t>TERMINAL ILHOS ISOLADO</t>
  </si>
  <si>
    <t>CADEIRA DE ESCRITÓRIO DIRETOR PRETA</t>
  </si>
  <si>
    <t>MOUSE PAD ERGONÔMICO</t>
  </si>
  <si>
    <t>BLOCO ADESIVO POST-IT 38MMX50MM, TIPO REMOVÍVEL, AUTOADESIVO; UNIDADE: BLOCO 100,00 FL</t>
  </si>
  <si>
    <t>PEN-DRIVE,32GB, USB 2.0.</t>
  </si>
  <si>
    <t>FITA ADESIVA,CREPE MONOFACE, LARGURA 49MM E COMPRIMENTO 50M</t>
  </si>
  <si>
    <t>LAPISEIRA PARA GRAFITE 0.7MM,COR DE PLÁSTICO E PONTA DE METAL</t>
  </si>
  <si>
    <t>CADEIRA DE ESCRITÓRIO SECRETÁRIA GIRATÓRIA REGULAGEM DE ALTURA A GÁS, REVESTIMENTO EM TECIDO AZUL - FK</t>
  </si>
  <si>
    <t>IMPRESSORA EPSON L3250 MULT TANQUE DE TINTA</t>
  </si>
  <si>
    <t>EXTINTORES DE INCÊNDIO TIPO-PÓ ABC, PORTÁTIL COM CARGA DE 8KG</t>
  </si>
  <si>
    <t>MESA INFERIOR</t>
  </si>
  <si>
    <t>FITA ADESIVA TRANS 45X40</t>
  </si>
  <si>
    <t>PARAFUSO CILINDRO SEXTAVADO INT ET 12.9 DIN 912 12X70MM</t>
  </si>
  <si>
    <t>ÀGUA 20 L</t>
  </si>
  <si>
    <t>NITRITO REAGENTE NITRIVER 3PP 10ML 100UN</t>
  </si>
  <si>
    <t>TRENA FIBRA LONGA 50MT ABERTA</t>
  </si>
  <si>
    <t>CABO DE FORÇA 4X3 0MM2X1 5MM PP 1KV</t>
  </si>
  <si>
    <t>LEITE EM PÓ DESNATADO</t>
  </si>
  <si>
    <t>BISCOITO FORTALEZA CREAM CRACKER</t>
  </si>
  <si>
    <t>BISCOITO FORTALEZA MARIA</t>
  </si>
  <si>
    <t>ÀLCOOL 70% 1L</t>
  </si>
  <si>
    <t>COPO DESCARTÁVEL MARATÁ BRANCO 100X200ML</t>
  </si>
  <si>
    <t>DISCO ABRASIVO FLAP 4.1/2 X 7/8 GR 120</t>
  </si>
  <si>
    <t>AÇÚCAR CRISTAL 1KG</t>
  </si>
  <si>
    <t>FITA ISOLANTE 19MM X 5M</t>
  </si>
  <si>
    <t>POST-IT C/ 04</t>
  </si>
  <si>
    <t>MONITOR GAMER 27 LED GT FHD HDMI 75HZ</t>
  </si>
  <si>
    <t>PAPEL HIGIÊNICO FOLHA DUPLA 8X30MT</t>
  </si>
  <si>
    <t>DESKTOP LENOVO THINKCENTRE M80S, PROCESSADOR INTEL I5 10500, MEMÓRIA DDR4 DE 8 GIGAS, SSD M.2 DE 512 GIGAS</t>
  </si>
  <si>
    <t>NOTEBOOK LENOVO THINKCENT K14, PROCESSADOR AMD RYZEN 3 5400, MEMÓRIA DDR4 DE 16 GIGAS, SSD M.2 DE 256 GIGAS</t>
  </si>
  <si>
    <t>MINI GRAMPEADOR OFFICE</t>
  </si>
  <si>
    <t>GRAMPEADOR 20 FLS</t>
  </si>
  <si>
    <t>ADAPTADOR 20MM X 1/2</t>
  </si>
  <si>
    <t>HD EXTERNO 1TB SEAGATE 2.5 USB</t>
  </si>
  <si>
    <t>FILTRO BAIONETA 3M P2/P95 5N11</t>
  </si>
  <si>
    <t>FONE DE OUVIDO HEADSET GAMER</t>
  </si>
  <si>
    <t>MONITOR DE VÍDEO WALL PROFISSIONAL FULL HD 49 POLEGADAS</t>
  </si>
  <si>
    <t>BICO DE CORTE N6</t>
  </si>
  <si>
    <t>OCULOS BALI CINZA</t>
  </si>
  <si>
    <t>PARAFUSO MADEIRA E BUCHA BRANCA</t>
  </si>
  <si>
    <t>FITA DUPLA FACE 3M 25MMX20M</t>
  </si>
  <si>
    <t>ADAPTADOR DE REDE USB</t>
  </si>
  <si>
    <t>TUBO 300MM</t>
  </si>
  <si>
    <t>ADAPTADOR HDMI P/ VGA F3 COM CABO AUDIO P2</t>
  </si>
  <si>
    <t>FILTRO DE LINHA 06 TOMADAS</t>
  </si>
  <si>
    <t>TRENA 8 M</t>
  </si>
  <si>
    <t>APARELHO DE AR CONDICIONADO SPLIT, CAPACIDADE 22.000 BTU'S, AGRATTO SPLIT HIGH WALL ONE</t>
  </si>
  <si>
    <t>CAIXA C/ 10 RESMAS DE PAPEL A4 75</t>
  </si>
  <si>
    <t>CADEIRA ESCRITÓRIO COURAGE PRETA CASA OK</t>
  </si>
  <si>
    <t>COTOVELO MACHO GIRATORIO ENG OD. 10MM X 12 PL</t>
  </si>
  <si>
    <t>SUPORTE P MONITOR 2 MONITORES</t>
  </si>
  <si>
    <t>MATERIAIS PARA MANUTENÇÕES MÓVEIS E EQUIPAMENTOS</t>
  </si>
  <si>
    <t>ADAPTADOR BLUETOOTH USB 5.0 AD0574</t>
  </si>
  <si>
    <t>TECLADO VXPRO VXKB110 USB C/FIO</t>
  </si>
  <si>
    <t>MOUSEPAD C/APOIO GEL GLITER CONFORT 2</t>
  </si>
  <si>
    <t>CLIPES N6/0</t>
  </si>
  <si>
    <t>CLIPES N3/0</t>
  </si>
  <si>
    <t>CLIPES N4/0</t>
  </si>
  <si>
    <t>BISCOITO RANCHEIRO ROSCA CHOCOLATE</t>
  </si>
  <si>
    <t>BLOCO CAPA DURA COM CANETA</t>
  </si>
  <si>
    <t>MATERIAIS PARA EVENTO</t>
  </si>
  <si>
    <t>MOUSE GAMER XTRIKEME 6400 DPI GM-510 PRETO</t>
  </si>
  <si>
    <t>MONITOR 23´´ LED VXPRO VX230X1920X1080 60HZ PT</t>
  </si>
  <si>
    <t>GARRAFA TERMICA LUMINA TERMOLAR 1,8</t>
  </si>
  <si>
    <t>LONA REFORCADA AZUL/LARANJA 6X6</t>
  </si>
  <si>
    <t>CANETA PONTA FINA INKZALL</t>
  </si>
  <si>
    <t>DESENGRAXANTE UNIVERSAL ECO- W 5L</t>
  </si>
  <si>
    <t>CALCULADORA DE MESA PC086 PROCALC</t>
  </si>
  <si>
    <t>NOTEBOOK 
TELA DE 15 POLEGADAS, PROCESSADOR 13ª GERAÇÃO INTEL® CORE™ I7-13650HX (14-CORE, CACHE DE 24MB, ATÉ 4.9GHZ); 
SISTEMA OPERACIONAL WINDOWS 11 PRO, PORTUGUÊS – BRASIL; 
PLACA DE VÍDEO NVIDIA® GEFORCE® RTX™ 4050, 6GB GDDR6; 
MEMÓRIA 16GB DDR5 (2X8GB) 4800MT/S EXPANSÍVEL ATÉ 32GB (2 SLOTS SODIMM); 
ARMAZENAMENTO SSD DE 1TB PCIE NVME M.2 
TELA FULL HD DE 15.6" (1920 X 1080), 165HZ, 300 NITS, SRGB-100%, 3 MS, COM NVIDIA G-SYNC E ADVANCED OPTIMUS 
TECLADO RETROILUMINADO RGB 4-ZONES (COMPATÍVEL APENAS COM WINDOWS), NUMÉRICO E EM PORTUGUÊS</t>
  </si>
  <si>
    <t>ESTACAS DE MADEIRA/METALON - PARA SUSTENTAÇÃO DO SOMBRITE</t>
  </si>
  <si>
    <t>MATERIAL PARA OBRA / MATERIAL DE CONSTRUÇÃO</t>
  </si>
  <si>
    <t>TELA DE SOMBREAMENTO (50%-70%) - COBERTURA DO VIVEIRO</t>
  </si>
  <si>
    <t>ARAME GALVANIZADO Nº 12 - PARA FIXAÇÃO DO SOMBRITE</t>
  </si>
  <si>
    <t>MATERIAL DE CONSTRUÇÃO / MATERIAL DE OFICINA E USO GERAL</t>
  </si>
  <si>
    <t>ABRAÇADEIRAS PLÁSTICAS (TIPO ENFORCA GATO) - PARA FIXAÇÃO ADICIONAL</t>
  </si>
  <si>
    <t>ESTRADOS/PALETES OU RIPAS + BLOCOS - PARA 5 FILEIRAS DE 2 M CADA</t>
  </si>
  <si>
    <t>MATERIAL DE CONSTRUÇÃO</t>
  </si>
  <si>
    <t>MANGUEIRA DE JARDIM (½ POL.) - PARA IRRIGAÇÃO MANUAL OU DISTRIBUIÇÃO</t>
  </si>
  <si>
    <t>TUBULAÇÃO E MATERIAIS COMPLEMENTARES</t>
  </si>
  <si>
    <t>MICROASPERSORES DE BAIXA VAZÃO</t>
  </si>
  <si>
    <t>MATERIAL PARA OBRA / TUBULAÇÃO E MATERIAIS COMPLEMENTARES</t>
  </si>
  <si>
    <t>ASPERSORES PARA GOTEJAMENTO</t>
  </si>
  <si>
    <t>REGADOR PLÁSTICO - PARA IRRIGAÇÃO MANUAL</t>
  </si>
  <si>
    <t>UTENSÍLIOS / MATERIAL DE OFICINA E USO GERAL</t>
  </si>
  <si>
    <t>CAIXA D’ÁGUA (500 L) - RESERVA DE ÁGUA</t>
  </si>
  <si>
    <t>MATERIAL DE CONSTRUÇÃO CIVIL E PINTURA</t>
  </si>
  <si>
    <t>TUBETES PLÁSTICOS (120 ML) - PARA ROTAÇÃO MENSAL DAS MUDAS</t>
  </si>
  <si>
    <t>MATERIAL DE OFICINA E USO GERAL</t>
  </si>
  <si>
    <t>BANDEJAS PARA TUBETES (96 CÉLULAS) - PARA ORGANIZAR E MOVIMENTAR OS TUBETES</t>
  </si>
  <si>
    <t>SUBSTRATO PRONTO PARA MUDAS - ALTERNATIVA: MISTURA COM TERRA, AREIA E COMPOSTO</t>
  </si>
  <si>
    <t>FERTILIZANTE NPK (10-10-10) - NUTRIÇÃO BÁSICA</t>
  </si>
  <si>
    <t>CALCÁRIO DOLOMÍTICO - CORREÇÃO DE PH</t>
  </si>
  <si>
    <t>PÁ DE TRANSPLANTE - USO GERAL</t>
  </si>
  <si>
    <t>FERRAMENTAS</t>
  </si>
  <si>
    <t>ENXADA - PREPARAÇÃO DE SOLO/LOCAL</t>
  </si>
  <si>
    <t>PR</t>
  </si>
  <si>
    <t>PRG</t>
  </si>
  <si>
    <t>CANETA ESFEROGRAFICA PRETA</t>
  </si>
  <si>
    <t>PRJ</t>
  </si>
  <si>
    <t>AUDIT</t>
  </si>
  <si>
    <t>CANETA ESFEROGRAFICA VERMELHA</t>
  </si>
  <si>
    <t>UTIN</t>
  </si>
  <si>
    <t>CORRETIVO LIQUIDO PARA CORRECAO DE TEXTO</t>
  </si>
  <si>
    <t>COPO DESCARTAVEL</t>
  </si>
  <si>
    <t>PASTA EM L</t>
  </si>
  <si>
    <t>PERFURADOR</t>
  </si>
  <si>
    <t>FITA ADESIVA DE PAPEL TIPO GOMADA 50 X 50 M</t>
  </si>
  <si>
    <t>NOBREAK</t>
  </si>
  <si>
    <t>ENERGIA ELÉTRICA</t>
  </si>
  <si>
    <t>CANETA MARCA TEXTO AMARELO FLUORESCENTE PONTA CHANFRADA</t>
  </si>
  <si>
    <t>PASTA COM ELASTICO EM PLASTICO TRANSPARENTE A4</t>
  </si>
  <si>
    <t>UEP</t>
  </si>
  <si>
    <t>PINCEL ATOMICO P/ QUADRO BRANCO COR VERMELHO</t>
  </si>
  <si>
    <t>MONITOR 21,5 POLEGADAS BR</t>
  </si>
  <si>
    <t>ASCOM</t>
  </si>
  <si>
    <t>MOCHILA PARA NOTEBOOK</t>
  </si>
  <si>
    <t>COLHER DESCATAVEL</t>
  </si>
  <si>
    <t>FERRAMENTA DE CRIMPAGEM RAPIDA</t>
  </si>
  <si>
    <t>COPO DESCARTAVEL MARATA 50ML 100UND</t>
  </si>
  <si>
    <t>CANETA ESFEROGRAFICA 07 AZUL</t>
  </si>
  <si>
    <t>FONTE ATX POWER-X 230W REAL PX230 COM CABO</t>
  </si>
  <si>
    <t>SWITCH - 48G - TOT TRIB.</t>
  </si>
  <si>
    <t>GARFO DESCARTAVEL BCO 20X50</t>
  </si>
  <si>
    <t>FITA DUREX</t>
  </si>
  <si>
    <t>FONTE ATX FORTREK SEM CABO 450W/200W</t>
  </si>
  <si>
    <t>MOUSE CLASSIC BOX OPTICO PRETO</t>
  </si>
  <si>
    <t>ESTABILIZADOR SCH APC 1000VA G4 115V BIV</t>
  </si>
  <si>
    <t>CAFE SANTA CLARA</t>
  </si>
  <si>
    <t>CLIPS N2/0 GALVANIZADO CX 100UN BACCHI</t>
  </si>
  <si>
    <t>CLIPS N6/0 GALVANIZADO CX 50UN BACCHI</t>
  </si>
  <si>
    <t>TECLADO MULT USB PT COM IMPRESSAO AZ</t>
  </si>
  <si>
    <t>HD INTERNO</t>
  </si>
  <si>
    <t>CARTUCHO HP 664XL PRETO</t>
  </si>
  <si>
    <t>CARTUCHO HP 664XL COLOR</t>
  </si>
  <si>
    <t>MOUSE CLASSIC MO006</t>
  </si>
  <si>
    <t>COLA BASTAO 40GR 3M</t>
  </si>
  <si>
    <t>QUADRO BRANCO</t>
  </si>
  <si>
    <t>CAIXA CHAMEX</t>
  </si>
  <si>
    <t>FITA GOMADA</t>
  </si>
  <si>
    <t>BATEIRA DE LITHIUM CR 2032 3V</t>
  </si>
  <si>
    <t>FONE</t>
  </si>
  <si>
    <t>REFIL EPSON</t>
  </si>
  <si>
    <t>CAIXA DE LAPIS</t>
  </si>
  <si>
    <t>COLCHETE FIXAÇÃO EM AÇO LATONADO Nº 14 CAIXA C/72 UNID</t>
  </si>
  <si>
    <t>ENVELOPE CARTA OFICIO, PAPEL RECICLADO 90G/MAÃ‚Â²</t>
  </si>
  <si>
    <t>ENVELOPE PLASTICO</t>
  </si>
  <si>
    <t>ESTACAO DE TRABALHO NA COR NOGAL C/PRETO,COMPLE. P/4PESSOAS,C/2DIVISORIAS</t>
  </si>
  <si>
    <t>CAFE PILAO</t>
  </si>
  <si>
    <t>ESTACAO DE TRABALHO INDIVIDUAL S / GAVETA</t>
  </si>
  <si>
    <t>LEITOR USB DE CARTAO SD</t>
  </si>
  <si>
    <t>KIT TECLADO E MOUSE</t>
  </si>
  <si>
    <t>KIT PARAFUSO E PORCA TIPO GAIOLA M5</t>
  </si>
  <si>
    <t>CABO DE REDE CAT6 CX 305M AZUL</t>
  </si>
  <si>
    <t>ACCESS POINT UBIQUITI NETWORKS MIMO - UAP-AC-LITE BR</t>
  </si>
  <si>
    <t>GPS GARMIN E TREX 30X</t>
  </si>
  <si>
    <t>PROCESSADOR INTEL PENTIUM GOLD GB 400, CACHE 4MB. 4,00 GHZ</t>
  </si>
  <si>
    <t>MEMORIA RAM CRUCIAL BALLISTIX 8 GB DDR4</t>
  </si>
  <si>
    <t>PLACA MAE GIGABYTE H410M DS2V INTEL</t>
  </si>
  <si>
    <t>SSD 120 GB</t>
  </si>
  <si>
    <t>MONITOR 19.5" LED LG 20MK</t>
  </si>
  <si>
    <t>CADEIRA GIRATÓRIA COM BRAÇOS,APOIO DE CABEÇA,TELADA</t>
  </si>
  <si>
    <t>CAIXA DE SOM SP-303 BK P2/USB</t>
  </si>
  <si>
    <t>FONE DE OUVIDO OEX GAME ACTION</t>
  </si>
  <si>
    <t>KIT FERRAMENTA P NOTEBOOK</t>
  </si>
  <si>
    <t>CADEIRA GIRATORIA PRESIDENTE ADDIT COM ERGONOMIA COM ENCOSTO DE CABEÇA FRISOKAR</t>
  </si>
  <si>
    <t>KIT DE ACESSÓRIO PARA ESCRITÓRIO LE ROSA</t>
  </si>
  <si>
    <t>MICROFONE SHOTGUN COM ALCANCE DE FREQUÊNCIA 40HZ A 20KHZ; SENSIBILIDADE 38 DB AT 1KHZ; TIPO DE BATERIA 2X AA; A RELAÇÃO</t>
  </si>
  <si>
    <t>EQUIPAMENTOS PARA ÁUDIO, VÍDEO E FOTO</t>
  </si>
  <si>
    <t>PROCESSADOR INTEL PENTIUM GOLD G5420 CACHE 4 M</t>
  </si>
  <si>
    <t>HD SSD HUSKY GAMING 128 GB SATA, 3500MBS</t>
  </si>
  <si>
    <t>HD SSD KROSS ELEGANCE 240 GB SATA III</t>
  </si>
  <si>
    <t>IMPRESSORA MULTIFUNCIONAL</t>
  </si>
  <si>
    <t>CREME P MÃOS</t>
  </si>
  <si>
    <t>TECLADO USB</t>
  </si>
  <si>
    <t>SSD 240GB SATA III 6GB/S 2.5</t>
  </si>
  <si>
    <t>CADEIRA GIRATÓRIA EXECUTIVA TELADA COM REGULAGEM DE ALTURA</t>
  </si>
  <si>
    <t>MEXEDOR DESCARTÁVEL CAFÉ</t>
  </si>
  <si>
    <t>PASTA POLIONDA</t>
  </si>
  <si>
    <t>MOUSE PAD MULTILASER</t>
  </si>
  <si>
    <t>SUPORTE PARA NOTEBOOK REGULÁVEL</t>
  </si>
  <si>
    <t>GRAMPO TRILHO PLÁSTICO ESTENDIDO.</t>
  </si>
  <si>
    <t>PEN DRIVE 16GB</t>
  </si>
  <si>
    <t>SSD PATRIOT P310 240GB</t>
  </si>
  <si>
    <t>ESTABILIZADOR 500VA BIVOLT 4 TOMADAS TS SHARA</t>
  </si>
  <si>
    <t>SSD CRUCIAL P2 240GB LEITURA540 MB/S ,GRAVAÇÃO 500MB/S</t>
  </si>
  <si>
    <t>CABO USB 3.1 A MACHO + USB A FEMEA 3.1 2MT</t>
  </si>
  <si>
    <t>FONTE PARA GABINETE 230 WATTS</t>
  </si>
  <si>
    <t>PLACA MÃE ASUS TUF H310M-PLUS DDR4</t>
  </si>
  <si>
    <t>CABO ADAPTADOR PS2 FEMEA XUSB</t>
  </si>
  <si>
    <t>MEMÓRIA DDR3 4GB</t>
  </si>
  <si>
    <t>FILTRO DE LINHA 6 TOMADAS PRETO</t>
  </si>
  <si>
    <t>PLACA DE REDE PCI EXP 10/100/1000 F3 JC-PCI -EX</t>
  </si>
  <si>
    <t>TECLADO COM FIO COMPACTO CONEXÃO USB</t>
  </si>
  <si>
    <t>CABO VGA 3.0M XC-VGA3</t>
  </si>
  <si>
    <t>FONE DE OUVIDO F-014PT/20 HOOPSON</t>
  </si>
  <si>
    <t>FONE DE OUVIDO F-014 HOOPSON</t>
  </si>
  <si>
    <t>ESTABILIZADOR 500VA</t>
  </si>
  <si>
    <t>ENVELOPE OFÍCIO 260X360MM</t>
  </si>
  <si>
    <t>FONTE ATX MAVINT 200 W COM CABO</t>
  </si>
  <si>
    <t>GABINETE SEM FONTE</t>
  </si>
  <si>
    <t>CAMERA WEBCAM HD720POFFICE AC339 MULTILASER</t>
  </si>
  <si>
    <t>ALICATE DE CRIMPAR C/ CATRACA</t>
  </si>
  <si>
    <t>ENVELOPE PARDO A4</t>
  </si>
  <si>
    <t>MOUSE SEM FIO MICROSOFT 1850 PRETO</t>
  </si>
  <si>
    <t>PLACA MÃE GOLDENTEC 11 50 GA H81M DDR3</t>
  </si>
  <si>
    <t>COLHER DESCARTÁVEL STRAW CEFÉ CRISTAL 100X1</t>
  </si>
  <si>
    <t>PRATO DESCARTÁVEL 10X1</t>
  </si>
  <si>
    <t>FONTE ATX BRX 650 W B-S650W</t>
  </si>
  <si>
    <t>ADAPTADOR DE REDE USB /R145 F3 JC -AD RJ45</t>
  </si>
  <si>
    <t>PROCESSADOR INTEL PENTIUM GOLD G6405 4,10GHZ CACHE 4MB DUAL CORE</t>
  </si>
  <si>
    <t>SSD- TIPO IDISPOSITIVO: SSD INTERNO DE 2,5 POLEGADAS;CAP. DE ARMAZ.: 240 GB;INTERFACE: SATA 6.0GB/S;LEITURA 540 MB/S;500</t>
  </si>
  <si>
    <t>WEBCAM VIDEOCHAMADAS E GRAVAÇÃO DE VÍDEO EM FULL HD DE 1080PFOCO AUTOMÁTICO EM HD E CORREÇÃO DE LUZÁUDIO ESTÉREO</t>
  </si>
  <si>
    <t>PROCESSADOR 1151 INTEL CORE I3 6100 3.7 GHZ</t>
  </si>
  <si>
    <t>MICROFONE LAPELA LE931</t>
  </si>
  <si>
    <t>BENS DE PEQUENO VALOR (USO ADMINISTRATIVO)</t>
  </si>
  <si>
    <t>ADAPTADOR WIFI USB TENDA DUAL BAND AC650 U9</t>
  </si>
  <si>
    <t>CABO ADAPTADOR USB3 RJ45</t>
  </si>
  <si>
    <t>KIT PLACA MÃE + PROCESSADOR CORE I3 + MEMÓRIA DDR3 4GB</t>
  </si>
  <si>
    <t>MEMÓRIA KINGSTON FURY BEATS, 8GB, 3200MHZ, DDR4, CL16, PRETO</t>
  </si>
  <si>
    <t>SSD KINGSTON NV2 250GB</t>
  </si>
  <si>
    <t>MOUSE COM FIO USB 2.0 800DPI</t>
  </si>
  <si>
    <t>FONTE DE ALIMENTAÇÃO 230W SMALL S/ CAIXA</t>
  </si>
  <si>
    <t>CABO USB 3.0 SUPER SPEED AM X MICRO B 1.5MT</t>
  </si>
  <si>
    <t>GRAMPEADOR MÉDIO</t>
  </si>
  <si>
    <t>CAIXA MARCA TEXTO (24UN)</t>
  </si>
  <si>
    <t>TECLADO + MOUSE SEM FIO</t>
  </si>
  <si>
    <t>COLHER DE REFEIÇÃO C/ 50 UND</t>
  </si>
  <si>
    <t>CANETA ESFÉRICA AZUL</t>
  </si>
  <si>
    <t>PAPEL A4 75G 210X297MM RESMA C/ 500 FLS</t>
  </si>
  <si>
    <t>BLOCO DE RASCUNHO</t>
  </si>
  <si>
    <t>CORTINA CORTA LUZ 1,3X1,7</t>
  </si>
  <si>
    <t>MOUSE BLUETOOTH RECARREGÁVEL GB 54429</t>
  </si>
  <si>
    <t>PENDRIVE 8GB R2-D2 PD 036 MULTILASER</t>
  </si>
  <si>
    <t>FONTE GT 250W REAL ATX 2</t>
  </si>
  <si>
    <t>COMPUTADOR DESKTOP</t>
  </si>
  <si>
    <t>MONITOR DE VÍDEO COM TELA LCD COM LED WIDESCREEN 16:9 DE 18.5 POLEGADAS DE ÁREA VISÍVEL</t>
  </si>
  <si>
    <t>ACCESS POINT UBITIQUI AP UNIFI UAP-AC-IR</t>
  </si>
  <si>
    <t>ORGANIZADOR DE CABOS HWPP-25 1 2M</t>
  </si>
  <si>
    <t>ORGANIZADOR DE CABOS HWPP-16 5/8 2M</t>
  </si>
  <si>
    <t>CABO VGAM X VGAM 1,8M CONECT AZ W1208</t>
  </si>
  <si>
    <t>MEMÓRIA SSD 240GB</t>
  </si>
  <si>
    <t>CAIXA DE SOM 2.0 8W RMS</t>
  </si>
  <si>
    <t>CASE NEOPRENE PARA NOTBOOK 14POL</t>
  </si>
  <si>
    <t>CAIXA DE SOM RGB SD-023</t>
  </si>
  <si>
    <t>TRIPÉ BASTÃO DE SEFIE LE</t>
  </si>
  <si>
    <t>MONITOR SAMSUNG 27 FHD HDMI VGA PRETO SERIE T350 AC 100-240V</t>
  </si>
  <si>
    <t>ADAPTADOR DVI 24+5 FEMEA /HDMI MACHO</t>
  </si>
  <si>
    <t>CABO DVI X DVI 2MT REF. MB81051 MBTECH GB51051</t>
  </si>
  <si>
    <t>CABO LAN CAT 06 4PCMX</t>
  </si>
  <si>
    <t>BATERIA ELET BOTÃO 3 V CR 2032</t>
  </si>
  <si>
    <t>FONTE ATX BLUE CASE 230W BLU230 - PS3, S/CABO</t>
  </si>
  <si>
    <t>NOBREAK 1440YA MCM ONE 3.1 UPS0273</t>
  </si>
  <si>
    <t>CAFÉ DESCAFEINADO 250G</t>
  </si>
  <si>
    <t>MEMÓRIA RAM DESK 8GB DDR3 1600MHZ</t>
  </si>
  <si>
    <t>MOUSE GAMER 3600 DPI</t>
  </si>
  <si>
    <t>MEMORIA RAM DESK 8GB DDR4</t>
  </si>
  <si>
    <t>ENVELOPE PARDO TAM: OFÍCIO</t>
  </si>
  <si>
    <t>TV 65P TCL 65P755 GOOGLE TV UHD 4K</t>
  </si>
  <si>
    <t>COOLER PARA NOTEBOOK</t>
  </si>
  <si>
    <t>HEADSET USB COM MICROFONE</t>
  </si>
  <si>
    <t>MATERIAIS DE EXPEDIENTE</t>
  </si>
  <si>
    <t>WEBCAM 1080P USB</t>
  </si>
  <si>
    <t>PROJETOR MULTIMÍDIA COM NO MÍNIMO 5200 LÚMENS, FULL HD</t>
  </si>
  <si>
    <t>EQUIPAMENTO TECNOLÓGICO, DE PROJEÇÃO DE IMAGEM, ÁUDIO, VÍDEO E FOTO</t>
  </si>
  <si>
    <t>INVESTIMENTOS INTANGÍVEL E IMOBILIZADO TÉCNICO</t>
  </si>
  <si>
    <t>TELA DE PROJEÇÃO ELÉTRICA, 2,03 X 1,52, 220V,</t>
  </si>
  <si>
    <t>INVESTIMENTOS NO INTANGÍVEL E IMOBILIZADO TÉCNICO</t>
  </si>
  <si>
    <t>NOTEBOOK COM PROCESSADOR INTEL CORE I7 DE 11ª, 12ª OU 13ª GERAÇÃO, 16 GB DE MEMÓRIA RAM DDR4 (EXPANSÍVEL), SSD NVME DE 512 GB PARA ARMAZENAMENTO RÁPIDO E SEGURO, E TELA DE 15,6 POLEGADAS FULL HD ANTIRREFLEXO</t>
  </si>
  <si>
    <t>DESKTOP DE LINHA CORPORATIVA COM ARQUITETURA X64 COM DUAS TELAS DE NO MÍNIMO 27"</t>
  </si>
  <si>
    <t>HDD EXTERNO SEAGATE 4TB EXPANSION USB 3.0 PORTATIL 2,5</t>
  </si>
  <si>
    <t>CADEIRA GIRATÓRIA ESCRITÓRIO COURAGE PRETA COM ERGONOMIA</t>
  </si>
  <si>
    <t xml:space="preserve">DRONE 4K
- SENSOR: CMOS 1/1.3”
- RESOLUÇÃO DE VÍDEO: 4K A 60 FPS / HDR
- TEMPO DE VOO: ATÉ 45 MINUTOS
- ALCANCE: ATÉ 20 KM
- MODOS DE VOO: ACTIVETRACK, MASTERSHOTS, QUICKSHOTS 
- ESTABILIZAÇÃO: GIMBAL DE 3 EIXOS 
- PESO: ABAIXO DE 249G (ISENTO DE REGISTRO EM ALGUNS PAÍSES) 
</t>
  </si>
  <si>
    <t>DG</t>
  </si>
  <si>
    <t>GCON</t>
  </si>
  <si>
    <t>Envelope pardo medio</t>
  </si>
  <si>
    <t>GESL</t>
  </si>
  <si>
    <t>Caneta esferografica vermelha</t>
  </si>
  <si>
    <t>Caneta corretiva secagem rapida</t>
  </si>
  <si>
    <t>GCFI</t>
  </si>
  <si>
    <t>GEPE</t>
  </si>
  <si>
    <t>Caneta marca texto azul</t>
  </si>
  <si>
    <t>COPO DESCARTAVEL PARA CAFE</t>
  </si>
  <si>
    <t>MINA GRAFITE 09 MM</t>
  </si>
  <si>
    <t>REGUA</t>
  </si>
  <si>
    <t>Caneta marca texto amarelo fluorescente ponta chanfrada</t>
  </si>
  <si>
    <t>Caneta marca texto laranja</t>
  </si>
  <si>
    <t>Caneta marca texto rosa</t>
  </si>
  <si>
    <t>Pincel atomico p/ quadro branco cor vermelho</t>
  </si>
  <si>
    <t>PINCEL ATOMICO P/ QUADRO BRANCO COR PRETO</t>
  </si>
  <si>
    <t>Pincel atomico p/ quadro branco cor preto</t>
  </si>
  <si>
    <t>CADEIRA DE ESCRITORIO TIPO DIRETOR COM ASSENTO DE ESPUMA INJETADA</t>
  </si>
  <si>
    <t>PEN DRIVE 8G M/MULTILASER</t>
  </si>
  <si>
    <t>NOBREAK SCH APC 700V A BACK-UPS 115/220</t>
  </si>
  <si>
    <t>PAPEL HIGIENICO</t>
  </si>
  <si>
    <t>Fita Transparente</t>
  </si>
  <si>
    <t>CLIPS 2/0 GALVANIZADO ACC</t>
  </si>
  <si>
    <t>CLIPS 3/0 GALVANIZADO ACC</t>
  </si>
  <si>
    <t>PILHA PANAS ALK PALITO</t>
  </si>
  <si>
    <t>SACO DE LIXO</t>
  </si>
  <si>
    <t>FARDO DE PAPEL HIGIENICO</t>
  </si>
  <si>
    <t>FITA LARGA TRANSPARENTE 48X45 4X1 ADELBRAS</t>
  </si>
  <si>
    <t>EXTENSAO ELETRICA 2P+T 5MT</t>
  </si>
  <si>
    <t>BOBINA TERMICA DE 300M P/ REGISTRADOR ELETRONICO DE PONTO</t>
  </si>
  <si>
    <t>CARTAO DE PROXIMIDADE EM PVC</t>
  </si>
  <si>
    <t>PASTA GRAMPO</t>
  </si>
  <si>
    <t>Quadro branco</t>
  </si>
  <si>
    <t>CADERNO</t>
  </si>
  <si>
    <t>GARRAFA TERMICA</t>
  </si>
  <si>
    <t>CAIXA DE LIGA ELASTICA</t>
  </si>
  <si>
    <t>PASTA ARQUIVO</t>
  </si>
  <si>
    <t>LIGA ELASTICO</t>
  </si>
  <si>
    <t>MOUSE PAD SOFTACO</t>
  </si>
  <si>
    <t>LAPISEIRA 0,9</t>
  </si>
  <si>
    <t>PASTA A ELASTICO</t>
  </si>
  <si>
    <t>PASTA A ELASTiCO</t>
  </si>
  <si>
    <t>Corretivo</t>
  </si>
  <si>
    <t>COLCHETE LATONADOS</t>
  </si>
  <si>
    <t>FILTRO DE LINHA</t>
  </si>
  <si>
    <t>Filtro de linha</t>
  </si>
  <si>
    <t>AGENDA</t>
  </si>
  <si>
    <t>Pilha Palito</t>
  </si>
  <si>
    <t>Caixa de clips</t>
  </si>
  <si>
    <t>COPO DESCARTAVEL PARA AGUA</t>
  </si>
  <si>
    <t>MINA GRAFITE</t>
  </si>
  <si>
    <t>ENVELOPE CARTA OFiCiO, PAPEL RECiCLADO 90G/MaÃ‚Â²</t>
  </si>
  <si>
    <t>ESCARCELA</t>
  </si>
  <si>
    <t>CADERNO SECRETARIA</t>
  </si>
  <si>
    <t>COLA</t>
  </si>
  <si>
    <t>CADERNETA</t>
  </si>
  <si>
    <t>PILHA</t>
  </si>
  <si>
    <t>Desgrampo para grampeador</t>
  </si>
  <si>
    <t>EXTINTOR</t>
  </si>
  <si>
    <t>POST - iT</t>
  </si>
  <si>
    <t>APARELHO AR CONDICIONADO</t>
  </si>
  <si>
    <t>PAPEL CHAMEX</t>
  </si>
  <si>
    <t>GAVETEiRO</t>
  </si>
  <si>
    <t>ARMÁRIO 3 PORTAS VD ( BENS DE PEQUENO VALOR)</t>
  </si>
  <si>
    <t>CADEIRA DE ESCRITÓRIO GIRATÓRIO</t>
  </si>
  <si>
    <t>CANETA MARCADOR PERMANENTE PRETO</t>
  </si>
  <si>
    <t>CORDÃO CRACHÁ PERSONALIZADO DIGITAL 15 MM X 85 CM - ARGOLA E JACARÉ</t>
  </si>
  <si>
    <t>REFIL PARA CADERNETA DE ANOTAÇÕES</t>
  </si>
  <si>
    <t>Cadeira giratoria presidente addit com ergonomia com encosto de cabeça FRiSOKAR</t>
  </si>
  <si>
    <t>HD SSD SATA 240GB</t>
  </si>
  <si>
    <t>PASTA SANFONADA</t>
  </si>
  <si>
    <t>Mouse pad ergonômico</t>
  </si>
  <si>
    <t>Corretivo de fita 10mx4,2mm.</t>
  </si>
  <si>
    <t>Lápis preto,material corpo:madeira,dureza carga: hb, n° 2, material carga grafite</t>
  </si>
  <si>
    <t>PINCEL QUADRO BRANCO, RECARREGÁVEL</t>
  </si>
  <si>
    <t>Headset Harve multilaser</t>
  </si>
  <si>
    <t>Caneta bic cristal 25x1</t>
  </si>
  <si>
    <t>Webcam Videochamadas e Gravação de vídeo em Full HD de 1080pFoco automático em HD e correção de luzÁudio estéreo</t>
  </si>
  <si>
    <t>Pilha pequena comum</t>
  </si>
  <si>
    <t>FITA GOMADA 36MM X 50M</t>
  </si>
  <si>
    <t>FONE DE OUVIDO C/ MICROFONE HS037</t>
  </si>
  <si>
    <t>CORRETIVO TIPO FITA 5X6M</t>
  </si>
  <si>
    <t>NOBREAK WEG 1200VA HOME BIV 115 V 90MIN</t>
  </si>
  <si>
    <t>Bloco de Anotações Capa Acrilica</t>
  </si>
  <si>
    <t>RIBBON EVOLIS R5F002AAA</t>
  </si>
  <si>
    <t>FONE DE OUVIDO AIRBUDS TWS</t>
  </si>
  <si>
    <t>MONITOR 21.5 LED VXPRO VX215G 75HZ PRETO</t>
  </si>
  <si>
    <t>Monitor 21.5 Led VXPRO VX215G 75hz Preto</t>
  </si>
  <si>
    <t>MONITOR 19" LED VXPRO VX190G 60HZ</t>
  </si>
  <si>
    <t>CAMERA WEBCAM HD720P 4290721 INTELBRAS</t>
  </si>
  <si>
    <t xml:space="preserve">CAMISA ADMINISTRATIVA - POLO UNISSEX
CAMISA ESTILO POLO, ½ ABERTURA FRONTAL COM VISTA SIMPLES FECHADA POR DOIS BOTÕES, MANGAS CURTAS COM PUNHOS (GOLA NA MESMA COR DA MALHA COM DETALHE EM LISTRA BRANCA, SUADOR MESMA COR DA MALHA E PUNHOS NA MESMA COR DA MALHA COM DETALHE EM LISTRA BRANCA). COSTAS EM TECIDO ÚNICO, ABERTURA NAS LATERAIS DE 50MM, CONFECCIONADA EM MALHA PIQUET 50% ALGODÃO 50% POLIÉSTER, GRAMATURA 210G/M2 ESPECIAL ANTI-PILLING / PROTEÇÃO SOLAR 50 +, COR AZUL ROYAL. LOGOMARCAS SENDO EM BORDADO ALTA DEFINIÇÃO E BORDADO AUTOMATIZADO
</t>
  </si>
  <si>
    <t>UNIFORME</t>
  </si>
  <si>
    <t>JALECO BRANCO COM MANGA COMPRIDA E PUNHO SANFONADO, COM TRÊS BOLSOS, UM NA PARTE DE CIMA COM LOGOMARCA MEDINDO 8 X 2,5 CM E DOIS BOLSOS EM BAIXO. TECIDO OXIFORD 100% POLIÉSTER.</t>
  </si>
  <si>
    <t>CAMISA MANGA LONGA COM ELÁSTICO NOS PUNHOS, COLARINHO BÁSICO, FRENTE ABERTA, FECHAMENTO ATRAVÉS DE BOTÕES E CASEADOS, COM FAIXA REFLETIVA PRATA DE 2,5 CM, ACIMA DO BOLSO NO ENCONTRO DAS CORES E NAS MANGAS ACIMA DOS COTOVELOS. CONFECCIONADA EM BRIM LEVE PROFISSIONAL 100% ALGODÃO, TINGIMENTO PROFISSIONAL, COM GRAMATURA DE 190G/M2, SENDO O CORPO NA COR AZUL ESCURO 5098 E AS MANGAS E GOLA NA COR AZUL CLARO 5099</t>
  </si>
  <si>
    <t>CALÇA JEANS EM ENDIGO 11.702, PROFISSIONAL PARA UNIFORMES, TINGIMENTO PROFISSIONAL, SENDO O CÓS COM 7 PASSANTES (PASSA-CINTO) FIXADOS POR COSTURA REFORÇADA; FECHO ECLÉR COM ZÍPER, DOIS BOLSOS FRONTAIS TIPO FACA (CHAPADO TIPO AMERICANO) E DOIS ATRÁS TIPO CHAPADO; FECHAMENTO COM COSTURA DUPLA REFORÇADA, ACABAMENTO COM COSTURA DUPLA APARENTE EM TODA A PARTE EXTERNA, INCLUSIVE BOLSOS E BARRAS; FAIXA REFLETIVA NA ALTURA DA PANTURRILHA DE COR PRATA; PRÉ LAVADO PARA NÃO APRESENTAR DESBOTAMENTO OU ENCOLHIMENTO; COSTURA COM LINHA DE CARACTERÍSTICAS IGUAIS ÀS DO TECIDO. LOGOMARCA DA CAEMA PINTADA NO BOLSO DIREITO TRASEIRO NA HORIZONTAL, MEDINDO 8 X 2,5 CM.</t>
  </si>
  <si>
    <t>MEDIDOR DE PRESSÃO ARTERIAL DE BRAÇO - OMRON</t>
  </si>
  <si>
    <t>MATERIAL MÉDICO</t>
  </si>
  <si>
    <t>OMRON- BALANÇA DIGITAL CORPORAL - OMRON</t>
  </si>
  <si>
    <t>ESTADIÔMETRO PORTÁTIL MEDIDOR ALTURA PARA AVALIAÇÃO FÍSICA</t>
  </si>
  <si>
    <t>ESTETOSCÓPIO</t>
  </si>
  <si>
    <t>ESPÁTULA DESCARTÁVEL</t>
  </si>
  <si>
    <t>OXIMETRO DE DEDO</t>
  </si>
  <si>
    <t>LUVAS DE LÁTEX (PACOTE/CAIXA)</t>
  </si>
  <si>
    <t>MÁSCARA DESCARTÁVEL (PACOTE/CAIXA)</t>
  </si>
  <si>
    <t>LENÇOL DESCARTÁVEL PAPEL PARA MACA HOSPITALAR 70X50 BRANCO</t>
  </si>
  <si>
    <t>ROLO</t>
  </si>
  <si>
    <t>CINTO DE SEGURANÇA TIPO PARAQUEDISTA CONFECCIONADO EM FITA PRIMÁRIA E SECUNDÁRIA DE ARAMIDA DE 45MM</t>
  </si>
  <si>
    <t>MATERIAIS DE CUSTEIO</t>
  </si>
  <si>
    <t>TALABARTE DE SEGURANÇA EM FITA. TIPO “Y”. - 01 CONECTOR CLASSE A EM AÇO COM ABERTURA DE 55MM; 01 ABSORVEDOR DE ENERGIA COM CONECTOR CLASSE T EM AÇO E ABERTURA DE 18MM; CONFECCIONADO EM MATERIAL SINTÉTICO POLIÉSTER; - UTILIZADO EM CONJUNTO COM CINTURÕES PARAQUEDISTA; TAMANHO: 1,35M - NORMAS ABNT/NBR 15834 – 2020 / 15837 – 2020.</t>
  </si>
  <si>
    <t>TALABARTE DE POSICIONAMENTO TIPO I FABRICADO EM FITA DE POLIÉSTER DE ALTA RESISTÊNCIA, POSSUI DOS MOSQUETÕES ABERTURA 17 MM, AJUSTE DE TAMANHO POR FIVELAS EM AÇO CARBONO, POSSUI FITA TUBULAR PARA PROTEÇÃO CONTRA ATRITO TAMANHO MÁXIMO: 1,40 M</t>
  </si>
  <si>
    <t>ÓCULOS DE SEGURANÇA, MODELO AMPLA-VISÃO, CONSTITUÍDOS DE ARMAÇÃO CONFECCIONADA EM UMA ÚNICA PEÇA DE MATERIAL PLÁSTICO FLEXÍVEL INCOLOR, COM SISTEMA DE VENTILAÇÃO INDIRETA, COMPOSTA DE 121 ORIFÍCIOS NA PARTE SUPERIOR E 76 NA PARTE INFERIOR, SENDO: 38 DE CADA LADO DA ARMAÇÃO; TIRANTE ELÁSTICO PARA AJUSTE À FACE DO USUÁRIO E VISOR DE POLICARBONATO INCOLOR.</t>
  </si>
  <si>
    <t>ÓCULOS DE SEGURANÇA COM ARMAÇÃO CONVENCIONAL INJETADA EM ACETATO DE CELULOSE, POLICARBONATO OU PROPIONATO, HASTES TIPO ESPÁTULA COM PROTETORES LATERAIS NÃO PERFURADOS INJETADOS NA MESMA PEÇA E ARTICULADOS NOS AROS, LENTES DE POLICARBONATO INCOLOR, ANTIEMBAÇANTE.</t>
  </si>
  <si>
    <t>LUVAS DE LÁTEX SEM FORRO, PALMA ANTIDERRAPANTE COM 31 CM DE COMPRIMENTO.</t>
  </si>
  <si>
    <t>LUVA NITRÍLICA MULTIUSO DE PROTEÇÃO SEM PÓ, TEXTURIZADA NAS PONTAS DOS DEDOS, COR AZUL (PARA PROCEDIMENTO NÃO CIRÚRGICO</t>
  </si>
  <si>
    <t>LUVA TÁTIL DE SEGURANÇA TRICOTADA EM POLIAMIDA (NÁILON).</t>
  </si>
  <si>
    <t>LUVA DE SEGURANÇA TRICOTADA EM FIOS DE ALGODÃO E POLIÉSTER, PALMA E FACE PALMAR DOS DEDOS COM PIGMENTOS ANTIDERRAPANTES DE PVC, EXTREMIDADE DOS DEDOS COM REFORÇO DE BORRACHA DE PVC. PUNHO COM ELÁSTICO, COM ACABAMENTO OVERLOQUE.</t>
  </si>
  <si>
    <t>LUVA DE VAQUETA MISTA, TIPO PETROLEIRA PRODUZIDA EM COURO BOVINO CURTIDO AO CROMO, COM REFORÇO ENTRE O POLEGAR E O INDICADOR E REFORÇO PALMAR INTERNO. CONFECCIONADA EM VAQUETA NA PALMA E RASPA NO DORSO, ACABAMENTO EM VIÉS, COSTURADA COM LINHA DE NAYLON. COMPRIMENTO TOTAL DE 25CM</t>
  </si>
  <si>
    <t>LUVA EM RASPA PARA SOLDADOR, PUNHO 15 CM, COM REFORÇO INTERNO E COSTURA EM NYLON.</t>
  </si>
  <si>
    <t>AVENTAL DE SEGURANÇA CONFECCIONADO EM RASPA COURO PARA SOLDADOR, COM TIRAS EM RASPA NO PESCOÇO E NA CINTURA PARA AJUSTES, PROTEÇÃO DA PARTE FRONTAL DO USUÁRIO CONTRA AGENTES ABRASIVOS E ESCORIANTES, PARA USO EM SOLDAGENS E PROCESSOS SIMILARES. TAMANHO: 1.0X0,60M SEM EMENDA.</t>
  </si>
  <si>
    <t>LUVA DE NITRÍLICA NA COR VERDE, PALMA ANTIDERRAPANTE EM ALTO RELEVO, SEM FORRO, COM COMPRIMENTO DE 46 CM.</t>
  </si>
  <si>
    <t>LUVA ISOLANTE DE BORRACHA NATURAL/SINTÉTICA, TIPO II, CLASSE 00. COMPRIMENTO: 356MM. RESISTÊNCIA DE 2500V. TENSÃO DE USO: 500V. “ESTE EQUIPAMENTO DEVERÁ APRESENTAR O SELO DE MARCAÇÃO DO INMETRO”.</t>
  </si>
  <si>
    <t>LUVA ISOLANTE DE BORRACHA NATURAL/SINTÉTICA, TIPO: II, CLASSE: 2. COMPRIMENTO: 356MM. RESISTÊNCIA DE: 20000V. TENSÃO DE USO: 17000V. PROD. “ESTE EQUIPAMENTO DEVERÁ APRESENTAR O SELO DE MARCAÇÃO DO INMETRO”.</t>
  </si>
  <si>
    <t>LUVA ISOLANTE DE BORRACHA NATURAL/SINTÉTICA, TIPO II, CLASSE 4. COMPRIMENTO: 406 MM. RESISTÊNCIA DE: 40000V. TENSÃO DE USO: 36000V. "ESTE EQUIPAMENTO DEVERÁ APRESENTAR O SELO DE MARCAÇÃO DO INMETRO".</t>
  </si>
  <si>
    <t>LUVA DE COBERTURA, TAMBÉM CONHECIDA COMO LUVA DE COBERTURA PARA ELETRICISTA, CONFECCIONADA EM COURO BOVINO CURTIDO AO CROMO E VAQUETA, COM PALMA, DORSO E DEDOS EM VAQUETA, COM PUNHO DE RASPA, ACABAMENTO EM VIÉS VERMELHO, TIRA PARA REGULAGEM NO DORSO COM ESPESSURA MÉDIA DA RASPA EM 1,50 MM E ESPESSURA MÉDIA DA VAQUETA EM 1,10 MM, COM GRAMATURA 0,0815 GRAMAS/CM² OU 0,815 KG/M² E GRAMATURA 0,0580 GRAMAS/CM² OU 0,580 KG/M², COSTURADA COM ALGODÃO OU KEVLAR.</t>
  </si>
  <si>
    <t>VARA DE MANOBRA COM 6 ELEMENTOS: 1 SUPERIOR, 1 PUNHO ,4 INTERMEDIÁRIOS, 1 CABEÇOTE UNIVERSAL COM BOLSA DE LONA (ADEQUADO AO USO PARA MANOBRA DE CHAVES CORTA-CIRCUITOS EM CARGA).</t>
  </si>
  <si>
    <t>TAPETE ISOLANTE ELÉTRICO TAMBÉM CONHECIDO COMO MANTA ISOLANTE, CLASSE 2 COM ISOLAMENTO ATÉ 20KV TAMANHO -1M X 1M X ESPESSURA 25 MM (ESTRADO ISOLANTE ELÉTRICO) SÃO ALTAMENTE INDICADOS PARA QUADROS ELÉTRICOS, CABINES DE FORÇA PRIMÁRIA E SECUNDÁRIA, SUBESTAÇÕES DE ENERGIA E CENTROS DE CONTROLE DE MOTORES (CCM), DEVE ATENDER ATENDE A NR-10, NORMA QUE REGULAMENTA A SEGURANÇA DOS TRABALHADORES EM LOCAL DE TRABALHO E EM SERVIÇOS ENVOLVENDO ELETRICIDADE.</t>
  </si>
  <si>
    <t>RESPIRADOR SEMI FACIAL DESCARTÁVEL DOBRÁVEL. CLASSE PFF2 CARVÃO, COM MANTA DE ACABAMENTO EM TNT, TAMANHO ÚNICO, TIPO FILTRO QUÍMICO DE BAIXA CAPACIDADE, EQUIPADA COM VÁLVULA DE EXALAÇÃO. POSSUI SOLDA POR ULTRASSOM EM TODO SEU PERÍMETRO. CONFECCIONADO COM MANTA SINTÉTICA E UMA CAMADA DE CARVÃO ATIVADO IMPREGNADO, DOBRÁVEL, COM VÁLVULA DE EXALAÇÃO, CAMADA INTERNA IMPREGNADA COM CARVÃO ATIVO E SOLDA ULTRASSÔNICA EM TODO O SEU PERÍMETRO.</t>
  </si>
  <si>
    <t>PROTETOR SOLAR FPS 60, 120ML FÓRMULA NÃO OLEOSA E DE RÁPIDA ABSORÇÃO, RESISTENTE A ÁGUA, HIPOALERGÊNICO E COM FILTRO SOLARES QUE PROTEGEM CONTRA RADIAÇÃO UVA/UVB TESTADO DERMATOLOGICAMENTE.</t>
  </si>
  <si>
    <t>MACACÃO DE SEGURANÇA CONFECCIONADO EM POLIPROPILENO, COSTURAS COM TRÊS FIOS, CAPUZ, PUNHOS, CINTURA E TORNOZELOS COM ELÁSTICO, ZÍPER FRONTAL COM ABA PROTETORA.</t>
  </si>
  <si>
    <t>AVENTAL DE SEGURANÇA TIPO FRONTAL, CONFECCIONADO EM TREVIRA KP-500 (POLIÉSTER REVESTIDO DE PVC EM AMBAS AS FACES), REPELINDO RESPINGOS QUÍMICOS (ÁCIDOS, ÁLCALIS E DETERGENTES) E ÁGUA, COM TIRAS SOLDADAS ELETRÔNICAMENTE, SENDO UMA NO PESCOÇO E DUAS NA CINTURA COM FIVELA PLÁSTICA, ACABAMENTO NAS LATERAIS POR SOLDA ELETRÔNICA. TAMANHO: 120CM X 70CM PADRÃO (COR AMARELO).</t>
  </si>
  <si>
    <t>ANEL DE FITA TUBULAR CONFECCIONADA EM POLIÉSTER DE ALTA TENACIDADE COM COSTURAS ELETRÔNICAS PARA ANCORAGENS. E TRABALHO EM ALTURA QUE PROPORCIONA MELHOR MALEABILIDADE E UMA RESISTÊNCIA DE 2 A 3 VEZES MAIOR QUE OS DEMAIS TECIDOS. COSTURAS EM ZIG-ZAG QUE PROPORCIONAM UMA GRANDE RESISTÊNCIA LOCALIZADA, EM CORES CONTRASTANTES ÀS DA FITA, PARA MELHOR VISUALIZAÇÃO DURANTE A INSPEÇÃO, COMPRIMENTO: 60 CM - LARGURA DA FITA: 20 MM COSTURA ELETRÔNICA EFETUADA POR MAQUINÁRIO COMPUTADORIZADO - RESISTENCIA INDICADA: 22 KN MATERIAL: POLIESTER DE ALTA TENACIDADE - PESO UNITÁRIO: 58 GRAMAS.</t>
  </si>
  <si>
    <t>MOSQUETÃO OVAL FABRICADO EM AÇO CARBONO DE ALTA RESISTÊNCIA COM ACABAMENTO ANTICORROSIVO GALVANIZADO E TRAVA DE ROSCA, RESISTÊNCIAS: 30KN, ABERTURA DE GATILHO: 17MM, PESO: 160G, COR: PRATEADO COM TRAVA PRATEADA.</t>
  </si>
  <si>
    <t>FREIO OITO PARA DESCIDA EM MODO SIMPLES OU DUPLO FORMA QUADRADA PARA REDUZIR A TORÇÃO DAS CORDAS E FORMAÇÃO DE NÓS USO EM CORDAS DE 8 A 13 MM DE DIÂMETRO. AÇO INOXIDÁVEL RESISTENTE A CORROSÃO E AO DESGASTE O ORIFÍCIO MENOR PODE SER USADO COM CORDAS FINAS, SE NECESSÁRIO, OU COMO UMA PLACA DE SEGURANÇA MATERIAL: ALUMÍNIO PESO: 100 G COMPATIBILIDADE DE CORDA: PARA USO EM CORDAS DE 8 A 13 MM DE DIÂMETRO.</t>
  </si>
  <si>
    <t>CORDA DE SEGURANÇA PARA TRAVA QUEDAS - LINHA DE VIDA DE POLIAMIDA TRANÇADA DE 12MM, ROLO 100 METROS.</t>
  </si>
  <si>
    <t>TRAVA QUEDAS DESLIZANTE COM EXTENSOR CONECTOR AÇO 25MM CAPACIDADE PARA ATÉ 100KG E COMPATÍVEL COM CORDA DE 12MM PARA UTILIZAÇÃO EM SISTEMAS DE PROTEÇÃO CONTRA QUEDAS PARA TRABALHOS EM ALTURA.</t>
  </si>
  <si>
    <t>ESCADA EXTENSÍVEL VAZADA, COMPOSTA POR DUAS PARTES, SENDO A PARTE FIXA E A PARTE EXTENSÍVEL QUE É IÇADA POR MEIO DE UMA CORDA DE 8MM TRAVANDO A CATRACA NOS DEGRAUS, ASSIM REGULANDO SUA ALTURA ATÉ O MÁXIMO PERMITIDO PELOS LIMITADORES, DEGRAUS EM ALUMÍNIO TIPO “D” COM RANHURAS ANTIDERRAPANTES, QUE PROPORCIONAM MAIOR CONFORTO E SEGURANÇA PARA SEUS USUÁRIOS, LONGARINAS EM FORMATO “U” FABRICADAS EM FIBRA DE VIDRO E SAPATA DE BORRACHA COM RANHURAS ANTIDERRAPANTES FIXADOS NA PARTE INFERIOR DOS MONTANTES QUE, EM CONTATO COM O SOLO, EVITA O DESLIZAMENTO; CARACTERÍSTICAS: LEVE, NÃO CONDUZ ELETRICIDADE, NÃO ENFERRUJA; QUANTIDADE DE DEGRAUS ÚTEIS: 19 (DEZENOVE), CARGA DE TRABALHO DE 120 KG; PESO DA ESCADA: 20 KG; DIMENSÕES: ABERTA: 6 METROS; FECHADA: 3,65 METROS.</t>
  </si>
  <si>
    <t>MÁSCARA DE SEGURANÇA PARA SOLDADOR, POSSUI CARCAÇA FABRICADA EM CELERON PRESO À CARNEIRA ATRAVÉS DE DOIS PARAFUSOS METÁLICOS, CARNEIRA DE POLIPROPILENO COM REGULAGEM DE TAMANHO DISPONÍVEL ATRAVÉS DE AJUSTE SIMPLES E ATRAVÉS DE CATRACA, PLACA DE SEGURANÇA DE POLICARBONATO INCOLOR PRESA NA PARTE FIXA DA MÁSCARA ATRAVÉS DE CHAPA DE AÇO ENCAIXADA EM FENDAS INTERNAS DO VISOR, PLACA DE COBERTURA EM POLICARBONATO INCOLOR E FILTRO DE LUZ CONFECCIONADO EM POLICARBONATO NAS MEDIDAS DE 51 X 108 MM PRESOS ATRAVÉS DE UMA MOLA DE INOX PELO LADO INTERNO DO VISOR NA PARTE BASCULANTE (ARTICULADA).</t>
  </si>
  <si>
    <t>PERNEIRA DE RASPA COM VELCRO, CONFECCIONADA EM RASPA DE COURO BOVINO CURTIDO AO CROMO, COM REVESTIMENTO INTERNO EM GRAFATEX, COM FECHAMENTO DAS PERNAS E PEITO DOS PÉS COM VELCRO, É UTILIZADA PARA PROTEÇÃO DOS MEMBROS INFERIORES DO USUÁRIO CONTRA LESÕES POR AGENTES ABRASIVOS E ESCORIANTES.</t>
  </si>
  <si>
    <t>TELA DE PROTEÇÃO FACHADEIRA, VERDE MEDIDAS 3X10M</t>
  </si>
  <si>
    <t>RESPIRADOR PURIFICADOR DE AR DE MANUTENÇÃO REUTILIZÁVEL, PEÇA FACIAL INTEIRA, TIPO QUEIXO, CORPO DA PEÇA FABRICADO EM SILICONE COM VISOR DE MATERIAL TRANSPARENTE E DOTADO DE MASCARILHA INTERNA COM DUAS VÁLVULAS DE INALAÇÃO E DIAFRAGMA DE VOZ; POSSUIR UM DISPOSITIVO NA PARTE INFERIOR FRONTAL TIPO ROSCA PARA ENCAIXE DOS FILTROS MECÂNICOS E OS FILTROS QUÍMICOS E COMBINADOS DAS CLASSES 1 E 2, COM VÁLVULA DE INALAÇÃO; COM TIRANTE DE CABEÇA COM CINCO PONTOS DE FIXAÇÃO COM SUPORTE PARA CABEÇA E TIRA DE MATERIAL PLÁSTICO PARA DESCANSO DA PEÇA NO PESCOÇO DO USUÁRIO.</t>
  </si>
  <si>
    <t>CARTUCHO QUÍMICO COMPOSTO DE RECIPIENTE ALUMÍNIO CONTENDO CARVÃO ATIVADO TRATADO MODELO GMB, CLASSE 2 - VAPORES ORGÂNICOS, GASES ÁCIDOS, AMÔNIA E METILAMINA, PARA SER UTILIZADO COM O RESPIRADOR PURIFICADOR DE AR DE MANUTENÇÃO, REUTILIZÁVEL, PEÇA FACIAL INTEIRA, MODELO QUEIXO.</t>
  </si>
  <si>
    <t>RESPIRADOR PURIFICADOR DE AR DE SEGURANÇA TIPO PEÇA SEMIFACIAL, COMFO II. CONFECCIONADO EM BORRACHA OU SILICONE, COM DUAS ABERTURAS LATERAIS DE INALAÇÃO ONDE SÃO FIXADOS DOIS SUPORTES NOS QUAIS OS FILTROS SÃO POSICIONADOS, DOTADOS DE ROSCA INTERNA E TAMPA DE ENCAIXE TIPO PRESSÃO, UMA VÁLVULA DE EXALAÇÃO NA PARTE CENTRAL DO CORPO DA PEÇA E TAMPA DE ENCAIXE TIPO PRESSÃO, 04 (QUATRO) TIRANTES E UMA ARMAÇÃO METÁLICA CENTRAL (ARANHA) PARA AJUSTE DA CABEÇA E PESCOÇO.</t>
  </si>
  <si>
    <t>FILTRO QUÍMICO GMC CONTRA VAPORES ORGÂNICOS E GASES ÁCIDOS COMPATÍVEL COM O RESPIRADOR SEMI FACIAL COMFO II.</t>
  </si>
  <si>
    <t>MACA COM COLCHÃO</t>
  </si>
  <si>
    <t>GSAD</t>
  </si>
  <si>
    <t>DRONE MAWIK 3</t>
  </si>
  <si>
    <t>Porta Paletes em Aço - 2,5m de Altura x 2,3m de Comprimento x 1,00m de Profundidade - 2 Níveis, 1000kg por Nível</t>
  </si>
  <si>
    <t>EQUIPAMENTO DE ARMAZENAGEM</t>
  </si>
  <si>
    <t>Paleteira MANUAL</t>
  </si>
  <si>
    <t>EQUIPAMENTO DE MOVIMENTAÇÃO DE CARGA</t>
  </si>
  <si>
    <t>Empilhadeira elétrica 2T Elevação até 6 M</t>
  </si>
  <si>
    <t>EQUIPAMENTO DE MOVIMENTAÇÃO DE CARGA MOTORIZADO</t>
  </si>
  <si>
    <t>Carrinho com grade</t>
  </si>
  <si>
    <t>EQUIPAMENTO DE MOVIMENTAÇÃO INTERNA</t>
  </si>
  <si>
    <t>Carrinho plataforma em Aço 600kg</t>
  </si>
  <si>
    <t>Armario alto em aço</t>
  </si>
  <si>
    <t>Talha elétrica 2 T</t>
  </si>
  <si>
    <t>MATERIAIS DE CONSTRUÇÃO CIVIL EM OBRAS</t>
  </si>
  <si>
    <t>Paletes de Madeira</t>
  </si>
  <si>
    <t>MATERIAL DE ARMAZENAGEM</t>
  </si>
  <si>
    <t>Paletes de Plastico</t>
  </si>
  <si>
    <t>Escada articulada 20 Degraus</t>
  </si>
  <si>
    <t xml:space="preserve">Caminhão Graneleiro 3/4 </t>
  </si>
  <si>
    <t>VEÍCULO DE TRANSPORTE DE CARGA</t>
  </si>
  <si>
    <t>Roçadeira</t>
  </si>
  <si>
    <t>Parafusadeira</t>
  </si>
  <si>
    <t>BENS DE PEQUENO VALOR (USO OPERACIONAL)</t>
  </si>
  <si>
    <t>Motosserra</t>
  </si>
  <si>
    <t>Avental de PVC</t>
  </si>
  <si>
    <t>Luva Pigmentada</t>
  </si>
  <si>
    <t xml:space="preserve">EQUIPAMENTO DE PROTEÇÃO INDIVIDUAL </t>
  </si>
  <si>
    <t>Óculos transparente</t>
  </si>
  <si>
    <t>Peneira</t>
  </si>
  <si>
    <t>Protetor Auricular/Abafador de Ruído</t>
  </si>
  <si>
    <t>Enxada</t>
  </si>
  <si>
    <t>Gadanho</t>
  </si>
  <si>
    <t>Pá</t>
  </si>
  <si>
    <t>Papel A4</t>
  </si>
  <si>
    <t>Caneta Variada</t>
  </si>
  <si>
    <t>Pincel Permanente</t>
  </si>
  <si>
    <t>Pincel Marca texto Variádo</t>
  </si>
  <si>
    <t>DC</t>
  </si>
  <si>
    <t>CCRC</t>
  </si>
  <si>
    <t>JOELHO 45AÃ‚Â° SOLDAVEL DE 25 MM</t>
  </si>
  <si>
    <t>LAPISEIRA GRAFITE 0,9 MM</t>
  </si>
  <si>
    <t>CCRR</t>
  </si>
  <si>
    <t>GRAMPEADOR DE MESA MET. P/ 30 FOLHAS</t>
  </si>
  <si>
    <t>ESTILETE</t>
  </si>
  <si>
    <t>APARELHO AR CONDICIONADO TIPO SPLIT 12 .000BTU. MIDIA 12CR</t>
  </si>
  <si>
    <t>CCRF</t>
  </si>
  <si>
    <t>CARTUCHO DE TINTA 901XL COLOR</t>
  </si>
  <si>
    <t>CARTUCHO DE TINTA 901XL PRETO</t>
  </si>
  <si>
    <t>LUVA PVC LR 25 X 3/4</t>
  </si>
  <si>
    <t>AR CONDICIONADO 18.000 BTUS</t>
  </si>
  <si>
    <t>DOACOES, PATROCINIOS E PREMIAÇÕES</t>
  </si>
  <si>
    <t>REFRIGERADOR 342L</t>
  </si>
  <si>
    <t>CUSCUZ</t>
  </si>
  <si>
    <t>CADEIRA</t>
  </si>
  <si>
    <t>ASSENTO SANITARIO</t>
  </si>
  <si>
    <t>VENTILADOR</t>
  </si>
  <si>
    <t>CADEADO 50MM</t>
  </si>
  <si>
    <t>CAP 32MM</t>
  </si>
  <si>
    <t>CADEADO COMUM E-40 40MM</t>
  </si>
  <si>
    <t>COPO DESCARTAVEL 180ML</t>
  </si>
  <si>
    <t>CALCULADORA</t>
  </si>
  <si>
    <t>ARQUIVO</t>
  </si>
  <si>
    <t>BALDE DE PLASTICO</t>
  </si>
  <si>
    <t>CAP 25MM</t>
  </si>
  <si>
    <t>REGISTRO ESFERA PVC SOLDAVEL 20MM</t>
  </si>
  <si>
    <t>ARCO DE SERRA CB PLAST. VONDER</t>
  </si>
  <si>
    <t>CHUVEIRO CROMADO/PRETO 4</t>
  </si>
  <si>
    <t>ADAPTADOR; PVC; SOLDAVEL; 25MM</t>
  </si>
  <si>
    <t>CADEADO 30MM</t>
  </si>
  <si>
    <t>TONNER HP Q2612A 12A COMPATIVEL</t>
  </si>
  <si>
    <t>BARBANTE</t>
  </si>
  <si>
    <t>GRAMPO 26/6</t>
  </si>
  <si>
    <t>CANETA FABER CASTEL AZUL 32FC/AZ</t>
  </si>
  <si>
    <t>FARDO DE PAPEL TOALHA</t>
  </si>
  <si>
    <t>ANCINHO METALICO CURVO LEVE 2MM ESPE</t>
  </si>
  <si>
    <t>BROXA RETANGULAR</t>
  </si>
  <si>
    <t>ACOPLAMENTO ELASTICO</t>
  </si>
  <si>
    <t>FITA CREPE</t>
  </si>
  <si>
    <t>CARTUCHO DE TONER HP</t>
  </si>
  <si>
    <t>CAP SOLDAVEL LISO 20MM</t>
  </si>
  <si>
    <t>ALICATE AMPERIMETO</t>
  </si>
  <si>
    <t>CARRO DE MAO</t>
  </si>
  <si>
    <t>MOUSE</t>
  </si>
  <si>
    <t>CABO PARA ROLO</t>
  </si>
  <si>
    <t>CORRETIVO</t>
  </si>
  <si>
    <t>BOBINA PARA DISOPENSADOR</t>
  </si>
  <si>
    <t>ESPELHO</t>
  </si>
  <si>
    <t>PINCEL ATOMICO PILOTO</t>
  </si>
  <si>
    <t>CESTO P/ LIXO</t>
  </si>
  <si>
    <t>CABO USB 2.0</t>
  </si>
  <si>
    <t>AGUA MINERAL</t>
  </si>
  <si>
    <t>MINI TECLADO</t>
  </si>
  <si>
    <t>ALCOOL 500ML</t>
  </si>
  <si>
    <t>MICROONDAS</t>
  </si>
  <si>
    <t>AMENDOIM JAPONES</t>
  </si>
  <si>
    <t>PILHA PALITO</t>
  </si>
  <si>
    <t>BACIA COM CAIXA ACOPLADA</t>
  </si>
  <si>
    <t>PRENDEDOR DE PAPEL</t>
  </si>
  <si>
    <t>REAGENTE DPD CLORO LIVRE</t>
  </si>
  <si>
    <t>TORN P/COZINHA BICA RETA BR</t>
  </si>
  <si>
    <t>BUTIJAO DE GAS</t>
  </si>
  <si>
    <t>AGUA POTÁVEL</t>
  </si>
  <si>
    <t>VEJA LIMPEZA</t>
  </si>
  <si>
    <t>ENCOSTO DIRETOR</t>
  </si>
  <si>
    <t>APARELHO DE JANTAR</t>
  </si>
  <si>
    <t>DESCARGA</t>
  </si>
  <si>
    <t>MARCADOR</t>
  </si>
  <si>
    <t>APARELHO DE AR CONDICIONADO TIPO SPLIT CAPACIDADE 18.000 BTU"S 220V SELE A, TUBULACAO EM COBRE. SEM INSTATALACAO.</t>
  </si>
  <si>
    <t>APARELHO DE AR CONDICIONADOTIPO SPLIT CAPAC. DE 18.000 BTU'S 220 VOLTS SELOA/MARCA MODELO AGRATTO CCS18FIRA-02</t>
  </si>
  <si>
    <t>APARELHO DE AR CONDICIONADO TIPO SPLIT CAPACIDADE 9.000 BTUS 220 VOLTS, MARCA AGRATO, FABR. VENTISOL ECO 410</t>
  </si>
  <si>
    <t>ESTRUTURA BASE DE CADEIRA</t>
  </si>
  <si>
    <t>ESTRUTURA DE CADEIRA GIRATORIA</t>
  </si>
  <si>
    <t>APARELHO DE AR CONDICIONADO TIPO SPLIT CAPACIDADE 18.000 BTU, 220 VOLTS SELO A</t>
  </si>
  <si>
    <t>APARELHO DE AR CONDICIONADO TIPO SPLIT MODELO ECO R410 CAPACIDADE 12.000 BTU,</t>
  </si>
  <si>
    <t>HEADSET P2 VULCAO 01409 BRIGHT</t>
  </si>
  <si>
    <t>DISPENSER PARA ALCOOL E SABONETE COM RESERVATÓRIO</t>
  </si>
  <si>
    <t>SUPORTE PARA TV</t>
  </si>
  <si>
    <t>BANNER</t>
  </si>
  <si>
    <t>BICICLETA FLASH AZUL ARO 26</t>
  </si>
  <si>
    <t>DISPENSER PAPEL TOALHA</t>
  </si>
  <si>
    <t>ADOBE CREATIVE CLOUD 2020</t>
  </si>
  <si>
    <t>BEBEDOURO INDUSTRIAL INOX 200 LITROS 220 V 4 TORNEIRAS</t>
  </si>
  <si>
    <t>TENDA GAZEBO</t>
  </si>
  <si>
    <t>MEMORIA GAMER HUSKY</t>
  </si>
  <si>
    <t>DESCANSO DE PÉS</t>
  </si>
  <si>
    <t>CAIXA DE PROTEÇÃO PARA HIDRÔMETRO DE PASSEIO EM POLIPROPILENO(PP) COM ADITIVO ANTI UV(ULTRAVIOLETA), NA COR PRETA, APROP</t>
  </si>
  <si>
    <t>CADEIRA FIXA TECIDO</t>
  </si>
  <si>
    <t>CADEIRA DIRETOR EM S, COM BRAÇO FIXO E COM PRANCHETA ESCAMOTÁVEL E GRADE PORTA LIVROS. O REVESTIMENTO DO ASSENTO E ENCOS</t>
  </si>
  <si>
    <t>HD EXTERNO 4TB SEGATE 2.5 USB 3.0STEA4000400</t>
  </si>
  <si>
    <t>APRESENTADOR DE SLIDES</t>
  </si>
  <si>
    <t>MICROSOFT OFFICE 2019 PROFESSIONAL</t>
  </si>
  <si>
    <t>LICENÇA DE USO DE SOFTWARE POR PERÍODO DETERMINADO</t>
  </si>
  <si>
    <t>MICROSOFT PROJECT 2019 PROFESSIONAL</t>
  </si>
  <si>
    <t>MICROSOFT WINDOWS 10 PRO + OFFICE 2016 PEO</t>
  </si>
  <si>
    <t>PILHA ALCALINA AA C/6</t>
  </si>
  <si>
    <t>HEADSET HARVE MULTILASER</t>
  </si>
  <si>
    <t>SMART TV LED 50 POLEGADAS</t>
  </si>
  <si>
    <t>MARCADOR INDUSTRIAL</t>
  </si>
  <si>
    <t>LUVA DE CORRER 25 MM</t>
  </si>
  <si>
    <t>LUVA DE CORRER 20 MM</t>
  </si>
  <si>
    <t>CADEIRA ESCRITÓRIO PT BF088 CASA OK</t>
  </si>
  <si>
    <t>CADEIRA ESCRITÓRIO GIRATÓRIA TELA DIR COM RODÍZIO PRETO</t>
  </si>
  <si>
    <t>MEMÓRIA DDR4 4GB</t>
  </si>
  <si>
    <t>BOMBOM DE CHOCOLATE SERENATA DE AMOR</t>
  </si>
  <si>
    <t>REGISTRO ESFERA PVC SOLDÁVEL 25MM</t>
  </si>
  <si>
    <t>LÂMPADA TUBO LEDT-08 18W 6500K 120CM</t>
  </si>
  <si>
    <t>PILHA ALCALINA AAA4 4UND</t>
  </si>
  <si>
    <t>ÁLCOOL EM GEL 70% 5L</t>
  </si>
  <si>
    <t>PÁ DE BICO EST. COM CABO 71CM</t>
  </si>
  <si>
    <t>CAL (PINTURA) 5 KG</t>
  </si>
  <si>
    <t>TECLADO OFFICE COM FIO COMPACTO CONEXÃO USB</t>
  </si>
  <si>
    <t>BISCOITO MÃE TERRA CRACKER</t>
  </si>
  <si>
    <t>BISCOITO MARILAN LEV CACAU E CEREAIS</t>
  </si>
  <si>
    <t>BISCOITO RANCHEIRO ROSCA COCO</t>
  </si>
  <si>
    <t>BISCOITO JASMINE COOK INT AVELÃ</t>
  </si>
  <si>
    <t>BISCOITO JASMINE ROSQ AVEIA /MEL</t>
  </si>
  <si>
    <t>COLA INSTANTÂNEA TECBOND</t>
  </si>
  <si>
    <t>TECLADO USB BRIGHT 0014 PRETO</t>
  </si>
  <si>
    <t>AÇÚCAR DEMERARA 1KG</t>
  </si>
  <si>
    <t>LIXEIRA 6,5L PEDAL BRANCO FECHADO</t>
  </si>
  <si>
    <t>DETERGENTE LÍQUIDO 500ML</t>
  </si>
  <si>
    <t>CADEIRA EVENTO TORRES 90X44 CM BCA</t>
  </si>
  <si>
    <t>FILTRO DE LINHA 4 TOMADAS</t>
  </si>
  <si>
    <t>CARRINHO P/ ARMAZEM A-200 LYNUS 200KG</t>
  </si>
  <si>
    <t>FECHADURA INOX PREMIUM EXT</t>
  </si>
  <si>
    <t>CAP SOLDÁVEL 40MM</t>
  </si>
  <si>
    <t>ROLO DE LÃ 23CM SEM CABO</t>
  </si>
  <si>
    <t>PAPEL HIGIÊNICO TOALHA DUPLA</t>
  </si>
  <si>
    <t>SACO DE LIXO 50L</t>
  </si>
  <si>
    <t>SACO DE LIXO 30L</t>
  </si>
  <si>
    <t>MONITOR 21.5 LED HDMI PRETO</t>
  </si>
  <si>
    <t>CAVADEIRA ARTICULADA C/ CABO 110CM</t>
  </si>
  <si>
    <t>ESPUMA LIMPA TUDO 400ML</t>
  </si>
  <si>
    <t>LAMINA P/ ESTILETE 18MM</t>
  </si>
  <si>
    <t>RODO DUPLO 40CM</t>
  </si>
  <si>
    <t>ANTICORROSIVO DESENGRIPANTE SPRAY 300ML</t>
  </si>
  <si>
    <t>BLOCO DE RECADO BRW 38X51</t>
  </si>
  <si>
    <t>SACO DE RAFIA CONSTRUÇÃO 50KG</t>
  </si>
  <si>
    <t>ÁLCOOL LÍQUIDO 46% 1L</t>
  </si>
  <si>
    <t>SACO DE LIXO 100L</t>
  </si>
  <si>
    <t>MEMÓRIA KINGSTON DDR4 4GB</t>
  </si>
  <si>
    <t>CARTUCHO DE TONER COMPATÍVEL C/ 435A/436A/285A/278A 2K</t>
  </si>
  <si>
    <t>JOELHO LR 25MM</t>
  </si>
  <si>
    <t>CARTUCHO DE TONER COMPATÍVEL D111/M2020/ML2070</t>
  </si>
  <si>
    <t>CARTUCHO DE TONER COMPATÍVEL C/ ML2165 MLT101 1.5K</t>
  </si>
  <si>
    <t>ESCOVA SANITÁRIA C/ ESTOJO</t>
  </si>
  <si>
    <t>TINTA AZUL CÉU 3,5L</t>
  </si>
  <si>
    <t>HD 480GB SSD A400 KINGSTON</t>
  </si>
  <si>
    <t>CABO ADAPTADOR HDMI</t>
  </si>
  <si>
    <t>MONITOR 19,5 LED HQ HDMI VGA</t>
  </si>
  <si>
    <t>NOBREAK 2500KVA</t>
  </si>
  <si>
    <t>TECLADO LENOVO</t>
  </si>
  <si>
    <t>MOUSE LENOVO</t>
  </si>
  <si>
    <t>ADAPTADOR USB PARA SD-CARD</t>
  </si>
  <si>
    <t>VASSOURA GARI 28 CM C/CABO 1,4M</t>
  </si>
  <si>
    <t>ESTANTE MODULARE 5 PRATELEIRAS</t>
  </si>
  <si>
    <t>COLA BASTÃO</t>
  </si>
  <si>
    <t>PANO MULTIUSO SCOTT 58X1</t>
  </si>
  <si>
    <t>MOUSE COM FIO 1200 DPI</t>
  </si>
  <si>
    <t>VASSOURA CEPA PÊLO MACIO 50 CM CABO 1,4M MAX</t>
  </si>
  <si>
    <t>MEMÓRIA DDR5 5200 16GB</t>
  </si>
  <si>
    <t>KIT MANUTENÇÃO UNIDADE LASER HP</t>
  </si>
  <si>
    <t>APARELHO DE AR CONDICIONADO SPLIT, CAPACIDADE 18.000 BTU'S, AGRATTO SPLIT HIGH WALL ONE</t>
  </si>
  <si>
    <t>MESA MONOBLOCO 70X70 CM BCA DR FABRICAÇÃO</t>
  </si>
  <si>
    <t>MANGUEIRA JARDIM 25M</t>
  </si>
  <si>
    <t>TAPETE DE VINIL BR 40X60</t>
  </si>
  <si>
    <t>LIXEIRA 15LT C/ PEDAL PLÁSTICO</t>
  </si>
  <si>
    <t>LIXEIRA 25LT C/ PEDAL PLÁSTICO</t>
  </si>
  <si>
    <t>FORNO MICROONDAS 34L 220V</t>
  </si>
  <si>
    <t>CAFÉ EM CAPSULA</t>
  </si>
  <si>
    <t>QUADRO CORTIÇA, BORDA EM ALUMÍNIO MED.: 0,60X0,40M</t>
  </si>
  <si>
    <t>HD PARA DESKTOP 1TB 7200RPM SATA III</t>
  </si>
  <si>
    <t>MEMÓRIA DDR4 8GB 2133</t>
  </si>
  <si>
    <t>ÀGUA SANITÁRIA 1L</t>
  </si>
  <si>
    <t>COPO DESCARTÁVEL 150MLX100</t>
  </si>
  <si>
    <t>MEMORIA RAM CORSAIR VENGEANCE LPX, 32GB (2X16GB) 3200MHZ DDR4</t>
  </si>
  <si>
    <t>GABINETE PADRÃO BG-2001 C/ FONTE PRETO</t>
  </si>
  <si>
    <t>FIO ROÇADEIRA QUADRADO</t>
  </si>
  <si>
    <t>MEMÓRIA RAM CORSAIR VENGEANCE LPX 8GB 3200MHZ DDR4 CL16</t>
  </si>
  <si>
    <t>GRAMPEADOR 24/6 26/6</t>
  </si>
  <si>
    <t>HIDROMETRO TAQUIMÉTRICO, TIPO UNIJATO, VAZÃO MÁXIMA DE 1,5M³/H X 1/2", VISOR PLANO, COMPRIMENTO 115 MM.</t>
  </si>
  <si>
    <t>HIDRÔMETROS</t>
  </si>
  <si>
    <t>MATERAIS DE INVESTIMENTO</t>
  </si>
  <si>
    <t>MESA ESTAÇÃO DE TRABALHO EM L 140 X 140 CM</t>
  </si>
  <si>
    <t>TIPO DE CONTRATAÇÃO</t>
  </si>
  <si>
    <t>OBJETO</t>
  </si>
  <si>
    <t>PREVISÃO DE INICIO DA NOVA CONTRATAÇÃO</t>
  </si>
  <si>
    <t>ESTIMATIVA DE VALOR</t>
  </si>
  <si>
    <t>DOTAÇÃO ORÇAMENTÁRIA PREVISTA PARA 2026</t>
  </si>
  <si>
    <t>CONTRATO</t>
  </si>
  <si>
    <t>EMPRESA</t>
  </si>
  <si>
    <t>MANUTENÇÃO DE REDES, RAMAIS PREDIAIS E PEQUENAS AMPLIAÇÕES DE REDES DO SISTEMA DE ÁGUA .</t>
  </si>
  <si>
    <t>Alto</t>
  </si>
  <si>
    <t>055/2024</t>
  </si>
  <si>
    <t xml:space="preserve">QUÂNTICA X CONSTRUÇÕES E COMÉRCIO LTDA </t>
  </si>
  <si>
    <t>MANUTENÇÃO DE REDES, RAMAIS PREDIAIS E PEQUENAS AMPLIAÇÕES DE REDES DO SISTEMA DE ÁGUA  E ESGOTO</t>
  </si>
  <si>
    <t>050/2024</t>
  </si>
  <si>
    <t xml:space="preserve">PONTO FORTE CONSTRUÇÕES E EMPREENDIMENTOS </t>
  </si>
  <si>
    <t>Execução de serviços de manutenção para redes, rmamais prediais e pequenas ampliações para o sistema de abastecimento de água do município de São Luis  - MA (Região do Vinhais e adjascencias)</t>
  </si>
  <si>
    <t>052/2024</t>
  </si>
  <si>
    <t>Execução dos serviços de manutenções de redes, ramais prediais e pequenas ampliações para o sistema de abastecimento de água na região do Anjo da Guarda e adjacências em São Luís do Maranhão.</t>
  </si>
  <si>
    <t>053/2024</t>
  </si>
  <si>
    <t>Execução dos serviços de manutenções de redes, ramais prediais e pequenas ampliações para o sistema de abastecimento de água na região do CENTRO e adjacências em São Luís do Maranhão.</t>
  </si>
  <si>
    <t>069/2024</t>
  </si>
  <si>
    <t>Execução dos serviços de manutenções de redes, ramais prediais e pequenas ampliações para o sistema de abastecimento de água na região do CIDADE OPERARIA e adjacências em São Luís do Maranhão.</t>
  </si>
  <si>
    <t xml:space="preserve">Execução de serviços específico de engenharia e hidrogeologia para manuntenção e reabilitação de poços tubulares profundos em IMPERATRIZ/MA  </t>
  </si>
  <si>
    <t>089/2023</t>
  </si>
  <si>
    <t>SÓ POÇOS E CONSTRUÇÕES EIRELI (IMPERATRIZ)</t>
  </si>
  <si>
    <t xml:space="preserve">Serviços comuns de engenharia e hidrogeologia para manutenção e
reabilitação de poços tubulares profundos operados pela CAEMA.
</t>
  </si>
  <si>
    <t>021/2023</t>
  </si>
  <si>
    <t>PESE PERFURAÇÕES DE POÇOS E SERVIÇOS LTDA</t>
  </si>
  <si>
    <t>Contratação de empresa para prestação de serviços comuns de engenharia de manutenção de redes  coletoras de esgotos da CAEMA da cidade de São Luís MA- Lote 01</t>
  </si>
  <si>
    <t>061/2021</t>
  </si>
  <si>
    <t>PONTO FORTE CONSTRUÇÕES LTDA</t>
  </si>
  <si>
    <t>Prestação dos serviços de manutenção de redes coletoras de esgoto do interior da Companhia de Saneamento Ambiental do Maranhão – CAEMA. LOTE 01 - Barreirinhas – Sistema Público e Tutóia –Sistema Isolado</t>
  </si>
  <si>
    <t>049/2024</t>
  </si>
  <si>
    <t>Prestação dos serviços de manutenção de redes coletoras de esgoto do interior da Companhia de Saneamento Ambiental do Maranhão – CAEMA. LOTE 02 – Itapecuru, Chapadinha, Vargem Grande e Coroatá.</t>
  </si>
  <si>
    <t>Prestação dos serviços de manutenção de redes coletoras de esgoto do interior da Companhia de Saneamento Ambiental do Maranhão – CAEMA. LOTE 03 – BARRA DO CORDA</t>
  </si>
  <si>
    <t>051/2024</t>
  </si>
  <si>
    <t>Contratação de empresa especializada para execução de serviços de manutenção de redes, ramais prediais e pequenas ampliações de redes dos sistemas de abastecimento de água de São Luís/MA, da ÁREA DO VINHAIS. LOTE 01</t>
  </si>
  <si>
    <t>2.850.00,00</t>
  </si>
  <si>
    <t>Contratação de empresa especializada para execução de serviços de manutenção de redes, ramais prediais e pequenas ampliações de redes dos sistemas de abastecimento de água de São Luís/MA, do ANJO DA GUARDA. LOTE 04</t>
  </si>
  <si>
    <t>Contratação de empresa especializada para execução de serviços de manutenção de redes, ramais prediais e pequenas ampliações de redes dos sistemas de abastecimento de água de São Luis/MA, do BAIRRO COHAB, LOTE 02.</t>
  </si>
  <si>
    <t>054/2024</t>
  </si>
  <si>
    <t>Contratação de empresa especializada para execução de serviços de manutenção de redes, ramais prediais e pequenas ampliações de redes dos sistemas de abastecimento de Agua de Sao Luis/MA, da CIDADE OPERARIA, LOTE 03.</t>
  </si>
  <si>
    <t>Serviço de dosagem de cloro gasoso liquefeito, com fornecimento do produto, que deverá ser fornecido em cilindros com capacidade de 68 kg e 900 kg. Além disso, CONTRATADA será responsável pela logística de distribuição do produto entre as 40 instalações da companhia distribuídas no Estado, bem como pela manutenção (corretiva) dos sistemas de dosagem</t>
  </si>
  <si>
    <t>033/2025</t>
  </si>
  <si>
    <t xml:space="preserve">SABARÁ QUIMICOS E INGREDIENTES </t>
  </si>
  <si>
    <t>Execução de serviços com fornecimento de materiais e componentes eletroeletrônicos para a implantação de sistema de telemetria e telecomando em unidades operacionais da CAEMA em São Luís</t>
  </si>
  <si>
    <t>055/2020</t>
  </si>
  <si>
    <t>SEABRA AUTOMAÇÃO INDUSTRIAL EIRELI</t>
  </si>
  <si>
    <t>Contratação de empresa para a prestação de serviços comuns de engenharia de manutenção de redes coletoras de esgoto da Companhia de Saneamento Ambiental do Maranhão — CAEMA, na cidade de Imperatriz/MA, LOTE 02</t>
  </si>
  <si>
    <t>065/2024</t>
  </si>
  <si>
    <t xml:space="preserve">3D SERVIÇOS AMBIENTAIS LTDA </t>
  </si>
  <si>
    <t>Fornecimento com entrega de 710.000 kg (setecentos e dez mil quilos) de CAL HIDRATADA (hidróxido de cálcio) para uso como auxiliar de coagulação no tratamento de água, destinada ao consumo humano, dos Sistemas de Abastecimento de Água de São Luís e do Interior do Estado do Maranhão, operados pela Companhia de Saneamento Ambiental do Maranhão – CAEMA.</t>
  </si>
  <si>
    <t>068/2024</t>
  </si>
  <si>
    <t xml:space="preserve">SANEMAR LTDA </t>
  </si>
  <si>
    <t>Contratação de empresa especializada para execução de serviços de manutenção de redes, ramais prediais e pequenas ampliações de redes dos sistemas de abastecimento de água da região do Centro de São Luís/MA.</t>
  </si>
  <si>
    <t>Serviços técnicos eventuais SOB DEMANDA de manutenção elétrica corretiva em subestações aéreas até 300 kVA, entrada de energia, ramal de ligação de Subestações Abrigadas e em Redes de Distribuição de Energia Elétrica até 15 kV, instaladas nas diversas Unidades Operacionais da CAEMA</t>
  </si>
  <si>
    <t>093/2022</t>
  </si>
  <si>
    <t>AP ENGETECH LTDA</t>
  </si>
  <si>
    <t>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01, CENTRO – SÃO LUÍS/MA</t>
  </si>
  <si>
    <t>079/2024</t>
  </si>
  <si>
    <t xml:space="preserve">DESTACK SERVIÇOS AMBIENTAIS </t>
  </si>
  <si>
    <t>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02 - DISTRITO VINHAIS.</t>
  </si>
  <si>
    <t>080/2024</t>
  </si>
  <si>
    <t>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03, DISTRITO COHAB.</t>
  </si>
  <si>
    <t>081/2024</t>
  </si>
  <si>
    <t>Prestação de serviços contínuos de desobstrução e limpeza de redes coletoras, ramais prediais, interceptores, emissários por gravidade, poços de visita,caixas de inspeção, estações elevatórias e estações de tratamento de esgotos dos Sistemas de Esgotamento Sanitário operados pela CAEMA, LOTE 05, REGIÃO METROPOLITANA OCNE.</t>
  </si>
  <si>
    <t>082/2024</t>
  </si>
  <si>
    <t>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06, GERÊNCIA DE BARREIRINHAS/MA.</t>
  </si>
  <si>
    <t>083/2024</t>
  </si>
  <si>
    <t>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04, DISTRITO CIDADE OPERÁRIA/MA</t>
  </si>
  <si>
    <t>084/2024</t>
  </si>
  <si>
    <t xml:space="preserve">GOLDMAN SOLUÇÕES EM SANEAMENTO LTDA </t>
  </si>
  <si>
    <t>Contratação de empresa especializada para execução de serviços de coleta/retirada, transporte e destinação de lodo e materiais provenientes das estações de tratamento de esgoto – ETE’s – de São Luís/MA operadas pela Companhia de Saneamento Ambiental do Maranhão (CAEMA)</t>
  </si>
  <si>
    <t>010/2022</t>
  </si>
  <si>
    <t>CIANO SOLUÇÕES AMBIENTAIS</t>
  </si>
  <si>
    <t>Contratação de empresa especializada para execução de serviços de manutenção de redes, ramais prediais e pequenas ampliações de redes dos Sistemas de Abastecimento de Água da cidade de Imperatriz-MA.</t>
  </si>
  <si>
    <t>012/2025</t>
  </si>
  <si>
    <t>ORIONSISTEM EQUIPAMENTOS INDUSTRIAIS LTDA</t>
  </si>
  <si>
    <t xml:space="preserve"> O presente Contrato tem por objeto a contratação de serviços contínuos de manutenção preventiva e corretiva
de conjuntos motobombas (CMB) de esgoto, tipo submersíveis, trifásicos, 380V, 60Hz, com fornecimento de peças
e materiais, conforme especificações, quantitativos e condições do Termo de Referência, Anexo I do Edital. (LOTE
01 – SÃO LUÍS).</t>
  </si>
  <si>
    <t>014/2025</t>
  </si>
  <si>
    <t>N DA P SANTOS AMORIM AUTO PEÇAS</t>
  </si>
  <si>
    <t>O presente Contrato tem por objeto a contratação de serviços contínuos de manutenção preventiva e corretiva
de conjuntos motobombas (CMB) de esgoto, tipo submersíveis, trifásicos, 380V, 60Hz, com fornecimento de peças
e materiais, conforme especificações, quantitativos e condições do Termo de Referência, Anexo I do Edital. (Lote
02 - ITAPECURU MIRIM, BARREIRINHAS, CHAPADINHA E COROATÁ)</t>
  </si>
  <si>
    <t>015/2025</t>
  </si>
  <si>
    <t>O presente Contrato tem por objeto a contratação de serviços contínuos de manutenção preventiva e corretiva de conjuntos motobombas (CMB) de esgoto, tipo submersíveis, trifásicos, 380V, 60Hz, com fornecimento de peças e materiais, conforme especificações, quantitativos e condições do Termo de Referência, Anexo I do Edital. (LOTE 03 – IMPERATRIZ).</t>
  </si>
  <si>
    <t>016/2025</t>
  </si>
  <si>
    <t>Prestação de serviços de coleta, acondicionamento, transporte e ensaios físicos, químicos e microbiológicos dos afluentes e efluentes das estações de tratamento de esgotos de São Luís e Interior/MA</t>
  </si>
  <si>
    <t>076/2024</t>
  </si>
  <si>
    <t>CENTRO DE BIOLOGIA EXPERIMENTAL OCEANUS</t>
  </si>
  <si>
    <t>Serviços específicos de engenharia e hidrogeologia para manutenção e reabilitação de poços tubulares profundos operados pela CAEMA em Imperatriz/MA</t>
  </si>
  <si>
    <t>024/2023</t>
  </si>
  <si>
    <t>SÓ POÇOS CONSTRUÇÕES EIRELI</t>
  </si>
  <si>
    <t>Serviços de desobstrução e limpeza de redes coletoras, ramais prediais, interceptores, emissários por gravidade, poços de visita, caixas de inspeção, estações elevatórias e estações de tratamento de esgotos, com utilização de equipamentos específicos, motoristas operadores, ajudantes de apoio e combustive!, além dos serviços de video inspeção por televisionamento, inspeção e relatório de diagnóstico e prognóstico de redes coletoras, do Sistema de Esgotamento Sanitário da cidade de Imperatriz/MA</t>
  </si>
  <si>
    <t>015/2023</t>
  </si>
  <si>
    <t>DESTACK SERVIÇOS AMBIENTAIS</t>
  </si>
  <si>
    <t>Contratação de empresa especializada para contratação de serviços de manutenção preventiva e corretiva em anéis de distribuição, adutoras e subadutoras de água, incluindo as conexões, válvulas e aparelhos de ferro fundido, aço carbono e PVC DeFoFo</t>
  </si>
  <si>
    <t>027/2023</t>
  </si>
  <si>
    <t>MARQUES CONSTRUÇÕES E COMÉRCIO LTDA</t>
  </si>
  <si>
    <t>prestação de serviços de dosagem de cloro gasoso liquefeito, com o fornecimento do produto em cilindros de 68 kg e 900 kg, conforme as necessidades da contratante.</t>
  </si>
  <si>
    <t>045/2025</t>
  </si>
  <si>
    <t>Prestação de serviços comuns de engenharia de manutenção de redes e ramais prediais,pequenas ampliações de redes,instalação sibstituição de ramais nos Sistemas de Abastecimento de Água do interior - Gerência de Negócios de Itapecuru Mirim /MA- Lote 02</t>
  </si>
  <si>
    <t>026/2021</t>
  </si>
  <si>
    <t>Prestação de serviços comuns de engenharia demanutenção de redes e ramais prediais,pequenas ampliações de redes,instalação sibstituição de ramais nos Sistemas de Abastecimento de Água do interior - Gerência de Negócios de Chapadinha /MA- Lote 02</t>
  </si>
  <si>
    <t>025/2021</t>
  </si>
  <si>
    <t xml:space="preserve">Prestação de serviços de locação de caminhão equipado com tanque, para transporte e fornecimento de água potável aos clientes da CAEMA em São Luís MA </t>
  </si>
  <si>
    <t>033/2022</t>
  </si>
  <si>
    <t>Prestação de serviços comuns de engenharia demanutenção de redes e ramais prediais,pequenas ampliações de redes,instalação sibstituição de ramais nos Sistemas de Abastecimento de Água do interior - Gerência de Negócios de Coroatá /MA- Lote 02</t>
  </si>
  <si>
    <t>027/2021</t>
  </si>
  <si>
    <t>Prestação de serviços de lcoação de caminhão equipado com tanque, para o transporte e fornecimento de água potável aos clientes da Companhia de Saneamento Ambiental do Maranhão - CAEMA, Lote 01 Gerência de Negócios de Imperatriz</t>
  </si>
  <si>
    <t>044/2022</t>
  </si>
  <si>
    <t>3D SERVIÇOS AMBIENTAIS LTDA.</t>
  </si>
  <si>
    <t>Prestação de serviços de lcoação de caminhão equipado com tanque, para o transporte e fornecimento de água potável aos clientes da Companhia de Saneamento Ambiental do Maranhão - CAEMA, Lote 02 Gerência de Negócios de PEDREIRAS, SÃO JOÃO DOS PATOS, PRESIDENTE DUTRA</t>
  </si>
  <si>
    <t>045/2022</t>
  </si>
  <si>
    <t>Prestação de serviços comuns de engenharia demanutenção de redes e ramais prediais,pequenas ampliações de redes,instalação ubstituição de ramais nos Sistemas de Abastecimento de Água do interior - Gerência de Negócios de São João dos Patos Lote 03</t>
  </si>
  <si>
    <t>030/2021</t>
  </si>
  <si>
    <t>QUANTICA X CONSTRUÇÕES E COMÉRCIO LTDA</t>
  </si>
  <si>
    <t>Prestação de serviços comuns de engenharia demanutenção de redes e ramais prediais,pequenas ampliações de redes,instalação ubstituição de ramais nos Sistemas de Abastecimento de Água do interior - Gerência de Negócios de Pedreiras Lote 03</t>
  </si>
  <si>
    <t>028/2021</t>
  </si>
  <si>
    <t>Prestação de serviços comuns de engenharia demanutenção de redes e ramais prediais,pequenas ampliações de redes,instalação ubstituição de ramais nos Sistemas de Abastecimento de Água do interior - Gerência de Negócios de Presidente Dutra Lote 03</t>
  </si>
  <si>
    <t>029/2021</t>
  </si>
  <si>
    <t>Serviços de engenharia de  manutenção de redes e ramais prediais, pequenas ampliações de redes, instalação e  substituição de ramais nos sistemas de Abastecimento de Água do Interior - Gerências  de Negócio de Santa Inês/MA, LOTE 01</t>
  </si>
  <si>
    <t>055/2022</t>
  </si>
  <si>
    <t>Serviços de engenharia para manutenção de redes e ramais prediais, pequenas ampliações de redes, instalação e substituição de ramais nos sistemas de Abastecimento de Água do Interior - Gerência de Negócios de Pinheiro/MA, LOTE 01, os serviços serão prestados nas condições estabelecidas no Edital referido no preâmbulo e seus anexos que se encontram no processo e na proposta vencedora, independentemente de transcrição.</t>
  </si>
  <si>
    <t>053/2022</t>
  </si>
  <si>
    <t>044/2025</t>
  </si>
  <si>
    <t>CAP - PROTENSÃO E CONSTRUÇÕES LTDA</t>
  </si>
  <si>
    <t>010/2025</t>
  </si>
  <si>
    <t>HIDREL ENGENHARIA LTDA</t>
  </si>
  <si>
    <t>070/2024</t>
  </si>
  <si>
    <t xml:space="preserve">BATALHA CONSTRUÇÃO LTDA </t>
  </si>
  <si>
    <t>042/2025</t>
  </si>
  <si>
    <t>TPF ENGENHARIA LTDA</t>
  </si>
  <si>
    <t>017/2025</t>
  </si>
  <si>
    <t>PALMARES CONSTRUÇÕES LTDA</t>
  </si>
  <si>
    <t>065/2025</t>
  </si>
  <si>
    <t>018/2023</t>
  </si>
  <si>
    <t>040/2025</t>
  </si>
  <si>
    <t>081/2023</t>
  </si>
  <si>
    <t>QUALITECH ENGENHARIA LTDA</t>
  </si>
  <si>
    <t>049/2025</t>
  </si>
  <si>
    <t>018/2025</t>
  </si>
  <si>
    <t>010/2024</t>
  </si>
  <si>
    <t>045/2024</t>
  </si>
  <si>
    <t xml:space="preserve">MOBICON CONSTRUTORA LTDA </t>
  </si>
  <si>
    <t>024/2022</t>
  </si>
  <si>
    <t>MAPDATA TECNOLOGIA INFORMÁTICA E COMÉRCIO</t>
  </si>
  <si>
    <t>067/2025</t>
  </si>
  <si>
    <t>061/2025</t>
  </si>
  <si>
    <t>066/2025</t>
  </si>
  <si>
    <t>064/2025</t>
  </si>
  <si>
    <t>009/2025</t>
  </si>
  <si>
    <t>005/2023</t>
  </si>
  <si>
    <t>MPA CONSTRUÇÕES E PARTICIPAÇÕES LTDA</t>
  </si>
  <si>
    <t>013/2024</t>
  </si>
  <si>
    <t>095/2022</t>
  </si>
  <si>
    <t>MOBICON CONSTRUTORA LTDA</t>
  </si>
  <si>
    <t>016/2024</t>
  </si>
  <si>
    <t xml:space="preserve">682 SOLUÇÕES EM TECNOLOGIA DA INFORMAÇÃO LTDA </t>
  </si>
  <si>
    <t>008/2024</t>
  </si>
  <si>
    <t>002/2025</t>
  </si>
  <si>
    <t>063/2024</t>
  </si>
  <si>
    <t xml:space="preserve">OMNIA CONSTRUÇÕES E COMÉRCIO LTDA </t>
  </si>
  <si>
    <t>064/2024</t>
  </si>
  <si>
    <t>007/2024</t>
  </si>
  <si>
    <t>O presente Contrato tem por objeto a contratação de empresa especializada em recuperação de reservatórios, recuperação de ETAS e execução de serviços complementares visando atender à gerência de negócios de Imperatriz, gerência de negócios de Pedreiras, gerência de negócios de presidente Dutra, gerência de negócios de Colinas e gerência de Barreirinhas.</t>
  </si>
  <si>
    <t>Perfuração de 01 (UM) poço tubular profundo, no Município de Sucupira do Norte/MA</t>
  </si>
  <si>
    <t xml:space="preserve">A perfuração de um poço tubular profundo na Comunidade Sarney Costa, na cidade de São Luís-MA. </t>
  </si>
  <si>
    <t>Contratação de empresa especializada para ELABORAÇÃO DE ESTUDOS DE CONCEPÇÃO, PROJETOS BÁSICO E EXECUTIVO PARA IMPLANTAÇÃO DE DESARENADOR (CAIXA DE AREIA) TIPO CANAL EM CONCRETO, FLUXO HORIZONTAL, DESTINADO A ATENDER A ESTAÇÃO ELEVATÓRIA DE ESGOTOS (EEE) PIMENTA (LOTE 1) E A ESTAÇÃO DE TRATAMENTO DE ESGOTOS (ETE) VINHAIS (LOTE 2).</t>
  </si>
  <si>
    <t>O objeto do presente Termo de Contrato é a perfuração de 01 (um) poço tubular, no Município de Conceição do Lago Acú/MA</t>
  </si>
  <si>
    <t>Execução dos serviços específicos de engenharia e hidrogeologia, para perfuração de 01 (um) poço tubular profundo no bairro Bom Jesus, do Sistema de Abastecimento do Município de São Luís/MA.</t>
  </si>
  <si>
    <t xml:space="preserve">Serviços comuns de engenharia e hidrogeologia para manutenção e reabilitação de poços tubulares profundos operados pela CAEMA. </t>
  </si>
  <si>
    <t>Perfuração de 01 (um) poço tubular profundo, no município de Paraibano/MA.</t>
  </si>
  <si>
    <t>Execução de obras e serviço de conclusão de implementação e ampliação do Sistema de esgotamento de Sanitário de São Luís MA Etapa 1 - Sistema Vinhais (PAC1)</t>
  </si>
  <si>
    <t>perfuração de 01 (um) poço tubular, no Município de Coroatá/MA</t>
  </si>
  <si>
    <t>Perfuração de 01 (um) poço tubular profundo, no município de Fortuna/MA: 6`` x 250m</t>
  </si>
  <si>
    <t xml:space="preserve">Execução dos serviços de perfuração de 01 (um) poço tubular profundo, no município de Chapadinha/MA: (LOTE 2) 8`` X 150 M. </t>
  </si>
  <si>
    <t>Contratação de empresa de engenharia para execução do saldo remanescente das obras de implantação da 2ª etapa do sistema de esgotamento sanitário de Itapecuru-Mirim/MA, rede coletora, ligações prediais e estações elevatórias condicionantes.</t>
  </si>
  <si>
    <t>Aquisição de licenças (assinaturas) de uso de softwares autodesck, versão 2022 ou superior com transferência de conhecimento tecnologico,para implantação da metodologia BIM</t>
  </si>
  <si>
    <t>Execução dos serviços específicos de engenharia e hidrogeologia, para perfuração de 01 (um) poço tubular profundo no Sistema de Abastecimento do Município de Açailândia/MA, pertencente à Gerência de Imperatriz/MA (Lote 04)</t>
  </si>
  <si>
    <t>Perfuração de 01 (um) poço tubular, no Município de Olho D’Água das Cunhãs/MA</t>
  </si>
  <si>
    <t>Prestação de serviços comuns de engenharia e hidrogeologia em 03 (três) poços no município de Esperantinópolis e 03 (três) poços no município de Poção de Pedras.</t>
  </si>
  <si>
    <t>O objeto do presente Termo de Contrato é a perfuração de 01 (um) poço tubular profundo, no Município de Zé Doca/MA: 8” X 200M</t>
  </si>
  <si>
    <t>Perfuração de 04 (quatro) poços tubulares profundos, no Município de Imperatriz/MA.</t>
  </si>
  <si>
    <t xml:space="preserve"> Contratação de empresa especializada em execução de serviços comuns de engenharia para melhorias nos sistemas de implantação e ampliação de redes de abastecimento de água e miscelâneas em municípios operados pela CAEMA.</t>
  </si>
  <si>
    <t>Contratação de empresa de engenharia especializada para prestação de serviços de Melhorias do Sistema e Abastecimento de Água, no Município de Morros/MA</t>
  </si>
  <si>
    <t xml:space="preserve">Execução de Obras e Serviços de Conclusão de Implantação e Ampliação do Sistema de Esgotamento Sanitário de Sao Luis-Etapa 1- Sistemas: Anil, Bacanga (Margem Direita), São Francisco E Vinhais (PAC 2), </t>
  </si>
  <si>
    <t xml:space="preserve">Contratação de serviços de fornecimento de licença anual de plataforma de pesquisa de preços de itens (serviços, materiais e equipamentos) em bancos oficiais, de acordo com as especificações técnicas e quantitativos constantes no termo de referência.
</t>
  </si>
  <si>
    <t>Perfuração de 01 (um) poço tubular profundo, com revestimento de tubo de aço carbono no Município de Pedreiras/MA</t>
  </si>
  <si>
    <t>Perfuração de 02 (dois) poços tubulares profundos, nos Municípios de Presidente Dutra e Pedreiras/MA.</t>
  </si>
  <si>
    <t>Prestação de serviços de manutenção predial visando atender a Região Metropolitana, Gerência de Negócios de Pinheiro, Gerência de Negócios de Santa Inês, Gerência de Negócios de Itapecuru, Gerência de Negócios de Barreirinhas e Gerência de Negócios de Chapadinha.</t>
  </si>
  <si>
    <t>Prestação de serviços de manutenção predial visando atender a Gerência de negócios de Imperatriz, Gerência de negócios de Pedreiras, Gerência de negócios de Presidente Dutra e Gerência de negócios de Colinas/MA.</t>
  </si>
  <si>
    <t>Execução de serviços de recuperação de reservatórios ETA´s e execução de serviços complementares, na região metropolitana e nas gerências de Pinheiro, Santa Inês, Itapecuru e Chapadinha MA</t>
  </si>
  <si>
    <t>Serviços_Existentes</t>
  </si>
  <si>
    <t>093/2021</t>
  </si>
  <si>
    <t>CHAGAS E RODRIGUES SÁ ADVOCACIA</t>
  </si>
  <si>
    <t>003/2025</t>
  </si>
  <si>
    <t>THIAGO DIAZ ADVOGADOS ASSOCIADOS</t>
  </si>
  <si>
    <t>017/2022</t>
  </si>
  <si>
    <t>PIRES E MENEZES SOARES ADVOGADOS</t>
  </si>
  <si>
    <t>060/2024</t>
  </si>
  <si>
    <t>C.I. COMUNICAÇÃO &amp; INFORMAÇÃO LTDA</t>
  </si>
  <si>
    <t xml:space="preserve"> Contratação de empresa especializada na prestação de contratação dos serviços técnicos especializados de consultoria jurídica administrativa e contenciosa na área de direito ambiental, perante todas as instâncias possíveis do Poder Judiciário, a serem prestados por sociedade de advogados para a Companhia de Saneamento Ambiental do Maranhão, e Superiores.</t>
  </si>
  <si>
    <t>Contratação de empresa especializada na prestação de
serviços técnicos especializados de consultoria jurídica preventiva, administrativa e
contenciosa nas áreas de direito civil, consumidor, administrativa, tributária, penal, societária e regulatória,
judiciais e extrajudiciais, perante todas as instâncias dos Tribunais Estaduais, Federais, e Superiores,
inclusive Juizados Especiais Cíveis e Criminais, a serem prestados por sociedade de advogados para a
Companhia de Saneamento Ambiental do Maranhão - CAEMA</t>
  </si>
  <si>
    <t>Contratação de serviços técnicos especializados de consultoria juridica preventiva,administrativa e contenciosa nas áreas de direito trabalhista e previdenciário,perante todas as instancias dos Tribunais Regionais e Superioresa serem prestados por sociedade de advogados para CAEMA</t>
  </si>
  <si>
    <t>Contratação de empresa especializada, para prestação de serviços de clipping e mensuração de mídia, de todos os assuntos que fizerem referência à Companhia de Saneamento Ambiental do Maranhão (CAEMA) nas cidades de São Luís, Imperatriz, Chapadinha, Pinheiro, Presidente Dutra e Santa Inês, no Estado do Maranhão.</t>
  </si>
  <si>
    <t>ADALGISA CRAVO TEIXEIRA LAGIOIA TREINAMENTO</t>
  </si>
  <si>
    <t>FRANCISCO DE SOUSA (SANTA LUZIA DO PARUA)</t>
  </si>
  <si>
    <t>CSA CONSULTORIA E SISTEMAS ABERTOS LTDA</t>
  </si>
  <si>
    <t xml:space="preserve">Sra VANDA MARIA CONCEIÇÃO DE ARAUJO (locatária) </t>
  </si>
  <si>
    <t>ASSOCIAÇÃO DOS SERVIDORES DA CAEMA DE SÃO LUÍS/MA - ASSERCA</t>
  </si>
  <si>
    <t>ASSOCIAÇÃO DOS SERVIDORES DA CAEMA DE ITAPECURU MIRIM/MA - ASSERCA II</t>
  </si>
  <si>
    <t>ANTONIA LEOMAR VIERA MARTINS (S. JOSÉ DOS BASÍLIOS)</t>
  </si>
  <si>
    <t>LYRA TECNOLOGIA E GESTAO EM M2M LTDA</t>
  </si>
  <si>
    <t>LOCAÇÃO MARANHÃOZINHO</t>
  </si>
  <si>
    <t xml:space="preserve">C&amp;S VIGILÂNCIA E SEGURANÇA PATRIMONIAL LTDA </t>
  </si>
  <si>
    <t>SENIOR SISTEMAS</t>
  </si>
  <si>
    <t>ASSOCIAÇÃO DOS SERVIDORES DA CAEMA DE IMPERATRIZ/MA - ASSERCA</t>
  </si>
  <si>
    <t>RAMILTON BANDEIRA BRAGA (ARAME)</t>
  </si>
  <si>
    <t xml:space="preserve">IPED EDUCAÇÃO CORPORATIVA LTDA </t>
  </si>
  <si>
    <t xml:space="preserve">HUMANA ASSISTÊNCIA MÉDICA LTDA </t>
  </si>
  <si>
    <t>LINK CARD ADMINISTRADORA DE BENEFÍCIOS EIRELI</t>
  </si>
  <si>
    <t>LINK CARD ADMINISTRADORA DE BENEFÍCIOS LTDA</t>
  </si>
  <si>
    <t xml:space="preserve">EMPRESA D B MORAES SOUZA ME </t>
  </si>
  <si>
    <t xml:space="preserve">FUNDAÇÃO JOSUÉ MONTELO </t>
  </si>
  <si>
    <t>LETÁCIO DE SÁ COÊLHO (NOVA IORQUE)</t>
  </si>
  <si>
    <t>CSF SERVIÇOS DIGITAIS LTDA</t>
  </si>
  <si>
    <t>FATOR COMÉRCIO E SERVIÇOS LTDA</t>
  </si>
  <si>
    <t>JOSÉ CARLOS PONTES (BENEDITO LEITE)</t>
  </si>
  <si>
    <t xml:space="preserve">F E DOS SANTOS COMÉRCIO LTDA </t>
  </si>
  <si>
    <t>CONTROLE SERVIÇOS E COMERCIO DE INFORMÁRICA</t>
  </si>
  <si>
    <t>CONCEIÇÃO DE MARIA BASBOSA DE FREITAS (GOV. LUIZ ROCHA)</t>
  </si>
  <si>
    <t xml:space="preserve">ATLANTA TURISMO LTDA </t>
  </si>
  <si>
    <t>IPNET SERVIÇOS EM NUVEM E DESENVOLVIMENTO DE</t>
  </si>
  <si>
    <t>JOSÉ OSMAR SILVA (VITÓRIA DO MEARIM)</t>
  </si>
  <si>
    <t>MASTERPONTO EQUIPAMENTOS E SISTEMAS LTDA</t>
  </si>
  <si>
    <t xml:space="preserve">APLEX DISTRIBUIDORA DE PRODUTOS DE TECNOLOGIA </t>
  </si>
  <si>
    <t>HAPVIDA ASSISTÊNCIA MÉDICA LTDA</t>
  </si>
  <si>
    <t>SODEXO PASS DO BRASIL SERVIÇOS E COMERCIO S.A</t>
  </si>
  <si>
    <t>EMPRESA METODO TELECOMUNICAÇÕES E COMÉRCIO LTDA</t>
  </si>
  <si>
    <t>SINDICATO DAS EMPRESAS DE TRANSPORTES - SET</t>
  </si>
  <si>
    <t>MÉTODO TELECOMUNICAÇÕES E COMÉRCIO LTDA</t>
  </si>
  <si>
    <t>MARANHÃO PARCERIAS MAPA</t>
  </si>
  <si>
    <t>SERVIÇO NACIONAL DE APREDIZAGEM INDUSTRIAL - SENAI</t>
  </si>
  <si>
    <t>AROMA E SABOR ALIMENTOS</t>
  </si>
  <si>
    <t>AUDILINK &amp; CIA AUDITORES</t>
  </si>
  <si>
    <t>PAGPLAN SERVIÇOS DE TECNOLOGIA EM PAGAMENTOS LTDA</t>
  </si>
  <si>
    <t>KELLY ANNE LIMA FERREIRA (DAVINOPOLIS)</t>
  </si>
  <si>
    <t>APARECIDA MARIA DE SOUZA SILVA (SÃO PEDRO DA AGUA BRANCA)</t>
  </si>
  <si>
    <t>PRIME CONSTRUÇÕES E SERVIÇOS EIRELI</t>
  </si>
  <si>
    <t>MARIA DOS AFLITOS VIANA (SANTA QUITERIA)</t>
  </si>
  <si>
    <t>OSMARINA GOMES DUARTE (AFONSO CUNHA)</t>
  </si>
  <si>
    <t>MALKA SERVICE LTDA EPP</t>
  </si>
  <si>
    <t>PD CASE/RAS INFORMÁTICA LTDA</t>
  </si>
  <si>
    <t>MIRAINOX LTDA</t>
  </si>
  <si>
    <t>RD COMERCIAL</t>
  </si>
  <si>
    <t>MJ TERCEIRIZAÇÃO E SERVIÇO LTDA</t>
  </si>
  <si>
    <t>OEDSON ALVES BEZERRA (MIRADOR)</t>
  </si>
  <si>
    <t>TRANSPORTES REQUINTE LTDA</t>
  </si>
  <si>
    <t>CARLOS AUGUSTO SANTOS GONÇALVES (MORROS)</t>
  </si>
  <si>
    <t>PROMAXIMA GESTÃO EMPRESARIAL LTDA</t>
  </si>
  <si>
    <t>Sra MARIA ROSEMAR PEREIRA DA COSTA (LOCATÁRIA)</t>
  </si>
  <si>
    <t>WIKI TELECOMUNICAÇÕES LTDA</t>
  </si>
  <si>
    <t xml:space="preserve">LOCAÇÃO SÃO BENEDITO </t>
  </si>
  <si>
    <t xml:space="preserve">SR. ALAN COELHO PASSARINHO </t>
  </si>
  <si>
    <t>SONIA MARIA DE OLIVEIRA COIMBRA (JATOBA)</t>
  </si>
  <si>
    <t>MARIA DA CONCEIÇÃO DA SILVA (BACABEIRA)</t>
  </si>
  <si>
    <t>ANTONIA MARIA MACEDO LOPES FONSECA (FORTALEZA DOS NOGUEIRAS)</t>
  </si>
  <si>
    <t>GUSTAVO MARTINS ROCHA</t>
  </si>
  <si>
    <t>ALFAPEOPLE DO BRASIL CONSULTORIA DE INFORMÁTICA</t>
  </si>
  <si>
    <t>CALIMAX EQUIPAMENTOS E SERVIÇOS LTDA</t>
  </si>
  <si>
    <t>S R F SANTOS LTDA</t>
  </si>
  <si>
    <t>BANCO BRADESCO S/A</t>
  </si>
  <si>
    <t>INSTITUTO EUVALDO LODI NUCLEO REGIONAL - IEL</t>
  </si>
  <si>
    <t>CLARO S.A</t>
  </si>
  <si>
    <t>LOCAMIL SERVIÇOS LTDA</t>
  </si>
  <si>
    <t xml:space="preserve">FLORIANRIUS </t>
  </si>
  <si>
    <t>CAIXA ECONOMICA FEDERAL</t>
  </si>
  <si>
    <t>PREVEN CLIN LTDA</t>
  </si>
  <si>
    <t>ALFA ENGENHARIA DE INFORMÁTICA</t>
  </si>
  <si>
    <t>MARTA ANDRE COSTA (ICATU)</t>
  </si>
  <si>
    <t xml:space="preserve">Contratação de empresa especializada para a execução de consultoria continuada na área de contabilidade, gestão de sistemas e gestão patrimonial, </t>
  </si>
  <si>
    <t>Locação do imóvel do Sr. Francisco Sousa no Município de Santa Luzia do Parauá</t>
  </si>
  <si>
    <t>Contratação de empresa especializada para a execução de serviços de atualização, manutenção e assistência técnica do Sistema Radar Empresarial módulos Contábil, Conciliação,Compras,Estoque,Financeiro,Adiantamento de Viagems,MT Patrimonial MT Fiscal Arquivos Magneticos  Radar IRPJ Radar Orçamento e Radar Integrador</t>
  </si>
  <si>
    <t>Locação de imóvel situado na rua Dom Mota, nº 192  Centro, município de Buriticupu/ Ma, para funcionamento do Escritório Local.</t>
  </si>
  <si>
    <t>Autorização de concessão de descontos em folha, referentes a contribuições sociais, convênios e quitação de despesas de associado titular da ASSERCA</t>
  </si>
  <si>
    <t>Concessão de descontos em folha referentes a contribuições sociais, convênios e quitação de despesas de associado titular da ASSERCA</t>
  </si>
  <si>
    <t>Locação o imóvel situado na Rua Magalhães de Almeida, 358, Centro, Município de SÃO JOSÉ DOS BASÍLIOS/MA, para funcionamento do Escritório Local.</t>
  </si>
  <si>
    <t>Serviço de transmissao de dados de multioperadora de celular para telemetria e comunicação de dado com plantaforma de gestão integrado on-line.</t>
  </si>
  <si>
    <t>Locação de imóvel situado na rua Boa Vista, MARANHÃOZINHO/MA, para funcionamento do Escritório Local.</t>
  </si>
  <si>
    <t>PRESTAÇÃO DE SEVIÇOS CONTINUADOS DE VIGIÂNCIA ARMADA E VIGILÂNCIA MOTORIZADA, SEGURANÇA FÍSICA E PATRIMONIAL, DIURNA E NOTURNA. SÃO LUIS-MA, ITALUÍS E BACABEIRA-MA.</t>
  </si>
  <si>
    <t>serviços de atualização legal, suporte técnico de solução integrada de tecnologia e gestão de recursos humanos</t>
  </si>
  <si>
    <t xml:space="preserve">Locação de imóvel situado na Rua Ulisses Guimarães, n 730, Centro, MUNICÍPIO DE ARAME/MA, para funcionamento do Escritório Local </t>
  </si>
  <si>
    <t>Contratação de empresa especializada em serviços de capacitação, aprendizagem e treinamentos, mediante plataformas de cursos online, para os funcionários da Companhia de Saneamento Ambiental do Maranhão – CAEMA.</t>
  </si>
  <si>
    <t>Contratação de operadora, administradora de benefícios ou seguradora de plano de assistência à saúde, com registro na Agência Nacional de Saúde Suplementar - ANS, para operar plano privado de assistência à saúde, destinado aos empregados e cargos comissionados da CAEMA.</t>
  </si>
  <si>
    <t>Contratação de empresa especializada na prestação de serviçosde gerenciamento informatizado de manutenção da frota de veículos da CAEMA</t>
  </si>
  <si>
    <t>Contratação de empresa especializada no gerenciamento eletrônico e controle de abastecimento,implantação eoperação de um sistema informatizado /integrado com utilizaçãode cartão magnético viaweb que perimta o funcionamento de combustíveis gasolina comum, diesel s10) através de redes de postos credenciados para atender a frota de veículos da CAEMA</t>
  </si>
  <si>
    <t>Contratação de empresa especializada na manutenção de redes de fibra óptica, incluindo cabos, distribuidores ópticos, fusões ópticas, conversores ópticos e outros componentes relacionados. O  serviço contemplará as seguintes destinações: na Companhia de Saneamento Ambiental do Maranhão - CAEMA do Sacavém, Italuís e SEDE.</t>
  </si>
  <si>
    <t>Contratação de instituição brasileira incumbida regimental ou estatutariamente da pesquisa, do ensino ou do desenvolvimento institucional, para apoio ao desenvolvimento institucional da CAEMA, por meio de projeto especifico que contempla a alocação de recursos tecnológicos, material permanente e pessoal qualificado na Area de saneamento ambiental, especificamente com a execução de um Projeto de Otimização dos Serviços de Abastecimento de Agua nos municípios do interior do estado do Maranhao.</t>
  </si>
  <si>
    <t>Locação do imóvel situado na Travessa da Rua Nova, s/n, Centro , no Município de Nova Iorque MA</t>
  </si>
  <si>
    <t xml:space="preserve">Locação de impressoras e multifuncionais </t>
  </si>
  <si>
    <t xml:space="preserve">Locação de impressoras e multifuncionais através de solução de impressão departamental </t>
  </si>
  <si>
    <t>Locação do imóvel situado na Rua Getúlio Vargas, s/n, centro, no Município de Benedito Leite/MA, para funcionamento do Escritório Local nesse Município</t>
  </si>
  <si>
    <t xml:space="preserve">Contratação de empresa especializada para a prestação de serviços gráficos diversos.
</t>
  </si>
  <si>
    <t>Fornecimento com entrega de equipamentos de informática.</t>
  </si>
  <si>
    <t xml:space="preserve">Locação de imóvel para funcionamento do escritório local de Governador Luiz Rocha </t>
  </si>
  <si>
    <t>Contratação de empresa especializada para reserva, emissão, marcação, remarcação e fornecimento de passagens aéreas nacionais, para atender às necessidades da Companhia de Saneamento Ambiental do Maranhão- CAEMA.</t>
  </si>
  <si>
    <t>Contratação de solução integrada de comunicação corporativa baseada em computação em nuvem(Cloud Computing) incluindo suporte técnico, implantação e treinamento</t>
  </si>
  <si>
    <t>Contatatato de  locação de imóvel situado na Rua Urbano
Santos, N° 85 — Centro, Município de Vitoria do Mearim/MA, para funcionamento do Escritório Local, com sua vigência de 12 (doze) meses, contados a partir da assinatura do
contrato.</t>
  </si>
  <si>
    <t>Contratação de empresa especializada para prestação dos serviços de manutenção preventiva e corretiva dos relogios de ponto eletrônico.</t>
  </si>
  <si>
    <t>Contratação de empresa para a prestação de serviço comum, atinente ao fornecimento de 1000 (mil) licenças do Antivírus Kaspersky, para proteção das estações e servidores desta Companhia, com garantia de 01 ano.</t>
  </si>
  <si>
    <t>A prestação de serviços de assistência odontológica, para atender aos empregados da CAEMA e dependentes, com cobertura eletiva, envolvendo todos os meios de diagnóstico e tratamento em São Luís e em 9 (nove) Gerencias regio-nais, de forma integral, através de rede própria e/ou credenciada, e de urgência e/ou emergência em todo território nacional</t>
  </si>
  <si>
    <t xml:space="preserve"> Contratação de empresa especializada na administração, gerenciamento, emissão, distribuição e fornecimento de Vale Alimentação e Vale Refeição</t>
  </si>
  <si>
    <t>Prestação de serviços de telefonia VOIP (PABX CLOUD)</t>
  </si>
  <si>
    <t xml:space="preserve">Contratação de empresa para prestação dos serviços de fornecimento de vale transporte eletrônico aos empregados pelo período de 12 (doze) meses, pelo valor estimado mensal R$ 85.746,70 (oitenta e inco mil setecentos e quarenta e seis reais e setenta centavos) e pelo valor anual R$ 1.028.960,40 (um milhão vinte e oito mil novecentos e sessenta reais e quarenta centavos). </t>
  </si>
  <si>
    <t xml:space="preserve">Gerenciamento de prestação dos serviços continuados de vigilância eletrônica monitorada à distância, em regime de comodato, contemplando o fornecimento de todos os equipamentos, materiais e mão de obra para a implantação/instalação, manutenção preventiva e corretiva e o monitoramento a distância
</t>
  </si>
  <si>
    <t>Parceria entre a CAEMA e o SENAI para o desenvolvimento do Programa Jovem Aprendiz da CAEMA</t>
  </si>
  <si>
    <t>Contratação de empresa especializada em fornecimento de refeições, compreendendo preparação, transporte e distribuição, fornecimento de insumos (gêneros alimentícios, materiais de limpeza e descartáveis), higienização de utensílios, equipamentos, dedetização da área física, manutenção corretiva e preventiva de equipamentos.</t>
  </si>
  <si>
    <t>Contratação de empresa especializada para a prestação de serviços de auditoria independente nas demonstrações contábeis da Companhia de Saneamento Ambiental do Maranhão — CAEMA para o exercício a findar-se em 31 de dezembro de 2020 e os 03 (três) primeiros trimestres de 2021</t>
  </si>
  <si>
    <t>Credenciarnento de empresa especializada, adquirente ou subadquirente, para prestação de serviços na modalidade de licenciamento e fornecimento de gateway de pagamentos para prover aos clientes CAEMA o meio de pagamentos on-line, por meio eletrônico, que possibilite realizar a captura, roteamento, transmissão e processamento de transações financeiras com cartões de crédito e débito, à vista e parcelados, para operações de pagamento oriundos das contas de consumo, multas e demais taxas devidas de recebiveis dos Clientes desta Companhia</t>
  </si>
  <si>
    <t>Locação o imóvel para funcionamento do Escritório Local no Município de DAVINÓPOLIS/MA</t>
  </si>
  <si>
    <t>Locação de imóvel para funcionamento do Escritório Local no Município de SÃO PEDRO DA ÁGUA BRANCA/MA.</t>
  </si>
  <si>
    <t>Contratação de empresa especializada para prestação de serviços de limpeza, conservação e higienização  de áreas internas e externas nas instalações físicas e mobiliárias como também equipamentos adequados àexecução dos trabalhos, nointuito de obter condições adequadas de salubridade e higiene nas dependências dos prédios da CAEMA, em IMPERATRIZ (LOTE 02)</t>
  </si>
  <si>
    <t>Locação de imóvel para funcionamento do Escritório Local no Município de Santa Quitéria/MA</t>
  </si>
  <si>
    <t>Locação o imóvel para funcionamento do Escritório Local no Município de AFONSO CUNHA/MA</t>
  </si>
  <si>
    <t>Contratação de empresa especializada para prestação de serviços de limpeza, conservação e higienização  de áreas internas e externas nas instalações físicas e mobiliárias como também equipamentos adequados àexecução dos trabalhos, nointuito de obter condições adequadas de salubridade e higiene nas dependências dos prédios da CAEMA, localizados na capital ITALUIS - LOTE 01</t>
  </si>
  <si>
    <t>GARANTIA CONTRATUAL: n. 0306920229907750691792000</t>
  </si>
  <si>
    <t xml:space="preserve">  Contratação da MARANHÃO PARCERIAS - MAPA para o gerenciamento de 25 (vinte e cinco) postos de trabalho de vigilância desarmada, abrangendo turnos diurnos e noturnos, em regime contínuo, incluindo o fornecimento de todos os insumos, acessórios e equipamentos necessários, de forma a atender a necessidade da Companhia de Saneamento Ambiental do Maranhão - CAEMA em unidades localizadas em São Luís; nas Gerências de Serviços e Negócios de Pinheiro, Barreirinhas, Chapadinha, Pedreiras, Colinas, Santa Inês, Imperatriz, Itapecuru Mirim e Presidente Dutra; nas Coordenadorias Especiais de Coroatá, São João dos Patos, São Raimundo das Mangabeiras</t>
  </si>
  <si>
    <t>O presente Contrato tem por objeto a aquisição de equipamentos e materiais, como a máquina envasadora, mesa acumuladora para envasar água mineral/tratada em copos, compatíveis com 200 até 300ml, com capacidade de produção de 2.500 a 3.100 unid/hora</t>
  </si>
  <si>
    <t>O presente contrato tem por objeto a aquisição de equipamentos e materiais, como, copos plásticos, selos de alumínio e caixas de proteção de papelão, destinados exclusivamente ao processo de envase</t>
  </si>
  <si>
    <t xml:space="preserve">Serviço de manutenção preventiva e corretiva em aparelhos de ar condicionados tipo Slpit. </t>
  </si>
  <si>
    <t>Locação de imóvel para o  funcionamento  de  escritório no  Município  de  Mirador/MA</t>
  </si>
  <si>
    <t>Serviços de transporte coletivo para a condução de funcionários da CAEMA lotados no sistema Sacavém</t>
  </si>
  <si>
    <t xml:space="preserve">Locação o imóvel situado no Município de MORROS /MA, para funcionamento do Escritório Local. </t>
  </si>
  <si>
    <t>Contratação de empresa especializada para a prestação de serviço de assinatura online da ferramenta Fonte de Preço, que se constitui em banco de dados desenvolvidfo para auxiliar todas as fases da contratação pública, ou seja, da fase interna (pesquisa de preço, especificação de bem/serviço...) até a fase externa (julgamento das propostas)</t>
  </si>
  <si>
    <t>Locação de imóvel situado na travessa José Reis, município de Colinas/ Ma, para funcionamento do Escritório Local.</t>
  </si>
  <si>
    <t>Contratação de empresa para a prestação de serviço de, fornecimento de conectividade IP – Internet Protocolo, por meio de link dedicado.</t>
  </si>
  <si>
    <t>Locação de  imóvel situado na Rua Evaristo Sousa, Município de SÃO BENEDITO DO RIO PRETO/MA, para funcionamento do Escritório Local.</t>
  </si>
  <si>
    <t>Locação de  imóvel situado na Rua Manoel Olívio Carvalho, nº 255, Centro, Município de São Raimundo das Mangabeiras/MA, para funcionamento do Escritório Local.</t>
  </si>
  <si>
    <t>Locação o imóvel para funcionamento do Escritório Local no Município de JATOBÁ/MA</t>
  </si>
  <si>
    <t xml:space="preserve">Locação o imóvel situado no Município de Bacabeira/MA, para funcionamento do Escritório Local. </t>
  </si>
  <si>
    <t>Locação o imóvel no MUNICÍPIO DE FORTALEZA DOS NOGUEIRAS/MA, para funcionamento do Escritório Local</t>
  </si>
  <si>
    <t>Execução dos serviços de leiloeiros oficial para alienação de bens móveis inservíveis de propriedade da  CAEMA</t>
  </si>
  <si>
    <t>serviço comum consistente no fornecimento de 50 (cinquenta) licenças de uso de software na nuvem (Software as a Service - SaaS) de Business Intelligence (BI) por meio da suíte Microsoft Power BI na sua versão PRO e 01 (uma) licença do referido software na sua versão PREMIUM,</t>
  </si>
  <si>
    <t>O presente Contrato tem por objeto contratação de empresa especializada na prestação de serviços relacionados a extintores, incluindo recarga, testes hidrostáticos, reposição de peças, em conformidade com as normas técnicas vigentes (ABNT/INMETRO)</t>
  </si>
  <si>
    <t>o fornecimento com entrega de móveis, utensílios e equipamentos a serem utilizados em diversas áreas da CAEMA</t>
  </si>
  <si>
    <t>Através deste Instrumento a CREDENCIADA se obriga a prestar o serviço de recebimento de faturas de água e esgotamento sanitário, de aproximadamente 549.814 consumidores ativos em todo o Estado do Maranhão, através de sistema informatizado, bem como, o depósito dos valores arrecadados na fatura bancária da CAEMA</t>
  </si>
  <si>
    <t>contratação de empresa especializada em gerenciamento de Programas de Estágio, atendendo as definições, condições e especificações inseridas pela Lei nº 11.788/08, no Decreto nº 37.746/2022.</t>
  </si>
  <si>
    <t>Empresa prestadora de Serviço de Telefonia Móvel Pessoal (SMP), legalmente autorizada pela Agência Nacional de Telecomunicações – ANATEL</t>
  </si>
  <si>
    <t>Contratação de empresa especializada para locação de motocicletas e veiculos tipo hatch, pick-up média e pick-up compacta, sem motorista e sem combustível.</t>
  </si>
  <si>
    <t>Fornecimento com entrega de móveis, utensílios e equipamentos a serem utilizados em diversas áreas da CAEMA</t>
  </si>
  <si>
    <t>Através deste Instrumento a CREDENCIADA se obriga a prestar o serviço de recebimento de faturas de água e esgotamento sanitário, de aproximadamente 549.814 consumidores ativos em todo o Estado do Maranhão, através de sistema informatizado, bem como, o depósito dos valores arrecadados na fatura bancária da CAEMA, conforme Termo de Referência e demais normas estabelecidas no Regulamento do Credenciamento e Processo supra mencionado, que passa a integrar este instrumento, independentemente de transcrição.</t>
  </si>
  <si>
    <t>Prestação de serviços contínuos em medicina do trabalho e saúde ocupacional, conforme especificações, quantitativos e condições do Termo de Referência, Anexo I deste Edital.</t>
  </si>
  <si>
    <t>O presente contrato tem por objeto a contratação de Empresa especializada para a prestação de serviços de mobilidade urbana, por meio de plataforma digital integrada, visando ao deslocamento institucional dos empregados da Companhia de Saneamento Ambiental do Maranhão – CAEMA, com gestão operacional, controle por aplicativo e monitoramento via sistema gerencial.</t>
  </si>
  <si>
    <t>Aquisição de 32 baterias estacionárias de 70 amperes por 12 volts, que substituirão as que estão sendo usadas atualmente no nobreak SMS de 40 KVA de potência, responsável pela manutenção da geração elétrica do nosso Datacenter.</t>
  </si>
  <si>
    <t>Locação o imóvel situado na Rua Barão do Rio Branco, nº 175, centro, Município de ICATU/MA, para funcionamento do Escritório Local, pelo prazo de 24 (vinte e quatro) meses, com vigência a partir da data de assinatura do presente Instrumento.</t>
  </si>
  <si>
    <t>Contratação de empresa especializada para locação de 02(dois) ônibus para transporte coletivo de passageiros para o Sistema Produtor Italuís, sendo um ônibus rodoviário com capacidade para 44 (quarenta e quatro) passageiros e um micro-ônibus rodoviário com capacidade para 24 (vinte e quatro) passageiros, a fim de atender a demanda de deslocamento dos colaboradores da CAEMA.</t>
  </si>
  <si>
    <t>023/2024</t>
  </si>
  <si>
    <t>040/2022</t>
  </si>
  <si>
    <t>047/2021</t>
  </si>
  <si>
    <t>025/2024</t>
  </si>
  <si>
    <t>CV 003/2023</t>
  </si>
  <si>
    <t>CV 006/2023</t>
  </si>
  <si>
    <t>074/2023</t>
  </si>
  <si>
    <t>077/2023</t>
  </si>
  <si>
    <t>029/2024</t>
  </si>
  <si>
    <t>037/2024</t>
  </si>
  <si>
    <t>059/2022</t>
  </si>
  <si>
    <t>CV 007/2023</t>
  </si>
  <si>
    <t>074/2022</t>
  </si>
  <si>
    <t>038/2024</t>
  </si>
  <si>
    <t>039/2024</t>
  </si>
  <si>
    <t>052/2021</t>
  </si>
  <si>
    <t>053/2021</t>
  </si>
  <si>
    <t>044/2024</t>
  </si>
  <si>
    <t>056/2024</t>
  </si>
  <si>
    <t>087/2023</t>
  </si>
  <si>
    <t>105/2023</t>
  </si>
  <si>
    <t>106/2023</t>
  </si>
  <si>
    <t>088/2023</t>
  </si>
  <si>
    <t>071/2024</t>
  </si>
  <si>
    <t>043/2025</t>
  </si>
  <si>
    <t>094/2022</t>
  </si>
  <si>
    <t>073/2024</t>
  </si>
  <si>
    <t>105/2022</t>
  </si>
  <si>
    <t>096/2021</t>
  </si>
  <si>
    <t>107/2023</t>
  </si>
  <si>
    <t>078/2024</t>
  </si>
  <si>
    <t>066/2020</t>
  </si>
  <si>
    <t>044/2020</t>
  </si>
  <si>
    <t>001/2024</t>
  </si>
  <si>
    <t>001/2021</t>
  </si>
  <si>
    <t>006/2024</t>
  </si>
  <si>
    <t>CV 001/2023</t>
  </si>
  <si>
    <t>008/2025</t>
  </si>
  <si>
    <t>012/2021</t>
  </si>
  <si>
    <t>006/2023</t>
  </si>
  <si>
    <t>008/2023</t>
  </si>
  <si>
    <t>014/2023</t>
  </si>
  <si>
    <t>023/2022</t>
  </si>
  <si>
    <t>010/2023</t>
  </si>
  <si>
    <t>011/2023</t>
  </si>
  <si>
    <t>022/2022</t>
  </si>
  <si>
    <t>001/2022</t>
  </si>
  <si>
    <t>030/2025</t>
  </si>
  <si>
    <t>031/2025</t>
  </si>
  <si>
    <t>032/2025</t>
  </si>
  <si>
    <t>025/2023</t>
  </si>
  <si>
    <t>034/2021</t>
  </si>
  <si>
    <t>029/2023</t>
  </si>
  <si>
    <t>032/2023</t>
  </si>
  <si>
    <t>027/2022</t>
  </si>
  <si>
    <t>017/2024</t>
  </si>
  <si>
    <t>021/2024</t>
  </si>
  <si>
    <t>034/2024</t>
  </si>
  <si>
    <t>058/2024</t>
  </si>
  <si>
    <t>009/2023</t>
  </si>
  <si>
    <t>037/2023</t>
  </si>
  <si>
    <t>034/2023</t>
  </si>
  <si>
    <t>015/2024</t>
  </si>
  <si>
    <t>046/2025</t>
  </si>
  <si>
    <t>051/2025</t>
  </si>
  <si>
    <t>052/2025</t>
  </si>
  <si>
    <t>053/2025</t>
  </si>
  <si>
    <t>058/2025</t>
  </si>
  <si>
    <t>047/2025</t>
  </si>
  <si>
    <t>048/2025</t>
  </si>
  <si>
    <t>050/2025</t>
  </si>
  <si>
    <t>055/2025</t>
  </si>
  <si>
    <t>056/2025</t>
  </si>
  <si>
    <t>059/2025</t>
  </si>
  <si>
    <t>062/2025</t>
  </si>
  <si>
    <t>063/2025</t>
  </si>
  <si>
    <t>068/2025</t>
  </si>
  <si>
    <t>POR DEMANDA</t>
  </si>
  <si>
    <t xml:space="preserve">POR DEMANDA </t>
  </si>
  <si>
    <t>_</t>
  </si>
  <si>
    <t>GEPEM</t>
  </si>
  <si>
    <t>GEPEA</t>
  </si>
  <si>
    <t>Baixo</t>
  </si>
  <si>
    <t>Médio</t>
  </si>
  <si>
    <t>GCFIC</t>
  </si>
  <si>
    <t>Para atender a demanda de toda companhia</t>
  </si>
  <si>
    <t>QUANTIDADE COMPRADA</t>
  </si>
  <si>
    <t>TOTAL DE ITENS COMPRADOS</t>
  </si>
  <si>
    <t>VALOR UNITARIO COMPRADO</t>
  </si>
  <si>
    <t>QUANTIDADE PLANEJADA</t>
  </si>
  <si>
    <t>DIFERENÇA</t>
  </si>
  <si>
    <t>STATUS</t>
  </si>
  <si>
    <t>UNIDADE DEMANDANTE</t>
  </si>
  <si>
    <t xml:space="preserve">JUSTIFICATIVA </t>
  </si>
  <si>
    <t>OCSD / OSDA</t>
  </si>
  <si>
    <t>VEICULOS PARA OPERAÇÃO, COMERCIAL E GERENCIA</t>
  </si>
  <si>
    <t>A CAEMA NÃO DISPOE DE VEICULOS EM BOM ESTADO PARA ATUAR NOS SETORES</t>
  </si>
  <si>
    <t>A iniciar</t>
  </si>
  <si>
    <t>COBRANÇA E CORTE  .</t>
  </si>
  <si>
    <t>A CAEMA NÃO DISPÕE DE EQUIPES E MATERIAIS PARA REALIZAÇÃO DESTES SERVIÇOS. PORTANTO, É NECESSÁRIA A CONTRATAÇÃO DE EMPRESAS ESPECIALIZADAS PARA A EXECUÇÃO DOS SERVIÇOS.</t>
  </si>
  <si>
    <t>OCNE/OCN</t>
  </si>
  <si>
    <t xml:space="preserve">CONTRATAÇÃO DE EMPRESA DE ENGENHARIA ESPECIALIZADA PARA OPERAÇÃO FÍSICA, COM DISPONIBILIZAÇÃO DE PESSOAL QUALIFICADO, MANUTENÇÕES CORRETIVAS E PREVENTIVAS, ELETRICA, MECANICA, CIVIL, REPOSIÇÃO DE PEÇAS E LIMPEZA GERAL DE ÁREAS DOS SISTEMA DE TRATAMENTO COMPACTO DE EGOTOS - ETEs COMPACTAS </t>
  </si>
  <si>
    <t>A CAEMA NÃO DISPÕE DE EQUIPES, MATERIAIS E EQUIPAMENTOS PARA REALIZAÇÃO DESTES SERVIÇOS. PORTANTO, É NECESSÁRIA A CONTRATAÇÃO DE EMPRESAS ESPECIALIZADAS PARA A EXECUÇÃO DOS SERVIÇOS.</t>
  </si>
  <si>
    <t>CONTRATAÇÃO DE PESSOA JURÍDICA PARA PRESTAÇÃO DE SERVIÇOS, SOB DEMANDA, DE ROÇAGEM (MECANIZADA OU MANUAL), CAPINA, LIMPEZA E RASTELAMENTO DAS VEGETAÇÕES PRESENTES NAS ESTAÇÕES ELEVATÓRIAS E ESTAÇÕES DE TRATAMENTO DE ESGOTO NA REGIÃO METROPOLITANA DE SÃO LUÍS - MA, COM FORNECIMENTO DE MATERIAIS, COMBUSTÍVEIS E MÃO DE OBRA, COMPREENDENDO A RETIRADA E DESCARTE CORRETO DO ENTULHO.</t>
  </si>
  <si>
    <t>CONTRATAÇÃO DE EMPRESA DE ENGENHARIA ESPECIALIZADA PARA OPERAÇÃO FÍSICA, COM 
DISPONIBILIZAÇÃO DE PESSOAL QUALIFICADO, MANUTENÇÕES CORRETIVAS E PREVENTIVAS E LIMPEZA GERAL DE ÁREAS DO SISTEMA DE ESGOTAMENTO SANITÁRIO DO VINHAIS, COMPOSTO DAS SEGUINTES UNIDADES: ESTAÇÃO DE TRATAMENTO DE ESGOTOS – ETE, NO MUNICÍPIO DE SÃO LUÍS – MA
MA</t>
  </si>
  <si>
    <t>CONTRATAÇÃO DE SERVIÇO SOB DEMANDA DE MANUTENÇÃO EM EQUIPAMENTO DO TIPO GRUPO GERADOR, MANUTENÇÃO CORRETIVA, PREVENTIVA E REPOSIÇÃO DE PEÇAS</t>
  </si>
  <si>
    <t>CONTRATAÇÃO DE PESSOA JURÍDICA PARA PRESTAÇÃO DE SERVIÇOS, SOB DEMANDA, DE REPAROS E APLICAÇÃO DE FIBRA DE VIDRO ESTAÇÕES DE TRATAMENTO DE ESGOTO NA REGIÃO METROPOLITANA DE SÃO LUÍS - MA, COM FORNECIMENTO DE MATERIAIS, COMBUSTÍVEIS E MÃO DE OBRA</t>
  </si>
  <si>
    <t>ATA DE REGISTRO DE PREÇO PARA FORNECIMENTO DE REGISTROS E RETENÇÕES PARA ESTAÇÕES ELEVATÓRIAS E ESTAÇÕES DE TRATAMENTO DE ESGOTO NA REGIÃO METROPOLITANA DE SÃO LUÍS - MA</t>
  </si>
  <si>
    <t>ATA DE REGISTRO DE PREÇO PARA FORNECIMENTO DE CLORADORES PARA OS SISTEMAS DE CAPTAÇÃO DE POÇOS E ESTAÇÕES DE TRATAMENTO DE ESGOTO COMPACTAS NA REGIÃO METROPOLITANA DE SÃO LUÍS - MA</t>
  </si>
  <si>
    <t>ATA DE REGISTRO DE PREÇO PARA AQUISIÇÃO DE SOFT-STARTERS E INVERSORES DE FREQUENCIA PARA ESTAÇÕES ELEVATÓRIAS E ESTAÇÕES DE TRATAMENTO DE ESGOTO NA REGIÃO METROPOLITANA DE SÃO LUÍS - MA</t>
  </si>
  <si>
    <t>CONTRATAÇÃO DE EMPRESA DE ENGENHARIA ESPECIALIZADA PARA PRESTAÇÃO DE SERVIÇO DE CONFECÇÃO E INSTALAÇÃO DE GUARDA-CORPO, SUBSTITUIÇÃO DE GUIAS PARA BOMBAS SUBMERSÍVEIS, DE TUBULAÇÕES DE BIOGÁS E DAS VEDAÇÕES DAS TAMPAS DE FIBRA DE VIDRO DOS REATORES DAS ESTAÇÕES DE TRATAMENTO DE ESGOTO</t>
  </si>
  <si>
    <t>CONTRATAÇÃO DE EMPRESA DE ENGENHARIA ESPECIALIZADA PARA PRESTAÇÃO DE SERVIÇO DE RECUPERAÇÃO, CONFECÇÃO E INSTALAÇÃO DE COMPORTAS DE VEDAÇÃO DAS ESTAÇÕES ELEVATÓRIAS E ESTAÇÕES DE TRATAMENTO DE ESGOTO NA REGIÃO METROPOLITANA DE SÃO LUÍS - MA</t>
  </si>
  <si>
    <t>OCNDV</t>
  </si>
  <si>
    <t>Locação de caminhões auto-tanques (caminhões pipa) para transporte e distribuição de água potável para a região do VINHAIS em São Luis - MA</t>
  </si>
  <si>
    <t>Devido a necessidade de garantir o abastecimento de água nas regiões afetadas por problemas de vazamento, paradas do sistema para manutenção entre outros</t>
  </si>
  <si>
    <t>OCNDG</t>
  </si>
  <si>
    <t>Locação de caminhões auto-tanques (caminhões pipa) para transporte e distribuição de água potável para a região do ANJO DA GUARDA em São Luis - MA</t>
  </si>
  <si>
    <t>Devido a necessidade de garantir o abastecimento de água nas regiões afetadas por problemas de vazamento, paradas do sistema para manutenção entre outros.</t>
  </si>
  <si>
    <t>OCNDC</t>
  </si>
  <si>
    <t>Locação de caminhões auto-tanques (caminhões pipa) para transporte e distribuição de água potável para a região do CENTRO em São Luis - MA</t>
  </si>
  <si>
    <t>OCNDO</t>
  </si>
  <si>
    <t>Locação de caminhões auto-tanques (caminhões pipa) para transporte e distribuição de água potável para a região do CIDADE OPERARIA em São Luis - MA</t>
  </si>
  <si>
    <t>OCNDH</t>
  </si>
  <si>
    <t>Locação de caminhões auto-tanques (caminhões pipa) para transporte e distribuição de água potável em na area da  COHAB/OCNDH.</t>
  </si>
  <si>
    <t>Devido a necessidade de garantir o abastecimento de água nas regiões afetadas por problemas de vazamento, desabastecimento, parada de poços e do sistema italuis</t>
  </si>
  <si>
    <t>OCNI/OCN</t>
  </si>
  <si>
    <t>Contratação de empresa especializada para fazer manutenção das válvulas borboletas dos filtros da ETA, substituindo todo o sistema de  vedação das mesmas e ainda substituição dos seus  sistemas de acionamento.</t>
  </si>
  <si>
    <t>Permitem perda de água devido a problemas de vedação, sendo necessário uma revisão geral no sistema de vedação das válvulas borboletas com troca de suas borrachas, como também substituição do sistema de acionamento pneumático das mesmas.</t>
  </si>
  <si>
    <t>Contratação de empresa especializada para instalar o Sistema de proteção com gradeamento, em estrutura metálica, flutuante, para o ponto de captação onde existem os tubulões em concreto armado.</t>
  </si>
  <si>
    <t>O sistema existente em estrutura metálica está inoperante e deteriorado. A falta de gradeamento coloca em risco as bombas, haja vista a completa exposição a entrada de corpos estranhos nos tubulões, com risco de sucção e quebra de equipamentos.</t>
  </si>
  <si>
    <t>Contratação de empresa especializada para Instalar vertedouros das calhas de coleta dos decantadores 01, 02 e 03 da ETA.</t>
  </si>
  <si>
    <t>Os existentes estão desgastados ou inoperantes. Eles tem papel fundamental no direcionamento do fluxo da água, evitando canais preferenciais que propiciam arraste de floco para as calhas de coleta.</t>
  </si>
  <si>
    <t>Contratação de empresa especializada para Reposição de algumas cortinas dos floculadores dos decantadores da ETA.</t>
  </si>
  <si>
    <t xml:space="preserve">As cortinas dos flocuradores em bom estado de funcionamento propiciam formação de flocos mais densos para uma boa decantação que implica em otima qualidade de água. </t>
  </si>
  <si>
    <t>Contratação de empresa especializada para realizar a troca do Leito Filtrante da ETA - Areia e Antracito.</t>
  </si>
  <si>
    <t>Os filtros têm mais de 40 anos de funcionamento, sendo necessário a troca do leito filtrante e averiguação da sua estrutura.</t>
  </si>
  <si>
    <t xml:space="preserve">Contratação de empresa especializada para avaliar e substituir quando necessário as estruturas de filtros, floculadores e decantadores danificadas (rachaduras, corrosão e deterioração da parte metálica). </t>
  </si>
  <si>
    <t>As estruturas danificadas comprometem a qualidade do processo de tratamento de água, além da segurança dos trabalhadores.</t>
  </si>
  <si>
    <t>Contratação de empresa especializada para retirada de vazamento de óleo e manutenção preventiva do transformador 02T2 da SE-01.</t>
  </si>
  <si>
    <t>Um acentuado vazamento de óleo no transformador impossibilita o seu funcionamento de maneira segura.</t>
  </si>
  <si>
    <t>Contratação de empresa especializada para fazer o Retrofit do sistema elétrico do sistema e gerar laudo das instalações elétricas</t>
  </si>
  <si>
    <t>Equipamentos apresentam desgaste, cabines primárias com infiltrações, quadros de cargas não atendem normas técnicas vigentes, laudos não existem.</t>
  </si>
  <si>
    <t>Contratação de empresa especializada para realizar a instalação de células capacitivas 7960KV/100kVAr e troca da cabine primária do banco de capacitores e fiação.</t>
  </si>
  <si>
    <t xml:space="preserve">O primeiro estagio desse banco de capacitores de um total de 18 células só tem 9.  </t>
  </si>
  <si>
    <t>Contratação de empresa especializada para instalar 6 (seis) Chaves a Óleo monopolar 15kV/200A com a troca de suas respectivas fiações de comando.</t>
  </si>
  <si>
    <t>A falta dessas chaves fazem com que os dois estágios sejam ligados simultaneamente causando impacto no sistema elétrico.</t>
  </si>
  <si>
    <t>NÃO DISPOMOS DE PESSOAL E RECURSO "JUST IN TIME" PARA EXECUÇÕES DE ATRIBUIÇÕES DE CAMPO COMO CORTE, VAZAMENTOS, LIGAÇÕES NOVAS E INSTALAÇÕES DE HD.</t>
  </si>
  <si>
    <t>MANUTENÇÃO DE POÇOS .</t>
  </si>
  <si>
    <t>MANTER EQUIPE REALIZANDO MANUTENÇÃO DE POÇOS COM LIMPEZA E DESENVOLVIMENTO DOS POÇOS COM EQUIPA MENTO ROBUSTO, COM URBANIZAÇÃO DE ÁREA.</t>
  </si>
  <si>
    <t>OCNPO/OCNPC</t>
  </si>
  <si>
    <t>À DISPOSIÇÃO DE VEÍCULOS PARA ATIVIDADES AFINS E QUE GERAM ARRECADAÇÃO PARA EMPRESA</t>
  </si>
  <si>
    <t>A EMPRESA NÃO POSSUI EQUIPE DE CORTE PERMANENTE , NÃO HAVENDO REGULARIDADE DAS AÇÕES COM TEMPORARIDADE.</t>
  </si>
  <si>
    <t xml:space="preserve">MANUTENÇÃO DE IMÓVEIS </t>
  </si>
  <si>
    <t>O RECURSO DO FUNDO MENSAL DA REGIONAL É PEQUENO PARA MANUTENÇÃO DOS 19 IMOVEIS, ESCRITORIO E ETA´S EXISTENTES</t>
  </si>
  <si>
    <t>VEÍCULO DE TRANSPORTE DE ÁGUA ALTERNATIVO</t>
  </si>
  <si>
    <t>HÁ NECESIDADE DO VEÍCULO PERMANENTE PARA ATENDIMENTO DE DEMANDAS EMERGENCIAIS PROGRAMADAS E NÃO PROGRAMADAS, ASSIM COMO EVENTOS PREVISTOS QUE SEMPRE REQUEREM AUXILIO</t>
  </si>
  <si>
    <t xml:space="preserve">ESTA GERÊNCIA NÃO DIPÕE DE MÃO-DE-OBRA, MATERIAIS E EQUIPAMENTOS PARA ATENDER ÀS DEMANDAS DE SERVIÇOS. </t>
  </si>
  <si>
    <t>COBRANÇA, CORTE E INSTALAÇAO DE HD</t>
  </si>
  <si>
    <t xml:space="preserve"> NÃO DISPOMOS DE MÃO-DE-OBRA, MATERIAIS E EQUIPAMENTOS PARA ATENDER ÀS DEMANDAS DE SERVIÇOS COMERCIAIS NO ÂMBITO DA GERÊNCIA.</t>
  </si>
  <si>
    <t>VEICULOS PARA OPERAÇÃO, COMERCIAL E GERÊNCIA</t>
  </si>
  <si>
    <t>A GERÊNCIA DISPÕE DE APENAS 1 VEÍCULO STRADA LOCADO E 1 CAMINHÃO FORD CARGO PARA ATENDER A DEMANDA DE TODOS OS SISTEMAS. SE FAZ NECESSÁRIO AUMENTAR A FROTA DE VEICULOS PARA ATENDER ÀS DEMANDAS DE SERVIÇOS DAS COORDENADORIAS OPERACINAL E COMERCIAL.</t>
  </si>
  <si>
    <t>REFORMA PREDIAL (ESCRITÓRIOS E ETAS)</t>
  </si>
  <si>
    <t>PRECISAMOS URGENTEMENTE DE  REFORMA NAS ESTRUTURAS FÍSICAS PRÉDIOS E ETAS, PARA GARANTIRMOS A SEGURANÇA, QUALIDADE NA OPERAÇÃO E ATENDIMENTO AO PÚBLICO.</t>
  </si>
  <si>
    <t xml:space="preserve">MANUTENÇÃO DE POÇOS </t>
  </si>
  <si>
    <t xml:space="preserve">NÃO DISPOMOS DE MÃO-DE-OBRA, MATERIAIS E EQUIPAMENTOS PARA REALIZAR AS MANUTENÇÕES CORRETIVAS E PREVENTIVAS NOS POÇOS. </t>
  </si>
  <si>
    <t>IMPRESSORAS TIPO LASER MONOCROMATICA MULTIFUNCIONAL</t>
  </si>
  <si>
    <t>NÃO DISPOMOS DE IMPRESSOAS PARA ATENDERMOS  NOSSA DEMANDA A CONTENTO.</t>
  </si>
  <si>
    <t>LIMPEZA E CAPINA  DAS ÁREAS DE ESCRITRÓRIOS, POÇOS  E ETAS</t>
  </si>
  <si>
    <t xml:space="preserve">NÃO DISPOMOS DE MÃO-DE-OBRA E EQUIPAMENTOS PARA REALIZAR A LIMPEZA DAS ÁREAS NOS POÇOS, ESCRITÓRIOS  E ETAS DOS SISTEMAS. </t>
  </si>
  <si>
    <t>AQUISIÇÃO DE CAMINHÃO MUNK</t>
  </si>
  <si>
    <t>O MUNK É FUNDAMENTAL PARA A EXECUÇÃO DE MANUTENÇÃO NOS SISTEMAS.</t>
  </si>
  <si>
    <t>LOCAÇÃO DE CAMINHÃO PIPA PARA TRANSPORTE E DISTRIBUIÇÃO DE ÁGUA POTÁVEL</t>
  </si>
  <si>
    <t>Devido a necessidade de garantir o abastecimento de água nas regiões afetadas por problemas de vazamento, desabastecimento, parada de poços .</t>
  </si>
  <si>
    <t>Serviços de Manutenção em Poços</t>
  </si>
  <si>
    <t>Manutenção preventiva e corretiva das unidade de produção.</t>
  </si>
  <si>
    <t>Manutenção em CMB de poços</t>
  </si>
  <si>
    <t>Necessidade de subistituição de Materiais desgastado pelo tempo e uso.</t>
  </si>
  <si>
    <t>Serviço de cloração de poços</t>
  </si>
  <si>
    <t>Necessidade Tratamento dá  água produzida em obediência à legislação</t>
  </si>
  <si>
    <t>Serviços de Rebobinagem</t>
  </si>
  <si>
    <t>Necessidade de recuperação de equipamentos danificados.</t>
  </si>
  <si>
    <t>Coleta e Análise de Água</t>
  </si>
  <si>
    <t>Monitoramento da Qualidade da àgua</t>
  </si>
  <si>
    <t>Reforma de Estrutura física da Unidades de Prução</t>
  </si>
  <si>
    <t>Necessidade Melhorias Físicas nas Unidades de Produçao</t>
  </si>
  <si>
    <t>CONTRATAÇÃO DE SERVIÇOS DE MANUTENÇÃO MECÂNICA E ELETROMECÂNICA, COM FORNECIMENTO DE PEÇAS E EQUIPAMENTOS DE REPOSIÇÃO, NAS UNIDADES OPERACIONAIS DA GERENCIA DE BARREIRINHAS</t>
  </si>
  <si>
    <t>A presente contratação se faz necessária para garantir a continuidade e a eficiência operacional dos sistemas sob responsabilidade da Gerência de Barreirinhas. As unidades operacionais da região demandam manutenção mecânica e eletromecânica periódica, tanto corretiva quanto preventiva, a fim de assegurar o pleno funcionamento de equipamentos essenciais ao abastecimento de água e tratamento de esgoto. Além disso, a reposição imediata de peças e equipamentos danificados ou obsoletos é fundamental para evitar interrupções nos serviços públicos prestados à população. Considerando as particularidades locais, como a distância de centros urbanos e a dificuldade logística para aquisição emergencial de componentes, a contratação de empresa especializada com fornecimento incluso mostra-se a solução mais eficiente e econômica.</t>
  </si>
  <si>
    <t>CONTRATAÇÃO DE SERVIÇOS DE MANUTENÇÃO DE REDE E RAMAIS DE ÁGUA E SERVIÇOS COMERCIAIS NAS UNIDADES OPERACIONAIS DE BARREIRINHAS</t>
  </si>
  <si>
    <t>A contratação de serviços de manutenção de rede e ramais de água, bem como de serviços comerciais, nas unidades operacionais de Barreirinhas, é essencial para garantir a continuidade e a qualidade dos serviços de abastecimento de água na região. A manutenção corretiva e preventiva das redes e ramais visa prevenir perdas, vazamentos e interrupções no fornecimento, assegurando a eficiência operacional do sistema.
Adicionalmente, os serviços comerciais, como ligações, religações, cortes, vistorias e atendimentos ao público, são fundamentais para o relacionamento direto com os usuários e o cumprimento das normas regulatórias. Considerando a extensão territorial da gerência, a alta demanda por atendimento e a limitação de recursos próprios, a contratação de empresa especializada se mostra necessária para atender com celeridade, qualidade e regularidade às demandas operacionais e comerciais, promovendo maior eficiência na gestão e satisfação dos usuários.</t>
  </si>
  <si>
    <t>CONTRATAÇÃO DE SERVIÇO DE MANUTENÇÃO DE POÇOS, COM FORNECIMENTO DE MATERIAIS, NAS UNIDADES OPERACIONAIS DE BARREIRINHAS</t>
  </si>
  <si>
    <t>A contratação de serviços de manutenção de poços, com fornecimento de materiais, nas unidades operacionais de Barreirinhas, é fundamental para garantir a regularidade e a segurança no abastecimento de água da população atendida. Os poços tubulares profundos representam a principal fonte de captação de água em diversas localidades do município, sendo indispensável sua manutenção corretiva e preventiva para evitar colapsos no sistema.
As intervenções incluem limpeza, testes de bombeamento, substituição de conjuntos motobomba, recuperação de colunas e outros serviços especializados que exigem mão de obra qualificada e disponibilidade imediata de materiais específicos. Considerando a complexidade técnica das operações e a limitação de recursos internos para execução direta, a contratação de empresa especializada se mostra imprescindível para assegurar a eficiência operacional, minimizar o tempo de inatividade dos sistemas e preservar a qualidade da água distribuída à população.</t>
  </si>
  <si>
    <t>CONTRATAÇÃO DE SERVIÇOS PARA ESTRUTURAÇÃO E IMPLANTAÇÃO DO CENTRO DE CONTROLE OPERACIONAL (CCO) DA GERÊNCIA REGIONAL DE BARREIRINHAS, INCLUINDO ADEQUAÇÕES FÍSICAS, FORNECIMENTO DE EQUIPAMENTOS E RECURSOS TECNOLÓGICOS NECESSÁRIOS AO MONITORAMENTO E À GESTÃO DAS UNIDADES OPERACIONAIS.</t>
  </si>
  <si>
    <t>A estruturação do Centro de Controle Operacional (CCO) da Gerência de Barreirinhas é fundamental para aprimorar a gestão, o monitoramento e a operação das unidades sob sua responsabilidade. O CCO permitirá o acompanhamento em tempo real dos sistemas de abastecimento de água e esgotamento sanitário, facilitando a identificação rápida de falhas, o planejamento de ações corretivas e preventivas, e a otimização dos recursos disponíveis.
Além disso, a implantação de infraestrutura adequada, incluindo equipamentos tecnológicos e sistemas de comunicação, é imprescindível para garantir a eficiência operacional, a segurança das operações e a melhoria na qualidade dos serviços prestados à população. Considerando a extensão e as particularidades da região de Barreirinhas, a criação deste centro consolidará as ações de supervisão, promovendo maior agilidade nas tomadas de decisão e reduzindo os tempos de resposta em situações de emergência.
Portanto, a contratação dos serviços para estruturação do CCO é essencial para fortalecer a capacidade técnica e operacional da Gerência, assegurando a continuidade e a confiabilidade dos serviços públicos prestados.</t>
  </si>
  <si>
    <t>CONTRATAÇÃO DE SERVIÇOS PARA INSTALAÇÃO DE SISTEMAS DE SEGURANÇA ELETRÔNICA, INCLUINDO FORNECIMENTO DE MATERIAIS, NAS UNIDADES OPERACIONAIS DA GERÊNCIA REGIONAL DE BARREIRINHAS.</t>
  </si>
  <si>
    <t>A contratação dos serviços para instalação de sistemas de segurança eletrônica, com fornecimento de materiais, nas unidades operacionais da Gerência de Barreirinhas, é fundamental para garantir a proteção do patrimônio público, a integridade dos equipamentos e a segurança dos colaboradores.
Diante do aumento da vulnerabilidade dos espaços operacionais, a implementação de soluções tecnológicas de segurança, como câmeras de vigilância, sensores e sistemas de monitoramento, torna-se essencial para prevenir furtos, vandalismos e outras ocorrências que possam comprometer a continuidade dos serviços prestados à população.
Além disso, a instalação adequada dos equipamentos, realizada por empresa especializada, assegura o funcionamento eficiente dos sistemas, proporcionando monitoramento constante e controle remoto, o que contribui para a rápida identificação e resposta a incidentes.
Assim, esta contratação visa fortalecer a segurança institucional, proteger os investimentos públicos e garantir a continuidade das operações nas unidades regionais de Barreirinhas</t>
  </si>
  <si>
    <t>CONTRATAÇÃO DE SERVIÇOS DE MANUTENÇÃO PREDIAL PREVENTIVA E CORRETIVA NAS UNIDADES OPERACIONAIS DA GERÊNCIA REGIONAL DE BARREIRINHAS.</t>
  </si>
  <si>
    <t>A contratação de serviços de manutenção predial preventiva e corretiva nas unidades operacionais da Gerência Regional de Barreirinhas é fundamental para assegurar a conservação, segurança e funcionalidade das instalações físicas. A manutenção adequada previne o desgaste precoce das estruturas, evita danos que possam comprometer a integridade dos ambientes e reduz riscos à segurança dos colaboradores e usuários.
Considerando a importância das unidades operacionais para a continuidade dos serviços públicos de abastecimento de água e esgotamento sanitário, é imprescindível garantir que as instalações estejam em condições adequadas para o funcionamento dos equipamentos e para o conforto das equipes.
Além disso, a terceirização desses serviços, por meio de empresa especializada, assegura maior agilidade na identificação e resolução de problemas, possibilitando intervenções técnicas qualificadas que prolongam a vida útil dos imóveis e otimizam os recursos públicos.</t>
  </si>
  <si>
    <t>CONTRATAÇÃO DE SERVIÇOS DE DRAGAGEM PARA MANUTENÇÃO E DESOBSTRUÇÃO DOS ACESSOS AO RIO MAGU, ARAIOSES-MA.</t>
  </si>
  <si>
    <t>A contratação dos serviços de dragagem dos acessos ao Rio Magu, no município de Araioses-MA, é essencial para garantir a qualidade e a continuidade do abastecimento de água à população local. Durante o período de estiagem, o acúmulo de areia nas áreas de acesso ao rio bloqueia a entrada da água do Rio Parnaíba, principal fonte de captação para o sistema de abastecimento.
Essa obstrução provoca a salinização da água captada, comprometendo sua potabilidade e colocando em risco a saúde dos consumidores, além de impactar negativamente na operação dos sistemas de tratamento. A dragagem preventiva e corretiva é, portanto, fundamental para evitar a entrada excessiva de sedimentos e salinidade, preservando a qualidade da água e assegurando o fornecimento regular e seguro para os clientes.
Diante da relevância dessa intervenção para a sustentabilidade do sistema hídrico da região, a contratação especializada se faz necessária para a realização dos serviços de forma eficiente, minimizando os impactos ambientais e operacionais.</t>
  </si>
  <si>
    <t xml:space="preserve">LOCAÇÃO DE IMÓVEL PARA FUNCIONAMENTO DO ESCRITÓRIO DE HUMBERTO DE CAMPOS </t>
  </si>
  <si>
    <t xml:space="preserve">Não há escritório lacal e se retornamos o faturamento será necessário um ponto para atendimento ao publico. </t>
  </si>
  <si>
    <t>MANUTENÇÃO DE REDES COLETORAS DE ESGOTO DO INTERIOR DA COMPANHIA DE SANEAMENTO AMBIENTAL DO MARANHÃO – CAEMA. LOTE 01 - BARREIRINHAS – SISTEMA PÚBLICO E TUTÓIA –SISTEMA ISOLADO</t>
  </si>
  <si>
    <t>A presente ação é justificada pela necessidade de preservar a funcionalidade dos sistemas de esgotamento sanitário, garantir a conformidade com as normas ambientais e sanitárias, além de cumprir os objetivos institucionais da CAEMA quanto à universalização e qualidade dos serviços de saneamento no interior do estado do Maranhão.</t>
  </si>
  <si>
    <t>LOCAÇÃO DE IMÓVEL PARA FUNCIONAMENTO DO ESCRITÓRIO DE MORROS</t>
  </si>
  <si>
    <t>RENOVAÇÃO DO CONTRATO</t>
  </si>
  <si>
    <t>LOCAÇÃO DE IMÓVEL PARA FUNCIONAMENTO DO ESCRITÓRIO DE ICATU</t>
  </si>
  <si>
    <t>LOCAÇÃO DE IMÓVEL PARA FUNCIONAMENTO DO ESCRITÓRIO DE URBANO SANTOS</t>
  </si>
  <si>
    <t>SERVIÇOS DE COLETA, TRANSPORTE E ANÁLISES QUÍMICAS, FÍSICAS E BACTERIOLÓGICAS DA ÁGUA DE S. A. OPERADOS PELA CAEMA NO INTERIOR E CAPITAL</t>
  </si>
  <si>
    <t>A GERÊNCIA DE BARREIRINHAS NÃO DISPÕES DE MÃO-DE-OBRA E EQUIPAMENTOS PARA REALIZAR O CONTROLE DE QUALIDADE DA ÁGUA NOS POÇOS E ETAS DOS 11 SISTEMAS. PORANTO,  SE FAZ NECESSÁRIO A CONTRATAÇÃO DE EMPRESA TERCEIRIZADA.</t>
  </si>
  <si>
    <t>SERVIÇOS CONTÍNUOS DE MANUTENÇÃO PREVENTIVA E CORRETIVA DE
CONJUNTOS MOTOBOMBAS (CMB) DE ESGOTO, TIPO SUBMERSÍVEIS,
TRIFÁSICOS, 380V, 60HZ, COM FORNECIMENTO DE PEÇAS E MATERIAIS.</t>
  </si>
  <si>
    <t xml:space="preserve">
A 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06, GERÊNCIA DE BARREIRINHAS/MA</t>
  </si>
  <si>
    <t>OCSTA/OCSTC</t>
  </si>
  <si>
    <t>Prestação de serviços comuns de engenharia de manutenção de redes e ramais prediais, pequenas ampliações de redes, instalação e substituição de ramais de imoveis, instalação de hidrômetros com caixa ou sem caixa de hidrometro na calçada ou na parede em imoveis , supressão de ramais, ligação nova e religações em ramais, cortes em ramais, cadastro em imoveis, fiscalização de combate a fraudes, dos Sistema de Abastecimento de Água nas áreas de competência da Gerência de Negócio de PRESIDENTE DUTRA /MA</t>
  </si>
  <si>
    <t>OCSTA/OCSTB</t>
  </si>
  <si>
    <t>PRESTAÇÃO DOS SERVIÇOS DE MANUTENÇÃO DE REDES E RAMAIS COLETORAS DE ESGOTO COM UTILIZAÇÃO DE CAMINHÃO MISTO NAS UNIDADES DA GERENCIA DE PRESIDENTE DUTRA;</t>
  </si>
  <si>
    <t>OCST / OCSTA/OCSTC/OCSTB</t>
  </si>
  <si>
    <t>LOCAÇÃO DE VEICULOS PARA OPERAÇÃO(01UND-PICAPE 4X4 CABINE DUPLA; 01UND-PICAPE 4X 2 CABINE SIMPLES); COMERCIA(03UND- CARRO 4 PORTAS; 01UND-PICAPE 4X2 CABINE DUPLAL E GERENCIA( 01UND-CARRO 4PORTAS)</t>
  </si>
  <si>
    <t>OCSTC</t>
  </si>
  <si>
    <t>SERVIÇOS DE EMISSÃO DE CONTAS E ENTREGA DE CONTAS; ENTREGA DE NOTIFICAÇÕES EM IMÓVEIS; CADASTROS DE IMOVEIS,  CORTES EM RAMAIS COM HIDROMETROS E CORTES EM RAMAIS SEM HIDROMETROS, RECORTE EM RAMAIS; COMBATE A FRAUDES EM IMOVEIS; LIGAÇÕES NOVAS;SUPRESSÃO DE RAMAIS NAS UNIDADES DAS CIDADES DA GERÊNCIA DE PRESIDENTE DUTRA  .</t>
  </si>
  <si>
    <t>OCST/OCSTA</t>
  </si>
  <si>
    <t>MANUTENÇÃO DE POÇOS TUBULARES PROFUNDOS EM GERAL; PERFILAGEM OPTICA; LIMPEZA; DESIFFCÇÃO; ESCOVAÇÃO; EMCAMISAMENTO S PARA 4", 6" E 8"; RETIRADA, INSTALAÇÃO E FORNECIMENTO DE TUBOS EDUTORES DE FERRO FALGANIZADO, UCRI DE PVC, PVC GEOMECANICO ; MANUTENÇÃO E TROCA DE CAVALETES E CONXEÇÕES EM GERAL DE 1" A 5"; MANUTENÇÃO DE PAINEIS E FORNECIMENTO DE SOFT START COM PAINEL NAS UNIDADES DA GERENCIA DE PRESIDENTE DUTRA-MA.</t>
  </si>
  <si>
    <t>A CAEMA NÃO DISPOE DE IMPRESSOAS PARA OS SISTEMAS/CIDADES</t>
  </si>
  <si>
    <t>Notebook 15"; 8Gb; 512Gb;</t>
  </si>
  <si>
    <t xml:space="preserve">A CAEMA , NÃO DIPOS DE NOTEBOOK AS COORDENADORIAS </t>
  </si>
  <si>
    <t>Smartphone  128GB 4GB RAM  6,7" Câm. Dupla + Selfie 8MP</t>
  </si>
  <si>
    <t>A CAEMA , NÃO DIPOS A TODOS OS COORDENADORIAS  E ENCARREGADOS</t>
  </si>
  <si>
    <t>SERVIÇOS DE REFORMA PREDIAL NOS 19 SISTEMAS EM 15 CIDADAES QUE FAZ PARTE DA GERENCIA DE PRESIDENTE DUTRA;</t>
  </si>
  <si>
    <t>A CAEMA , NÃO DIPOS A TODOS OS IMOVEIS COMO  OS PREDIOS DOS ESCRITPORIOS DAS CIDADES, AREAS DOS POÇOS, DA ETA E DO ALMOXARIFADO UM CONTRATO DE MANTUNEÇÃO PREDIAL;</t>
  </si>
  <si>
    <t>SERVIÇOS DE FORNECIMENTO DE INTERNET NOS 19 SISTEMAS EM 15 CIDADAES QUE FAZ PARTE DA GERENCIA DE PRESIDENTE DUTRA;</t>
  </si>
  <si>
    <t>A CAEMA , NÃO DIPOS A TODOS OS IMOVEIS COMO  OS PREDIOS DOS ESCRITPORIOS , ETA E DO ALMOXARIFADO UM CONTRATO DE INTERNET QUE NÃO EXITEM EM MUITOS SISTEMAS;</t>
  </si>
  <si>
    <t>A GERÊNCIA DE ITAPECURU NÃO DISPÕE DE MÃO-DE-OBRA, EMATERIAIS E EQUIPAMENTOS PARA ATENDER A DEMADA</t>
  </si>
  <si>
    <t>ALUGUEL DE IMPRESSORAS</t>
  </si>
  <si>
    <t>A GERÊNCIA DE ITAPECURU  NÃO DISPÕE DE IMPRESSOAS PARA ATENDER A DEMANDA.</t>
  </si>
  <si>
    <t>CAPINA E HIGIENIZAÇÃO DE AREAS DA GERÊNCIA</t>
  </si>
  <si>
    <t>A GERÊNCIA DE ITAPECURU  NÃO DISPÕE DE MÃO-DE-OBRA PARA ATENDER A DEMANDA</t>
  </si>
  <si>
    <t>LEITURA E IMPRESSÃO SIMULTANEA</t>
  </si>
  <si>
    <t>A GERÊNCIA DE ITAPECURUNÃO DISPÕE DE MÃO-DE-OBRA, MATERIAIS E EQUIPAMENTOS PARA ATENDER AS DEMANDA.</t>
  </si>
  <si>
    <t>CONTRATO PARA SERVIÇOS COMERCIAIS</t>
  </si>
  <si>
    <t>A GERÊNCIA DE ITAPECURU NÃO DISPÕE DE MÃO-DE-OBRA E MATERIAIS PARA ATENDER A DEMANDA</t>
  </si>
  <si>
    <t>ALUGUEL DE VEÍCULOS</t>
  </si>
  <si>
    <t>A GERÊNCIA DE ITAPECURU NÃO DISPÕE DE VEICULOS PARA ATENDER A DEMANDA DA GERÊNCIA</t>
  </si>
  <si>
    <t>REFORMA DE PREDIOS</t>
  </si>
  <si>
    <t>A GERÊNCIA DE ITAPECURU NECESSITA DE REFORMA URGENTE DA GERÊNCIA E DEMAIS SISTEMAS.</t>
  </si>
  <si>
    <t>ALUGUEL DE IMÓVEIS</t>
  </si>
  <si>
    <t>A GERÊNCIA DE ITAPECURU NÃO DISPÕE DE IMÓVEL POPRIO PARA FUNCIONAMENTO DO ESCRITÓRIO DE BACABEIRA</t>
  </si>
  <si>
    <t>A GERÊNCIA DE CHAPADINHA NÃO DISPÕE DE MÃO-DE-OBRA, MATERIAIS E EQUIPAMENTOS PARA ATENDER ÀS DEMANDAS DE SERVIÇOS NOS 11 SISTEMAS. NESSAS CONDIÇÕES, SE FAZ NECESSÁRIO A CONTRATAÇÃO DE EMPRESA TERCERIZADA.</t>
  </si>
  <si>
    <t>A GERÊNCIA DE CHAPADINHA NÃO DISPÕE DE MÃO-DE-OBRA, MATERIAIS E EQUIPAMENTOS PARA ATENDER ÀS DEMANDAS DE SERIVOS DE ESGOTO NO SISTEMA DE CHAPADINHA. NESSAS CONDIÇÕES, SE FAZ NECESSÁRIO A CONTRATAÇÃO DE EMPRESA TERCERIZADA.</t>
  </si>
  <si>
    <t>A GERÊNCIA DE CHAPADINHA NÃO DISPÕES DE MÃO-DE-OBRA E EQUIPAMENTOS PARA REALIZAR O CONTROLE DE QUALIDADE DA ÁGUA NOS POÇOS E ETAS DOS 11 SISTEMAS. PORANTO,  SE FAZ NECESSÁRIO A CONTRATAÇÃO DE EMPRESA TERCEIRIZADA.</t>
  </si>
  <si>
    <t>A GERÊNCIA DE CHAPADINHA NÃO DISPÕE DE MÃO-DE-OBRA, MATERIAIS E EQUIPAMENTOS PARA ATENDER ÀS DEMANDAS DE SERVIÇOS COMERCIAIS NOS 11 SISTEMAS. NESSAS CONDIÇÕES, SE FAZ NECESSÁRIO A CONTRATAÇÃO DE EMPRESA TERCERIZADA.</t>
  </si>
  <si>
    <t>A GERÊNCIA DE CHAPADINHA NÃO DISPÕE DE VEICULOS PARA ATENDER ÀS DEMANDAS DE SERVIÇOS DAS COORDENADORIAS OPERACINAL E COMERCIAL.</t>
  </si>
  <si>
    <t>A GERÊNCIA DE CHAPADINHA NECESSITA URGENTEMENTE REFORMA DAS SUAS ESTRUTURAS FÍSICAS PRÉDIOS E ETAS, PARA GARANTIRMOS A SEGURANÇA, QUALIDADE NA OPERAÇÃO E ATENDIMENTO AO PÚBLICO.</t>
  </si>
  <si>
    <t>A GERÊNCIA DE CHAPADINHA NÃO DISPÕE DE MÃO-DE-OBRA, MATERIAIS E EQUIPAMENTOS PARA REALIZAR AS MANUTENÇÕES CORRETIVAS E PREVENTIVAS NOS POÇOS. NESSAS CONDIÇÕES, SE FAZ NECESSÁRIO A CONTRATAÇÃO DE EMPRESA TERCERIZADA.</t>
  </si>
  <si>
    <t>A GERÊNCIA DE CHAPADINHA NÃO DISPÕE DE IMPRESSOAS PARA ATENDERMOS  OS 11 SISTEMAS.</t>
  </si>
  <si>
    <t>A GERÊNCIA DE CHAPADINHA NÃO DISPÕE DE MÃO-DE-OBRA E EQUIPAMENTOS PARA REALIZAR A LIMPEZA DAS ÁREAS NOS POÇOS, ESCRITÓRIOS  E ETAS DOS 11 SISTEMAS. PORANTO,  SE FAZ NECESSÁRIO A CONTRATAÇÃO DE EMPRESA TERCEIRIZADA.</t>
  </si>
  <si>
    <t>LEITURA, IMPRESSÃO SIMULTÂNEA E ENTREGA DE CONTAS,
COM A UTILIZAÇÃO DE IMPRESSORAS TÉRMICAS PORTÁTEIS,
COLETORES ELETRÔNICOS DE DADOS, CUSTOMIZAÇÃO DO
SISTEMA DE IMPRESSÃO SIMULTÂNEA DE CONTAS E
ATUALIZAÇÃO CADASTRAL DE CLIENTES</t>
  </si>
  <si>
    <t>LOCAÇÃO DE IMÓVEL SISTEMA DE AFONSO CUNHA</t>
  </si>
  <si>
    <t>A CAEMA NÃO POSSUI PRÉDIO PRÓPRIO PARA FUNCIONAR O ATENDIMENTO PRESENCIAL NO SISTEMA.</t>
  </si>
  <si>
    <t>LOCAÇÃO DE IMÓVEL SISTEMA DE SÃO BENEDITO DO RIO PRETO</t>
  </si>
  <si>
    <t>LOCAÇÃO DE IMÓVEL SISTEMA DE SANTA QUITÉRIA</t>
  </si>
  <si>
    <t>A CAEMA NÃO POSSUI PRÉDIO PRÓPRIO PARA OS PAINEIS ELÉTRICOS NA CAPTAÇÃO.</t>
  </si>
  <si>
    <t>OSCL</t>
  </si>
  <si>
    <t>LOCAÇÃO DE VEÍCULOS LEVES CABINE DUPLA PARA A GERÊNCIA</t>
  </si>
  <si>
    <t>ATENDER AS DEMANDAS DA GESTÃO DA REGIONAL, ADMINISTRATIVA E COMERCIAL.</t>
  </si>
  <si>
    <t>AMPLIAÇÃO DO SISTEMA DE REDE DE DISTRIBUIÇÃO DE ÁGUA</t>
  </si>
  <si>
    <t>PARA ATENDER CLIENTES REPRIMIDOS.</t>
  </si>
  <si>
    <t>REFORMAS ESCRITÓRIOS</t>
  </si>
  <si>
    <t>MELHORAS AS CONDIÇÕES DE TRABALHO.</t>
  </si>
  <si>
    <t>ADITIVO CONTRATO QUÂNTICA</t>
  </si>
  <si>
    <t>P/ INSTALAÇÃO DE HDS E EXECUÇÃO DE CORTES E CONTRATAÇÃO DE PESSOAL EXCLUSIVO PARA O SERVIÇO.</t>
  </si>
  <si>
    <t>REFORMA RESERVATÓRIOS</t>
  </si>
  <si>
    <t>REFORMA DOS RESERVATÓRIOS PARA GARANTIR SEGURANÇA ESTRUTURAL E CONTINUIDADE DOS SERVIÇOS DE ABASTECIMENTO.</t>
  </si>
  <si>
    <t>INSTALAÇÃO DE RESERVATÓRIOS</t>
  </si>
  <si>
    <t>PARA ATENDER AO AUMENTO DA DEMANDA POR ÁGUA NOS SISTEMAS.</t>
  </si>
  <si>
    <t>REFORMA DE ETAS</t>
  </si>
  <si>
    <t>ASSEGURAR A QUALIDADE DA ÁGUA, ADEQUAR OS SISTEMAS ÁS NORMAS E AUMENTAR A EFICIÊNCIA DOS PROCESSOS DE TRATAMENTO.</t>
  </si>
  <si>
    <t>SERVIÇOS COMERCIAIS</t>
  </si>
  <si>
    <t>AMPLIAR A CAPTAÇÃO DE RECEITA E MELHORAR A EFICIÊNCIA NA GESTÃO COMERCIAL.</t>
  </si>
  <si>
    <t>SERVIÇOS DE MANUTENÇÃO DOS SISTEMAS</t>
  </si>
  <si>
    <t>GARANTIR OPERACIONALIDADE CONTÍNUA DOS EQUIPAMENTOS E INTALAÇÕES.</t>
  </si>
  <si>
    <t>INTERNET DE 300 mbps NOS 17 PRINCIPAIS SISTEMAS</t>
  </si>
  <si>
    <t>GARANTIR COMUNICAÇÃO EM TEMPO REAL, MONITORAMENTO DOS SISTEMAS E AGILIDADE EM TOMADAS DE DECISÕES OPERACIONAIS.</t>
  </si>
  <si>
    <t>OCNCO</t>
  </si>
  <si>
    <t>Contratação de empresa especializada na execução dos
serviços contínuos de desobstrução e limpeza de redes coletoras, ramais prediais, interceptores,
emissários por gravidade, poços de visita, caixas de inspeção, estações elevatórias e estações de
tratamento de esgotos de Sistemas de Esgotamento Sanitário operados pela CAEMA do município de São Luis  - MA (Região da Cidade Operaria e adjascencias)</t>
  </si>
  <si>
    <t>Por ser um serviço contínuo na prevenção e correção de vazamentos</t>
  </si>
  <si>
    <t>OCNCH</t>
  </si>
  <si>
    <t>Contratação de empresa especializada na execução dos
serviços contínuos de desobstrução e limpeza de redes coletoras, ramais prediais, interceptores,
emissários por gravidade, poços de visita, caixas de inspeção, estações elevatórias e estações de
tratamento de esgotos de Sistemas de Esgotamento Sanitário operados pela CAEMA do município de São Luis  - MA (Região da Cohab e adjascencias)</t>
  </si>
  <si>
    <t>OCNCC</t>
  </si>
  <si>
    <t>Contratação de empresa especializada na execução dos
serviços contínuos de desobstrução e limpeza de redes coletoras, ramais prediais, interceptores,
emissários por gravidade, poços de visita, caixas de inspeção, estações elevatórias e estações de
tratamento de esgotos de Sistemas de Esgotamento Sanitário operados pela CAEMA do município de São Luis  - MA (Região da Centro e adjascencias)</t>
  </si>
  <si>
    <t>OCNCV</t>
  </si>
  <si>
    <t>OCNC</t>
  </si>
  <si>
    <t>PRESTAÇÃO DE SERVIÇOS COMUNS DE ENG. DE MANUT. DE REDES COLETORAS DE ESGOTO DA COMPANHIA DE SANEAMENTO AMBIENTAL DO MARANHÃO - CAEMA, NA CIDADE DE SÃO LUÍS, LOTE 1.</t>
  </si>
  <si>
    <t>Prestação de serviços comuns de engenharia de recuperação de pavimentação asfáltica em vias públicas na cidade de São Luis — MA.</t>
  </si>
  <si>
    <t>Um serviço de maior efetividade na recuperação de pavimentos após a execução de atividades de retirada de vazamentos e pequenas ampliações de rede.</t>
  </si>
  <si>
    <t>OCNM</t>
  </si>
  <si>
    <t xml:space="preserve">Aquisição de insumos para uso em oficinas eletromecânica </t>
  </si>
  <si>
    <t xml:space="preserve">Serviço de usinagem </t>
  </si>
  <si>
    <t>Necessidade de Serviços Corretivos e preventivos</t>
  </si>
  <si>
    <t xml:space="preserve">Serviço de Manutenção de Subestaçoes eletricas </t>
  </si>
  <si>
    <t>Serviço de manutenção de  Tubulaçoes de recalque Acima de 400 mm</t>
  </si>
  <si>
    <t>ODCDQ/ODCD</t>
  </si>
  <si>
    <t>RENOVAÇÃO DO SERVIÇO DE ANÁLISE E COLETA DE ÁGUA TRATADA</t>
  </si>
  <si>
    <t>CONTROLE DOS PARÂMETROS DA ÁGUA TRATADA</t>
  </si>
  <si>
    <t xml:space="preserve">RENOVAÇÃO DO SERVIÇO DE ANÁLISE DE EFLUENTE </t>
  </si>
  <si>
    <t>CONTROLE DOS PARÂMETROS DE EFLUENTE</t>
  </si>
  <si>
    <t>ODCDO/ODCD</t>
  </si>
  <si>
    <t>RENOVAÇÃO TRANSMISSÃO DE DADOS POR MULTIOPERADORA</t>
  </si>
  <si>
    <t>COMUNICAÇÃO DO CCO</t>
  </si>
  <si>
    <t xml:space="preserve">SERVIÇO DE ANÁLISES DE AGROTÓXICOS DE ÁGUA </t>
  </si>
  <si>
    <t>ODCDC/ODCD</t>
  </si>
  <si>
    <t>CADASTRO DE TUBULAÇÕES DE ÁGUA E ESGOTO COM ESTRUTURA DE  RTK E MÃO DE OBRA</t>
  </si>
  <si>
    <t>CADASTRO DE NOSSAS TUBULAÇÕES DE ÁGUA E ESGOTO PARA MELHORES INFORMAÇÕES TÉCNICAS</t>
  </si>
  <si>
    <t>MANUTENÇÃO E AMPLIAÇÃO DO CCO</t>
  </si>
  <si>
    <t>MANTER AS ESTRUTURAS DO CENTRO DE CONTROLE OPERACIONAL DA CAEMA</t>
  </si>
  <si>
    <t>ELABORAÇÃO DE PROJETOS, DIAGNÓSTICOS E CONSULTORIA DE SAA E SES</t>
  </si>
  <si>
    <t>DESENVOLVIMENTO DE PROJETOS DE MELHORIA PARA OS SAA E SES CAEMA</t>
  </si>
  <si>
    <t>Serviços Novos</t>
  </si>
  <si>
    <t>EOBRH</t>
  </si>
  <si>
    <t>EOBRI</t>
  </si>
  <si>
    <t>PERFURAÇÃO DE 6 POÇOS TUBULARES NA GERENCIA DE SÃO LUIS</t>
  </si>
  <si>
    <t>MELHORIA NO ABASTECIMENTO</t>
  </si>
  <si>
    <t>PERFURAÇÃO DE 5 POÇOS TUBULARES NA GERENCIA DE COLINAS</t>
  </si>
  <si>
    <t>PERFURAÇÃO DE 4 POÇOS TUBULARES NA GERENCIA DE SANTA INÊS</t>
  </si>
  <si>
    <t>PERFURAÇÃO DE 3 POÇOS TUBULARES NA GERENCIA DE PINHEIRO</t>
  </si>
  <si>
    <t>PERFURAÇÃO DE 5 POÇOS TUBULARES NA GERENCIA DE CHAPADINHA</t>
  </si>
  <si>
    <t>PERFURAÇÃO DE 6 POÇOS TUBULARES NA GERENCIA DE IMPERATRIZ</t>
  </si>
  <si>
    <t>PERFURAÇÃO DE 4 POÇOS TUBULARES NA GERENCIA DE ITAPECURU MIRIM</t>
  </si>
  <si>
    <t>CT 081/2023 OBRAS E SERVIÇOS DE CONCLUSÃO, IMPLANTAÇÃO E AMPLIAÇÃO DO SES DO MUNICÍPIO DE SÃO LUÍS - MA</t>
  </si>
  <si>
    <t>ADITIVO CONTRATUAL OBRAS DE SANEAMENTO</t>
  </si>
  <si>
    <t>CT 95/2022 OBRAS  OBRAS E SRVIÇOS DE CONCLUSÃO, IMPLANTAÇÃO E AMPLIAÇÃO DO SES DO MUNICÍPIO DE SÃO LUÍS - MA</t>
  </si>
  <si>
    <t xml:space="preserve">CT 045/2024 IMPLEMENTAÇÃO DA 2ª ETAPA DO SES DO MUNICÍPIO DE ITAPECURU MIRIM - MA </t>
  </si>
  <si>
    <t xml:space="preserve"> COMPLEMENTAÇÃO DAS OBRAS DE IMPLANTAÇÃO E AMPLIAÇÃO DO SES DO MUNICÍPIO DE SÃO LUÍS - (SÃO FRANCISCO E VINHAIS)</t>
  </si>
  <si>
    <t>OBRAS DE SANEAMENTO EM LICITAÇÃO</t>
  </si>
  <si>
    <t>REFORMA PREDIAL</t>
  </si>
  <si>
    <t xml:space="preserve">MELHORIA E URBANIZAÇÃO NA ÁREA DE TRABALHO </t>
  </si>
  <si>
    <t xml:space="preserve">DEMOLIÇÃO DE RESERVATÓRIO </t>
  </si>
  <si>
    <t>SEGURANÇA DA POPULAÇÃO</t>
  </si>
  <si>
    <t>REFORMA DE ETE</t>
  </si>
  <si>
    <t>MANUTENÇÃO DO SISTEMA DE ESGOTO</t>
  </si>
  <si>
    <t>REFORMA DE ETA</t>
  </si>
  <si>
    <t>MANUTENÇÃO DO SISTEMA DE ÁGUA</t>
  </si>
  <si>
    <t>Elaboração de Análises Técnicas, Estudos e Projetos de Engenharia para Atendimento das Demandas da Companhia</t>
  </si>
  <si>
    <t>Dada a diversidade e a complexidade das demandas técnicas enfrentadas pela Companhia de Saneamento Ambiental do Maranhão – CAEMA, faz-se necessária a contratação de empresa especializada para apoio na elaboração de análises técnicas, estudos e/ou projetos de engenharia. Tal medida visa suprir a carência de equipe interna para atendimento integral das necessidades, garantindo a celeridade, a qualidade técnica e a conformidade normativa dos projetos elaborados, especialmente nos casos de intervenções de maior porte, complexidade hidráulica ou exigência de licenciamento ambiental, por exemplo.</t>
  </si>
  <si>
    <t>Elaboração de Serviços de Topografia</t>
  </si>
  <si>
    <t>A execução de levantamentos topográficos precisos é etapa fundamental para a elaboração de projetos de engenharia, execução de obras e regularização fundiária. Considerando a limitação de recursos humanos e equipamentos próprios da CAEMA, a contratação de empresa especializada se justifica como forma de garantir a confiabilidade dos dados altimétricos e planimétricos necessários ao desenvolvimento de soluções de engenharia adequadas, dentro dos prazos requeridos pelas demandas operacionais e institucionais da Companhia.</t>
  </si>
  <si>
    <t>Elaboração de Serviços de Sondagem</t>
  </si>
  <si>
    <t>A caracterização geotécnica dos terrenos, por meio de sondagens e ensaios de campo, é condição indispensável para o dimensionamento seguro e econômico das estruturas de engenharia, sobretudo no caso de estações elevatórias, adutoras, reservatórios e redes de esgoto e abastecimento. Tendo em vista a indisponibilidade de equipe e equipamentos próprios para realização destes serviços, é tecnicamente justificável a contratação de empresa especializada, de modo a assegurar a confiabilidade dos dados de subsolo e a conformidade com as normas da ABNT vigentes.</t>
  </si>
  <si>
    <t>Consultoria Técnica Especializada em Compostagem e Reaproveitamento Agrícola do Lodo de ETE</t>
  </si>
  <si>
    <t>Visa consolidar tecnicamente o projeto piloto de compostagem e vermicompostagem iniciado em 2024, incluindo validação agronômica do húmus, avaliação de riscos ambientais e orientação sobre escala industrial. Trata-se de medida estratégica para a destinação ambientalmente adequada do lodo gerado nas ETEs, alinhada às diretrizes da PNRS e ao plano de sustentabilidade da CAEMA.</t>
  </si>
  <si>
    <t>Serviço de Monitoramento Ambiental com Sondas Multiparâmetro e Drones</t>
  </si>
  <si>
    <t>Demanda relacionada à necessidade de monitoramento contínuo da qualidade da água bruta e dos corpos hídricos receptores em áreas estratégicas de captação e lançamento. A tecnologia de sondas multiparâmetro e drones possibilita dados em tempo real, com maior alcance e menor custo operacional frente ao monitoramento convencional.</t>
  </si>
  <si>
    <t>Consultoria em Geoprocessamento e Gestão de Bacias Hidrográficas</t>
  </si>
  <si>
    <t>Necessária para consolidar o banco de dados georreferenciado das bacias hidrográficas sob responsabilidade da companhia, com foco na gestão integrada dos recursos hídricos e identificação de áreas críticas (erosão, risco de contaminação, recarga de aquíferos). Apoia também a regularização de outorgas.</t>
  </si>
  <si>
    <t>Contratação de empresa especializada em análise de qualidade de água</t>
  </si>
  <si>
    <t>Necessidade de atendimento a requisitos legais e condicionantes ambientais que exigem monitoramento periódico da qualidade da água em pontos de captação e lançamento. A empresa contratada deverá realizar a coleta em campo, transporte adequado das amostras, análises laboratoriais completas (físico-químicas e microbiológicas) e emissão de relatórios técnicos com interpretação dos dados. Isso garante a rastreabilidade e a confiabilidade das informações ambientais.</t>
  </si>
  <si>
    <t>Contratação de empresa para produção e atualização de EIA/RIMA e atualização dos diagnósticos para Política Ambiental da CAEMA</t>
  </si>
  <si>
    <t>A produção e atualização de Estudos de Impacto Ambiental (EIA/RIMA) são exigências regulatórias para novos empreendimentos e regularização de ativos ambientais antigos. Simultaneamente, a Política Ambiental da empresa precisa ser revista, considerando novas diretrizes internas, avanços técnicos e marcos normativos como a PNRS, Política Nacional de Recursos Hídricos e de Mudanças Climáticas.</t>
  </si>
  <si>
    <t>Contratação de empresa para execução de Projetos de Trabalho Técnico Social (PTTS) na capital e no interior</t>
  </si>
  <si>
    <t>Os Projetos de Trabalho Técnico Social (PTTS) são instrumentos fundamentais para promover a inclusão social, participação comunitária e a sustentabilidade das ações de saneamento. A contratação visa atender projetos de saneamento em curso e futuros, tanto na capital quanto em municípios do interior.</t>
  </si>
  <si>
    <t>Contratação de empresa para elaboração e execução de projetos de recuperação e conservação de áreas de nascentes</t>
  </si>
  <si>
    <t>As áreas de nascentes desempenham papel fundamental na manutenção do fluxo hídrico, recarga de aquíferos e qualidade da água captada para abastecimento. Muitas dessas áreas encontram-se degradadas ou sob risco de uso inadequado do solo. A contratação visa realizar diagnóstico, mapeamento, elaboração de projetos de recuperação ambiental (com foco em cercamento, reflorestamento e práticas conservacionistas) e execução de ações de campo, conforme diretrizes do Código Florestal e das metas institucionais de proteção dos recursos hídricos.</t>
  </si>
  <si>
    <t>Contratação de empresa para elaboração e execução de projetos de recuperação e conservação das áreas de captação superficial de água</t>
  </si>
  <si>
    <t>A contratação objetiva a realização de estudos técnicos, diagnósticos ambientais, propostas de intervenção para controle de erosão, reflorestamento, estabilização de margens e ordenamento do uso do solo no entorno das captações. Estas ações são fundamentais para garantir a continuidade e qualidade do abastecimento público.</t>
  </si>
  <si>
    <t>Locação de veículo tipo camionete 4x4 para apoio às atividades técnicas e operacionais da Gerência de Meio Ambiente</t>
  </si>
  <si>
    <t>A contratação de veículo tipo camionete 4x4 é necessária para garantir a logística adequada, segurança da equipe e viabilidade operacional nas ações de campo, especialmente em regiões rurais ou com estradas não pavimentadas. A opção pela locação assegura flexibilidade contratual, manutenção inclusa e redução de encargos administrativos com frota própria.</t>
  </si>
  <si>
    <t>Contratação de consultoria para estruturação e implementação do Sistema de Gestão Ambiental (SGA) conforme ISO 14001</t>
  </si>
  <si>
    <t>mplantar um Sistema de Gestão Ambiental conforme a norma ISO 14001 permitirá à CAEMA padronizar práticas, reduzir riscos ambientais, aprimorar o desempenho sustentável e aumentar a credibilidade institucional. A consultoria deve abranger diagnóstico, mapeamento de processos, capacitação de equipes e preparação para certificação em unidades-piloto.</t>
  </si>
  <si>
    <t>Contratação de empresa para elaboração do Inventário de Emissões de Gases de Efeito Estufa (GEE) da CAEMA</t>
  </si>
  <si>
    <t>A elaboração do inventário de GEE é um dos primeiros passos para a adoção de metas de descarbonização e posicionamento institucional frente às políticas de mudanças climáticas, além de preparar a empresa para exigências futuras de reporte ambiental (como o ESG). A consultoria deve seguir metodologias do GHG Protocol e incluir capacitação interna.</t>
  </si>
  <si>
    <t>Serviços para emissão e pagamento de ARTs, Licenças de Instalação e renovação de Licenças de Operação das Estações de Tratamento de Água e Esgoto (ETA/ETE)</t>
  </si>
  <si>
    <t>As Estações de Tratamento de Água e Esgoto da CAEMA precisam estar devidamente licenciadas para operar conforme a legislação ambiental vigente. Isso envolve a emissão e pagamento de Anotações de Responsabilidade Técnica (ARTs), taxas de Licenças de Instalação (LI) e de renovação das Licenças de Operação (LO) junto ao órgão ambiental estadual. A manutenção da regularidade ambiental é essencial para a continuidade dos serviços, acesso a financiamentos e cumprimento de exigências legais. A previsão também contempla eventuais novos empreendimentos que entrem em fase de implantação em 2026.</t>
  </si>
  <si>
    <t>Ascom</t>
  </si>
  <si>
    <t>SISTEMA INTEGRADO DE GESTÃO JURÍDICA (SOFTWARE JURÍDICO)</t>
  </si>
  <si>
    <t>Garantir o controle adequado de gestão de processos judiciais na Procuradoria Jurídica e controle do contingenciamento</t>
  </si>
  <si>
    <t>AQUISIÇÃO DE 01 ASSINATURA COM 15 LICENÇAS PARA PESQUISA BÁSICA NA PLATAFORMA JUSBRASIL</t>
  </si>
  <si>
    <t xml:space="preserve"> Necessidade de contratação um mecanismo que ajude na constante atualização e disponibilização de jurisprudências atuais, para que seja garantido o melhor embasamento legal possível aos documentos jurídicos produzidos, assim como resguardar a celeridade do trâmite processual.</t>
  </si>
  <si>
    <t>Contratação de Empresa especializada em solução de proteção de dados e Segurança da Informação através de tokenização de dados, criptografia e anonimização de dados pessoais e sensíveis.</t>
  </si>
  <si>
    <t>Contratar empresa em solução de proteção de dados, execução de anonimização e segurança de informação, em atendimetno a LGPD e ANPD</t>
  </si>
  <si>
    <t>Consultoria Especializada para realização de Estudos e Pesquisa para adequação organizacional de Gestão da Caema</t>
  </si>
  <si>
    <t>Contratar empresa especializada para análise,  realização de estudos e pesquisas para adequação dos modelos organizacionais e de gestão da CAEMA, voltados para à elevação da sua capacidade institucional.</t>
  </si>
  <si>
    <t>Contratação de solução de inteligência artificial</t>
  </si>
  <si>
    <t>Contratar empresa para solução em IA</t>
  </si>
  <si>
    <t>Contratação de empresa de eventos para organização de eventos de Navegação, de Planejamento Estrategico e de Resultados, no primeiro e no segundo semestre (planejamento e obtenção de resultados)</t>
  </si>
  <si>
    <t>Contratar empresa especializada em eventos</t>
  </si>
  <si>
    <t>PRÊMIO DE INOVAÇÃO INTERNA – Prêmio Inova CAEMA 3ª EDIÇÃO - 2026</t>
  </si>
  <si>
    <t>Incentivar os servidores, efetivos, comissionados e bolsistas para o desenvolvimento da inovação em processos e serviços da CAEMA, por meio do reconhecimento destes através de projetos: a. Práticas Inovadoras de sucesso; e b. Projetos de Iniciativas inovadoras implementáveis.</t>
  </si>
  <si>
    <t>Contratação de empresa especializada em solução de Serviço de Gestão de Documentos e Informações, mediante a aplicação conjugada de produtos e serviços que compõem a solução para a gestão e gerenciamento em serviços de digitalização do acervo acumulado de documentos e guarda fisico digital.</t>
  </si>
  <si>
    <t>Contratação de projeto de Gestão de Documentos e Informações com gestão e gerenciamento em serviços de digitalização, que servirá como
procedimentos na gestão, digitalização e guarda dos documentos da companhia.</t>
  </si>
  <si>
    <t>Licenciamento Microsoft Power BI nas versões PRO e PREMIUM</t>
  </si>
  <si>
    <t>Contratação de serviço comum consistente no fornecimento de  licenças de uso de software na nuvem na versão PRO e  PREMIUM..</t>
  </si>
  <si>
    <t>Google Workspace</t>
  </si>
  <si>
    <t xml:space="preserve">Continuidade dos serviços já utilizados pela Companhia de conjunto de ferramentas de produtividade com e-mail profissional personalizado, armazenamento em nuvem, ferramentas de colaboração como documentos, planilhas e apresentações, além de recursos para gerenciamento de projetos e comunicação. </t>
  </si>
  <si>
    <t xml:space="preserve">Aditivo II de Renovação do Contrato Nº 021/2024 - Wiki Telecomunicações LTDA - Link dedicado de internet de 100 Mbps </t>
  </si>
  <si>
    <t>Fornecimento de link dedicado de internet de 100 Mbps. É através deste canal que trafegam as informações que abastecem nosso CCO, onde são transmitidas as leituras e impressões simultâneas, além de utilizarmos como nosso link de contingência de segurança, em casos de quedas de comunicação com a ATI (Agência de Tecnologia de Informação do Estado).</t>
  </si>
  <si>
    <t>Licitação para prestação de serviços técnicos especializados na área de tecnologia da informação</t>
  </si>
  <si>
    <t>Prestação de serviços técnicos especializados na área de tecnologia da informação, dimensionados em Unidades de Serviços Técnicos (UST), compreendendo atividades de sustentação de sistemas informatizados, para todo o Portfólio de Sistemas da CAEMA, e ainda, sustentação do ambiente, suporte à infraestrutura tecnológica de redes, banco de dados e segurança da informação.</t>
  </si>
  <si>
    <t>Suporte do Servidor HP</t>
  </si>
  <si>
    <t>Manutenção e estabilização das atualizações de firmwares do Servidor hiperconvergente</t>
  </si>
  <si>
    <t>IMAGEM - ESRI - ARCGIS (Serviços de monitoramento por geotecnologia, geoprocessamento e geolocalização)</t>
  </si>
  <si>
    <t xml:space="preserve">Atender necessidades da companhia em monitoramento por geotecnologia, geoprocessamento e geolocalização de serviços de campo da Diretoria Comercial e Diretoria de Operação;         </t>
  </si>
  <si>
    <t>Clippagem e monitoramento de mídias</t>
  </si>
  <si>
    <t>Necessidade de monitoramento e clippagem de assuntos referentes à Companhia, na mídia local.</t>
  </si>
  <si>
    <t>Fornecimento de jornais impressos</t>
  </si>
  <si>
    <t xml:space="preserve">necessidade de acompanhamento e fornecimento de publicidade legal para os setores demandantes </t>
  </si>
  <si>
    <t>Contratação de empresa especializada em Engenharia de Segurança do Trabalho e/ou Medicina do Trabalho para prestação de serviços técnicos de elaboração do Laudo Técnico das Condições Ambientais do Trabalho (LTCAT), bem como dos Laudos de Insalubridade e Periculosidade, conforme legislação previdenciária e trabalhista vigente.</t>
  </si>
  <si>
    <t xml:space="preserve">A presente justificativa técnica visa embasar a contratação de empresa especializada em Engenharia de Segurança do Trabalho e/ou Medicina do Trabalho para a elaboração do Laudo Técnico das Condições Ambientais do Trabalho (LTCAT), bem como dos Laudos de Insalubridade e Periculosidade, visando o cumprimento das obrigações legais e normativas relativas à segurança e saúde do trabalhador.
O LTCAT é um documento exigido pela Lei nº 8.213/1991, regulamentado pela Instrução Normativa INSS/PRES nº 128/2022, e tem por objetivo caracterizar a exposição dos empregados a agentes nocivos (químicos, físicos e biológicos) para fins de concessão de aposentadoria especial. Ele serve de base para a elaboração do Perfil Profissiográfico Previdenciário (PPP), de apresentação obrigatória aos trabalhadores e aos órgãos previdenciários.
Já os Laudos de Insalubridade e Periculosidade são exigidos pela Consolidação das Leis do Trabalho (CLT), em especial pelos artigos 189 a 197, e pelas Normas Regulamentadoras do Ministério do Trabalho e Emprego, notadamente a NR-15 (Atividades e Operações Insalubres) e a NR-16 (Atividades e Operações Perigosas). Tais laudos têm como finalidade avaliar os ambientes de trabalho para determinar a existência de condições que ensejem o pagamento de adicionais de insalubridade e/ou periculosidade aos empregados, conforme a legislação trabalhista.
A elaboração desses documentos exige conhecimento técnico especializado, equipamentos específicos para medições ambientais e a atuação de profissionais legalmente habilitados, como engenheiros de segurança do trabalho e médicos do trabalho, registrados em seus respectivos conselhos de classe.
Além de atender às exigências legais, a contratação é essencial para a prevenção de passivos trabalhistas e previdenciários, bem como para promover um ambiente de trabalho seguro e saudável. A correta caracterização dos riscos ocupacionais também subsidia ações preventivas e corretivas no âmbito da gestão de segurança e saúde do trabalho.
Dessa forma, a contratação de empresa especializada se justifica pela necessidade de atendimento à legislação vigente, pela complexidade técnica das avaliações ambientais e pelo compromisso institucional com a proteção da saúde dos trabalhadores e a mitigação de riscos legais e operacionais.
</t>
  </si>
  <si>
    <t>O presente contrato tem por objeto a contratação de empresa para prestação dos
serviços de fornecimento de vale transporte eletrônico aos empregados pelo período de 12
(doze) meses, pelo valor estimado mensal R$ 85.746,70 (oitenta e cinco mil setecentos e
quarenta e seis reais e setenta centavos) e pelo valor anual R$ 1.028.960,40 (um milhão vinte e
oito mil novecentos e sessenta reais e quarenta centavos).</t>
  </si>
  <si>
    <t>Trata-se da renovação do contrato N° 01/2021 — PRJ, firmado entre a 
Companhia de Saneamento Ambiental do Maranhão — CAEMA e o Sindicato das
Empresas de Transportes de Passageiros — SET.
Considerando que o fornecimento do Vale transporte é feito em Sao Luis
exclusivamente pelo Sindicato das Empresas de Transporte de Passageiros de São
Luis —SET.
Considerando o disposto na Lei Federal no 7.418/1985, e o Acordo Coletivo de
Trabalho-ACT-2021/2023, CAEMA e o Sindicato dos Trabalhadores das Indústrias
Urbanas do Estado do Maranhão - STIU/MA, Cláusula 48, faz-se necessário o
aditamento contratual para cumprir obrigatoriedade legal.
Considerando que a vigência do contrato supra encerra-se em 24/01/2025,
solicitamos o aditamento por mais 12(doze) meses, contados a partir de 25/01/2024
até 24/01/2026.
Companhia</t>
  </si>
  <si>
    <t>Contratação de empresa especializada em manutenção de móveis e equipamentos</t>
  </si>
  <si>
    <t>A presente contratação tem a finalidade de prover empresa especializada em manutenção de móveis onde temos uma demanda constante para mantermos em condições aceitáveis e dos equipamentos em geral da CAEMA.</t>
  </si>
  <si>
    <t>Prestação de serviços de transporte coletivo para a condução de funcionários da CAEMA lotados no sistema Sacavém</t>
  </si>
  <si>
    <t>A Companhia de Saneamento Ambiental do Maranhão – CAEMA justifica a necessidade de manutenção do contrato de prestação de serviços de transporte coletivo de funcionários lotados no sistema Sacavém, tendo em vista a essencialidade e especificidade da logística envolvida no deslocamento diário de servidores até uma unidade técnica de operação contínua e de acesso restrito. O sistema Sacavém representa uma das principais estruturas de captação, tratamento e distribuição de água da Região Metropolitana de São Luís, exigindo a presença permanente de equipes técnicas e operacionais para assegurar o funcionamento ininterrupto dos serviços públicos de saneamento básico. A condução coletiva dos colaboradores a este local é, portanto, estratégica e imprescindível.</t>
  </si>
  <si>
    <t>Contratação de empresa especializada para locação de 02(dois) ônibus para transporte coletivo de passageiros para o Sistema Produtor Italuís</t>
  </si>
  <si>
    <t>Objeto: Contratação de empresa especializada para locação de 02 (dois) ônibus para transporte coletivo de passageiros para o Sistema Produtor Italuís A presente contratação tem como objetivo garantir a continuidade e a eficiência no deslocamento dos colaboradores lotados no Sistema Produtor Italuís, unidade estratégica para o abastecimento de água da capital e região metropolitana de São Luís. Considerando que o sistema encontra-se situado em área de difícil acesso e distante da zona urbana, o transporte coletivo regular não contempla, de forma satisfatória, os horários e a logística exigida para o funcionamento pleno da unidade. Dessa forma, torna-se imprescindível a disponibilização de ônibus exclusivos para assegurar a chegada e o retorno dos trabalhadores, com pontualidade, segurança e conforto.</t>
  </si>
  <si>
    <t xml:space="preserve">CONTRATAÇÃO DE EMPRESA ESPECIALIZADA PARA PRESTAÇÃO DE SERVIÇOS DE AUDITORIA INDEPENDENTE NAS DEMONSTRAÇÕES CONTÁBEIS DA CAEMA </t>
  </si>
  <si>
    <t xml:space="preserve">A contratação de auditoria independente é essencial para assegurar a confiabilidade das demonstrações contábeis e fornecer segurança aos stakeholders, como investidores, credores, governo e sociedade em geral.
Os principais benefícios advindos desse trabalho incluem:
A auditoria independente atesta a precisão e a integridade das demonstrações financeiras, promovendo confiança nos relatórios apresentados pela empresa.
Identifica fragilidades nos controles internos, permitindo a implementação de medidas que fortalecem a gestão, previnem fraudes e reduzem riscos operacionais.
Garante que a empresa esteja em conformidade com as leis, regulamentos e normas contábeis aplicáveis ao setor de saneamento, especialmente no cumprimento das obrigações previstas nos contratos de concessão.
Demonstra o compromisso da empresa com a transparência e as boas práticas de governança corporativa, fortalecendo sua reputação no mercado e a confiança dos stakeholders.
Fornece informações relevantes para a tomada de decisões estratégicas, permitindo maior eficiência na alocação de recursos e aprimoramento dos serviços prestados.
Identifica ineficiências e oportunidades de otimização de processos, o que pode resultar em redução de custos operacionais e melhoria da qualidade dos serviços prestados à população.
Avalia a gestão de riscos corporativos e promove uma abordagem proativa na mitigação de potenciais problemas.
Dessa forma, a realização de auditoria independente não apenas demonstra a eficiência e transparência na gestão dos recursos, como também agrega valor à empresa por meio de:
•	Fortalecimento da confiança dos stakeholders;
•	Cumprimento das normas legais e regulamentares;
•	Identificação de melhorias nos processos internos;
•	Otimização de custos e eficiência operacional;
•	Maior qualidade na prestação de serviços à sociedade.
Portanto, o aditivo em questão justifica-se como um investimento que assegura a sustentabilidade e a credibilidade da empresa no cumprimento de suas atribuições, além de promover melhorias contínuas em suas operações.
A contratação de auditoria independente é essencial para assegurar a confiabilidade das demonstrações contábeis e fornecer segurança aos stakeholders, como investidores, credores, governo e sociedade em geral.
Os principais benefícios advindos desse trabalho incluem:
A auditoria independente atesta a precisão e a integridade das demonstrações financeiras, promovendo confiança nos relatórios apresentados pela empresa.
Identifica fragilidades nos controles internos, permitindo a implementação de medidas que fortalecem a gestão, previnem fraudes e reduzem riscos operacionais.
Garante que a empresa esteja em conformidade com as leis, regulamentos e normas contábeis aplicáveis ao setor de saneamento, especialmente no cumprimento das obrigações previstas nos contratos de concessão.
Demonstra o compromisso da empresa com a transparência e as boas práticas de governança corporativa, fortalecendo sua reputação no mercado e a confiança dos stakeholders.
Fornece informações relevantes para a tomada de decisões estratégicas, permitindo maior eficiência na alocação de recursos e aprimoramento dos serviços prestados.
Identifica ineficiências e oportunidades de otimização de processos, o que pode resultar em redução de custos operacionais e melhoria da qualidade dos serviços prestados à população.
Avalia a gestão de riscos corporativos e promove uma abordagem proativa na mitigação de potenciais problemas.
Dessa forma, a realização de auditoria independente não apenas demonstra a eficiência e transparência na gestão dos recursos, como também agrega valor à empresa por meio de:
•	Fortalecimento da confiança dos stakeholders;
•	Cumprimento das normas legais e regulamentares;
•	Identificação de melhorias nos processos internos;
•	Otimização de custos e eficiência operacional;
•	Maior qualidade na prestação de serviços à sociedade.
Portanto, o aditivo em questão justifica-se como um investimento que assegura a sustentabilidade e a credibilidade da empresa no cumprimento de suas atribuições, além de promover melhorias contínuas em suas operações.
</t>
  </si>
  <si>
    <t xml:space="preserve">CONTRATAÇÃO DE EMPRESA ESPECIALIZADA PARA EXECUÇÃO DE SERVIÇOS DE ATUALIZAÇÃOA , MANUTENÇÃO ,E ASSISTÊNCIA TÉCNICA DO SISTEMA RADAR EMPRESARIAL MÓDULOS Contábil : Conciliação ,Compras , Estoque , Financeiro , Adfiantamento de viagem ; MT PATRIMONIAL , MT FISCAL RADAR IRPJ </t>
  </si>
  <si>
    <t xml:space="preserve">O sistema ERP Radar Empresarial hoje é utilizado nos setores de Compras, Almoxarifado, Financeiro (Gerência toda), Contabilidade e Patrimônio. A presente contratação tem como principal função fornecer acompanhamento técnico e acesso as atualizações do software que comtempla principalmente as mudanças da legislação fiscal abrangidas no sistema SPED (Sistema Público de Escrituração Digital) que é a modernização da sistemática atual do cumprimento das obrigações acessórias, transmitidas pelos contribuintes às administrações tributárias e aos órgãos fiscalizadores, utilizando-se da certificação digital para fins de assinatura dos documentos eletrônicos, garantindo assim a validade jurídica dos mesmos apenas na sua forma digital.
Outro ponto que podemos citar para que se tenha o contrato é a questão de manter o funcionamento do sistema em sua conformidade, caso não receba as atualizações podendo ocorrer algum erro e a Companhia ficar desamparada, visto que não terá como obter o acompanhamento técnico do desenvolvedor do sistema.
</t>
  </si>
  <si>
    <t>GCFIT</t>
  </si>
  <si>
    <t>SERVIÇOS DE AGENTE ARRECADADOR - Credenciamento nº 001/2025</t>
  </si>
  <si>
    <t>Destinado ao recebimento e tratamento de documentos de arrecadação da Companhia de Saneamento Ambiental do Maranhão – CAEMA, através da rede de atendimento das Instituições Financeiras habilitadas.</t>
  </si>
  <si>
    <t>DGP</t>
  </si>
  <si>
    <t>SEGURO INDIVIDUAL CONTRA ACIDENTES PESSOAIS</t>
  </si>
  <si>
    <t>A contratação do Seguro Individual Contra Acidentes Pessoais se justifica pela necessidade de prover cobertura securitária aos bolsistas/trainees devidamente vinculados por meio de Termo de Outorga ao Programa de Aperfeiçoamento em Saneamento ou Programa de Trainee em Saneamento – Nível Técnico da Companhia de Saneamento Ambiental do Maranhão, que contemplem os acidentes pessoais, de natureza súbita e imprevisível, que poderão vir a ocorrer nas dependências da CAEMA ou fora dela durante o desenvolvimento das atividades relacionadas a um dos Programas supramencionados ou, ainda, no percurso de ida ou volta entre a residência e o local de desenvolvimento das atividades sob a responsabilidade da CAEMA e que tenham como consequência direta a morte ou a invalidez permanente, parcial ou total, ou que torne necessário o tratamento médico, hospitalar e/ou odontológico dos bolsistas/trainees;</t>
  </si>
  <si>
    <t>Serviço demalharia e confecção de brindes</t>
  </si>
  <si>
    <t>Serviço de manutenção de impressoras da Companhia</t>
  </si>
  <si>
    <t>TELEFONIA MOVEL</t>
  </si>
  <si>
    <t>Fornecedor</t>
  </si>
  <si>
    <t>L. G. da S. Pierote EIRELI</t>
  </si>
  <si>
    <t>Fae Sistemas de Medicao S/A</t>
  </si>
  <si>
    <t>Trael Transformadores Eletricos LTDA</t>
  </si>
  <si>
    <t>Bauminas Quimica N/ne LTDA</t>
  </si>
  <si>
    <t>Rodoagro Motores Geradores e Representacao LTDA</t>
  </si>
  <si>
    <t>Innovative Water Care Industria e Comercio de Produtos Quimicos Brasil Ltda.</t>
  </si>
  <si>
    <t>A J Solucoes LTDA</t>
  </si>
  <si>
    <t>Idexx Brasil Laboratorios Ltda.</t>
  </si>
  <si>
    <t>Mirainox LTDA</t>
  </si>
  <si>
    <t>RD Comercial LTDA</t>
  </si>
  <si>
    <t>O Moveleiro CIA LTDA</t>
  </si>
  <si>
    <t>Controle Servicos e Comercio de Informatica LTDA</t>
  </si>
  <si>
    <t>M Felipe Galvao LTDA</t>
  </si>
  <si>
    <t>O.C. Araujo JM Multimar LTDA</t>
  </si>
  <si>
    <t>Agaserv Comercio e Assistencia Tecnica LTDA</t>
  </si>
  <si>
    <t>Lbtech Distribuidora e Comercio de Informatica LTDA</t>
  </si>
  <si>
    <t>RC Ramos Comércio Ltda-epp</t>
  </si>
  <si>
    <t>Florianrius Comercio &amp; Instalacoes de Moveis LTDA</t>
  </si>
  <si>
    <t>S R F Santos LTDA</t>
  </si>
  <si>
    <t>J Nogueira Filho</t>
  </si>
  <si>
    <t>Grupo Gba Comercio Atacadista &amp; Servicos LTDA</t>
  </si>
  <si>
    <t>A Frente Solucoes Integradas LTDA</t>
  </si>
  <si>
    <t>E.R. Solucoes Informatica LTDA</t>
  </si>
  <si>
    <t>Formato Digital Comercio e Comunicacao Multimidia LTDA</t>
  </si>
  <si>
    <t>K G M Comercio e Servicos LTDA</t>
  </si>
  <si>
    <t>Best Hydro Comercial LTDA</t>
  </si>
  <si>
    <t>Mecaltec Industria e Comercio LTDA - EPP</t>
  </si>
  <si>
    <t>Mecanica Martins Guedes LTDA</t>
  </si>
  <si>
    <t>Tecsoluti Comércio e Soluções LTDA</t>
  </si>
  <si>
    <t>Wellison Lima Magalhaes 04271385310</t>
  </si>
  <si>
    <t>Cód. OC</t>
  </si>
  <si>
    <t>01/2025</t>
  </si>
  <si>
    <t>02/2025</t>
  </si>
  <si>
    <t>03/2025</t>
  </si>
  <si>
    <t>04/2025</t>
  </si>
  <si>
    <t>05/2025</t>
  </si>
  <si>
    <t>06/2025</t>
  </si>
  <si>
    <t>07/2025</t>
  </si>
  <si>
    <t>08/2025</t>
  </si>
  <si>
    <t>09/2025</t>
  </si>
  <si>
    <t>10/2025</t>
  </si>
  <si>
    <t>11/2025</t>
  </si>
  <si>
    <t>12/2025</t>
  </si>
  <si>
    <t>13/2025</t>
  </si>
  <si>
    <t>14/2025</t>
  </si>
  <si>
    <t>15/2025</t>
  </si>
  <si>
    <t>16/2025</t>
  </si>
  <si>
    <t>17/2025</t>
  </si>
  <si>
    <t>18/2025</t>
  </si>
  <si>
    <t>19/2025</t>
  </si>
  <si>
    <t>20/2025</t>
  </si>
  <si>
    <t>21/2025</t>
  </si>
  <si>
    <t>22/2025</t>
  </si>
  <si>
    <t>23/2025</t>
  </si>
  <si>
    <t>24/2025</t>
  </si>
  <si>
    <t>25/2025</t>
  </si>
  <si>
    <t>26/2025</t>
  </si>
  <si>
    <t>27/2025</t>
  </si>
  <si>
    <t>28/2025</t>
  </si>
  <si>
    <t>29/2025</t>
  </si>
  <si>
    <t>30/2025</t>
  </si>
  <si>
    <t>31/2025</t>
  </si>
  <si>
    <t>32/2025</t>
  </si>
  <si>
    <t>33/2025</t>
  </si>
  <si>
    <t>34/2025</t>
  </si>
  <si>
    <t>35/2025</t>
  </si>
  <si>
    <t>36/2025</t>
  </si>
  <si>
    <t>37/2025</t>
  </si>
  <si>
    <t>38/2025</t>
  </si>
  <si>
    <t>39/2025</t>
  </si>
  <si>
    <t>40/2025</t>
  </si>
  <si>
    <t>41/2025</t>
  </si>
  <si>
    <t>42/2025</t>
  </si>
  <si>
    <t>43/2025</t>
  </si>
  <si>
    <t>44/2025</t>
  </si>
  <si>
    <t>45/2025</t>
  </si>
  <si>
    <t>46/2025</t>
  </si>
  <si>
    <t>47/2025</t>
  </si>
  <si>
    <t>48/2025</t>
  </si>
  <si>
    <t>49/2025</t>
  </si>
  <si>
    <t>52/2025</t>
  </si>
  <si>
    <t>54/2025</t>
  </si>
  <si>
    <t>Situação</t>
  </si>
  <si>
    <t>Atendida</t>
  </si>
  <si>
    <t>Parcialm. Atend.</t>
  </si>
  <si>
    <t>Pendente</t>
  </si>
  <si>
    <t>Vlr Tot OC</t>
  </si>
  <si>
    <t>Produto/Sv.</t>
  </si>
  <si>
    <t>Conjunto Moto Bomba (CMB) tipo SUBMERSO, Vazão 6,0m³/h e AMT=149mca, TRIFÁSICO (380V), para poços de 6''</t>
  </si>
  <si>
    <t>Hidrômetro de velocidade,tipo Woltman,Horizontal,transmissão magnética,relojoaria seca,classe metrológica"B"vaz60m³/hx</t>
  </si>
  <si>
    <t>Transformador de 1.500 kva</t>
  </si>
  <si>
    <t>Conjunto Moto Bomba (CMB) tipo SUBMERSO, Vazão 66,0m³/h e AMT=90mca, TRIFÁSICO (380V), para poços de 8''</t>
  </si>
  <si>
    <t>Conjunto Moto Bomba (CMB) tipo SUBMERSO, Vazão 50,0m³/h e AMT=35mca, TRIFÁSICO (380V), para poços de 6''</t>
  </si>
  <si>
    <t>Grupo Gerador-motor (à diesel) de 230 kVA, c/ rotação 1800 rpm, trifásico 380 volts,completo com USCA, QTA c sistema sil</t>
  </si>
  <si>
    <t>Conjunto Moto Bomba (CMB) tipo SUBMERSO, Vazão 70,0m³/h e AMT=62mca, TRIFÁSICO (380V), para poços de 10''</t>
  </si>
  <si>
    <t>Biscoito Água e Sal</t>
  </si>
  <si>
    <t>Frasco de coleta,estéril,poliestireno,transparente,c/comprimido ou pulverizado c/tiossulfato d sódio c/tampa rosc 200 un</t>
  </si>
  <si>
    <t>Policloreto de Alumínio</t>
  </si>
  <si>
    <t>Mesa rotativa acumuladora com 1,5m de diâmetro, para copos, constituída por aço inoxidável, com padrões de higiene.</t>
  </si>
  <si>
    <t>Caixas de proteção para acondicionamento e transporte de copos envasados de água de 200 ml.</t>
  </si>
  <si>
    <t>Aparelho Ar Condicionado, Split Inverter Capacidade: 24.000 BTU/H ELGIN</t>
  </si>
  <si>
    <t>Conjunto Moto Bomba (CMB) tipo SUBMERSO, Vazão 20,0m³/h e AMT=50mca, TRIFÁSICO (380V), para poços de 6''</t>
  </si>
  <si>
    <t>Aparelho de Ar Condicionado tipo Split 36.0000BTU</t>
  </si>
  <si>
    <t>Unidade interna evap.cond. split eco inverter 12.000 BTUS/H,frio,220V</t>
  </si>
  <si>
    <t>Aparelho Ar Condicionado, Split Inverter Capacidade: 30.000 BTU/H ELGIN</t>
  </si>
  <si>
    <t>Tonner</t>
  </si>
  <si>
    <t>Pincel marcador permanente de CD / ponta fina 1.0 mm</t>
  </si>
  <si>
    <t>Cadeira giratória modelo secretária com assento e encosto de couro com braços azul</t>
  </si>
  <si>
    <t>Mesa para escritório de 120 x 0,60 em MDP</t>
  </si>
  <si>
    <t>Monitor - tamanho de tela: 21,5” com resolução Full HD (1920 x 1080), conectado via portas HDMI e VGA - Marca BrazilPC,</t>
  </si>
  <si>
    <t>Talha Elétrica de Corrente, trifásica, 380V, 60Hz, fixação por gancho 2/1, Capacidade 3 toneladas, altura de elevação 9m</t>
  </si>
  <si>
    <t>Notebook Dell - Worstation Precision 3591.</t>
  </si>
  <si>
    <t>IMAC Apple, tela retina widescreen de 24”, resolução da tela Retina 4.5K(4480x2520p),</t>
  </si>
  <si>
    <t>Fonte ATX bluecase 350w 24 pinos modelo-BLU350-DBAUT V2</t>
  </si>
  <si>
    <t>Reservatório para Água 1.000L (Pulmão) com Fechamento Hermético/chapa 2mm dimensões 1100x1250mm MIRAINOX</t>
  </si>
  <si>
    <t>Teclado convencional; Layout ABNT2;Com atalhos multimídia,ajuste de altura;comprimento do Cabo:1,4 m/USB.Vel. 1200 DPI</t>
  </si>
  <si>
    <t>Cartela Plastica Esteril com 97 Cav - caixa 564</t>
  </si>
  <si>
    <t>Camisas manga curta personalizada em Dry Fit</t>
  </si>
  <si>
    <t>Vlr. Total NF</t>
  </si>
  <si>
    <t>Nome Classif. Rateio</t>
  </si>
  <si>
    <t>Materiais (insumos) para fabricação de produtos para consumo próprio</t>
  </si>
  <si>
    <t>JAN</t>
  </si>
  <si>
    <t>FEV</t>
  </si>
  <si>
    <t>MAR</t>
  </si>
  <si>
    <t>ABR</t>
  </si>
  <si>
    <t>MAI</t>
  </si>
  <si>
    <t>JUN</t>
  </si>
  <si>
    <t>JUL</t>
  </si>
  <si>
    <t>AGO</t>
  </si>
  <si>
    <t>SET</t>
  </si>
  <si>
    <t>OUT</t>
  </si>
  <si>
    <t>NOV</t>
  </si>
  <si>
    <t>DEZ</t>
  </si>
  <si>
    <t>R$ -</t>
  </si>
  <si>
    <t>MÊS</t>
  </si>
  <si>
    <t>ORCAMENTO</t>
  </si>
  <si>
    <t>GERAL CAEMA</t>
  </si>
  <si>
    <t>PLANO ANUAL</t>
  </si>
  <si>
    <t>VALOR</t>
  </si>
  <si>
    <t>fora_do_plano</t>
  </si>
  <si>
    <t>fornecedor</t>
  </si>
  <si>
    <t>descricao</t>
  </si>
  <si>
    <t>quantidade</t>
  </si>
  <si>
    <t>contrato</t>
  </si>
  <si>
    <t>mes_compra</t>
  </si>
  <si>
    <t>valor_total</t>
  </si>
  <si>
    <t>situacao</t>
  </si>
  <si>
    <t>Não Planejado</t>
  </si>
  <si>
    <t>Mexedor descartável café</t>
  </si>
  <si>
    <t>Café Descafeinado 250g</t>
  </si>
  <si>
    <t>Biscoito Doce</t>
  </si>
  <si>
    <t>Máquina rotativa, dosadora combinada, higienizadora, envasadora, seladora e datadora para envase de água.</t>
  </si>
  <si>
    <t>Copo plastico descartável biodegradável p/ envasamento água 200 ml.</t>
  </si>
  <si>
    <t>Selo de alumínio p/ envasamento água 200 ml com 75 mm de diâmetro, 200 ml Copo descartável, atóxico e biodegradável.</t>
  </si>
  <si>
    <t>NF_SERVIÇO</t>
  </si>
  <si>
    <t>NF_AQUISIÇÃO</t>
  </si>
  <si>
    <t>OS</t>
  </si>
  <si>
    <t>OC</t>
  </si>
  <si>
    <t>ordens_de_compra</t>
  </si>
  <si>
    <t>ORDEM DE SERVIÇO</t>
  </si>
  <si>
    <t>PEQUENA DESCRIÇÃO</t>
  </si>
  <si>
    <t>VALOR DO SERVIÇO</t>
  </si>
  <si>
    <t>CORRESPONDE A EXPECTATIVA DE VALOR DA DOTAÇÃO ORÇAMENTARIA?</t>
  </si>
  <si>
    <t>QUANTi-TRAY 2000-CARTELA PLaSTiCA ESTERiL C/97 CAViDADES. FORNECENDO UMA CONTAGEM DE 1-2419NMP, CAiXA COM 100 CARTELAS,</t>
  </si>
  <si>
    <t>Broca macho combinado do tipo muller O 1 BSPT, 11 fpp, fabricada em aço VND, com tratamento térmico temperado e revenido</t>
  </si>
  <si>
    <t>Tomada de pressão TIP n° 8 para tubo pitot, com a curva idêntica ao original colle, fabricado com tubo de latão sem cost</t>
  </si>
  <si>
    <t>Registro de derivação TAP O 1" BSPT x 1.1/4" BSP X 25,40 MM (SABESP) S/rosca interna de ¾" na parte superior</t>
  </si>
  <si>
    <t>Ferrule 0 ½" fabricado em liga de cobre (tipo Sabesp um corpo), conforme norma NBR 13467/95 rosca inferior 0 ½" BSPT</t>
  </si>
  <si>
    <t>Ferrule 01" fabricado em liga de cobre ( tipo Sabesp um corpo ), conforme norma NBR 13467/95 rosca inferior O 1" BSPT</t>
  </si>
  <si>
    <t>Filtro pra cafe</t>
  </si>
  <si>
    <t>ULTRAPASSOU</t>
  </si>
  <si>
    <t>Frasco de coleta,estéril,poliestireno,transparente,c/comprimido ou pulverizado c/tiossulfato d sódio c/tampa rosc 200 um</t>
  </si>
  <si>
    <t>Boné personalizado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</si>
</sst>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mmmm\,\ yyyy;@"/>
    <numFmt numFmtId="166" formatCode="&quot;R$&quot;\ #,##0.00"/>
    <numFmt numFmtId="167" formatCode="mmmm\,\ yyyy"/>
  </numFmts>
  <fonts count="46">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1"/>
      <color rgb="FF000000"/>
      <name val="Calibri"/>
      <family val="2"/>
      <scheme val="minor"/>
    </font>
    <font>
      <b/>
      <sz val="12"/>
      <color theme="0"/>
      <name val="Calibri"/>
      <family val="2"/>
      <scheme val="minor"/>
    </font>
    <font>
      <b/>
      <sz val="12"/>
      <color rgb="FFFFFFFF"/>
      <name val="Calibri"/>
      <family val="2"/>
      <scheme val="minor"/>
    </font>
    <font>
      <sz val="12"/>
      <color rgb="FF222222"/>
      <name val="Calibri"/>
      <family val="2"/>
      <scheme val="minor"/>
    </font>
    <font>
      <sz val="10"/>
      <color theme="1"/>
      <name val="Calibri"/>
      <family val="2"/>
      <scheme val="minor"/>
    </font>
    <font>
      <sz val="12"/>
      <color theme="1"/>
      <name val="Arial"/>
      <family val="2"/>
    </font>
    <font>
      <sz val="12"/>
      <color theme="1"/>
      <name val="Times New Roman"/>
      <family val="1"/>
    </font>
    <font>
      <sz val="11"/>
      <color theme="1"/>
      <name val="Calibri"/>
      <family val="2"/>
    </font>
    <font>
      <b/>
      <sz val="11"/>
      <color theme="1"/>
      <name val="Calibri"/>
      <family val="2"/>
    </font>
    <font>
      <b/>
      <sz val="11"/>
      <color rgb="FFFFFFFF"/>
      <name val="Calibri"/>
      <family val="2"/>
    </font>
    <font>
      <sz val="11"/>
      <color rgb="FF000000"/>
      <name val="Calibri"/>
      <family val="2"/>
    </font>
    <font>
      <b/>
      <sz val="11"/>
      <color theme="0"/>
      <name val="Calibri"/>
      <family val="2"/>
      <scheme val="minor"/>
    </font>
    <font>
      <sz val="11"/>
      <color theme="0"/>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sz val="11"/>
      <color rgb="FF252525"/>
      <name val="Times New Roman"/>
      <family val="1"/>
    </font>
    <font>
      <sz val="11"/>
      <color rgb="FF000000"/>
      <name val="Times New Roman"/>
      <family val="1"/>
    </font>
    <font>
      <sz val="11"/>
      <color rgb="FF000000"/>
      <name val="&quot;Times New Roman&quot;"/>
    </font>
    <font>
      <sz val="11"/>
      <color rgb="FF002060"/>
      <name val="Calibri Light"/>
      <family val="2"/>
    </font>
    <font>
      <sz val="11"/>
      <color rgb="FF333333"/>
      <name val="Calibri"/>
      <family val="2"/>
      <scheme val="minor"/>
    </font>
    <font>
      <sz val="10"/>
      <color theme="1"/>
      <name val="Arial"/>
      <family val="2"/>
    </font>
    <font>
      <b/>
      <sz val="11"/>
      <color rgb="FF000000"/>
      <name val="Calibri"/>
      <family val="2"/>
      <scheme val="minor"/>
    </font>
    <font>
      <sz val="10"/>
      <color rgb="FF000000"/>
      <name val="Arial"/>
      <family val="2"/>
    </font>
    <font>
      <b/>
      <sz val="14"/>
      <color theme="1"/>
      <name val="Calibri"/>
      <family val="2"/>
      <scheme val="minor"/>
    </font>
    <font>
      <sz val="11"/>
      <name val="Consolas"/>
      <family val="3"/>
    </font>
    <font>
      <sz val="11"/>
      <color rgb="FF2C481F"/>
      <name val="Arial"/>
      <family val="2"/>
    </font>
    <font>
      <sz val="11"/>
      <color theme="1"/>
      <name val="Aptos Narrow"/>
    </font>
    <font>
      <sz val="11"/>
      <color rgb="FF383A3C"/>
      <name val="Aptos Narrow"/>
    </font>
    <font>
      <sz val="11"/>
      <color rgb="FF2C481F"/>
      <name val="Aptos Narrow"/>
    </font>
    <font>
      <sz val="11"/>
      <color rgb="FF2A3243"/>
      <name val="Aptos Narrow"/>
    </font>
    <font>
      <sz val="11"/>
      <color rgb="FF133819"/>
      <name val="Arial"/>
      <family val="2"/>
    </font>
    <font>
      <sz val="11"/>
      <color rgb="FF434343"/>
      <name val="Roboto"/>
    </font>
    <font>
      <sz val="11"/>
      <color theme="1"/>
      <name val="Arial"/>
      <family val="2"/>
    </font>
    <font>
      <sz val="11"/>
      <color rgb="FF2C481F"/>
      <name val="Calibri"/>
      <family val="2"/>
    </font>
    <font>
      <sz val="11"/>
      <color rgb="FF434343"/>
      <name val="Calibri"/>
      <family val="2"/>
    </font>
    <font>
      <sz val="11"/>
      <color rgb="FF2A3243"/>
      <name val="Calibri"/>
      <family val="2"/>
    </font>
    <font>
      <sz val="11"/>
      <color rgb="FF434343"/>
      <name val="Arial"/>
      <family val="2"/>
    </font>
    <font>
      <sz val="11"/>
      <color rgb="FF4C535E"/>
      <name val="Arial"/>
      <family val="2"/>
    </font>
    <font>
      <sz val="11"/>
      <color rgb="FF383A3C"/>
      <name val="Roboto"/>
    </font>
    <font>
      <sz val="11"/>
      <color rgb="FF2A3243"/>
      <name val="Arial"/>
      <family val="2"/>
    </font>
    <font>
      <sz val="11"/>
      <color rgb="FF383A3C"/>
      <name val="Arial"/>
      <family val="2"/>
    </font>
  </fonts>
  <fills count="32">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5"/>
        <bgColor rgb="FF2F5496"/>
      </patternFill>
    </fill>
    <fill>
      <patternFill patternType="solid">
        <fgColor theme="0"/>
        <bgColor theme="0"/>
      </patternFill>
    </fill>
    <fill>
      <patternFill patternType="solid">
        <fgColor rgb="FFFFFFFF"/>
        <bgColor rgb="FFFFFFFF"/>
      </patternFill>
    </fill>
    <fill>
      <patternFill patternType="solid">
        <fgColor rgb="FFED7D31"/>
        <bgColor rgb="FFED7D31"/>
      </patternFill>
    </fill>
    <fill>
      <patternFill patternType="solid">
        <fgColor theme="5"/>
        <bgColor indexed="64"/>
      </patternFill>
    </fill>
    <fill>
      <patternFill patternType="solid">
        <fgColor theme="5" tint="0.79998168889431442"/>
        <bgColor theme="5" tint="0.79998168889431442"/>
      </patternFill>
    </fill>
    <fill>
      <patternFill patternType="solid">
        <fgColor theme="5"/>
        <bgColor theme="5"/>
      </patternFill>
    </fill>
    <fill>
      <patternFill patternType="solid">
        <fgColor theme="4" tint="-0.499984740745262"/>
        <bgColor rgb="FF2F5496"/>
      </patternFill>
    </fill>
    <fill>
      <patternFill patternType="solid">
        <fgColor theme="4" tint="0.59999389629810485"/>
        <bgColor indexed="64"/>
      </patternFill>
    </fill>
    <fill>
      <patternFill patternType="solid">
        <fgColor theme="4" tint="0.79998168889431442"/>
        <bgColor theme="8" tint="0.79998168889431442"/>
      </patternFill>
    </fill>
    <fill>
      <patternFill patternType="solid">
        <fgColor theme="4"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BDD7EE"/>
        <bgColor rgb="FF000000"/>
      </patternFill>
    </fill>
    <fill>
      <patternFill patternType="solid">
        <fgColor rgb="FFDDEBF7"/>
        <bgColor rgb="FFD9E1F2"/>
      </patternFill>
    </fill>
    <fill>
      <patternFill patternType="solid">
        <fgColor rgb="FFDDEBF7"/>
        <bgColor rgb="FF000000"/>
      </patternFill>
    </fill>
    <fill>
      <patternFill patternType="solid">
        <fgColor rgb="FFFFC000"/>
        <bgColor rgb="FF000000"/>
      </patternFill>
    </fill>
    <fill>
      <patternFill patternType="solid">
        <fgColor rgb="FF92D050"/>
        <bgColor rgb="FF000000"/>
      </patternFill>
    </fill>
    <fill>
      <patternFill patternType="solid">
        <fgColor rgb="FF9BC2E6"/>
        <bgColor rgb="FF000000"/>
      </patternFill>
    </fill>
    <fill>
      <patternFill patternType="solid">
        <fgColor rgb="FFFFFF00"/>
        <bgColor indexed="64"/>
      </patternFill>
    </fill>
    <fill>
      <patternFill patternType="solid">
        <fgColor theme="3" tint="-0.249977111117893"/>
        <bgColor rgb="FFED7D31"/>
      </patternFill>
    </fill>
    <fill>
      <patternFill patternType="solid">
        <fgColor rgb="FFD9E2F3"/>
        <bgColor indexed="64"/>
      </patternFill>
    </fill>
    <fill>
      <patternFill patternType="solid">
        <fgColor rgb="FFFFFFFF"/>
        <bgColor indexed="64"/>
      </patternFill>
    </fill>
    <fill>
      <patternFill patternType="solid">
        <fgColor rgb="FFCFE2F3"/>
        <bgColor indexed="64"/>
      </patternFill>
    </fill>
    <fill>
      <patternFill patternType="solid">
        <fgColor rgb="FFC9DAF8"/>
        <bgColor indexed="64"/>
      </patternFill>
    </fill>
    <fill>
      <patternFill patternType="solid">
        <fgColor rgb="FFDDEBF7"/>
        <bgColor indexed="64"/>
      </patternFill>
    </fill>
    <fill>
      <patternFill patternType="solid">
        <fgColor rgb="FFF6F8F9"/>
        <bgColor indexed="64"/>
      </patternFill>
    </fill>
  </fills>
  <borders count="66">
    <border>
      <left/>
      <right/>
      <top/>
      <bottom/>
      <diagonal/>
    </border>
    <border>
      <left style="thin">
        <color rgb="FF284E3F"/>
      </left>
      <right style="thin">
        <color rgb="FF356854"/>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356854"/>
      </left>
      <right style="thin">
        <color rgb="FF284E3F"/>
      </right>
      <top style="thin">
        <color rgb="FF284E3F"/>
      </top>
      <bottom style="thin">
        <color rgb="FF284E3F"/>
      </bottom>
      <diagonal/>
    </border>
    <border>
      <left style="thin">
        <color theme="8"/>
      </left>
      <right style="thin">
        <color theme="8"/>
      </right>
      <top style="thin">
        <color theme="8"/>
      </top>
      <bottom style="thin">
        <color theme="8"/>
      </bottom>
      <diagonal/>
    </border>
    <border>
      <left style="thin">
        <color rgb="FF356854"/>
      </left>
      <right style="thin">
        <color rgb="FF356854"/>
      </right>
      <top style="thin">
        <color rgb="FF284E3F"/>
      </top>
      <bottom style="thin">
        <color rgb="FF284E3F"/>
      </bottom>
      <diagonal/>
    </border>
    <border>
      <left style="thin">
        <color theme="8"/>
      </left>
      <right style="thin">
        <color theme="8"/>
      </right>
      <top style="thin">
        <color theme="8"/>
      </top>
      <bottom style="medium">
        <color theme="8"/>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ED7D31"/>
      </top>
      <bottom/>
      <diagonal/>
    </border>
    <border>
      <left style="hair">
        <color rgb="FFFFFFFF"/>
      </left>
      <right style="hair">
        <color rgb="FFFFFFFF"/>
      </right>
      <top style="thin">
        <color rgb="FFED7D31"/>
      </top>
      <bottom style="hair">
        <color rgb="FFFFFFFF"/>
      </bottom>
      <diagonal/>
    </border>
    <border>
      <left/>
      <right style="thin">
        <color rgb="FFED7D31"/>
      </right>
      <top style="thin">
        <color rgb="FFED7D31"/>
      </top>
      <bottom/>
      <diagonal/>
    </border>
    <border>
      <left/>
      <right/>
      <top style="thin">
        <color theme="5" tint="0.39997558519241921"/>
      </top>
      <bottom style="thin">
        <color theme="5" tint="0.39997558519241921"/>
      </bottom>
      <diagonal/>
    </border>
    <border>
      <left style="thin">
        <color theme="5" tint="0.39997558519241921"/>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hair">
        <color theme="5"/>
      </left>
      <right style="hair">
        <color theme="5"/>
      </right>
      <top style="thin">
        <color theme="5"/>
      </top>
      <bottom style="hair">
        <color theme="5"/>
      </bottom>
      <diagonal/>
    </border>
    <border>
      <left style="hair">
        <color theme="5"/>
      </left>
      <right style="hair">
        <color theme="5"/>
      </right>
      <top style="hair">
        <color theme="5"/>
      </top>
      <bottom style="hair">
        <color theme="5"/>
      </bottom>
      <diagonal/>
    </border>
    <border>
      <left style="hair">
        <color theme="5"/>
      </left>
      <right style="hair">
        <color theme="5"/>
      </right>
      <top/>
      <bottom style="hair">
        <color theme="5"/>
      </bottom>
      <diagonal/>
    </border>
    <border>
      <left/>
      <right/>
      <top style="thin">
        <color theme="5"/>
      </top>
      <bottom/>
      <diagonal/>
    </border>
    <border>
      <left style="hair">
        <color theme="0"/>
      </left>
      <right style="hair">
        <color theme="0"/>
      </right>
      <top style="thin">
        <color theme="5"/>
      </top>
      <bottom style="hair">
        <color theme="0"/>
      </bottom>
      <diagonal/>
    </border>
    <border>
      <left style="hair">
        <color rgb="FFED7D31"/>
      </left>
      <right style="hair">
        <color rgb="FFED7D31"/>
      </right>
      <top style="hair">
        <color rgb="FFED7D31"/>
      </top>
      <bottom style="hair">
        <color rgb="FFED7D31"/>
      </bottom>
      <diagonal/>
    </border>
    <border>
      <left style="hair">
        <color rgb="FFED7D31"/>
      </left>
      <right style="hair">
        <color rgb="FFED7D31"/>
      </right>
      <top style="thin">
        <color rgb="FFED7D31"/>
      </top>
      <bottom style="hair">
        <color rgb="FFED7D31"/>
      </bottom>
      <diagonal/>
    </border>
    <border>
      <left style="hair">
        <color theme="5"/>
      </left>
      <right/>
      <top/>
      <bottom style="hair">
        <color theme="5"/>
      </bottom>
      <diagonal/>
    </border>
    <border>
      <left style="hair">
        <color theme="5"/>
      </left>
      <right style="hair">
        <color theme="5"/>
      </right>
      <top style="hair">
        <color theme="5"/>
      </top>
      <bottom/>
      <diagonal/>
    </border>
    <border>
      <left style="thin">
        <color auto="1"/>
      </left>
      <right style="thin">
        <color auto="1"/>
      </right>
      <top/>
      <bottom/>
      <diagonal/>
    </border>
    <border>
      <left/>
      <right style="hair">
        <color theme="5"/>
      </right>
      <top style="hair">
        <color theme="5"/>
      </top>
      <bottom style="hair">
        <color theme="5"/>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theme="8"/>
      </left>
      <right style="thin">
        <color theme="8"/>
      </right>
      <top/>
      <bottom/>
      <diagonal/>
    </border>
    <border>
      <left style="thin">
        <color rgb="FF284E3F"/>
      </left>
      <right style="thin">
        <color rgb="FF356854"/>
      </right>
      <top style="thin">
        <color rgb="FF284E3F"/>
      </top>
      <bottom/>
      <diagonal/>
    </border>
    <border>
      <left style="medium">
        <color rgb="FF000000"/>
      </left>
      <right style="medium">
        <color rgb="FF000000"/>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FFFF00"/>
      </bottom>
      <diagonal/>
    </border>
    <border>
      <left style="medium">
        <color rgb="FFCCCCCC"/>
      </left>
      <right style="medium">
        <color rgb="FF000000"/>
      </right>
      <top style="medium">
        <color rgb="FFCCCCCC"/>
      </top>
      <bottom style="medium">
        <color rgb="FFDDEBF7"/>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FFFFFF"/>
      </bottom>
      <diagonal/>
    </border>
    <border>
      <left style="medium">
        <color rgb="FFCCCCCC"/>
      </left>
      <right style="medium">
        <color rgb="FF000000"/>
      </right>
      <top style="medium">
        <color rgb="FFCCCCCC"/>
      </top>
      <bottom style="medium">
        <color rgb="FFF6F8F9"/>
      </bottom>
      <diagonal/>
    </border>
    <border>
      <left style="medium">
        <color rgb="FFCCCCCC"/>
      </left>
      <right style="medium">
        <color rgb="FFFFFFFF"/>
      </right>
      <top style="medium">
        <color rgb="FFCCCCCC"/>
      </top>
      <bottom style="medium">
        <color rgb="FFCCCCCC"/>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284E3F"/>
      </right>
      <top style="medium">
        <color rgb="FFCCCCCC"/>
      </top>
      <bottom style="medium">
        <color rgb="FFF6F8F9"/>
      </bottom>
      <diagonal/>
    </border>
    <border>
      <left style="medium">
        <color rgb="FFCCCCCC"/>
      </left>
      <right style="medium">
        <color rgb="FFF6F8F9"/>
      </right>
      <top style="medium">
        <color rgb="FFCCCCCC"/>
      </top>
      <bottom style="medium">
        <color rgb="FFCCCCCC"/>
      </bottom>
      <diagonal/>
    </border>
    <border>
      <left style="medium">
        <color rgb="FFCCCCCC"/>
      </left>
      <right style="medium">
        <color rgb="FFF6F8F9"/>
      </right>
      <top style="medium">
        <color rgb="FFCCCCCC"/>
      </top>
      <bottom style="medium">
        <color rgb="FFF6F8F9"/>
      </bottom>
      <diagonal/>
    </border>
    <border>
      <left style="medium">
        <color rgb="FF284E3F"/>
      </left>
      <right style="medium">
        <color rgb="FF000000"/>
      </right>
      <top style="medium">
        <color rgb="FFCCCCCC"/>
      </top>
      <bottom style="medium">
        <color rgb="FFF6F8F9"/>
      </bottom>
      <diagonal/>
    </border>
    <border>
      <left style="medium">
        <color rgb="FFCCCCCC"/>
      </left>
      <right style="medium">
        <color rgb="FFF6F8F9"/>
      </right>
      <top style="medium">
        <color rgb="FFCCCCCC"/>
      </top>
      <bottom style="medium">
        <color rgb="FF000000"/>
      </bottom>
      <diagonal/>
    </border>
    <border>
      <left style="medium">
        <color rgb="FFCCCCCC"/>
      </left>
      <right style="medium">
        <color rgb="FFF6F8F9"/>
      </right>
      <top style="medium">
        <color rgb="FFCCCCCC"/>
      </top>
      <bottom style="medium">
        <color rgb="FF9CC2E5"/>
      </bottom>
      <diagonal/>
    </border>
    <border>
      <left style="medium">
        <color rgb="FFCCCCCC"/>
      </left>
      <right style="medium">
        <color rgb="FFFFFFFF"/>
      </right>
      <top style="medium">
        <color rgb="FFCCCCCC"/>
      </top>
      <bottom style="medium">
        <color rgb="FF000000"/>
      </bottom>
      <diagonal/>
    </border>
    <border>
      <left style="medium">
        <color rgb="FF284E3F"/>
      </left>
      <right style="medium">
        <color rgb="FF000000"/>
      </right>
      <top style="medium">
        <color rgb="FFCCCCCC"/>
      </top>
      <bottom style="medium">
        <color rgb="FF284E3F"/>
      </bottom>
      <diagonal/>
    </border>
    <border>
      <left style="medium">
        <color rgb="FFCCCCCC"/>
      </left>
      <right style="medium">
        <color rgb="FFFFFFFF"/>
      </right>
      <top style="medium">
        <color rgb="FFCCCCCC"/>
      </top>
      <bottom style="medium">
        <color rgb="FF284E3F"/>
      </bottom>
      <diagonal/>
    </border>
    <border>
      <left style="medium">
        <color rgb="FFCCCCCC"/>
      </left>
      <right style="medium">
        <color rgb="FF000000"/>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s>
  <cellStyleXfs count="2">
    <xf numFmtId="0" fontId="0" fillId="0" borderId="0"/>
    <xf numFmtId="44" fontId="1" fillId="0" borderId="0" applyFont="0" applyFill="0" applyBorder="0" applyAlignment="0" applyProtection="0"/>
  </cellStyleXfs>
  <cellXfs count="369">
    <xf numFmtId="0" fontId="0" fillId="0" borderId="0" xfId="0"/>
    <xf numFmtId="0" fontId="2" fillId="2" borderId="1" xfId="0" applyFont="1" applyFill="1" applyBorder="1" applyAlignment="1">
      <alignment horizontal="left" vertical="center"/>
    </xf>
    <xf numFmtId="0" fontId="0" fillId="3" borderId="2" xfId="0" applyFont="1" applyFill="1" applyBorder="1" applyAlignment="1">
      <alignment vertical="center"/>
    </xf>
    <xf numFmtId="0" fontId="0" fillId="2" borderId="2" xfId="0" applyFont="1" applyFill="1" applyBorder="1" applyAlignment="1">
      <alignment vertical="center"/>
    </xf>
    <xf numFmtId="0" fontId="2" fillId="2" borderId="3" xfId="1" applyNumberFormat="1" applyFont="1" applyFill="1" applyBorder="1" applyAlignment="1">
      <alignment horizontal="left" vertical="center"/>
    </xf>
    <xf numFmtId="0" fontId="0" fillId="4" borderId="4" xfId="1" applyNumberFormat="1" applyFont="1" applyFill="1" applyBorder="1"/>
    <xf numFmtId="0" fontId="2" fillId="2" borderId="5" xfId="1" applyNumberFormat="1" applyFont="1" applyFill="1" applyBorder="1" applyAlignment="1">
      <alignment horizontal="left" vertical="center"/>
    </xf>
    <xf numFmtId="0" fontId="2" fillId="2" borderId="6" xfId="1" applyNumberFormat="1" applyFont="1" applyFill="1" applyBorder="1"/>
    <xf numFmtId="0" fontId="3" fillId="4" borderId="4" xfId="1" applyNumberFormat="1" applyFont="1" applyFill="1" applyBorder="1"/>
    <xf numFmtId="0" fontId="2" fillId="2" borderId="6" xfId="0" applyNumberFormat="1" applyFont="1" applyFill="1" applyBorder="1"/>
    <xf numFmtId="0" fontId="2" fillId="2" borderId="6" xfId="1" applyNumberFormat="1" applyFont="1" applyFill="1" applyBorder="1" applyAlignment="1">
      <alignment horizontal="left"/>
    </xf>
    <xf numFmtId="0" fontId="5"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8" xfId="0" applyFont="1" applyFill="1" applyBorder="1" applyAlignment="1">
      <alignment horizontal="center" vertical="center" wrapText="1"/>
    </xf>
    <xf numFmtId="164" fontId="5" fillId="5" borderId="8" xfId="0" applyNumberFormat="1" applyFont="1" applyFill="1" applyBorder="1" applyAlignment="1">
      <alignment horizontal="center" vertical="center" wrapText="1"/>
    </xf>
    <xf numFmtId="164" fontId="5" fillId="5" borderId="10" xfId="0" applyNumberFormat="1" applyFont="1" applyFill="1" applyBorder="1" applyAlignment="1">
      <alignment horizontal="center"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wrapText="1"/>
    </xf>
    <xf numFmtId="0" fontId="3" fillId="0" borderId="11" xfId="0" applyFont="1" applyBorder="1" applyAlignment="1">
      <alignment horizontal="center" vertical="center" wrapText="1"/>
    </xf>
    <xf numFmtId="164" fontId="0" fillId="0" borderId="11" xfId="0" applyNumberFormat="1" applyFont="1" applyBorder="1"/>
    <xf numFmtId="164" fontId="2" fillId="0" borderId="13" xfId="0" applyNumberFormat="1" applyFont="1" applyBorder="1"/>
    <xf numFmtId="0" fontId="0" fillId="0" borderId="11" xfId="0" applyFont="1" applyBorder="1" applyAlignment="1">
      <alignment horizontal="center" vertical="center" wrapText="1"/>
    </xf>
    <xf numFmtId="0" fontId="0" fillId="0" borderId="11" xfId="0" applyFont="1" applyBorder="1" applyAlignment="1">
      <alignment vertical="center" wrapText="1"/>
    </xf>
    <xf numFmtId="3" fontId="3" fillId="0" borderId="11" xfId="0" applyNumberFormat="1" applyFont="1" applyBorder="1" applyAlignment="1">
      <alignment horizontal="center" vertical="center" wrapText="1"/>
    </xf>
    <xf numFmtId="164" fontId="0" fillId="0" borderId="11" xfId="0" applyNumberFormat="1" applyFont="1" applyBorder="1" applyAlignment="1"/>
    <xf numFmtId="0" fontId="7" fillId="0" borderId="0" xfId="0" applyFont="1" applyAlignment="1">
      <alignment wrapText="1"/>
    </xf>
    <xf numFmtId="0" fontId="3" fillId="6" borderId="11" xfId="0" applyFont="1" applyFill="1" applyBorder="1" applyAlignment="1">
      <alignment horizontal="center" vertical="center"/>
    </xf>
    <xf numFmtId="0" fontId="3" fillId="6" borderId="11" xfId="0" applyFont="1" applyFill="1" applyBorder="1" applyAlignment="1">
      <alignment horizontal="center" vertical="center" wrapText="1"/>
    </xf>
    <xf numFmtId="164" fontId="0" fillId="6" borderId="11" xfId="0" applyNumberFormat="1" applyFont="1" applyFill="1" applyBorder="1"/>
    <xf numFmtId="164" fontId="8" fillId="6" borderId="11" xfId="0" applyNumberFormat="1" applyFont="1" applyFill="1" applyBorder="1" applyAlignment="1">
      <alignment horizontal="center" vertical="center" wrapText="1"/>
    </xf>
    <xf numFmtId="164" fontId="0" fillId="6" borderId="13" xfId="0" applyNumberFormat="1" applyFont="1" applyFill="1" applyBorder="1"/>
    <xf numFmtId="164" fontId="8" fillId="0" borderId="11" xfId="0" applyNumberFormat="1" applyFont="1" applyBorder="1" applyAlignment="1">
      <alignment horizontal="center" vertical="center" wrapText="1"/>
    </xf>
    <xf numFmtId="0" fontId="3" fillId="7" borderId="11" xfId="0" applyFont="1" applyFill="1" applyBorder="1" applyAlignment="1">
      <alignment horizontal="center" vertical="center" wrapText="1"/>
    </xf>
    <xf numFmtId="0" fontId="3" fillId="0" borderId="14" xfId="0" applyFont="1" applyBorder="1" applyAlignment="1">
      <alignment horizontal="center" vertical="center" wrapText="1"/>
    </xf>
    <xf numFmtId="0" fontId="3" fillId="0" borderId="14" xfId="0" applyFont="1" applyBorder="1" applyAlignment="1">
      <alignment horizontal="center" vertical="center"/>
    </xf>
    <xf numFmtId="0" fontId="3" fillId="0" borderId="11" xfId="0" applyFont="1" applyBorder="1" applyAlignment="1">
      <alignment horizontal="center" vertical="top" wrapText="1"/>
    </xf>
    <xf numFmtId="0" fontId="3" fillId="0" borderId="14" xfId="0" applyFont="1" applyBorder="1" applyAlignment="1">
      <alignment horizontal="center" vertical="top" wrapText="1"/>
    </xf>
    <xf numFmtId="0" fontId="3" fillId="0" borderId="11" xfId="0" applyFont="1" applyBorder="1" applyAlignment="1">
      <alignment horizontal="center" wrapText="1"/>
    </xf>
    <xf numFmtId="164" fontId="0" fillId="0" borderId="14" xfId="0" applyNumberFormat="1" applyFont="1" applyBorder="1"/>
    <xf numFmtId="164" fontId="2" fillId="0" borderId="15" xfId="0" applyNumberFormat="1" applyFont="1" applyBorder="1"/>
    <xf numFmtId="164" fontId="2" fillId="0" borderId="11" xfId="0" applyNumberFormat="1" applyFont="1" applyBorder="1"/>
    <xf numFmtId="0" fontId="0" fillId="0" borderId="11" xfId="0" applyFont="1" applyBorder="1" applyAlignment="1">
      <alignment horizontal="right" vertical="center" wrapText="1"/>
    </xf>
    <xf numFmtId="0" fontId="3" fillId="0" borderId="14" xfId="0" applyFont="1" applyBorder="1" applyAlignment="1">
      <alignment horizontal="center" wrapText="1"/>
    </xf>
    <xf numFmtId="164" fontId="0" fillId="0" borderId="14" xfId="0" applyNumberFormat="1" applyFont="1" applyBorder="1" applyAlignment="1">
      <alignment horizontal="right" wrapText="1"/>
    </xf>
    <xf numFmtId="164" fontId="2" fillId="0" borderId="14" xfId="0" applyNumberFormat="1" applyFont="1" applyBorder="1"/>
    <xf numFmtId="164" fontId="0" fillId="0" borderId="11" xfId="0" applyNumberFormat="1" applyFont="1" applyBorder="1" applyAlignment="1">
      <alignment horizontal="right" wrapText="1"/>
    </xf>
    <xf numFmtId="0" fontId="9" fillId="0" borderId="11" xfId="0" applyFont="1" applyBorder="1" applyAlignment="1">
      <alignment horizontal="center" vertical="center"/>
    </xf>
    <xf numFmtId="0" fontId="9" fillId="0" borderId="11" xfId="0" applyFont="1" applyBorder="1" applyAlignment="1">
      <alignment horizontal="center" vertical="center" wrapText="1"/>
    </xf>
    <xf numFmtId="0" fontId="10" fillId="0" borderId="11" xfId="0" applyFont="1" applyBorder="1" applyAlignment="1">
      <alignment horizontal="center" vertical="center" wrapText="1"/>
    </xf>
    <xf numFmtId="164" fontId="11" fillId="0" borderId="11" xfId="0" applyNumberFormat="1" applyFont="1" applyBorder="1"/>
    <xf numFmtId="164" fontId="12" fillId="0" borderId="13" xfId="0" applyNumberFormat="1" applyFont="1" applyBorder="1"/>
    <xf numFmtId="0" fontId="11" fillId="0" borderId="11" xfId="0" applyFont="1" applyBorder="1" applyAlignment="1">
      <alignment vertical="center" wrapText="1"/>
    </xf>
    <xf numFmtId="164" fontId="11" fillId="0" borderId="11" xfId="0" applyNumberFormat="1" applyFont="1" applyBorder="1" applyAlignment="1"/>
    <xf numFmtId="0" fontId="9" fillId="0" borderId="14" xfId="0" applyFont="1" applyBorder="1" applyAlignment="1">
      <alignment horizontal="center" vertical="center"/>
    </xf>
    <xf numFmtId="0" fontId="9" fillId="0" borderId="14" xfId="0" applyFont="1" applyBorder="1" applyAlignment="1">
      <alignment horizontal="center" vertical="center" wrapText="1"/>
    </xf>
    <xf numFmtId="0" fontId="10" fillId="0" borderId="14" xfId="0" applyFont="1" applyBorder="1" applyAlignment="1">
      <alignment horizontal="center" vertical="center" wrapText="1"/>
    </xf>
    <xf numFmtId="0" fontId="11" fillId="0" borderId="14" xfId="0" applyFont="1" applyBorder="1" applyAlignment="1">
      <alignment vertical="center" wrapText="1"/>
    </xf>
    <xf numFmtId="3" fontId="10" fillId="0" borderId="11" xfId="0" applyNumberFormat="1" applyFont="1" applyBorder="1" applyAlignment="1">
      <alignment horizontal="center" vertical="center" wrapText="1"/>
    </xf>
    <xf numFmtId="164" fontId="11" fillId="0" borderId="14" xfId="0" applyNumberFormat="1" applyFont="1" applyBorder="1"/>
    <xf numFmtId="164" fontId="12" fillId="0" borderId="15" xfId="0" applyNumberFormat="1" applyFont="1" applyBorder="1"/>
    <xf numFmtId="0" fontId="13" fillId="8" borderId="16" xfId="0" applyFont="1" applyFill="1" applyBorder="1" applyAlignment="1">
      <alignment horizontal="center" vertical="center" wrapText="1"/>
    </xf>
    <xf numFmtId="0" fontId="13" fillId="8" borderId="17" xfId="0" applyFont="1" applyFill="1" applyBorder="1" applyAlignment="1">
      <alignment horizontal="center" vertical="center" wrapText="1"/>
    </xf>
    <xf numFmtId="0" fontId="13" fillId="8" borderId="0" xfId="0" applyFont="1" applyFill="1" applyBorder="1" applyAlignment="1">
      <alignment horizontal="center" vertical="center" wrapText="1"/>
    </xf>
    <xf numFmtId="0" fontId="11" fillId="0" borderId="16" xfId="0" applyFont="1" applyFill="1" applyBorder="1" applyAlignment="1">
      <alignment horizontal="center" vertical="center" wrapText="1"/>
    </xf>
    <xf numFmtId="165" fontId="11" fillId="0" borderId="16" xfId="0" applyNumberFormat="1" applyFont="1" applyFill="1" applyBorder="1" applyAlignment="1">
      <alignment horizontal="center" vertical="center" wrapText="1"/>
    </xf>
    <xf numFmtId="44" fontId="11" fillId="0" borderId="16" xfId="0" applyNumberFormat="1" applyFont="1" applyFill="1" applyBorder="1" applyAlignment="1">
      <alignment horizontal="center" vertical="center" wrapText="1"/>
    </xf>
    <xf numFmtId="166" fontId="11" fillId="0" borderId="16" xfId="0" applyNumberFormat="1" applyFont="1" applyFill="1" applyBorder="1" applyAlignment="1">
      <alignment horizontal="right" vertical="center" wrapText="1"/>
    </xf>
    <xf numFmtId="0" fontId="14" fillId="0" borderId="18"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0" fillId="9" borderId="0" xfId="0" applyFill="1"/>
    <xf numFmtId="0" fontId="0" fillId="9" borderId="0" xfId="0" applyFill="1" applyAlignment="1">
      <alignment horizontal="center" vertical="center"/>
    </xf>
    <xf numFmtId="0" fontId="0" fillId="0" borderId="0" xfId="0" applyAlignment="1">
      <alignment horizontal="center" vertical="center" wrapText="1"/>
    </xf>
    <xf numFmtId="14" fontId="0" fillId="0" borderId="0" xfId="0" applyNumberFormat="1" applyFill="1" applyAlignment="1">
      <alignment horizontal="center" vertical="center" wrapText="1"/>
    </xf>
    <xf numFmtId="44" fontId="0" fillId="0" borderId="0" xfId="0" applyNumberFormat="1" applyAlignment="1">
      <alignment vertical="center" wrapText="1"/>
    </xf>
    <xf numFmtId="0" fontId="0" fillId="0" borderId="0" xfId="0" applyFill="1" applyAlignment="1">
      <alignment horizontal="center" vertical="center" wrapText="1"/>
    </xf>
    <xf numFmtId="0" fontId="0" fillId="0" borderId="0" xfId="0" applyAlignment="1">
      <alignment horizontal="center" wrapText="1"/>
    </xf>
    <xf numFmtId="14" fontId="0" fillId="0" borderId="0" xfId="0" applyNumberFormat="1" applyFill="1" applyAlignment="1">
      <alignment horizontal="center" vertical="center"/>
    </xf>
    <xf numFmtId="44" fontId="0" fillId="0" borderId="0" xfId="0" applyNumberFormat="1" applyAlignment="1">
      <alignment horizontal="center" vertical="center"/>
    </xf>
    <xf numFmtId="0" fontId="0" fillId="0" borderId="0" xfId="0" applyFill="1" applyAlignment="1">
      <alignment horizontal="center" vertical="center"/>
    </xf>
    <xf numFmtId="0" fontId="11" fillId="10" borderId="19" xfId="0" applyFont="1" applyFill="1" applyBorder="1" applyAlignment="1">
      <alignment horizontal="center" vertical="center"/>
    </xf>
    <xf numFmtId="0" fontId="11" fillId="0" borderId="19" xfId="0" applyFont="1" applyBorder="1" applyAlignment="1">
      <alignment horizontal="center" vertical="center"/>
    </xf>
    <xf numFmtId="1" fontId="11" fillId="10" borderId="19" xfId="0" applyNumberFormat="1" applyFont="1" applyFill="1" applyBorder="1" applyAlignment="1">
      <alignment horizontal="center" vertical="center" wrapText="1"/>
    </xf>
    <xf numFmtId="1" fontId="11" fillId="0" borderId="19" xfId="0" applyNumberFormat="1" applyFont="1" applyBorder="1" applyAlignment="1">
      <alignment horizontal="center" vertical="center" wrapText="1"/>
    </xf>
    <xf numFmtId="0" fontId="11" fillId="10" borderId="20" xfId="0" applyFont="1" applyFill="1" applyBorder="1" applyAlignment="1">
      <alignment horizontal="center" vertical="center"/>
    </xf>
    <xf numFmtId="0" fontId="11" fillId="0" borderId="20" xfId="0" applyFont="1" applyBorder="1" applyAlignment="1">
      <alignment horizontal="center" vertical="center"/>
    </xf>
    <xf numFmtId="44" fontId="11" fillId="10" borderId="21" xfId="0" applyNumberFormat="1" applyFont="1" applyFill="1" applyBorder="1" applyAlignment="1">
      <alignment horizontal="center" vertical="center"/>
    </xf>
    <xf numFmtId="44" fontId="11" fillId="0" borderId="21" xfId="0" applyNumberFormat="1" applyFont="1" applyBorder="1" applyAlignment="1">
      <alignment horizontal="center" vertical="center"/>
    </xf>
    <xf numFmtId="0" fontId="11" fillId="9" borderId="16" xfId="0" applyFont="1" applyFill="1" applyBorder="1" applyAlignment="1">
      <alignment horizontal="center" vertical="center" wrapText="1"/>
    </xf>
    <xf numFmtId="0" fontId="0" fillId="9" borderId="0" xfId="0" applyFill="1" applyAlignment="1">
      <alignment horizontal="center" vertical="center" wrapText="1"/>
    </xf>
    <xf numFmtId="14" fontId="0" fillId="9" borderId="0" xfId="0" applyNumberFormat="1" applyFill="1" applyAlignment="1">
      <alignment horizontal="center" vertical="center"/>
    </xf>
    <xf numFmtId="44" fontId="0" fillId="9" borderId="0" xfId="0" applyNumberFormat="1" applyFill="1" applyAlignment="1">
      <alignment horizontal="center" vertical="center"/>
    </xf>
    <xf numFmtId="0" fontId="0" fillId="0" borderId="22" xfId="0" applyFont="1" applyBorder="1" applyAlignment="1">
      <alignment horizontal="center" vertical="center" wrapText="1"/>
    </xf>
    <xf numFmtId="165" fontId="0" fillId="0" borderId="22" xfId="0" applyNumberFormat="1" applyFont="1" applyBorder="1" applyAlignment="1">
      <alignment horizontal="center" vertical="center" wrapText="1"/>
    </xf>
    <xf numFmtId="0" fontId="0" fillId="0" borderId="23" xfId="0" applyFont="1" applyBorder="1" applyAlignment="1">
      <alignment horizontal="center" vertical="center" wrapText="1"/>
    </xf>
    <xf numFmtId="165" fontId="0" fillId="0" borderId="23" xfId="0" applyNumberFormat="1" applyFont="1" applyBorder="1" applyAlignment="1">
      <alignment horizontal="center" vertical="center" wrapText="1"/>
    </xf>
    <xf numFmtId="44" fontId="0" fillId="0" borderId="23" xfId="0" applyNumberFormat="1" applyFont="1" applyBorder="1" applyAlignment="1">
      <alignment horizontal="center" vertical="center" wrapText="1"/>
    </xf>
    <xf numFmtId="0" fontId="0" fillId="0" borderId="23" xfId="0" applyBorder="1" applyAlignment="1" applyProtection="1">
      <alignment horizontal="center" vertical="center" wrapText="1"/>
      <protection locked="0"/>
    </xf>
    <xf numFmtId="44" fontId="0" fillId="0" borderId="23" xfId="0" applyNumberFormat="1" applyBorder="1" applyAlignment="1">
      <alignment horizontal="right" vertical="center" wrapText="1"/>
    </xf>
    <xf numFmtId="165" fontId="0" fillId="0" borderId="23" xfId="0" applyNumberFormat="1" applyBorder="1" applyAlignment="1" applyProtection="1">
      <alignment horizontal="center" vertical="center" wrapText="1"/>
      <protection locked="0"/>
    </xf>
    <xf numFmtId="44" fontId="0" fillId="0" borderId="23" xfId="0" applyNumberFormat="1" applyBorder="1" applyAlignment="1" applyProtection="1">
      <alignment horizontal="center" vertical="center" wrapText="1"/>
      <protection locked="0"/>
    </xf>
    <xf numFmtId="0" fontId="0" fillId="0" borderId="24" xfId="0" applyBorder="1" applyAlignment="1" applyProtection="1">
      <alignment horizontal="center" vertical="center" wrapText="1"/>
      <protection locked="0"/>
    </xf>
    <xf numFmtId="165" fontId="0" fillId="0" borderId="24" xfId="0" applyNumberFormat="1" applyBorder="1" applyAlignment="1" applyProtection="1">
      <alignment horizontal="center" vertical="center" wrapText="1"/>
      <protection locked="0"/>
    </xf>
    <xf numFmtId="44" fontId="0" fillId="0" borderId="24" xfId="0" applyNumberFormat="1" applyBorder="1" applyAlignment="1" applyProtection="1">
      <alignment horizontal="center" vertical="center" wrapText="1"/>
      <protection locked="0"/>
    </xf>
    <xf numFmtId="44" fontId="0" fillId="0" borderId="24" xfId="0" applyNumberFormat="1" applyBorder="1" applyAlignment="1">
      <alignment horizontal="right" vertical="center" wrapText="1"/>
    </xf>
    <xf numFmtId="44" fontId="0" fillId="0" borderId="22" xfId="0" applyNumberFormat="1" applyFont="1" applyBorder="1" applyAlignment="1">
      <alignment horizontal="right" vertical="center" wrapText="1"/>
    </xf>
    <xf numFmtId="44" fontId="0" fillId="0" borderId="23" xfId="0" applyNumberFormat="1" applyFont="1" applyBorder="1" applyAlignment="1">
      <alignment horizontal="right" vertical="center" wrapText="1"/>
    </xf>
    <xf numFmtId="0" fontId="17" fillId="0" borderId="11"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8" xfId="0" applyNumberFormat="1" applyFont="1" applyBorder="1" applyAlignment="1">
      <alignment horizontal="center" vertical="center" wrapText="1"/>
    </xf>
    <xf numFmtId="0" fontId="17" fillId="0" borderId="11" xfId="0" applyNumberFormat="1" applyFont="1" applyBorder="1" applyAlignment="1">
      <alignment horizontal="center" vertical="center" wrapText="1"/>
    </xf>
    <xf numFmtId="0" fontId="17" fillId="0" borderId="14" xfId="0" applyNumberFormat="1" applyFont="1" applyBorder="1" applyAlignment="1">
      <alignment horizontal="center" vertical="center" wrapText="1"/>
    </xf>
    <xf numFmtId="0" fontId="0" fillId="0" borderId="0" xfId="0" applyNumberFormat="1"/>
    <xf numFmtId="44" fontId="17" fillId="0" borderId="8" xfId="1" applyFont="1" applyBorder="1" applyAlignment="1">
      <alignment horizontal="center" vertical="center" wrapText="1"/>
    </xf>
    <xf numFmtId="44" fontId="17" fillId="0" borderId="11" xfId="1" applyFont="1" applyBorder="1" applyAlignment="1">
      <alignment horizontal="center" vertical="center" wrapText="1"/>
    </xf>
    <xf numFmtId="44" fontId="17" fillId="0" borderId="14" xfId="1" applyFont="1" applyBorder="1" applyAlignment="1">
      <alignment horizontal="center" vertical="center" wrapText="1"/>
    </xf>
    <xf numFmtId="44" fontId="0" fillId="0" borderId="0" xfId="1" applyFont="1"/>
    <xf numFmtId="0" fontId="0" fillId="0" borderId="23" xfId="0" applyFont="1" applyBorder="1" applyAlignment="1" applyProtection="1">
      <alignment horizontal="center" vertical="center" wrapText="1"/>
      <protection locked="0"/>
    </xf>
    <xf numFmtId="165" fontId="0" fillId="0" borderId="23" xfId="0" applyNumberFormat="1" applyFont="1" applyBorder="1" applyAlignment="1" applyProtection="1">
      <alignment horizontal="center" vertical="center" wrapText="1"/>
      <protection locked="0"/>
    </xf>
    <xf numFmtId="44" fontId="0" fillId="0" borderId="23" xfId="0" applyNumberFormat="1" applyFont="1" applyBorder="1" applyAlignment="1" applyProtection="1">
      <alignment horizontal="center" vertical="center" wrapText="1"/>
      <protection locked="0"/>
    </xf>
    <xf numFmtId="0" fontId="0" fillId="0" borderId="24" xfId="0" applyFont="1" applyBorder="1" applyAlignment="1" applyProtection="1">
      <alignment horizontal="center" vertical="center" wrapText="1"/>
      <protection locked="0"/>
    </xf>
    <xf numFmtId="165" fontId="0" fillId="0" borderId="24" xfId="0" applyNumberFormat="1" applyFont="1" applyBorder="1" applyAlignment="1" applyProtection="1">
      <alignment horizontal="center" vertical="center" wrapText="1"/>
      <protection locked="0"/>
    </xf>
    <xf numFmtId="44" fontId="0" fillId="0" borderId="24" xfId="0" applyNumberFormat="1" applyFont="1" applyBorder="1" applyAlignment="1" applyProtection="1">
      <alignment horizontal="center" vertical="center" wrapText="1"/>
      <protection locked="0"/>
    </xf>
    <xf numFmtId="44" fontId="0" fillId="0" borderId="24" xfId="0" applyNumberFormat="1" applyFont="1" applyBorder="1" applyAlignment="1">
      <alignment horizontal="right" vertical="center" wrapText="1"/>
    </xf>
    <xf numFmtId="0" fontId="3"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19" fillId="0" borderId="0" xfId="0" applyFont="1" applyAlignment="1">
      <alignment horizontal="left" vertical="top" wrapText="1"/>
    </xf>
    <xf numFmtId="0" fontId="15" fillId="11" borderId="25" xfId="0" applyFont="1" applyFill="1" applyBorder="1" applyAlignment="1">
      <alignment horizontal="center" vertical="center" wrapText="1"/>
    </xf>
    <xf numFmtId="0" fontId="15" fillId="11" borderId="26" xfId="0" applyFont="1" applyFill="1" applyBorder="1" applyAlignment="1">
      <alignment horizontal="center" vertical="center" wrapText="1"/>
    </xf>
    <xf numFmtId="0" fontId="11" fillId="0" borderId="16" xfId="0" applyFont="1" applyFill="1" applyBorder="1" applyAlignment="1">
      <alignment horizontal="left" vertical="center" wrapText="1"/>
    </xf>
    <xf numFmtId="166" fontId="11" fillId="0" borderId="16" xfId="0" applyNumberFormat="1" applyFont="1" applyFill="1" applyBorder="1" applyAlignment="1">
      <alignment horizontal="center" vertical="center" wrapText="1"/>
    </xf>
    <xf numFmtId="167" fontId="14" fillId="0" borderId="16" xfId="0" applyNumberFormat="1" applyFont="1" applyFill="1" applyBorder="1" applyAlignment="1">
      <alignment horizontal="center" vertical="center" wrapText="1"/>
    </xf>
    <xf numFmtId="164" fontId="14" fillId="0" borderId="16" xfId="0" applyNumberFormat="1" applyFont="1" applyFill="1" applyBorder="1" applyAlignment="1">
      <alignment horizontal="center" vertical="center" wrapText="1"/>
    </xf>
    <xf numFmtId="166" fontId="14" fillId="0" borderId="16" xfId="0" applyNumberFormat="1" applyFont="1" applyFill="1" applyBorder="1" applyAlignment="1">
      <alignment horizontal="center" vertical="center" wrapText="1"/>
    </xf>
    <xf numFmtId="0" fontId="20" fillId="0" borderId="16" xfId="0" applyFont="1" applyFill="1" applyBorder="1" applyAlignment="1">
      <alignment horizontal="center" vertical="center" wrapText="1"/>
    </xf>
    <xf numFmtId="0" fontId="21" fillId="0" borderId="16" xfId="0" applyFont="1" applyFill="1" applyBorder="1" applyAlignment="1">
      <alignment horizontal="center" vertical="center" wrapText="1"/>
    </xf>
    <xf numFmtId="0" fontId="21" fillId="0" borderId="16" xfId="0" applyFont="1" applyFill="1" applyBorder="1" applyAlignment="1">
      <alignment horizontal="center" vertical="center"/>
    </xf>
    <xf numFmtId="0" fontId="22" fillId="0" borderId="16" xfId="0" applyFont="1" applyFill="1" applyBorder="1" applyAlignment="1">
      <alignment horizontal="center" vertical="center" wrapText="1"/>
    </xf>
    <xf numFmtId="0" fontId="11" fillId="0" borderId="27" xfId="0" applyFont="1" applyFill="1" applyBorder="1" applyAlignment="1">
      <alignment horizontal="center" vertical="center" wrapText="1"/>
    </xf>
    <xf numFmtId="165" fontId="11" fillId="0" borderId="28" xfId="0" applyNumberFormat="1" applyFont="1" applyFill="1" applyBorder="1" applyAlignment="1">
      <alignment horizontal="center" vertical="center" wrapText="1"/>
    </xf>
    <xf numFmtId="44" fontId="11" fillId="0" borderId="28" xfId="0" applyNumberFormat="1" applyFont="1" applyFill="1" applyBorder="1" applyAlignment="1">
      <alignment horizontal="center" vertical="center" wrapText="1"/>
    </xf>
    <xf numFmtId="166" fontId="11" fillId="0" borderId="28" xfId="0" applyNumberFormat="1" applyFont="1" applyFill="1" applyBorder="1" applyAlignment="1">
      <alignment horizontal="right" vertical="center" wrapText="1"/>
    </xf>
    <xf numFmtId="0" fontId="11" fillId="0" borderId="28" xfId="0" applyFont="1" applyFill="1" applyBorder="1" applyAlignment="1">
      <alignment horizontal="center" vertical="center" wrapText="1"/>
    </xf>
    <xf numFmtId="165" fontId="11" fillId="0" borderId="27" xfId="0" applyNumberFormat="1" applyFont="1" applyFill="1" applyBorder="1" applyAlignment="1">
      <alignment horizontal="center" vertical="center" wrapText="1"/>
    </xf>
    <xf numFmtId="44" fontId="11" fillId="0" borderId="27" xfId="0" applyNumberFormat="1" applyFont="1" applyFill="1" applyBorder="1" applyAlignment="1">
      <alignment horizontal="center" vertical="center" wrapText="1"/>
    </xf>
    <xf numFmtId="166" fontId="11" fillId="0" borderId="27" xfId="0" applyNumberFormat="1" applyFont="1" applyFill="1" applyBorder="1" applyAlignment="1">
      <alignment horizontal="right" vertical="center" wrapText="1"/>
    </xf>
    <xf numFmtId="43" fontId="11" fillId="0" borderId="16" xfId="0" applyNumberFormat="1" applyFont="1" applyFill="1" applyBorder="1" applyAlignment="1">
      <alignment horizontal="center" vertical="center" wrapText="1"/>
    </xf>
    <xf numFmtId="0" fontId="23" fillId="0" borderId="16" xfId="0" applyFont="1" applyFill="1" applyBorder="1" applyAlignment="1">
      <alignment horizontal="center" vertical="center" wrapText="1"/>
    </xf>
    <xf numFmtId="4" fontId="11" fillId="0" borderId="16" xfId="0" applyNumberFormat="1" applyFont="1" applyFill="1" applyBorder="1"/>
    <xf numFmtId="0" fontId="20" fillId="7" borderId="16" xfId="0" applyFont="1" applyFill="1" applyBorder="1" applyAlignment="1">
      <alignment horizontal="center" vertical="center" wrapText="1"/>
    </xf>
    <xf numFmtId="0" fontId="21" fillId="7" borderId="16" xfId="0" applyFont="1" applyFill="1" applyBorder="1" applyAlignment="1">
      <alignment horizontal="center" vertical="center"/>
    </xf>
    <xf numFmtId="0" fontId="22" fillId="7" borderId="16" xfId="0" applyFont="1" applyFill="1" applyBorder="1" applyAlignment="1">
      <alignment horizontal="center" vertical="center" wrapText="1"/>
    </xf>
    <xf numFmtId="0" fontId="3" fillId="9" borderId="0" xfId="0" applyFont="1" applyFill="1"/>
    <xf numFmtId="8" fontId="0" fillId="0" borderId="22" xfId="0" applyNumberFormat="1" applyFont="1" applyBorder="1" applyAlignment="1">
      <alignment horizontal="right" vertical="center" wrapText="1"/>
    </xf>
    <xf numFmtId="8" fontId="0" fillId="0" borderId="23" xfId="0" applyNumberFormat="1" applyFont="1" applyBorder="1" applyAlignment="1">
      <alignment horizontal="right" vertical="center" wrapText="1"/>
    </xf>
    <xf numFmtId="44" fontId="0" fillId="0" borderId="24" xfId="0" applyNumberFormat="1" applyBorder="1" applyAlignment="1" applyProtection="1">
      <alignment horizontal="right" vertical="center" wrapText="1"/>
      <protection locked="0"/>
    </xf>
    <xf numFmtId="44" fontId="0" fillId="0" borderId="23" xfId="0" applyNumberFormat="1" applyBorder="1" applyAlignment="1" applyProtection="1">
      <alignment horizontal="right" vertical="center" wrapText="1"/>
      <protection locked="0"/>
    </xf>
    <xf numFmtId="0" fontId="0" fillId="0" borderId="29" xfId="0" applyFont="1" applyBorder="1" applyAlignment="1" applyProtection="1">
      <alignment horizontal="center" vertical="center" wrapText="1"/>
      <protection locked="0"/>
    </xf>
    <xf numFmtId="49" fontId="0" fillId="0" borderId="23" xfId="0" applyNumberFormat="1" applyFont="1" applyBorder="1" applyAlignment="1" applyProtection="1">
      <alignment horizontal="center" vertical="center" wrapText="1"/>
      <protection locked="0"/>
    </xf>
    <xf numFmtId="0" fontId="24" fillId="0" borderId="23" xfId="0" applyFont="1" applyBorder="1" applyAlignment="1">
      <alignment horizontal="center" vertical="center" wrapText="1"/>
    </xf>
    <xf numFmtId="49" fontId="0" fillId="0" borderId="23" xfId="0" applyNumberFormat="1" applyFont="1" applyBorder="1" applyAlignment="1">
      <alignment horizontal="center" vertical="center" wrapText="1"/>
    </xf>
    <xf numFmtId="49" fontId="0" fillId="0" borderId="30" xfId="0" applyNumberFormat="1" applyFont="1" applyBorder="1" applyAlignment="1">
      <alignment horizontal="center" vertical="center"/>
    </xf>
    <xf numFmtId="49" fontId="0" fillId="0" borderId="31" xfId="0" applyNumberFormat="1" applyFont="1" applyBorder="1" applyAlignment="1">
      <alignment horizontal="center" vertical="center" wrapText="1"/>
    </xf>
    <xf numFmtId="0" fontId="0" fillId="0" borderId="32" xfId="0" applyFont="1" applyBorder="1" applyAlignment="1" applyProtection="1">
      <alignment horizontal="center" vertical="center" wrapText="1"/>
      <protection locked="0"/>
    </xf>
    <xf numFmtId="0" fontId="0" fillId="0" borderId="22" xfId="0" applyFont="1" applyFill="1" applyBorder="1" applyAlignment="1">
      <alignment horizontal="center" vertical="center" wrapText="1"/>
    </xf>
    <xf numFmtId="0" fontId="0" fillId="0" borderId="23" xfId="0" applyFont="1" applyFill="1" applyBorder="1" applyAlignment="1">
      <alignment horizontal="center" vertical="center" wrapText="1"/>
    </xf>
    <xf numFmtId="165" fontId="0" fillId="0" borderId="23" xfId="0" applyNumberFormat="1" applyFont="1" applyFill="1" applyBorder="1" applyAlignment="1">
      <alignment horizontal="center" vertical="center" wrapText="1"/>
    </xf>
    <xf numFmtId="44" fontId="0" fillId="0" borderId="23" xfId="0" applyNumberFormat="1" applyFont="1" applyFill="1" applyBorder="1" applyAlignment="1">
      <alignment horizontal="center" vertical="center" wrapText="1"/>
    </xf>
    <xf numFmtId="44" fontId="0" fillId="0" borderId="23" xfId="0" applyNumberFormat="1" applyFont="1" applyFill="1" applyBorder="1" applyAlignment="1">
      <alignment horizontal="right" vertical="center" wrapText="1"/>
    </xf>
    <xf numFmtId="0" fontId="0" fillId="0" borderId="24" xfId="0" applyFill="1" applyBorder="1" applyAlignment="1" applyProtection="1">
      <alignment horizontal="center" vertical="center" wrapText="1"/>
      <protection locked="0"/>
    </xf>
    <xf numFmtId="165" fontId="0" fillId="0" borderId="24" xfId="0" applyNumberFormat="1" applyFill="1" applyBorder="1" applyAlignment="1" applyProtection="1">
      <alignment horizontal="center" vertical="center" wrapText="1"/>
      <protection locked="0"/>
    </xf>
    <xf numFmtId="8" fontId="0" fillId="0" borderId="24" xfId="0" applyNumberFormat="1" applyFill="1" applyBorder="1" applyAlignment="1" applyProtection="1">
      <alignment horizontal="center" vertical="center" wrapText="1"/>
      <protection locked="0"/>
    </xf>
    <xf numFmtId="44" fontId="0" fillId="0" borderId="24" xfId="0" applyNumberFormat="1" applyFill="1" applyBorder="1" applyAlignment="1">
      <alignment horizontal="right" vertical="center" wrapText="1"/>
    </xf>
    <xf numFmtId="0" fontId="11" fillId="0" borderId="24" xfId="0" applyFont="1" applyFill="1" applyBorder="1" applyAlignment="1">
      <alignment horizontal="center" vertical="center" wrapText="1"/>
    </xf>
    <xf numFmtId="0" fontId="11" fillId="0" borderId="23" xfId="0" applyFont="1" applyFill="1" applyBorder="1" applyAlignment="1">
      <alignment horizontal="center" vertical="center" wrapText="1"/>
    </xf>
    <xf numFmtId="167" fontId="11" fillId="0" borderId="23" xfId="0" applyNumberFormat="1" applyFont="1" applyFill="1" applyBorder="1" applyAlignment="1">
      <alignment horizontal="center" vertical="center" wrapText="1"/>
    </xf>
    <xf numFmtId="164" fontId="11" fillId="0" borderId="23" xfId="0" applyNumberFormat="1" applyFont="1" applyFill="1" applyBorder="1" applyAlignment="1">
      <alignment horizontal="center" vertical="center" wrapText="1"/>
    </xf>
    <xf numFmtId="164" fontId="11" fillId="0" borderId="23" xfId="0" applyNumberFormat="1" applyFont="1" applyFill="1" applyBorder="1" applyAlignment="1">
      <alignment horizontal="right" vertical="center" wrapText="1"/>
    </xf>
    <xf numFmtId="0" fontId="11" fillId="0" borderId="23" xfId="0" applyFont="1" applyFill="1" applyBorder="1" applyAlignment="1">
      <alignment horizontal="left" vertical="center" wrapText="1"/>
    </xf>
    <xf numFmtId="0" fontId="11" fillId="0" borderId="24" xfId="0" applyFont="1" applyFill="1" applyBorder="1" applyAlignment="1">
      <alignment horizontal="left" vertical="center" wrapText="1"/>
    </xf>
    <xf numFmtId="164" fontId="1" fillId="0" borderId="0" xfId="0" applyNumberFormat="1" applyFont="1" applyFill="1" applyAlignment="1">
      <alignment vertical="center"/>
    </xf>
    <xf numFmtId="44" fontId="0" fillId="0" borderId="24" xfId="0" applyNumberFormat="1" applyFill="1" applyBorder="1" applyAlignment="1" applyProtection="1">
      <alignment horizontal="center" vertical="center" wrapText="1"/>
      <protection locked="0"/>
    </xf>
    <xf numFmtId="0" fontId="0" fillId="0" borderId="23" xfId="0" applyFill="1" applyBorder="1" applyAlignment="1" applyProtection="1">
      <alignment horizontal="center" vertical="center" wrapText="1"/>
      <protection locked="0"/>
    </xf>
    <xf numFmtId="165" fontId="0" fillId="0" borderId="23" xfId="0" applyNumberFormat="1" applyFill="1" applyBorder="1" applyAlignment="1" applyProtection="1">
      <alignment horizontal="center" vertical="center" wrapText="1"/>
      <protection locked="0"/>
    </xf>
    <xf numFmtId="44" fontId="0" fillId="0" borderId="23" xfId="0" applyNumberFormat="1" applyFill="1" applyBorder="1" applyAlignment="1" applyProtection="1">
      <alignment horizontal="center" vertical="center" wrapText="1"/>
      <protection locked="0"/>
    </xf>
    <xf numFmtId="44" fontId="0" fillId="0" borderId="23" xfId="0" applyNumberFormat="1" applyFill="1" applyBorder="1" applyAlignment="1">
      <alignment horizontal="right" vertical="center" wrapText="1"/>
    </xf>
    <xf numFmtId="0" fontId="18" fillId="12" borderId="8" xfId="0" applyFont="1" applyFill="1" applyBorder="1" applyAlignment="1">
      <alignment horizontal="center" vertical="center" wrapText="1"/>
    </xf>
    <xf numFmtId="44" fontId="18" fillId="12" borderId="8" xfId="1" applyFont="1" applyFill="1" applyBorder="1" applyAlignment="1">
      <alignment horizontal="center" vertical="center" wrapText="1"/>
    </xf>
    <xf numFmtId="0" fontId="18" fillId="12" borderId="8" xfId="0" applyNumberFormat="1" applyFont="1" applyFill="1" applyBorder="1" applyAlignment="1">
      <alignment horizontal="center" vertical="center" wrapText="1"/>
    </xf>
    <xf numFmtId="0" fontId="16" fillId="9" borderId="0" xfId="0" applyFont="1" applyFill="1" applyAlignment="1">
      <alignment horizontal="center" vertical="center"/>
    </xf>
    <xf numFmtId="49" fontId="2" fillId="0" borderId="0" xfId="0" applyNumberFormat="1" applyFont="1"/>
    <xf numFmtId="49" fontId="0" fillId="0" borderId="0" xfId="0" applyNumberFormat="1"/>
    <xf numFmtId="49" fontId="2" fillId="0" borderId="0" xfId="0" applyNumberFormat="1" applyFont="1" applyAlignment="1">
      <alignment horizontal="right"/>
    </xf>
    <xf numFmtId="49" fontId="0" fillId="0" borderId="0" xfId="0" applyNumberFormat="1" applyAlignment="1">
      <alignment horizontal="right"/>
    </xf>
    <xf numFmtId="4" fontId="0" fillId="0" borderId="0" xfId="0" applyNumberFormat="1" applyAlignment="1">
      <alignment horizontal="right"/>
    </xf>
    <xf numFmtId="0" fontId="25" fillId="0" borderId="33" xfId="0" applyFont="1" applyBorder="1" applyAlignment="1">
      <alignment wrapText="1"/>
    </xf>
    <xf numFmtId="0" fontId="11" fillId="0" borderId="34" xfId="0" applyFont="1" applyBorder="1" applyAlignment="1">
      <alignment horizontal="center" wrapText="1"/>
    </xf>
    <xf numFmtId="0" fontId="11" fillId="0" borderId="35" xfId="0" applyFont="1" applyBorder="1" applyAlignment="1">
      <alignment horizontal="center" vertical="center" wrapText="1"/>
    </xf>
    <xf numFmtId="8" fontId="11" fillId="0" borderId="36" xfId="0" applyNumberFormat="1" applyFont="1" applyBorder="1" applyAlignment="1">
      <alignment horizontal="center" vertical="center" wrapText="1"/>
    </xf>
    <xf numFmtId="0" fontId="11" fillId="0" borderId="36" xfId="0" applyFont="1" applyBorder="1" applyAlignment="1">
      <alignment horizontal="center" vertical="center" wrapText="1"/>
    </xf>
    <xf numFmtId="0" fontId="25" fillId="0" borderId="36" xfId="0" applyFont="1" applyBorder="1" applyAlignment="1">
      <alignment vertical="center" wrapText="1"/>
    </xf>
    <xf numFmtId="0" fontId="0" fillId="0" borderId="7" xfId="0" applyNumberFormat="1" applyBorder="1"/>
    <xf numFmtId="0" fontId="0" fillId="0" borderId="7" xfId="0" applyNumberFormat="1" applyBorder="1" applyAlignment="1">
      <alignment horizontal="right"/>
    </xf>
    <xf numFmtId="0" fontId="0" fillId="0" borderId="7" xfId="1" applyNumberFormat="1" applyFont="1" applyBorder="1" applyAlignment="1">
      <alignment horizontal="right"/>
    </xf>
    <xf numFmtId="0" fontId="0" fillId="13" borderId="7" xfId="0" applyNumberFormat="1" applyFill="1" applyBorder="1" applyAlignment="1">
      <alignment horizontal="right"/>
    </xf>
    <xf numFmtId="2" fontId="0" fillId="14" borderId="7" xfId="0" applyNumberFormat="1" applyFont="1" applyFill="1" applyBorder="1" applyAlignment="1">
      <alignment horizontal="right"/>
    </xf>
    <xf numFmtId="2" fontId="0" fillId="0" borderId="7" xfId="0" applyNumberFormat="1" applyBorder="1" applyAlignment="1">
      <alignment horizontal="right"/>
    </xf>
    <xf numFmtId="2" fontId="2" fillId="0" borderId="0" xfId="1" applyNumberFormat="1" applyFont="1" applyAlignment="1">
      <alignment horizontal="right"/>
    </xf>
    <xf numFmtId="2" fontId="2" fillId="0" borderId="0" xfId="0" applyNumberFormat="1" applyFont="1" applyAlignment="1">
      <alignment horizontal="right"/>
    </xf>
    <xf numFmtId="2" fontId="0" fillId="13" borderId="7" xfId="0" applyNumberFormat="1" applyFill="1" applyBorder="1" applyAlignment="1">
      <alignment horizontal="right"/>
    </xf>
    <xf numFmtId="2" fontId="0" fillId="15" borderId="7" xfId="0" applyNumberFormat="1" applyFill="1" applyBorder="1" applyAlignment="1">
      <alignment horizontal="right"/>
    </xf>
    <xf numFmtId="2" fontId="0" fillId="15" borderId="7" xfId="1" applyNumberFormat="1" applyFont="1" applyFill="1" applyBorder="1" applyAlignment="1">
      <alignment horizontal="right"/>
    </xf>
    <xf numFmtId="2" fontId="2" fillId="16" borderId="0" xfId="0" applyNumberFormat="1" applyFont="1" applyFill="1"/>
    <xf numFmtId="2" fontId="0" fillId="0" borderId="0" xfId="0" applyNumberFormat="1"/>
    <xf numFmtId="2" fontId="2" fillId="17" borderId="0" xfId="0" applyNumberFormat="1" applyFont="1" applyFill="1"/>
    <xf numFmtId="2" fontId="0" fillId="0" borderId="0" xfId="0" applyNumberFormat="1" applyFont="1" applyAlignment="1"/>
    <xf numFmtId="2" fontId="0" fillId="2" borderId="0" xfId="0" applyNumberFormat="1" applyFont="1" applyFill="1" applyAlignment="1"/>
    <xf numFmtId="2" fontId="25" fillId="0" borderId="0" xfId="0" applyNumberFormat="1" applyFont="1"/>
    <xf numFmtId="2" fontId="0" fillId="0" borderId="0" xfId="1" applyNumberFormat="1" applyFont="1"/>
    <xf numFmtId="0" fontId="0" fillId="0" borderId="0" xfId="0" applyBorder="1"/>
    <xf numFmtId="0" fontId="0" fillId="0" borderId="7" xfId="0" applyBorder="1"/>
    <xf numFmtId="0" fontId="4" fillId="0" borderId="7" xfId="0" applyFont="1" applyBorder="1"/>
    <xf numFmtId="0" fontId="4" fillId="0" borderId="37" xfId="0" applyFont="1" applyBorder="1" applyAlignment="1">
      <alignment horizontal="right"/>
    </xf>
    <xf numFmtId="0" fontId="4" fillId="18" borderId="37" xfId="0" applyFont="1" applyFill="1" applyBorder="1" applyAlignment="1">
      <alignment horizontal="right"/>
    </xf>
    <xf numFmtId="0" fontId="4" fillId="0" borderId="38" xfId="0" applyFont="1" applyBorder="1"/>
    <xf numFmtId="2" fontId="4" fillId="19" borderId="39" xfId="0" applyNumberFormat="1" applyFont="1" applyFill="1" applyBorder="1" applyAlignment="1">
      <alignment horizontal="right"/>
    </xf>
    <xf numFmtId="2" fontId="4" fillId="0" borderId="39" xfId="0" applyNumberFormat="1" applyFont="1" applyBorder="1" applyAlignment="1">
      <alignment horizontal="right"/>
    </xf>
    <xf numFmtId="2" fontId="26" fillId="0" borderId="0" xfId="0" applyNumberFormat="1" applyFont="1" applyAlignment="1">
      <alignment horizontal="right"/>
    </xf>
    <xf numFmtId="2" fontId="4" fillId="18" borderId="38" xfId="0" applyNumberFormat="1" applyFont="1" applyFill="1" applyBorder="1" applyAlignment="1">
      <alignment horizontal="right"/>
    </xf>
    <xf numFmtId="2" fontId="4" fillId="20" borderId="39" xfId="0" applyNumberFormat="1" applyFont="1" applyFill="1" applyBorder="1" applyAlignment="1">
      <alignment horizontal="right"/>
    </xf>
    <xf numFmtId="2" fontId="4" fillId="0" borderId="7" xfId="0" applyNumberFormat="1" applyFont="1" applyBorder="1" applyAlignment="1">
      <alignment horizontal="right"/>
    </xf>
    <xf numFmtId="2" fontId="4" fillId="18" borderId="39" xfId="0" applyNumberFormat="1" applyFont="1" applyFill="1" applyBorder="1" applyAlignment="1">
      <alignment horizontal="right"/>
    </xf>
    <xf numFmtId="2" fontId="4" fillId="20" borderId="37" xfId="0" applyNumberFormat="1" applyFont="1" applyFill="1" applyBorder="1" applyAlignment="1">
      <alignment horizontal="right"/>
    </xf>
    <xf numFmtId="2" fontId="26" fillId="21" borderId="0" xfId="0" applyNumberFormat="1" applyFont="1" applyFill="1"/>
    <xf numFmtId="2" fontId="4" fillId="0" borderId="0" xfId="0" applyNumberFormat="1" applyFont="1"/>
    <xf numFmtId="2" fontId="4" fillId="0" borderId="38" xfId="0" applyNumberFormat="1" applyFont="1" applyBorder="1" applyAlignment="1">
      <alignment horizontal="right"/>
    </xf>
    <xf numFmtId="2" fontId="26" fillId="22" borderId="0" xfId="0" applyNumberFormat="1" applyFont="1" applyFill="1"/>
    <xf numFmtId="2" fontId="4" fillId="23" borderId="0" xfId="0" applyNumberFormat="1" applyFont="1" applyFill="1"/>
    <xf numFmtId="2" fontId="4" fillId="18" borderId="7" xfId="0" applyNumberFormat="1" applyFont="1" applyFill="1" applyBorder="1" applyAlignment="1">
      <alignment horizontal="right"/>
    </xf>
    <xf numFmtId="2" fontId="27" fillId="0" borderId="0" xfId="0" applyNumberFormat="1" applyFont="1"/>
    <xf numFmtId="2" fontId="4" fillId="0" borderId="37" xfId="0" applyNumberFormat="1" applyFont="1" applyBorder="1" applyAlignment="1">
      <alignment horizontal="right"/>
    </xf>
    <xf numFmtId="49" fontId="28" fillId="0" borderId="7" xfId="0" applyNumberFormat="1" applyFont="1" applyBorder="1"/>
    <xf numFmtId="0" fontId="0" fillId="0" borderId="7" xfId="0" applyNumberFormat="1" applyFont="1" applyBorder="1" applyAlignment="1">
      <alignment horizontal="right"/>
    </xf>
    <xf numFmtId="0" fontId="0" fillId="0" borderId="7" xfId="0" applyNumberFormat="1" applyFont="1" applyBorder="1"/>
    <xf numFmtId="0" fontId="0" fillId="15" borderId="7" xfId="0" applyFill="1" applyBorder="1"/>
    <xf numFmtId="49" fontId="28" fillId="24" borderId="7" xfId="0" applyNumberFormat="1" applyFont="1" applyFill="1" applyBorder="1"/>
    <xf numFmtId="0" fontId="0" fillId="24" borderId="7" xfId="0" applyNumberFormat="1" applyFont="1" applyFill="1" applyBorder="1"/>
    <xf numFmtId="0" fontId="0" fillId="24" borderId="0" xfId="0" applyNumberFormat="1" applyFill="1"/>
    <xf numFmtId="0" fontId="0" fillId="24" borderId="0" xfId="0" applyNumberFormat="1" applyFill="1" applyAlignment="1">
      <alignment horizontal="right"/>
    </xf>
    <xf numFmtId="0" fontId="0" fillId="24" borderId="7" xfId="0" applyFill="1" applyBorder="1"/>
    <xf numFmtId="0" fontId="28" fillId="3" borderId="7" xfId="0" applyFont="1" applyFill="1" applyBorder="1"/>
    <xf numFmtId="0" fontId="0" fillId="3" borderId="7" xfId="0" applyNumberFormat="1" applyFont="1" applyFill="1" applyBorder="1" applyAlignment="1">
      <alignment horizontal="right"/>
    </xf>
    <xf numFmtId="0" fontId="0" fillId="3" borderId="7" xfId="0" applyNumberFormat="1" applyFont="1" applyFill="1" applyBorder="1"/>
    <xf numFmtId="0" fontId="4" fillId="0" borderId="0" xfId="0" applyFont="1" applyAlignment="1">
      <alignment horizontal="right"/>
    </xf>
    <xf numFmtId="0" fontId="0" fillId="3" borderId="7" xfId="0" applyFill="1" applyBorder="1"/>
    <xf numFmtId="0" fontId="28" fillId="15" borderId="7" xfId="0" applyFont="1" applyFill="1" applyBorder="1"/>
    <xf numFmtId="0" fontId="0" fillId="15" borderId="7" xfId="0" applyNumberFormat="1" applyFont="1" applyFill="1" applyBorder="1"/>
    <xf numFmtId="0" fontId="2" fillId="2" borderId="40" xfId="0" applyNumberFormat="1" applyFont="1" applyFill="1" applyBorder="1"/>
    <xf numFmtId="0" fontId="0" fillId="0" borderId="41" xfId="0" applyBorder="1" applyAlignment="1">
      <alignment horizontal="left" vertical="center"/>
    </xf>
    <xf numFmtId="0" fontId="29" fillId="0" borderId="0" xfId="0" applyFont="1" applyAlignment="1">
      <alignment vertical="center"/>
    </xf>
    <xf numFmtId="14" fontId="0" fillId="0" borderId="0" xfId="0" applyNumberFormat="1" applyAlignment="1">
      <alignment horizontal="right"/>
    </xf>
    <xf numFmtId="0" fontId="0" fillId="0" borderId="0" xfId="1" applyNumberFormat="1" applyFont="1"/>
    <xf numFmtId="0" fontId="2" fillId="0" borderId="0" xfId="0" applyFont="1"/>
    <xf numFmtId="2" fontId="2" fillId="0" borderId="0" xfId="0" applyNumberFormat="1" applyFont="1"/>
    <xf numFmtId="0" fontId="13" fillId="25" borderId="0" xfId="0" applyFont="1" applyFill="1" applyBorder="1" applyAlignment="1">
      <alignment horizontal="center" vertical="center" wrapText="1"/>
    </xf>
    <xf numFmtId="2" fontId="0" fillId="26" borderId="42" xfId="0" applyNumberFormat="1" applyFill="1" applyBorder="1" applyAlignment="1">
      <alignment horizontal="center" wrapText="1"/>
    </xf>
    <xf numFmtId="2" fontId="0" fillId="26" borderId="45" xfId="0" applyNumberFormat="1" applyFill="1" applyBorder="1" applyAlignment="1">
      <alignment horizontal="right" wrapText="1"/>
    </xf>
    <xf numFmtId="2" fontId="0" fillId="26" borderId="43" xfId="0" applyNumberFormat="1" applyFill="1" applyBorder="1" applyAlignment="1">
      <alignment horizontal="center" wrapText="1"/>
    </xf>
    <xf numFmtId="2" fontId="0" fillId="27" borderId="33" xfId="0" applyNumberFormat="1" applyFill="1" applyBorder="1" applyAlignment="1">
      <alignment horizontal="center" wrapText="1"/>
    </xf>
    <xf numFmtId="2" fontId="0" fillId="27" borderId="35" xfId="0" applyNumberFormat="1" applyFill="1" applyBorder="1" applyAlignment="1">
      <alignment horizontal="center" wrapText="1"/>
    </xf>
    <xf numFmtId="2" fontId="2" fillId="27" borderId="46" xfId="0" applyNumberFormat="1" applyFont="1" applyFill="1" applyBorder="1" applyAlignment="1">
      <alignment horizontal="right" wrapText="1"/>
    </xf>
    <xf numFmtId="2" fontId="0" fillId="27" borderId="44" xfId="0" applyNumberFormat="1" applyFill="1" applyBorder="1" applyAlignment="1">
      <alignment horizontal="center" wrapText="1"/>
    </xf>
    <xf numFmtId="2" fontId="0" fillId="29" borderId="35" xfId="0" applyNumberFormat="1" applyFill="1" applyBorder="1" applyAlignment="1">
      <alignment horizontal="center" wrapText="1"/>
    </xf>
    <xf numFmtId="2" fontId="0" fillId="30" borderId="43" xfId="0" applyNumberFormat="1" applyFill="1" applyBorder="1" applyAlignment="1">
      <alignment horizontal="right" wrapText="1"/>
    </xf>
    <xf numFmtId="2" fontId="0" fillId="28" borderId="35" xfId="0" applyNumberFormat="1" applyFill="1" applyBorder="1" applyAlignment="1">
      <alignment horizontal="center" wrapText="1"/>
    </xf>
    <xf numFmtId="2" fontId="0" fillId="27" borderId="43" xfId="0" applyNumberFormat="1" applyFill="1" applyBorder="1" applyAlignment="1">
      <alignment horizontal="right" wrapText="1"/>
    </xf>
    <xf numFmtId="2" fontId="0" fillId="30" borderId="46" xfId="0" applyNumberFormat="1" applyFill="1" applyBorder="1" applyAlignment="1">
      <alignment horizontal="right" wrapText="1"/>
    </xf>
    <xf numFmtId="0" fontId="30" fillId="27" borderId="33" xfId="0" applyFont="1" applyFill="1" applyBorder="1" applyAlignment="1">
      <alignment wrapText="1"/>
    </xf>
    <xf numFmtId="0" fontId="31" fillId="27" borderId="34" xfId="0" applyFont="1" applyFill="1" applyBorder="1" applyAlignment="1">
      <alignment wrapText="1"/>
    </xf>
    <xf numFmtId="0" fontId="31" fillId="27" borderId="34" xfId="0" applyFont="1" applyFill="1" applyBorder="1" applyAlignment="1">
      <alignment horizontal="right" wrapText="1"/>
    </xf>
    <xf numFmtId="17" fontId="31" fillId="27" borderId="34" xfId="0" applyNumberFormat="1" applyFont="1" applyFill="1" applyBorder="1" applyAlignment="1">
      <alignment wrapText="1"/>
    </xf>
    <xf numFmtId="14" fontId="31" fillId="27" borderId="34" xfId="0" applyNumberFormat="1" applyFont="1" applyFill="1" applyBorder="1" applyAlignment="1">
      <alignment horizontal="right" wrapText="1"/>
    </xf>
    <xf numFmtId="4" fontId="31" fillId="27" borderId="46" xfId="0" applyNumberFormat="1" applyFont="1" applyFill="1" applyBorder="1" applyAlignment="1">
      <alignment horizontal="right" wrapText="1"/>
    </xf>
    <xf numFmtId="0" fontId="32" fillId="27" borderId="34" xfId="0" applyFont="1" applyFill="1" applyBorder="1" applyAlignment="1">
      <alignment wrapText="1"/>
    </xf>
    <xf numFmtId="0" fontId="33" fillId="31" borderId="35" xfId="0" applyFont="1" applyFill="1" applyBorder="1" applyAlignment="1">
      <alignment wrapText="1"/>
    </xf>
    <xf numFmtId="0" fontId="31" fillId="31" borderId="36" xfId="0" applyFont="1" applyFill="1" applyBorder="1" applyAlignment="1">
      <alignment wrapText="1"/>
    </xf>
    <xf numFmtId="0" fontId="31" fillId="31" borderId="36" xfId="0" applyFont="1" applyFill="1" applyBorder="1" applyAlignment="1">
      <alignment horizontal="right" wrapText="1"/>
    </xf>
    <xf numFmtId="17" fontId="31" fillId="31" borderId="36" xfId="0" applyNumberFormat="1" applyFont="1" applyFill="1" applyBorder="1" applyAlignment="1">
      <alignment wrapText="1"/>
    </xf>
    <xf numFmtId="14" fontId="31" fillId="31" borderId="36" xfId="0" applyNumberFormat="1" applyFont="1" applyFill="1" applyBorder="1" applyAlignment="1">
      <alignment horizontal="right" wrapText="1"/>
    </xf>
    <xf numFmtId="4" fontId="31" fillId="31" borderId="47" xfId="0" applyNumberFormat="1" applyFont="1" applyFill="1" applyBorder="1" applyAlignment="1">
      <alignment horizontal="right" wrapText="1"/>
    </xf>
    <xf numFmtId="0" fontId="32" fillId="31" borderId="36" xfId="0" applyFont="1" applyFill="1" applyBorder="1" applyAlignment="1">
      <alignment wrapText="1"/>
    </xf>
    <xf numFmtId="0" fontId="33" fillId="27" borderId="35" xfId="0" applyFont="1" applyFill="1" applyBorder="1" applyAlignment="1">
      <alignment wrapText="1"/>
    </xf>
    <xf numFmtId="0" fontId="31" fillId="27" borderId="36" xfId="0" applyFont="1" applyFill="1" applyBorder="1" applyAlignment="1">
      <alignment wrapText="1"/>
    </xf>
    <xf numFmtId="0" fontId="31" fillId="27" borderId="36" xfId="0" applyFont="1" applyFill="1" applyBorder="1" applyAlignment="1">
      <alignment horizontal="right" wrapText="1"/>
    </xf>
    <xf numFmtId="14" fontId="31" fillId="27" borderId="36" xfId="0" applyNumberFormat="1" applyFont="1" applyFill="1" applyBorder="1" applyAlignment="1">
      <alignment horizontal="right" wrapText="1"/>
    </xf>
    <xf numFmtId="4" fontId="11" fillId="27" borderId="47" xfId="0" applyNumberFormat="1" applyFont="1" applyFill="1" applyBorder="1" applyAlignment="1">
      <alignment horizontal="right" wrapText="1"/>
    </xf>
    <xf numFmtId="0" fontId="32" fillId="27" borderId="36" xfId="0" applyFont="1" applyFill="1" applyBorder="1" applyAlignment="1">
      <alignment wrapText="1"/>
    </xf>
    <xf numFmtId="4" fontId="11" fillId="31" borderId="47" xfId="0" applyNumberFormat="1" applyFont="1" applyFill="1" applyBorder="1" applyAlignment="1">
      <alignment horizontal="right" wrapText="1"/>
    </xf>
    <xf numFmtId="4" fontId="11" fillId="27" borderId="48" xfId="0" applyNumberFormat="1" applyFont="1" applyFill="1" applyBorder="1" applyAlignment="1">
      <alignment horizontal="right" wrapText="1"/>
    </xf>
    <xf numFmtId="0" fontId="31" fillId="31" borderId="45" xfId="0" applyFont="1" applyFill="1" applyBorder="1" applyAlignment="1">
      <alignment wrapText="1"/>
    </xf>
    <xf numFmtId="0" fontId="31" fillId="31" borderId="46" xfId="0" applyFont="1" applyFill="1" applyBorder="1" applyAlignment="1">
      <alignment horizontal="right" wrapText="1"/>
    </xf>
    <xf numFmtId="4" fontId="11" fillId="31" borderId="48" xfId="0" applyNumberFormat="1" applyFont="1" applyFill="1" applyBorder="1" applyAlignment="1">
      <alignment horizontal="right" wrapText="1"/>
    </xf>
    <xf numFmtId="0" fontId="31" fillId="27" borderId="45" xfId="0" applyFont="1" applyFill="1" applyBorder="1" applyAlignment="1">
      <alignment wrapText="1"/>
    </xf>
    <xf numFmtId="0" fontId="31" fillId="27" borderId="46" xfId="0" applyFont="1" applyFill="1" applyBorder="1" applyAlignment="1">
      <alignment horizontal="right" wrapText="1"/>
    </xf>
    <xf numFmtId="0" fontId="34" fillId="31" borderId="35" xfId="0" applyFont="1" applyFill="1" applyBorder="1" applyAlignment="1">
      <alignment wrapText="1"/>
    </xf>
    <xf numFmtId="0" fontId="11" fillId="31" borderId="45" xfId="0" applyFont="1" applyFill="1" applyBorder="1" applyAlignment="1">
      <alignment wrapText="1"/>
    </xf>
    <xf numFmtId="4" fontId="31" fillId="31" borderId="46" xfId="0" applyNumberFormat="1" applyFont="1" applyFill="1" applyBorder="1" applyAlignment="1">
      <alignment horizontal="right" wrapText="1"/>
    </xf>
    <xf numFmtId="0" fontId="34" fillId="27" borderId="35" xfId="0" applyFont="1" applyFill="1" applyBorder="1" applyAlignment="1">
      <alignment wrapText="1"/>
    </xf>
    <xf numFmtId="0" fontId="11" fillId="27" borderId="45" xfId="0" applyFont="1" applyFill="1" applyBorder="1" applyAlignment="1">
      <alignment wrapText="1"/>
    </xf>
    <xf numFmtId="0" fontId="11" fillId="27" borderId="49" xfId="0" applyFont="1" applyFill="1" applyBorder="1" applyAlignment="1">
      <alignment wrapText="1"/>
    </xf>
    <xf numFmtId="0" fontId="11" fillId="31" borderId="36" xfId="0" applyFont="1" applyFill="1" applyBorder="1" applyAlignment="1">
      <alignment wrapText="1"/>
    </xf>
    <xf numFmtId="0" fontId="11" fillId="27" borderId="36" xfId="0" applyFont="1" applyFill="1" applyBorder="1" applyAlignment="1">
      <alignment wrapText="1"/>
    </xf>
    <xf numFmtId="0" fontId="11" fillId="31" borderId="50" xfId="0" applyFont="1" applyFill="1" applyBorder="1" applyAlignment="1">
      <alignment wrapText="1"/>
    </xf>
    <xf numFmtId="0" fontId="35" fillId="27" borderId="35" xfId="0" applyFont="1" applyFill="1" applyBorder="1" applyAlignment="1">
      <alignment wrapText="1"/>
    </xf>
    <xf numFmtId="0" fontId="36" fillId="27" borderId="36" xfId="0" applyFont="1" applyFill="1" applyBorder="1" applyAlignment="1">
      <alignment wrapText="1"/>
    </xf>
    <xf numFmtId="0" fontId="37" fillId="27" borderId="36" xfId="0" applyFont="1" applyFill="1" applyBorder="1" applyAlignment="1">
      <alignment horizontal="right" wrapText="1"/>
    </xf>
    <xf numFmtId="0" fontId="37" fillId="27" borderId="36" xfId="0" applyFont="1" applyFill="1" applyBorder="1" applyAlignment="1">
      <alignment wrapText="1"/>
    </xf>
    <xf numFmtId="14" fontId="37" fillId="27" borderId="36" xfId="0" applyNumberFormat="1" applyFont="1" applyFill="1" applyBorder="1" applyAlignment="1">
      <alignment horizontal="right" wrapText="1"/>
    </xf>
    <xf numFmtId="4" fontId="11" fillId="27" borderId="36" xfId="0" applyNumberFormat="1" applyFont="1" applyFill="1" applyBorder="1" applyAlignment="1">
      <alignment horizontal="right" wrapText="1"/>
    </xf>
    <xf numFmtId="0" fontId="38" fillId="31" borderId="35" xfId="0" applyFont="1" applyFill="1" applyBorder="1" applyAlignment="1">
      <alignment wrapText="1"/>
    </xf>
    <xf numFmtId="0" fontId="39" fillId="31" borderId="36" xfId="0" applyFont="1" applyFill="1" applyBorder="1" applyAlignment="1">
      <alignment vertical="top" wrapText="1"/>
    </xf>
    <xf numFmtId="0" fontId="39" fillId="31" borderId="36" xfId="0" applyFont="1" applyFill="1" applyBorder="1" applyAlignment="1">
      <alignment wrapText="1"/>
    </xf>
    <xf numFmtId="0" fontId="39" fillId="31" borderId="36" xfId="0" applyFont="1" applyFill="1" applyBorder="1" applyAlignment="1">
      <alignment horizontal="right" wrapText="1"/>
    </xf>
    <xf numFmtId="14" fontId="37" fillId="31" borderId="36" xfId="0" applyNumberFormat="1" applyFont="1" applyFill="1" applyBorder="1" applyAlignment="1">
      <alignment horizontal="right" wrapText="1"/>
    </xf>
    <xf numFmtId="0" fontId="38" fillId="27" borderId="35" xfId="0" applyFont="1" applyFill="1" applyBorder="1" applyAlignment="1">
      <alignment wrapText="1"/>
    </xf>
    <xf numFmtId="0" fontId="39" fillId="27" borderId="36" xfId="0" applyFont="1" applyFill="1" applyBorder="1" applyAlignment="1">
      <alignment vertical="top" wrapText="1"/>
    </xf>
    <xf numFmtId="0" fontId="39" fillId="27" borderId="36" xfId="0" applyFont="1" applyFill="1" applyBorder="1" applyAlignment="1">
      <alignment wrapText="1"/>
    </xf>
    <xf numFmtId="0" fontId="39" fillId="27" borderId="36" xfId="0" applyFont="1" applyFill="1" applyBorder="1" applyAlignment="1">
      <alignment horizontal="right" wrapText="1"/>
    </xf>
    <xf numFmtId="4" fontId="39" fillId="27" borderId="36" xfId="0" applyNumberFormat="1" applyFont="1" applyFill="1" applyBorder="1" applyAlignment="1">
      <alignment horizontal="right" wrapText="1"/>
    </xf>
    <xf numFmtId="4" fontId="39" fillId="31" borderId="36" xfId="0" applyNumberFormat="1" applyFont="1" applyFill="1" applyBorder="1" applyAlignment="1">
      <alignment horizontal="right" wrapText="1"/>
    </xf>
    <xf numFmtId="0" fontId="11" fillId="31" borderId="36" xfId="0" applyFont="1" applyFill="1" applyBorder="1" applyAlignment="1">
      <alignment vertical="top" wrapText="1"/>
    </xf>
    <xf numFmtId="0" fontId="37" fillId="31" borderId="51" xfId="0" applyFont="1" applyFill="1" applyBorder="1" applyAlignment="1">
      <alignment horizontal="right" wrapText="1"/>
    </xf>
    <xf numFmtId="14" fontId="37" fillId="31" borderId="51" xfId="0" applyNumberFormat="1" applyFont="1" applyFill="1" applyBorder="1" applyAlignment="1">
      <alignment horizontal="right" wrapText="1"/>
    </xf>
    <xf numFmtId="4" fontId="11" fillId="31" borderId="36" xfId="0" applyNumberFormat="1" applyFont="1" applyFill="1" applyBorder="1" applyAlignment="1">
      <alignment horizontal="right" wrapText="1"/>
    </xf>
    <xf numFmtId="0" fontId="40" fillId="27" borderId="35" xfId="0" applyFont="1" applyFill="1" applyBorder="1" applyAlignment="1">
      <alignment wrapText="1"/>
    </xf>
    <xf numFmtId="0" fontId="11" fillId="27" borderId="52" xfId="0" applyFont="1" applyFill="1" applyBorder="1" applyAlignment="1">
      <alignment wrapText="1"/>
    </xf>
    <xf numFmtId="0" fontId="11" fillId="27" borderId="53" xfId="0" applyFont="1" applyFill="1" applyBorder="1" applyAlignment="1">
      <alignment horizontal="right" wrapText="1"/>
    </xf>
    <xf numFmtId="0" fontId="41" fillId="27" borderId="53" xfId="0" applyFont="1" applyFill="1" applyBorder="1" applyAlignment="1">
      <alignment wrapText="1"/>
    </xf>
    <xf numFmtId="14" fontId="37" fillId="27" borderId="54" xfId="0" applyNumberFormat="1" applyFont="1" applyFill="1" applyBorder="1" applyAlignment="1">
      <alignment horizontal="right" wrapText="1"/>
    </xf>
    <xf numFmtId="0" fontId="11" fillId="27" borderId="52" xfId="0" applyFont="1" applyFill="1" applyBorder="1" applyAlignment="1">
      <alignment horizontal="right" wrapText="1"/>
    </xf>
    <xf numFmtId="0" fontId="42" fillId="27" borderId="55" xfId="0" applyFont="1" applyFill="1" applyBorder="1" applyAlignment="1">
      <alignment wrapText="1"/>
    </xf>
    <xf numFmtId="0" fontId="40" fillId="31" borderId="35" xfId="0" applyFont="1" applyFill="1" applyBorder="1" applyAlignment="1">
      <alignment wrapText="1"/>
    </xf>
    <xf numFmtId="0" fontId="11" fillId="31" borderId="56" xfId="0" applyFont="1" applyFill="1" applyBorder="1" applyAlignment="1">
      <alignment wrapText="1"/>
    </xf>
    <xf numFmtId="0" fontId="11" fillId="31" borderId="57" xfId="0" applyFont="1" applyFill="1" applyBorder="1" applyAlignment="1">
      <alignment horizontal="right" wrapText="1"/>
    </xf>
    <xf numFmtId="0" fontId="41" fillId="31" borderId="57" xfId="0" applyFont="1" applyFill="1" applyBorder="1" applyAlignment="1">
      <alignment wrapText="1"/>
    </xf>
    <xf numFmtId="14" fontId="37" fillId="31" borderId="54" xfId="0" applyNumberFormat="1" applyFont="1" applyFill="1" applyBorder="1" applyAlignment="1">
      <alignment horizontal="right" wrapText="1"/>
    </xf>
    <xf numFmtId="4" fontId="11" fillId="31" borderId="56" xfId="0" applyNumberFormat="1" applyFont="1" applyFill="1" applyBorder="1" applyAlignment="1">
      <alignment horizontal="right" wrapText="1"/>
    </xf>
    <xf numFmtId="0" fontId="42" fillId="31" borderId="55" xfId="0" applyFont="1" applyFill="1" applyBorder="1" applyAlignment="1">
      <alignment wrapText="1"/>
    </xf>
    <xf numFmtId="14" fontId="37" fillId="27" borderId="53" xfId="0" applyNumberFormat="1" applyFont="1" applyFill="1" applyBorder="1" applyAlignment="1">
      <alignment horizontal="right" wrapText="1"/>
    </xf>
    <xf numFmtId="4" fontId="11" fillId="27" borderId="52" xfId="0" applyNumberFormat="1" applyFont="1" applyFill="1" applyBorder="1" applyAlignment="1">
      <alignment horizontal="right" wrapText="1"/>
    </xf>
    <xf numFmtId="0" fontId="30" fillId="31" borderId="58" xfId="0" applyFont="1" applyFill="1" applyBorder="1" applyAlignment="1">
      <alignment wrapText="1"/>
    </xf>
    <xf numFmtId="0" fontId="11" fillId="31" borderId="59" xfId="0" applyFont="1" applyFill="1" applyBorder="1" applyAlignment="1">
      <alignment wrapText="1"/>
    </xf>
    <xf numFmtId="0" fontId="37" fillId="31" borderId="57" xfId="0" applyFont="1" applyFill="1" applyBorder="1" applyAlignment="1">
      <alignment horizontal="right" wrapText="1"/>
    </xf>
    <xf numFmtId="0" fontId="37" fillId="31" borderId="57" xfId="0" applyFont="1" applyFill="1" applyBorder="1" applyAlignment="1">
      <alignment wrapText="1"/>
    </xf>
    <xf numFmtId="14" fontId="37" fillId="31" borderId="57" xfId="0" applyNumberFormat="1" applyFont="1" applyFill="1" applyBorder="1" applyAlignment="1">
      <alignment horizontal="right" wrapText="1"/>
    </xf>
    <xf numFmtId="4" fontId="11" fillId="31" borderId="60" xfId="0" applyNumberFormat="1" applyFont="1" applyFill="1" applyBorder="1" applyAlignment="1">
      <alignment horizontal="right" wrapText="1"/>
    </xf>
    <xf numFmtId="0" fontId="35" fillId="27" borderId="58" xfId="0" applyFont="1" applyFill="1" applyBorder="1" applyAlignment="1">
      <alignment wrapText="1"/>
    </xf>
    <xf numFmtId="0" fontId="37" fillId="27" borderId="53" xfId="0" applyFont="1" applyFill="1" applyBorder="1" applyAlignment="1">
      <alignment horizontal="right" wrapText="1"/>
    </xf>
    <xf numFmtId="0" fontId="37" fillId="27" borderId="53" xfId="0" applyFont="1" applyFill="1" applyBorder="1" applyAlignment="1">
      <alignment wrapText="1"/>
    </xf>
    <xf numFmtId="4" fontId="11" fillId="27" borderId="61" xfId="0" applyNumberFormat="1" applyFont="1" applyFill="1" applyBorder="1" applyAlignment="1">
      <alignment horizontal="right" wrapText="1"/>
    </xf>
    <xf numFmtId="0" fontId="43" fillId="27" borderId="55" xfId="0" applyFont="1" applyFill="1" applyBorder="1" applyAlignment="1">
      <alignment wrapText="1"/>
    </xf>
    <xf numFmtId="0" fontId="44" fillId="31" borderId="58" xfId="0" applyFont="1" applyFill="1" applyBorder="1" applyAlignment="1">
      <alignment wrapText="1"/>
    </xf>
    <xf numFmtId="0" fontId="43" fillId="31" borderId="55" xfId="0" applyFont="1" applyFill="1" applyBorder="1" applyAlignment="1">
      <alignment wrapText="1"/>
    </xf>
    <xf numFmtId="0" fontId="44" fillId="27" borderId="62" xfId="0" applyFont="1" applyFill="1" applyBorder="1" applyAlignment="1">
      <alignment wrapText="1"/>
    </xf>
    <xf numFmtId="0" fontId="37" fillId="27" borderId="63" xfId="0" applyFont="1" applyFill="1" applyBorder="1" applyAlignment="1">
      <alignment horizontal="right" wrapText="1"/>
    </xf>
    <xf numFmtId="0" fontId="37" fillId="27" borderId="63" xfId="0" applyFont="1" applyFill="1" applyBorder="1" applyAlignment="1">
      <alignment wrapText="1"/>
    </xf>
    <xf numFmtId="14" fontId="37" fillId="27" borderId="64" xfId="0" applyNumberFormat="1" applyFont="1" applyFill="1" applyBorder="1" applyAlignment="1">
      <alignment horizontal="right" wrapText="1"/>
    </xf>
    <xf numFmtId="0" fontId="45" fillId="27" borderId="65" xfId="0" applyFont="1" applyFill="1" applyBorder="1" applyAlignment="1">
      <alignment wrapText="1"/>
    </xf>
  </cellXfs>
  <cellStyles count="2">
    <cellStyle name="Moeda" xfId="1" builtinId="4"/>
    <cellStyle name="Normal" xfId="0" builtinId="0"/>
  </cellStyles>
  <dxfs count="18">
    <dxf>
      <font>
        <b val="0"/>
        <i val="0"/>
        <strike val="0"/>
        <condense val="0"/>
        <extend val="0"/>
        <outline val="0"/>
        <shadow val="0"/>
        <u val="none"/>
        <vertAlign val="baseline"/>
        <sz val="12"/>
        <color theme="1"/>
        <name val="Calibri"/>
        <scheme val="minor"/>
      </font>
      <numFmt numFmtId="0" formatCode="Genera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numFmt numFmtId="0" formatCode="Genera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scheme val="minor"/>
      </font>
      <numFmt numFmtId="164" formatCode="_-&quot;R$&quot;\ * #,##0.00_-;\-&quot;R$&quot;\ * #,##0.00_-;_-&quot;R$&quot;\ * &quot;-&quot;??_-;_-@"/>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164" formatCode="_-&quot;R$&quot;\ * #,##0.00_-;\-&quot;R$&quot;\ * #,##0.00_-;_-&quot;R$&quot;\ * &quot;-&quot;??_-;_-@"/>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2"/>
        <color theme="0"/>
        <name val="Calibri"/>
        <scheme val="minor"/>
      </font>
      <fill>
        <patternFill patternType="solid">
          <fgColor rgb="FF2F5496"/>
          <bgColor theme="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id="1" name="tblAquisições" displayName="tblAquisições" ref="A1:O6069" totalsRowShown="0" headerRowDxfId="17" headerRowBorderDxfId="16" tableBorderDxfId="15">
  <autoFilter ref="A1:O6069"/>
  <tableColumns count="15">
    <tableColumn id="14" name="DIRETORIA" dataDxfId="14"/>
    <tableColumn id="13" name="GERENCIA" dataDxfId="13"/>
    <tableColumn id="12" name="TIPO" dataDxfId="12"/>
    <tableColumn id="2" name=" DESCRIÇÃO" dataDxfId="11"/>
    <tableColumn id="3" name="QUANTIDADE PLANEJADA" dataDxfId="10"/>
    <tableColumn id="4" name="DESCRIÇÃO(tipo)" dataDxfId="9"/>
    <tableColumn id="5" name="CUSTEIO/INVESTIMENTO" dataDxfId="8"/>
    <tableColumn id="6" name="UNIDADE" dataDxfId="7"/>
    <tableColumn id="10" name="VALOR UNIT" dataDxfId="6"/>
    <tableColumn id="11" name="VALOR TOTAL" dataDxfId="5">
      <calculatedColumnFormula>E2*I2</calculatedColumnFormula>
    </tableColumn>
    <tableColumn id="1" name="QUANTIDADE COMPRADA" dataDxfId="4"/>
    <tableColumn id="7" name="VALOR UNITARIO COMPRADO" dataDxfId="3" dataCellStyle="Moeda"/>
    <tableColumn id="8" name="TOTAL DE ITENS COMPRADOS" dataDxfId="2" dataCellStyle="Moeda">
      <calculatedColumnFormula>tblAquisições[[#This Row],[VALOR UNITARIO COMPRADO]]*tblAquisições[[#This Row],[QUANTIDADE COMPRADA]]</calculatedColumnFormula>
    </tableColumn>
    <tableColumn id="9" name="DIFERENÇA" dataDxfId="1">
      <calculatedColumnFormula>K2-tblAquisições[[#This Row],[QUANTIDADE PLANEJADA]]</calculatedColumnFormula>
    </tableColumn>
    <tableColumn id="15" name="STATUS" dataDxfId="0">
      <calculatedColumnFormula>IF(K2=E2,"OK",IF(K2&lt;E2,"Faltando Comprar","Excedente"))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election activeCell="G15" sqref="G15"/>
    </sheetView>
  </sheetViews>
  <sheetFormatPr defaultRowHeight="15"/>
  <cols>
    <col min="1" max="1" width="15.42578125" customWidth="1"/>
    <col min="2" max="2" width="20.7109375" bestFit="1" customWidth="1"/>
    <col min="3" max="3" width="20.140625" bestFit="1" customWidth="1"/>
    <col min="4" max="4" width="22.7109375" bestFit="1" customWidth="1"/>
    <col min="5" max="5" width="20.5703125" bestFit="1" customWidth="1"/>
    <col min="6" max="6" width="20.28515625" bestFit="1" customWidth="1"/>
    <col min="7" max="7" width="18.28515625" bestFit="1" customWidth="1"/>
    <col min="8" max="8" width="20.140625" bestFit="1" customWidth="1"/>
    <col min="9" max="9" width="18" bestFit="1" customWidth="1"/>
    <col min="10" max="10" width="14.28515625" bestFit="1" customWidth="1"/>
  </cols>
  <sheetData>
    <row r="1" spans="1:11" ht="15.75" thickBot="1">
      <c r="A1" s="1" t="s">
        <v>0</v>
      </c>
      <c r="B1" s="4" t="s">
        <v>1</v>
      </c>
      <c r="C1" s="6" t="s">
        <v>2</v>
      </c>
      <c r="D1" s="7" t="s">
        <v>3</v>
      </c>
      <c r="E1" s="7" t="s">
        <v>4</v>
      </c>
      <c r="F1" s="9" t="s">
        <v>4385</v>
      </c>
      <c r="G1" s="10" t="s">
        <v>5</v>
      </c>
      <c r="H1" s="7" t="s">
        <v>6</v>
      </c>
      <c r="I1" s="9" t="s">
        <v>7</v>
      </c>
      <c r="J1" s="258" t="s">
        <v>4366</v>
      </c>
    </row>
    <row r="2" spans="1:11" ht="16.5" thickBot="1">
      <c r="A2" s="2" t="s">
        <v>2900</v>
      </c>
      <c r="B2" s="5">
        <v>3455250.17</v>
      </c>
      <c r="C2" s="5">
        <v>10458881.520000001</v>
      </c>
      <c r="D2" s="8">
        <v>919732.8</v>
      </c>
      <c r="E2" s="8">
        <v>9539148.7200000007</v>
      </c>
      <c r="F2" s="266">
        <v>408074.48</v>
      </c>
      <c r="G2" s="267">
        <v>840698.41</v>
      </c>
      <c r="H2" s="268">
        <v>369215.38</v>
      </c>
      <c r="I2" s="269">
        <v>1065917.94</v>
      </c>
      <c r="J2" s="112">
        <v>46080</v>
      </c>
    </row>
    <row r="3" spans="1:11" ht="16.5" thickBot="1">
      <c r="A3" s="3" t="s">
        <v>3077</v>
      </c>
      <c r="B3" s="5">
        <v>45711232.609999999</v>
      </c>
      <c r="C3" s="5">
        <v>58612932.359999999</v>
      </c>
      <c r="D3" s="8">
        <v>5054362.4400000004</v>
      </c>
      <c r="E3" s="8">
        <v>53558569.920000002</v>
      </c>
      <c r="F3" s="270">
        <v>1859677.87</v>
      </c>
      <c r="G3" s="271">
        <v>91483254.390000001</v>
      </c>
      <c r="H3" s="272">
        <v>1098053.7</v>
      </c>
      <c r="I3" s="273">
        <v>30981091.559999999</v>
      </c>
      <c r="J3" s="112">
        <v>364408.5</v>
      </c>
      <c r="K3" s="112"/>
    </row>
    <row r="4" spans="1:11" ht="16.5" thickBot="1">
      <c r="A4" s="2" t="s">
        <v>2710</v>
      </c>
      <c r="B4" s="5">
        <v>159508819.56</v>
      </c>
      <c r="C4" s="5">
        <v>159508819.56</v>
      </c>
      <c r="D4" s="8">
        <v>0</v>
      </c>
      <c r="E4" s="8">
        <v>159508819.56</v>
      </c>
      <c r="F4" s="270">
        <v>0</v>
      </c>
      <c r="G4" s="274">
        <v>109708224</v>
      </c>
      <c r="H4" s="270">
        <v>0</v>
      </c>
      <c r="I4" s="270">
        <v>33556773.329999998</v>
      </c>
      <c r="J4" s="214">
        <v>0</v>
      </c>
    </row>
    <row r="5" spans="1:11" ht="16.5" thickBot="1">
      <c r="A5" s="3" t="s">
        <v>3259</v>
      </c>
      <c r="B5" s="5">
        <v>21943929.239999998</v>
      </c>
      <c r="C5" s="5">
        <v>22087929.240000002</v>
      </c>
      <c r="D5" s="8">
        <v>976789.92</v>
      </c>
      <c r="E5" s="8">
        <v>21111139.32</v>
      </c>
      <c r="F5" s="275">
        <v>231124</v>
      </c>
      <c r="G5" s="276">
        <v>41179346.469999999</v>
      </c>
      <c r="H5" s="275">
        <v>193124</v>
      </c>
      <c r="I5" s="275">
        <v>5335028.76</v>
      </c>
      <c r="J5" s="214">
        <v>0</v>
      </c>
    </row>
    <row r="6" spans="1:11" ht="16.5" thickBot="1">
      <c r="A6" s="2" t="s">
        <v>17</v>
      </c>
      <c r="B6" s="5">
        <v>115290892.3934482</v>
      </c>
      <c r="C6" s="5">
        <v>115290892.39</v>
      </c>
      <c r="D6" s="8">
        <v>42410051.159999996</v>
      </c>
      <c r="E6" s="8">
        <v>72880841.230000004</v>
      </c>
      <c r="F6" s="266">
        <v>27336766.510000002</v>
      </c>
      <c r="G6" s="277">
        <v>237866192.30000001</v>
      </c>
      <c r="H6" s="268">
        <v>13927653.65</v>
      </c>
      <c r="I6" s="270">
        <v>96576669.900000006</v>
      </c>
      <c r="J6" s="112">
        <v>2632021.5099999993</v>
      </c>
      <c r="K6" s="112"/>
    </row>
    <row r="7" spans="1:11">
      <c r="E7" s="263"/>
      <c r="G7" s="263"/>
      <c r="I7" s="264"/>
      <c r="J7" s="26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69"/>
  <sheetViews>
    <sheetView workbookViewId="0">
      <selection activeCell="D5" sqref="D5"/>
    </sheetView>
  </sheetViews>
  <sheetFormatPr defaultRowHeight="15"/>
  <cols>
    <col min="1" max="1" width="12.7109375" bestFit="1" customWidth="1"/>
    <col min="2" max="2" width="13.28515625" bestFit="1" customWidth="1"/>
    <col min="3" max="3" width="10.140625" bestFit="1" customWidth="1"/>
    <col min="4" max="4" width="40.5703125" bestFit="1" customWidth="1"/>
    <col min="5" max="5" width="13.28515625" bestFit="1" customWidth="1"/>
    <col min="6" max="6" width="17.140625" bestFit="1" customWidth="1"/>
    <col min="7" max="7" width="13.7109375" bestFit="1" customWidth="1"/>
    <col min="8" max="8" width="13.42578125" bestFit="1" customWidth="1"/>
    <col min="9" max="9" width="14.28515625" bestFit="1" customWidth="1"/>
    <col min="10" max="10" width="16.85546875" bestFit="1" customWidth="1"/>
    <col min="11" max="11" width="13.28515625" bestFit="1" customWidth="1"/>
    <col min="12" max="12" width="13.5703125" style="116" bestFit="1" customWidth="1"/>
    <col min="13" max="13" width="12.85546875" style="116" bestFit="1" customWidth="1"/>
    <col min="14" max="14" width="13.7109375" style="112" bestFit="1" customWidth="1"/>
    <col min="15" max="15" width="13" bestFit="1" customWidth="1"/>
  </cols>
  <sheetData>
    <row r="1" spans="1:15" ht="63">
      <c r="A1" s="11" t="s">
        <v>8</v>
      </c>
      <c r="B1" s="11" t="s">
        <v>9</v>
      </c>
      <c r="C1" s="12" t="s">
        <v>10</v>
      </c>
      <c r="D1" s="13" t="s">
        <v>11</v>
      </c>
      <c r="E1" s="11" t="s">
        <v>3889</v>
      </c>
      <c r="F1" s="11" t="s">
        <v>12</v>
      </c>
      <c r="G1" s="11" t="s">
        <v>13</v>
      </c>
      <c r="H1" s="11" t="s">
        <v>14</v>
      </c>
      <c r="I1" s="14" t="s">
        <v>15</v>
      </c>
      <c r="J1" s="15" t="s">
        <v>16</v>
      </c>
      <c r="K1" s="187" t="s">
        <v>3886</v>
      </c>
      <c r="L1" s="188" t="s">
        <v>3888</v>
      </c>
      <c r="M1" s="188" t="s">
        <v>3887</v>
      </c>
      <c r="N1" s="189" t="s">
        <v>3890</v>
      </c>
      <c r="O1" s="187" t="s">
        <v>3891</v>
      </c>
    </row>
    <row r="2" spans="1:15" ht="31.5">
      <c r="A2" s="16" t="s">
        <v>17</v>
      </c>
      <c r="B2" s="16" t="s">
        <v>18</v>
      </c>
      <c r="C2" s="17" t="s">
        <v>19</v>
      </c>
      <c r="D2" s="18" t="s">
        <v>20</v>
      </c>
      <c r="E2" s="18">
        <v>100</v>
      </c>
      <c r="F2" s="18" t="s">
        <v>21</v>
      </c>
      <c r="G2" s="18" t="s">
        <v>22</v>
      </c>
      <c r="H2" s="18" t="s">
        <v>23</v>
      </c>
      <c r="I2" s="19">
        <v>63.15</v>
      </c>
      <c r="J2" s="20">
        <f t="shared" ref="J2:J65" si="0">E2*I2</f>
        <v>6315</v>
      </c>
      <c r="K2" s="107"/>
      <c r="L2" s="113"/>
      <c r="M2" s="113">
        <f>tblAquisições[[#This Row],[VALOR UNITARIO COMPRADO]]*tblAquisições[[#This Row],[QUANTIDADE COMPRADA]]</f>
        <v>0</v>
      </c>
      <c r="N2" s="109">
        <f>K2-tblAquisições[[#This Row],[QUANTIDADE PLANEJADA]]</f>
        <v>-100</v>
      </c>
      <c r="O2" s="107" t="str">
        <f t="shared" ref="O2:O65" si="1">IF(K2=E2,"OK",IF(K2&lt;E2,"Faltando Comprar","Excedente"))</f>
        <v>Faltando Comprar</v>
      </c>
    </row>
    <row r="3" spans="1:15" ht="31.5">
      <c r="A3" s="16" t="s">
        <v>17</v>
      </c>
      <c r="B3" s="16" t="s">
        <v>24</v>
      </c>
      <c r="C3" s="17" t="s">
        <v>19</v>
      </c>
      <c r="D3" s="18" t="s">
        <v>20</v>
      </c>
      <c r="E3" s="18">
        <v>100</v>
      </c>
      <c r="F3" s="18" t="s">
        <v>21</v>
      </c>
      <c r="G3" s="18" t="s">
        <v>22</v>
      </c>
      <c r="H3" s="18" t="s">
        <v>23</v>
      </c>
      <c r="I3" s="19">
        <v>63.15</v>
      </c>
      <c r="J3" s="20">
        <f t="shared" si="0"/>
        <v>6315</v>
      </c>
      <c r="K3" s="106"/>
      <c r="L3" s="114"/>
      <c r="M3" s="114">
        <f>tblAquisições[[#This Row],[VALOR UNITARIO COMPRADO]]*tblAquisições[[#This Row],[QUANTIDADE COMPRADA]]</f>
        <v>0</v>
      </c>
      <c r="N3" s="110">
        <f>K3-tblAquisições[[#This Row],[QUANTIDADE PLANEJADA]]</f>
        <v>-100</v>
      </c>
      <c r="O3" s="106" t="str">
        <f t="shared" si="1"/>
        <v>Faltando Comprar</v>
      </c>
    </row>
    <row r="4" spans="1:15" ht="31.5">
      <c r="A4" s="16" t="s">
        <v>17</v>
      </c>
      <c r="B4" s="16" t="s">
        <v>25</v>
      </c>
      <c r="C4" s="17" t="s">
        <v>19</v>
      </c>
      <c r="D4" s="18" t="s">
        <v>20</v>
      </c>
      <c r="E4" s="18">
        <v>100</v>
      </c>
      <c r="F4" s="18" t="s">
        <v>21</v>
      </c>
      <c r="G4" s="18" t="s">
        <v>22</v>
      </c>
      <c r="H4" s="18" t="s">
        <v>23</v>
      </c>
      <c r="I4" s="19">
        <v>63.15</v>
      </c>
      <c r="J4" s="20">
        <f t="shared" si="0"/>
        <v>6315</v>
      </c>
      <c r="K4" s="106"/>
      <c r="L4" s="114"/>
      <c r="M4" s="114">
        <f>tblAquisições[[#This Row],[VALOR UNITARIO COMPRADO]]*tblAquisições[[#This Row],[QUANTIDADE COMPRADA]]</f>
        <v>0</v>
      </c>
      <c r="N4" s="110">
        <f>K4-tblAquisições[[#This Row],[QUANTIDADE PLANEJADA]]</f>
        <v>-100</v>
      </c>
      <c r="O4" s="106" t="str">
        <f t="shared" si="1"/>
        <v>Faltando Comprar</v>
      </c>
    </row>
    <row r="5" spans="1:15" ht="31.5">
      <c r="A5" s="16" t="s">
        <v>17</v>
      </c>
      <c r="B5" s="16" t="s">
        <v>26</v>
      </c>
      <c r="C5" s="17" t="s">
        <v>19</v>
      </c>
      <c r="D5" s="18" t="s">
        <v>20</v>
      </c>
      <c r="E5" s="18">
        <v>50</v>
      </c>
      <c r="F5" s="18" t="s">
        <v>21</v>
      </c>
      <c r="G5" s="18" t="s">
        <v>22</v>
      </c>
      <c r="H5" s="18" t="s">
        <v>23</v>
      </c>
      <c r="I5" s="19">
        <v>63.15</v>
      </c>
      <c r="J5" s="20">
        <f t="shared" si="0"/>
        <v>3157.5</v>
      </c>
      <c r="K5" s="106"/>
      <c r="L5" s="114"/>
      <c r="M5" s="114">
        <f>tblAquisições[[#This Row],[VALOR UNITARIO COMPRADO]]*tblAquisições[[#This Row],[QUANTIDADE COMPRADA]]</f>
        <v>0</v>
      </c>
      <c r="N5" s="110">
        <f>K5-tblAquisições[[#This Row],[QUANTIDADE PLANEJADA]]</f>
        <v>-50</v>
      </c>
      <c r="O5" s="106" t="str">
        <f t="shared" si="1"/>
        <v>Faltando Comprar</v>
      </c>
    </row>
    <row r="6" spans="1:15" ht="31.5">
      <c r="A6" s="16" t="s">
        <v>17</v>
      </c>
      <c r="B6" s="16" t="s">
        <v>27</v>
      </c>
      <c r="C6" s="17" t="s">
        <v>19</v>
      </c>
      <c r="D6" s="18" t="s">
        <v>20</v>
      </c>
      <c r="E6" s="18">
        <v>80</v>
      </c>
      <c r="F6" s="18" t="s">
        <v>21</v>
      </c>
      <c r="G6" s="18" t="s">
        <v>22</v>
      </c>
      <c r="H6" s="18" t="s">
        <v>23</v>
      </c>
      <c r="I6" s="19">
        <v>63.15</v>
      </c>
      <c r="J6" s="20">
        <f t="shared" si="0"/>
        <v>5052</v>
      </c>
      <c r="K6" s="106"/>
      <c r="L6" s="114"/>
      <c r="M6" s="114">
        <f>tblAquisições[[#This Row],[VALOR UNITARIO COMPRADO]]*tblAquisições[[#This Row],[QUANTIDADE COMPRADA]]</f>
        <v>0</v>
      </c>
      <c r="N6" s="110">
        <f>K6-tblAquisições[[#This Row],[QUANTIDADE PLANEJADA]]</f>
        <v>-80</v>
      </c>
      <c r="O6" s="106" t="str">
        <f t="shared" si="1"/>
        <v>Faltando Comprar</v>
      </c>
    </row>
    <row r="7" spans="1:15" ht="31.5">
      <c r="A7" s="16" t="s">
        <v>17</v>
      </c>
      <c r="B7" s="16" t="s">
        <v>28</v>
      </c>
      <c r="C7" s="17" t="s">
        <v>19</v>
      </c>
      <c r="D7" s="18" t="s">
        <v>20</v>
      </c>
      <c r="E7" s="18">
        <v>50</v>
      </c>
      <c r="F7" s="18" t="s">
        <v>21</v>
      </c>
      <c r="G7" s="18" t="s">
        <v>22</v>
      </c>
      <c r="H7" s="18" t="s">
        <v>23</v>
      </c>
      <c r="I7" s="19">
        <v>63.15</v>
      </c>
      <c r="J7" s="20">
        <f t="shared" si="0"/>
        <v>3157.5</v>
      </c>
      <c r="K7" s="106"/>
      <c r="L7" s="114"/>
      <c r="M7" s="114">
        <f>tblAquisições[[#This Row],[VALOR UNITARIO COMPRADO]]*tblAquisições[[#This Row],[QUANTIDADE COMPRADA]]</f>
        <v>0</v>
      </c>
      <c r="N7" s="110">
        <f>K7-tblAquisições[[#This Row],[QUANTIDADE PLANEJADA]]</f>
        <v>-50</v>
      </c>
      <c r="O7" s="106" t="str">
        <f t="shared" si="1"/>
        <v>Faltando Comprar</v>
      </c>
    </row>
    <row r="8" spans="1:15" ht="31.5">
      <c r="A8" s="16" t="s">
        <v>17</v>
      </c>
      <c r="B8" s="16" t="s">
        <v>26</v>
      </c>
      <c r="C8" s="17" t="s">
        <v>19</v>
      </c>
      <c r="D8" s="18" t="s">
        <v>29</v>
      </c>
      <c r="E8" s="18">
        <v>15</v>
      </c>
      <c r="F8" s="18" t="s">
        <v>30</v>
      </c>
      <c r="G8" s="18" t="s">
        <v>22</v>
      </c>
      <c r="H8" s="18" t="s">
        <v>23</v>
      </c>
      <c r="I8" s="19">
        <v>258.69</v>
      </c>
      <c r="J8" s="20">
        <f t="shared" si="0"/>
        <v>3880.35</v>
      </c>
      <c r="K8" s="106"/>
      <c r="L8" s="114"/>
      <c r="M8" s="114">
        <f>tblAquisições[[#This Row],[VALOR UNITARIO COMPRADO]]*tblAquisições[[#This Row],[QUANTIDADE COMPRADA]]</f>
        <v>0</v>
      </c>
      <c r="N8" s="110">
        <f>K8-tblAquisições[[#This Row],[QUANTIDADE PLANEJADA]]</f>
        <v>-15</v>
      </c>
      <c r="O8" s="106" t="str">
        <f t="shared" si="1"/>
        <v>Faltando Comprar</v>
      </c>
    </row>
    <row r="9" spans="1:15" ht="31.5">
      <c r="A9" s="16" t="s">
        <v>17</v>
      </c>
      <c r="B9" s="16" t="s">
        <v>31</v>
      </c>
      <c r="C9" s="17" t="s">
        <v>19</v>
      </c>
      <c r="D9" s="18" t="s">
        <v>32</v>
      </c>
      <c r="E9" s="18">
        <v>180</v>
      </c>
      <c r="F9" s="18" t="s">
        <v>21</v>
      </c>
      <c r="G9" s="18" t="s">
        <v>22</v>
      </c>
      <c r="H9" s="18" t="s">
        <v>23</v>
      </c>
      <c r="I9" s="19">
        <v>0.83</v>
      </c>
      <c r="J9" s="20">
        <f t="shared" si="0"/>
        <v>149.4</v>
      </c>
      <c r="K9" s="106"/>
      <c r="L9" s="114"/>
      <c r="M9" s="114">
        <f>tblAquisições[[#This Row],[VALOR UNITARIO COMPRADO]]*tblAquisições[[#This Row],[QUANTIDADE COMPRADA]]</f>
        <v>0</v>
      </c>
      <c r="N9" s="110">
        <f>K9-tblAquisições[[#This Row],[QUANTIDADE PLANEJADA]]</f>
        <v>-180</v>
      </c>
      <c r="O9" s="106" t="str">
        <f t="shared" si="1"/>
        <v>Faltando Comprar</v>
      </c>
    </row>
    <row r="10" spans="1:15" ht="31.5">
      <c r="A10" s="16" t="s">
        <v>17</v>
      </c>
      <c r="B10" s="16" t="s">
        <v>31</v>
      </c>
      <c r="C10" s="17" t="s">
        <v>19</v>
      </c>
      <c r="D10" s="18" t="s">
        <v>33</v>
      </c>
      <c r="E10" s="18">
        <v>180</v>
      </c>
      <c r="F10" s="18" t="s">
        <v>21</v>
      </c>
      <c r="G10" s="18" t="s">
        <v>22</v>
      </c>
      <c r="H10" s="18" t="s">
        <v>23</v>
      </c>
      <c r="I10" s="19">
        <v>1.63</v>
      </c>
      <c r="J10" s="20">
        <f t="shared" si="0"/>
        <v>293.39999999999998</v>
      </c>
      <c r="K10" s="106"/>
      <c r="L10" s="114"/>
      <c r="M10" s="114">
        <f>tblAquisições[[#This Row],[VALOR UNITARIO COMPRADO]]*tblAquisições[[#This Row],[QUANTIDADE COMPRADA]]</f>
        <v>0</v>
      </c>
      <c r="N10" s="110">
        <f>K10-tblAquisições[[#This Row],[QUANTIDADE PLANEJADA]]</f>
        <v>-180</v>
      </c>
      <c r="O10" s="106" t="str">
        <f t="shared" si="1"/>
        <v>Faltando Comprar</v>
      </c>
    </row>
    <row r="11" spans="1:15" ht="31.5">
      <c r="A11" s="16" t="s">
        <v>17</v>
      </c>
      <c r="B11" s="16" t="s">
        <v>34</v>
      </c>
      <c r="C11" s="17" t="s">
        <v>19</v>
      </c>
      <c r="D11" s="18" t="s">
        <v>35</v>
      </c>
      <c r="E11" s="18">
        <v>20</v>
      </c>
      <c r="F11" s="18" t="s">
        <v>21</v>
      </c>
      <c r="G11" s="18" t="s">
        <v>22</v>
      </c>
      <c r="H11" s="18" t="s">
        <v>23</v>
      </c>
      <c r="I11" s="19">
        <v>1.0900000000000001</v>
      </c>
      <c r="J11" s="20">
        <f t="shared" si="0"/>
        <v>21.8</v>
      </c>
      <c r="K11" s="106"/>
      <c r="L11" s="114"/>
      <c r="M11" s="114">
        <f>tblAquisições[[#This Row],[VALOR UNITARIO COMPRADO]]*tblAquisições[[#This Row],[QUANTIDADE COMPRADA]]</f>
        <v>0</v>
      </c>
      <c r="N11" s="110">
        <f>K11-tblAquisições[[#This Row],[QUANTIDADE PLANEJADA]]</f>
        <v>-20</v>
      </c>
      <c r="O11" s="106" t="str">
        <f t="shared" si="1"/>
        <v>Faltando Comprar</v>
      </c>
    </row>
    <row r="12" spans="1:15" ht="31.5">
      <c r="A12" s="16" t="s">
        <v>17</v>
      </c>
      <c r="B12" s="16" t="s">
        <v>26</v>
      </c>
      <c r="C12" s="17" t="s">
        <v>19</v>
      </c>
      <c r="D12" s="18" t="s">
        <v>36</v>
      </c>
      <c r="E12" s="18">
        <v>60</v>
      </c>
      <c r="F12" s="18" t="s">
        <v>21</v>
      </c>
      <c r="G12" s="18" t="s">
        <v>22</v>
      </c>
      <c r="H12" s="18" t="s">
        <v>23</v>
      </c>
      <c r="I12" s="19">
        <v>49.46</v>
      </c>
      <c r="J12" s="20">
        <f t="shared" si="0"/>
        <v>2967.6</v>
      </c>
      <c r="K12" s="106"/>
      <c r="L12" s="114"/>
      <c r="M12" s="114">
        <f>tblAquisições[[#This Row],[VALOR UNITARIO COMPRADO]]*tblAquisições[[#This Row],[QUANTIDADE COMPRADA]]</f>
        <v>0</v>
      </c>
      <c r="N12" s="110">
        <f>K12-tblAquisições[[#This Row],[QUANTIDADE PLANEJADA]]</f>
        <v>-60</v>
      </c>
      <c r="O12" s="106" t="str">
        <f t="shared" si="1"/>
        <v>Faltando Comprar</v>
      </c>
    </row>
    <row r="13" spans="1:15" ht="31.5">
      <c r="A13" s="16" t="s">
        <v>17</v>
      </c>
      <c r="B13" s="16" t="s">
        <v>28</v>
      </c>
      <c r="C13" s="17" t="s">
        <v>19</v>
      </c>
      <c r="D13" s="18" t="s">
        <v>36</v>
      </c>
      <c r="E13" s="18">
        <v>300</v>
      </c>
      <c r="F13" s="18" t="s">
        <v>21</v>
      </c>
      <c r="G13" s="18" t="s">
        <v>22</v>
      </c>
      <c r="H13" s="18" t="s">
        <v>23</v>
      </c>
      <c r="I13" s="19">
        <v>49.46</v>
      </c>
      <c r="J13" s="20">
        <f t="shared" si="0"/>
        <v>14838</v>
      </c>
      <c r="K13" s="106"/>
      <c r="L13" s="114"/>
      <c r="M13" s="114">
        <f>tblAquisições[[#This Row],[VALOR UNITARIO COMPRADO]]*tblAquisições[[#This Row],[QUANTIDADE COMPRADA]]</f>
        <v>0</v>
      </c>
      <c r="N13" s="110">
        <f>K13-tblAquisições[[#This Row],[QUANTIDADE PLANEJADA]]</f>
        <v>-300</v>
      </c>
      <c r="O13" s="106" t="str">
        <f t="shared" si="1"/>
        <v>Faltando Comprar</v>
      </c>
    </row>
    <row r="14" spans="1:15" ht="31.5">
      <c r="A14" s="16" t="s">
        <v>17</v>
      </c>
      <c r="B14" s="16" t="s">
        <v>17</v>
      </c>
      <c r="C14" s="17" t="s">
        <v>19</v>
      </c>
      <c r="D14" s="18" t="s">
        <v>37</v>
      </c>
      <c r="E14" s="18">
        <v>500</v>
      </c>
      <c r="F14" s="18" t="s">
        <v>38</v>
      </c>
      <c r="G14" s="18" t="s">
        <v>39</v>
      </c>
      <c r="H14" s="18" t="s">
        <v>23</v>
      </c>
      <c r="I14" s="19">
        <v>9.8699999999999992</v>
      </c>
      <c r="J14" s="20">
        <f t="shared" si="0"/>
        <v>4935</v>
      </c>
      <c r="K14" s="106"/>
      <c r="L14" s="114"/>
      <c r="M14" s="114">
        <f>tblAquisições[[#This Row],[VALOR UNITARIO COMPRADO]]*tblAquisições[[#This Row],[QUANTIDADE COMPRADA]]</f>
        <v>0</v>
      </c>
      <c r="N14" s="110">
        <f>K14-tblAquisições[[#This Row],[QUANTIDADE PLANEJADA]]</f>
        <v>-500</v>
      </c>
      <c r="O14" s="106" t="str">
        <f t="shared" si="1"/>
        <v>Faltando Comprar</v>
      </c>
    </row>
    <row r="15" spans="1:15" ht="31.5">
      <c r="A15" s="16" t="s">
        <v>17</v>
      </c>
      <c r="B15" s="16" t="s">
        <v>31</v>
      </c>
      <c r="C15" s="17" t="s">
        <v>19</v>
      </c>
      <c r="D15" s="18" t="s">
        <v>40</v>
      </c>
      <c r="E15" s="18">
        <v>100</v>
      </c>
      <c r="F15" s="18" t="s">
        <v>21</v>
      </c>
      <c r="G15" s="18" t="s">
        <v>22</v>
      </c>
      <c r="H15" s="18" t="s">
        <v>23</v>
      </c>
      <c r="I15" s="19">
        <v>9.8699999999999992</v>
      </c>
      <c r="J15" s="20">
        <f t="shared" si="0"/>
        <v>986.99999999999989</v>
      </c>
      <c r="K15" s="106"/>
      <c r="L15" s="114"/>
      <c r="M15" s="114">
        <f>tblAquisições[[#This Row],[VALOR UNITARIO COMPRADO]]*tblAquisições[[#This Row],[QUANTIDADE COMPRADA]]</f>
        <v>0</v>
      </c>
      <c r="N15" s="110">
        <f>K15-tblAquisições[[#This Row],[QUANTIDADE PLANEJADA]]</f>
        <v>-100</v>
      </c>
      <c r="O15" s="106" t="str">
        <f t="shared" si="1"/>
        <v>Faltando Comprar</v>
      </c>
    </row>
    <row r="16" spans="1:15" ht="31.5">
      <c r="A16" s="16" t="s">
        <v>17</v>
      </c>
      <c r="B16" s="16" t="s">
        <v>41</v>
      </c>
      <c r="C16" s="17" t="s">
        <v>19</v>
      </c>
      <c r="D16" s="18" t="s">
        <v>40</v>
      </c>
      <c r="E16" s="18">
        <v>100</v>
      </c>
      <c r="F16" s="18" t="s">
        <v>21</v>
      </c>
      <c r="G16" s="18" t="s">
        <v>22</v>
      </c>
      <c r="H16" s="18" t="s">
        <v>23</v>
      </c>
      <c r="I16" s="19">
        <v>9.8699999999999992</v>
      </c>
      <c r="J16" s="20">
        <f t="shared" si="0"/>
        <v>986.99999999999989</v>
      </c>
      <c r="K16" s="106"/>
      <c r="L16" s="114"/>
      <c r="M16" s="114">
        <f>tblAquisições[[#This Row],[VALOR UNITARIO COMPRADO]]*tblAquisições[[#This Row],[QUANTIDADE COMPRADA]]</f>
        <v>0</v>
      </c>
      <c r="N16" s="110">
        <f>K16-tblAquisições[[#This Row],[QUANTIDADE PLANEJADA]]</f>
        <v>-100</v>
      </c>
      <c r="O16" s="106" t="str">
        <f t="shared" si="1"/>
        <v>Faltando Comprar</v>
      </c>
    </row>
    <row r="17" spans="1:15" ht="31.5">
      <c r="A17" s="16" t="s">
        <v>17</v>
      </c>
      <c r="B17" s="16" t="s">
        <v>17</v>
      </c>
      <c r="C17" s="17" t="s">
        <v>19</v>
      </c>
      <c r="D17" s="18" t="s">
        <v>42</v>
      </c>
      <c r="E17" s="18">
        <v>200</v>
      </c>
      <c r="F17" s="18" t="s">
        <v>38</v>
      </c>
      <c r="G17" s="18" t="s">
        <v>39</v>
      </c>
      <c r="H17" s="18" t="s">
        <v>23</v>
      </c>
      <c r="I17" s="19">
        <v>10.16</v>
      </c>
      <c r="J17" s="20">
        <f t="shared" si="0"/>
        <v>2032</v>
      </c>
      <c r="K17" s="106"/>
      <c r="L17" s="114"/>
      <c r="M17" s="114">
        <f>tblAquisições[[#This Row],[VALOR UNITARIO COMPRADO]]*tblAquisições[[#This Row],[QUANTIDADE COMPRADA]]</f>
        <v>0</v>
      </c>
      <c r="N17" s="110">
        <f>K17-tblAquisições[[#This Row],[QUANTIDADE PLANEJADA]]</f>
        <v>-200</v>
      </c>
      <c r="O17" s="106" t="str">
        <f t="shared" si="1"/>
        <v>Faltando Comprar</v>
      </c>
    </row>
    <row r="18" spans="1:15" ht="31.5">
      <c r="A18" s="16" t="s">
        <v>17</v>
      </c>
      <c r="B18" s="16" t="s">
        <v>31</v>
      </c>
      <c r="C18" s="17" t="s">
        <v>19</v>
      </c>
      <c r="D18" s="18" t="s">
        <v>43</v>
      </c>
      <c r="E18" s="18">
        <v>100</v>
      </c>
      <c r="F18" s="18" t="s">
        <v>21</v>
      </c>
      <c r="G18" s="18" t="s">
        <v>22</v>
      </c>
      <c r="H18" s="18" t="s">
        <v>23</v>
      </c>
      <c r="I18" s="19">
        <v>10.16</v>
      </c>
      <c r="J18" s="20">
        <f t="shared" si="0"/>
        <v>1016</v>
      </c>
      <c r="K18" s="106"/>
      <c r="L18" s="114"/>
      <c r="M18" s="114">
        <f>tblAquisições[[#This Row],[VALOR UNITARIO COMPRADO]]*tblAquisições[[#This Row],[QUANTIDADE COMPRADA]]</f>
        <v>0</v>
      </c>
      <c r="N18" s="110">
        <f>K18-tblAquisições[[#This Row],[QUANTIDADE PLANEJADA]]</f>
        <v>-100</v>
      </c>
      <c r="O18" s="106" t="str">
        <f t="shared" si="1"/>
        <v>Faltando Comprar</v>
      </c>
    </row>
    <row r="19" spans="1:15" ht="31.5">
      <c r="A19" s="16" t="s">
        <v>17</v>
      </c>
      <c r="B19" s="16" t="s">
        <v>26</v>
      </c>
      <c r="C19" s="17" t="s">
        <v>19</v>
      </c>
      <c r="D19" s="18" t="s">
        <v>44</v>
      </c>
      <c r="E19" s="18">
        <v>50</v>
      </c>
      <c r="F19" s="18" t="s">
        <v>21</v>
      </c>
      <c r="G19" s="18" t="s">
        <v>22</v>
      </c>
      <c r="H19" s="18" t="s">
        <v>23</v>
      </c>
      <c r="I19" s="19">
        <v>0.63</v>
      </c>
      <c r="J19" s="20">
        <f t="shared" si="0"/>
        <v>31.5</v>
      </c>
      <c r="K19" s="106"/>
      <c r="L19" s="114"/>
      <c r="M19" s="114">
        <f>tblAquisições[[#This Row],[VALOR UNITARIO COMPRADO]]*tblAquisições[[#This Row],[QUANTIDADE COMPRADA]]</f>
        <v>0</v>
      </c>
      <c r="N19" s="110">
        <f>K19-tblAquisições[[#This Row],[QUANTIDADE PLANEJADA]]</f>
        <v>-50</v>
      </c>
      <c r="O19" s="106" t="str">
        <f t="shared" si="1"/>
        <v>Faltando Comprar</v>
      </c>
    </row>
    <row r="20" spans="1:15" ht="31.5">
      <c r="A20" s="16" t="s">
        <v>17</v>
      </c>
      <c r="B20" s="16" t="s">
        <v>26</v>
      </c>
      <c r="C20" s="17" t="s">
        <v>19</v>
      </c>
      <c r="D20" s="18" t="s">
        <v>45</v>
      </c>
      <c r="E20" s="18">
        <v>30</v>
      </c>
      <c r="F20" s="18" t="s">
        <v>21</v>
      </c>
      <c r="G20" s="18" t="s">
        <v>22</v>
      </c>
      <c r="H20" s="18" t="s">
        <v>23</v>
      </c>
      <c r="I20" s="19">
        <v>1.1299999999999999</v>
      </c>
      <c r="J20" s="20">
        <f t="shared" si="0"/>
        <v>33.9</v>
      </c>
      <c r="K20" s="106"/>
      <c r="L20" s="114"/>
      <c r="M20" s="114">
        <f>tblAquisições[[#This Row],[VALOR UNITARIO COMPRADO]]*tblAquisições[[#This Row],[QUANTIDADE COMPRADA]]</f>
        <v>0</v>
      </c>
      <c r="N20" s="110">
        <f>K20-tblAquisições[[#This Row],[QUANTIDADE PLANEJADA]]</f>
        <v>-30</v>
      </c>
      <c r="O20" s="106" t="str">
        <f t="shared" si="1"/>
        <v>Faltando Comprar</v>
      </c>
    </row>
    <row r="21" spans="1:15" ht="31.5">
      <c r="A21" s="16" t="s">
        <v>17</v>
      </c>
      <c r="B21" s="16" t="s">
        <v>28</v>
      </c>
      <c r="C21" s="17" t="s">
        <v>19</v>
      </c>
      <c r="D21" s="18" t="s">
        <v>46</v>
      </c>
      <c r="E21" s="18">
        <v>12</v>
      </c>
      <c r="F21" s="18" t="s">
        <v>21</v>
      </c>
      <c r="G21" s="18" t="s">
        <v>22</v>
      </c>
      <c r="H21" s="18" t="s">
        <v>23</v>
      </c>
      <c r="I21" s="19">
        <v>21.760999999999999</v>
      </c>
      <c r="J21" s="20">
        <f t="shared" si="0"/>
        <v>261.13200000000001</v>
      </c>
      <c r="K21" s="106"/>
      <c r="L21" s="114"/>
      <c r="M21" s="114">
        <f>tblAquisições[[#This Row],[VALOR UNITARIO COMPRADO]]*tblAquisições[[#This Row],[QUANTIDADE COMPRADA]]</f>
        <v>0</v>
      </c>
      <c r="N21" s="110">
        <f>K21-tblAquisições[[#This Row],[QUANTIDADE PLANEJADA]]</f>
        <v>-12</v>
      </c>
      <c r="O21" s="106" t="str">
        <f t="shared" si="1"/>
        <v>Faltando Comprar</v>
      </c>
    </row>
    <row r="22" spans="1:15" ht="31.5">
      <c r="A22" s="16" t="s">
        <v>17</v>
      </c>
      <c r="B22" s="16" t="s">
        <v>28</v>
      </c>
      <c r="C22" s="17" t="s">
        <v>19</v>
      </c>
      <c r="D22" s="18" t="s">
        <v>47</v>
      </c>
      <c r="E22" s="18">
        <v>12</v>
      </c>
      <c r="F22" s="18" t="s">
        <v>21</v>
      </c>
      <c r="G22" s="18" t="s">
        <v>22</v>
      </c>
      <c r="H22" s="18" t="s">
        <v>23</v>
      </c>
      <c r="I22" s="19">
        <v>38.479999999999997</v>
      </c>
      <c r="J22" s="20">
        <f t="shared" si="0"/>
        <v>461.76</v>
      </c>
      <c r="K22" s="106"/>
      <c r="L22" s="114"/>
      <c r="M22" s="114">
        <f>tblAquisições[[#This Row],[VALOR UNITARIO COMPRADO]]*tblAquisições[[#This Row],[QUANTIDADE COMPRADA]]</f>
        <v>0</v>
      </c>
      <c r="N22" s="110">
        <f>K22-tblAquisições[[#This Row],[QUANTIDADE PLANEJADA]]</f>
        <v>-12</v>
      </c>
      <c r="O22" s="106" t="str">
        <f t="shared" si="1"/>
        <v>Faltando Comprar</v>
      </c>
    </row>
    <row r="23" spans="1:15" ht="31.5">
      <c r="A23" s="16" t="s">
        <v>17</v>
      </c>
      <c r="B23" s="16" t="s">
        <v>31</v>
      </c>
      <c r="C23" s="17" t="s">
        <v>19</v>
      </c>
      <c r="D23" s="18" t="s">
        <v>48</v>
      </c>
      <c r="E23" s="18">
        <v>35</v>
      </c>
      <c r="F23" s="18" t="s">
        <v>21</v>
      </c>
      <c r="G23" s="18" t="s">
        <v>22</v>
      </c>
      <c r="H23" s="18" t="s">
        <v>23</v>
      </c>
      <c r="I23" s="19">
        <v>3.56</v>
      </c>
      <c r="J23" s="20">
        <f t="shared" si="0"/>
        <v>124.60000000000001</v>
      </c>
      <c r="K23" s="106"/>
      <c r="L23" s="114"/>
      <c r="M23" s="114">
        <f>tblAquisições[[#This Row],[VALOR UNITARIO COMPRADO]]*tblAquisições[[#This Row],[QUANTIDADE COMPRADA]]</f>
        <v>0</v>
      </c>
      <c r="N23" s="110">
        <f>K23-tblAquisições[[#This Row],[QUANTIDADE PLANEJADA]]</f>
        <v>-35</v>
      </c>
      <c r="O23" s="106" t="str">
        <f t="shared" si="1"/>
        <v>Faltando Comprar</v>
      </c>
    </row>
    <row r="24" spans="1:15" ht="31.5">
      <c r="A24" s="16" t="s">
        <v>17</v>
      </c>
      <c r="B24" s="16" t="s">
        <v>31</v>
      </c>
      <c r="C24" s="17" t="s">
        <v>19</v>
      </c>
      <c r="D24" s="18" t="s">
        <v>49</v>
      </c>
      <c r="E24" s="18">
        <v>30</v>
      </c>
      <c r="F24" s="18" t="s">
        <v>21</v>
      </c>
      <c r="G24" s="18" t="s">
        <v>22</v>
      </c>
      <c r="H24" s="18" t="s">
        <v>23</v>
      </c>
      <c r="I24" s="19">
        <v>1.64</v>
      </c>
      <c r="J24" s="20">
        <f t="shared" si="0"/>
        <v>49.199999999999996</v>
      </c>
      <c r="K24" s="106"/>
      <c r="L24" s="114"/>
      <c r="M24" s="114">
        <f>tblAquisições[[#This Row],[VALOR UNITARIO COMPRADO]]*tblAquisições[[#This Row],[QUANTIDADE COMPRADA]]</f>
        <v>0</v>
      </c>
      <c r="N24" s="110">
        <f>K24-tblAquisições[[#This Row],[QUANTIDADE PLANEJADA]]</f>
        <v>-30</v>
      </c>
      <c r="O24" s="106" t="str">
        <f t="shared" si="1"/>
        <v>Faltando Comprar</v>
      </c>
    </row>
    <row r="25" spans="1:15" ht="31.5">
      <c r="A25" s="16" t="s">
        <v>17</v>
      </c>
      <c r="B25" s="16" t="s">
        <v>18</v>
      </c>
      <c r="C25" s="17" t="s">
        <v>19</v>
      </c>
      <c r="D25" s="18" t="s">
        <v>49</v>
      </c>
      <c r="E25" s="18">
        <v>200</v>
      </c>
      <c r="F25" s="18" t="s">
        <v>21</v>
      </c>
      <c r="G25" s="18" t="s">
        <v>22</v>
      </c>
      <c r="H25" s="18" t="s">
        <v>23</v>
      </c>
      <c r="I25" s="19">
        <v>1.64</v>
      </c>
      <c r="J25" s="20">
        <f t="shared" si="0"/>
        <v>328</v>
      </c>
      <c r="K25" s="106"/>
      <c r="L25" s="114"/>
      <c r="M25" s="114">
        <f>tblAquisições[[#This Row],[VALOR UNITARIO COMPRADO]]*tblAquisições[[#This Row],[QUANTIDADE COMPRADA]]</f>
        <v>0</v>
      </c>
      <c r="N25" s="110">
        <f>K25-tblAquisições[[#This Row],[QUANTIDADE PLANEJADA]]</f>
        <v>-200</v>
      </c>
      <c r="O25" s="106" t="str">
        <f t="shared" si="1"/>
        <v>Faltando Comprar</v>
      </c>
    </row>
    <row r="26" spans="1:15" ht="31.5">
      <c r="A26" s="16" t="s">
        <v>17</v>
      </c>
      <c r="B26" s="16" t="s">
        <v>24</v>
      </c>
      <c r="C26" s="17" t="s">
        <v>19</v>
      </c>
      <c r="D26" s="18" t="s">
        <v>49</v>
      </c>
      <c r="E26" s="18">
        <v>200</v>
      </c>
      <c r="F26" s="18" t="s">
        <v>21</v>
      </c>
      <c r="G26" s="18" t="s">
        <v>22</v>
      </c>
      <c r="H26" s="18" t="s">
        <v>23</v>
      </c>
      <c r="I26" s="19">
        <v>1.64</v>
      </c>
      <c r="J26" s="20">
        <f t="shared" si="0"/>
        <v>328</v>
      </c>
      <c r="K26" s="106"/>
      <c r="L26" s="114"/>
      <c r="M26" s="114">
        <f>tblAquisições[[#This Row],[VALOR UNITARIO COMPRADO]]*tblAquisições[[#This Row],[QUANTIDADE COMPRADA]]</f>
        <v>0</v>
      </c>
      <c r="N26" s="110">
        <f>K26-tblAquisições[[#This Row],[QUANTIDADE PLANEJADA]]</f>
        <v>-200</v>
      </c>
      <c r="O26" s="106" t="str">
        <f t="shared" si="1"/>
        <v>Faltando Comprar</v>
      </c>
    </row>
    <row r="27" spans="1:15" ht="31.5">
      <c r="A27" s="16" t="s">
        <v>17</v>
      </c>
      <c r="B27" s="16" t="s">
        <v>25</v>
      </c>
      <c r="C27" s="17" t="s">
        <v>19</v>
      </c>
      <c r="D27" s="18" t="s">
        <v>49</v>
      </c>
      <c r="E27" s="18">
        <v>200</v>
      </c>
      <c r="F27" s="18" t="s">
        <v>21</v>
      </c>
      <c r="G27" s="18" t="s">
        <v>22</v>
      </c>
      <c r="H27" s="18" t="s">
        <v>23</v>
      </c>
      <c r="I27" s="19">
        <v>1.64</v>
      </c>
      <c r="J27" s="20">
        <f t="shared" si="0"/>
        <v>328</v>
      </c>
      <c r="K27" s="106"/>
      <c r="L27" s="114"/>
      <c r="M27" s="114">
        <f>tblAquisições[[#This Row],[VALOR UNITARIO COMPRADO]]*tblAquisições[[#This Row],[QUANTIDADE COMPRADA]]</f>
        <v>0</v>
      </c>
      <c r="N27" s="110">
        <f>K27-tblAquisições[[#This Row],[QUANTIDADE PLANEJADA]]</f>
        <v>-200</v>
      </c>
      <c r="O27" s="106" t="str">
        <f t="shared" si="1"/>
        <v>Faltando Comprar</v>
      </c>
    </row>
    <row r="28" spans="1:15" ht="31.5">
      <c r="A28" s="16" t="s">
        <v>17</v>
      </c>
      <c r="B28" s="16" t="s">
        <v>27</v>
      </c>
      <c r="C28" s="17" t="s">
        <v>19</v>
      </c>
      <c r="D28" s="18" t="s">
        <v>49</v>
      </c>
      <c r="E28" s="18">
        <v>200</v>
      </c>
      <c r="F28" s="18" t="s">
        <v>21</v>
      </c>
      <c r="G28" s="18" t="s">
        <v>22</v>
      </c>
      <c r="H28" s="18" t="s">
        <v>23</v>
      </c>
      <c r="I28" s="19">
        <v>1.64</v>
      </c>
      <c r="J28" s="20">
        <f t="shared" si="0"/>
        <v>328</v>
      </c>
      <c r="K28" s="106"/>
      <c r="L28" s="114"/>
      <c r="M28" s="114">
        <f>tblAquisições[[#This Row],[VALOR UNITARIO COMPRADO]]*tblAquisições[[#This Row],[QUANTIDADE COMPRADA]]</f>
        <v>0</v>
      </c>
      <c r="N28" s="110">
        <f>K28-tblAquisições[[#This Row],[QUANTIDADE PLANEJADA]]</f>
        <v>-200</v>
      </c>
      <c r="O28" s="106" t="str">
        <f t="shared" si="1"/>
        <v>Faltando Comprar</v>
      </c>
    </row>
    <row r="29" spans="1:15" ht="31.5">
      <c r="A29" s="16" t="s">
        <v>17</v>
      </c>
      <c r="B29" s="16" t="s">
        <v>28</v>
      </c>
      <c r="C29" s="17" t="s">
        <v>19</v>
      </c>
      <c r="D29" s="18" t="s">
        <v>49</v>
      </c>
      <c r="E29" s="18">
        <v>60</v>
      </c>
      <c r="F29" s="18" t="s">
        <v>21</v>
      </c>
      <c r="G29" s="18" t="s">
        <v>22</v>
      </c>
      <c r="H29" s="18" t="s">
        <v>23</v>
      </c>
      <c r="I29" s="19">
        <v>1.64</v>
      </c>
      <c r="J29" s="20">
        <f t="shared" si="0"/>
        <v>98.399999999999991</v>
      </c>
      <c r="K29" s="106"/>
      <c r="L29" s="114"/>
      <c r="M29" s="114">
        <f>tblAquisições[[#This Row],[VALOR UNITARIO COMPRADO]]*tblAquisições[[#This Row],[QUANTIDADE COMPRADA]]</f>
        <v>0</v>
      </c>
      <c r="N29" s="110">
        <f>K29-tblAquisições[[#This Row],[QUANTIDADE PLANEJADA]]</f>
        <v>-60</v>
      </c>
      <c r="O29" s="106" t="str">
        <f t="shared" si="1"/>
        <v>Faltando Comprar</v>
      </c>
    </row>
    <row r="30" spans="1:15" ht="31.5">
      <c r="A30" s="16" t="s">
        <v>17</v>
      </c>
      <c r="B30" s="16" t="s">
        <v>28</v>
      </c>
      <c r="C30" s="17" t="s">
        <v>19</v>
      </c>
      <c r="D30" s="18" t="s">
        <v>50</v>
      </c>
      <c r="E30" s="18">
        <v>100</v>
      </c>
      <c r="F30" s="18" t="s">
        <v>21</v>
      </c>
      <c r="G30" s="18" t="s">
        <v>22</v>
      </c>
      <c r="H30" s="18" t="s">
        <v>23</v>
      </c>
      <c r="I30" s="19">
        <v>11.61</v>
      </c>
      <c r="J30" s="20">
        <f t="shared" si="0"/>
        <v>1161</v>
      </c>
      <c r="K30" s="106"/>
      <c r="L30" s="114"/>
      <c r="M30" s="114">
        <f>tblAquisições[[#This Row],[VALOR UNITARIO COMPRADO]]*tblAquisições[[#This Row],[QUANTIDADE COMPRADA]]</f>
        <v>0</v>
      </c>
      <c r="N30" s="110">
        <f>K30-tblAquisições[[#This Row],[QUANTIDADE PLANEJADA]]</f>
        <v>-100</v>
      </c>
      <c r="O30" s="106" t="str">
        <f t="shared" si="1"/>
        <v>Faltando Comprar</v>
      </c>
    </row>
    <row r="31" spans="1:15" ht="31.5">
      <c r="A31" s="16" t="s">
        <v>17</v>
      </c>
      <c r="B31" s="16" t="s">
        <v>31</v>
      </c>
      <c r="C31" s="17" t="s">
        <v>19</v>
      </c>
      <c r="D31" s="18" t="s">
        <v>51</v>
      </c>
      <c r="E31" s="18">
        <v>2</v>
      </c>
      <c r="F31" s="18" t="s">
        <v>52</v>
      </c>
      <c r="G31" s="18" t="s">
        <v>22</v>
      </c>
      <c r="H31" s="18" t="s">
        <v>53</v>
      </c>
      <c r="I31" s="19">
        <v>2241.5</v>
      </c>
      <c r="J31" s="20">
        <f t="shared" si="0"/>
        <v>4483</v>
      </c>
      <c r="K31" s="106"/>
      <c r="L31" s="114"/>
      <c r="M31" s="114">
        <f>tblAquisições[[#This Row],[VALOR UNITARIO COMPRADO]]*tblAquisições[[#This Row],[QUANTIDADE COMPRADA]]</f>
        <v>0</v>
      </c>
      <c r="N31" s="110">
        <f>K31-tblAquisições[[#This Row],[QUANTIDADE PLANEJADA]]</f>
        <v>-2</v>
      </c>
      <c r="O31" s="106" t="str">
        <f t="shared" si="1"/>
        <v>Faltando Comprar</v>
      </c>
    </row>
    <row r="32" spans="1:15" ht="31.5">
      <c r="A32" s="16" t="s">
        <v>17</v>
      </c>
      <c r="B32" s="16" t="s">
        <v>31</v>
      </c>
      <c r="C32" s="17" t="s">
        <v>19</v>
      </c>
      <c r="D32" s="18" t="s">
        <v>54</v>
      </c>
      <c r="E32" s="18">
        <v>50</v>
      </c>
      <c r="F32" s="18" t="s">
        <v>21</v>
      </c>
      <c r="G32" s="18" t="s">
        <v>22</v>
      </c>
      <c r="H32" s="18" t="s">
        <v>23</v>
      </c>
      <c r="I32" s="19">
        <v>327.13</v>
      </c>
      <c r="J32" s="20">
        <f t="shared" si="0"/>
        <v>16356.5</v>
      </c>
      <c r="K32" s="106"/>
      <c r="L32" s="114"/>
      <c r="M32" s="114">
        <f>tblAquisições[[#This Row],[VALOR UNITARIO COMPRADO]]*tblAquisições[[#This Row],[QUANTIDADE COMPRADA]]</f>
        <v>0</v>
      </c>
      <c r="N32" s="110">
        <f>K32-tblAquisições[[#This Row],[QUANTIDADE PLANEJADA]]</f>
        <v>-50</v>
      </c>
      <c r="O32" s="106" t="str">
        <f t="shared" si="1"/>
        <v>Faltando Comprar</v>
      </c>
    </row>
    <row r="33" spans="1:15" ht="31.5">
      <c r="A33" s="16" t="s">
        <v>17</v>
      </c>
      <c r="B33" s="16" t="s">
        <v>17</v>
      </c>
      <c r="C33" s="17" t="s">
        <v>19</v>
      </c>
      <c r="D33" s="18" t="s">
        <v>55</v>
      </c>
      <c r="E33" s="18">
        <v>36</v>
      </c>
      <c r="F33" s="18" t="s">
        <v>56</v>
      </c>
      <c r="G33" s="18" t="s">
        <v>39</v>
      </c>
      <c r="H33" s="18" t="s">
        <v>23</v>
      </c>
      <c r="I33" s="19">
        <v>148.57</v>
      </c>
      <c r="J33" s="20">
        <f t="shared" si="0"/>
        <v>5348.5199999999995</v>
      </c>
      <c r="K33" s="106"/>
      <c r="L33" s="114"/>
      <c r="M33" s="114">
        <f>tblAquisições[[#This Row],[VALOR UNITARIO COMPRADO]]*tblAquisições[[#This Row],[QUANTIDADE COMPRADA]]</f>
        <v>0</v>
      </c>
      <c r="N33" s="110">
        <f>K33-tblAquisições[[#This Row],[QUANTIDADE PLANEJADA]]</f>
        <v>-36</v>
      </c>
      <c r="O33" s="106" t="str">
        <f t="shared" si="1"/>
        <v>Faltando Comprar</v>
      </c>
    </row>
    <row r="34" spans="1:15" ht="47.25">
      <c r="A34" s="16" t="s">
        <v>17</v>
      </c>
      <c r="B34" s="16" t="s">
        <v>26</v>
      </c>
      <c r="C34" s="17" t="s">
        <v>19</v>
      </c>
      <c r="D34" s="18" t="s">
        <v>57</v>
      </c>
      <c r="E34" s="18">
        <v>10</v>
      </c>
      <c r="F34" s="18" t="s">
        <v>58</v>
      </c>
      <c r="G34" s="18" t="s">
        <v>22</v>
      </c>
      <c r="H34" s="18" t="s">
        <v>23</v>
      </c>
      <c r="I34" s="19">
        <v>0.56999999999999995</v>
      </c>
      <c r="J34" s="20">
        <f t="shared" si="0"/>
        <v>5.6999999999999993</v>
      </c>
      <c r="K34" s="106"/>
      <c r="L34" s="114"/>
      <c r="M34" s="114">
        <f>tblAquisições[[#This Row],[VALOR UNITARIO COMPRADO]]*tblAquisições[[#This Row],[QUANTIDADE COMPRADA]]</f>
        <v>0</v>
      </c>
      <c r="N34" s="110">
        <f>K34-tblAquisições[[#This Row],[QUANTIDADE PLANEJADA]]</f>
        <v>-10</v>
      </c>
      <c r="O34" s="106" t="str">
        <f t="shared" si="1"/>
        <v>Faltando Comprar</v>
      </c>
    </row>
    <row r="35" spans="1:15" ht="47.25">
      <c r="A35" s="16" t="s">
        <v>17</v>
      </c>
      <c r="B35" s="16" t="s">
        <v>59</v>
      </c>
      <c r="C35" s="17" t="s">
        <v>19</v>
      </c>
      <c r="D35" s="18" t="s">
        <v>60</v>
      </c>
      <c r="E35" s="18">
        <v>50</v>
      </c>
      <c r="F35" s="18" t="s">
        <v>58</v>
      </c>
      <c r="G35" s="18" t="s">
        <v>22</v>
      </c>
      <c r="H35" s="18" t="s">
        <v>23</v>
      </c>
      <c r="I35" s="19">
        <v>44.86</v>
      </c>
      <c r="J35" s="20">
        <f t="shared" si="0"/>
        <v>2243</v>
      </c>
      <c r="K35" s="106"/>
      <c r="L35" s="114"/>
      <c r="M35" s="114">
        <f>tblAquisições[[#This Row],[VALOR UNITARIO COMPRADO]]*tblAquisições[[#This Row],[QUANTIDADE COMPRADA]]</f>
        <v>0</v>
      </c>
      <c r="N35" s="110">
        <f>K35-tblAquisições[[#This Row],[QUANTIDADE PLANEJADA]]</f>
        <v>-50</v>
      </c>
      <c r="O35" s="106" t="str">
        <f t="shared" si="1"/>
        <v>Faltando Comprar</v>
      </c>
    </row>
    <row r="36" spans="1:15" ht="47.25">
      <c r="A36" s="16" t="s">
        <v>17</v>
      </c>
      <c r="B36" s="16" t="s">
        <v>59</v>
      </c>
      <c r="C36" s="17" t="s">
        <v>19</v>
      </c>
      <c r="D36" s="18" t="s">
        <v>61</v>
      </c>
      <c r="E36" s="18">
        <v>10</v>
      </c>
      <c r="F36" s="18" t="s">
        <v>58</v>
      </c>
      <c r="G36" s="18" t="s">
        <v>22</v>
      </c>
      <c r="H36" s="18" t="s">
        <v>23</v>
      </c>
      <c r="I36" s="19">
        <v>13.49</v>
      </c>
      <c r="J36" s="20">
        <f t="shared" si="0"/>
        <v>134.9</v>
      </c>
      <c r="K36" s="106"/>
      <c r="L36" s="114"/>
      <c r="M36" s="114">
        <f>tblAquisições[[#This Row],[VALOR UNITARIO COMPRADO]]*tblAquisições[[#This Row],[QUANTIDADE COMPRADA]]</f>
        <v>0</v>
      </c>
      <c r="N36" s="110">
        <f>K36-tblAquisições[[#This Row],[QUANTIDADE PLANEJADA]]</f>
        <v>-10</v>
      </c>
      <c r="O36" s="106" t="str">
        <f t="shared" si="1"/>
        <v>Faltando Comprar</v>
      </c>
    </row>
    <row r="37" spans="1:15" ht="47.25">
      <c r="A37" s="16" t="s">
        <v>17</v>
      </c>
      <c r="B37" s="16" t="s">
        <v>28</v>
      </c>
      <c r="C37" s="17" t="s">
        <v>19</v>
      </c>
      <c r="D37" s="18" t="s">
        <v>62</v>
      </c>
      <c r="E37" s="18">
        <v>24</v>
      </c>
      <c r="F37" s="18" t="s">
        <v>58</v>
      </c>
      <c r="G37" s="18" t="s">
        <v>22</v>
      </c>
      <c r="H37" s="18" t="s">
        <v>23</v>
      </c>
      <c r="I37" s="19">
        <v>6.06</v>
      </c>
      <c r="J37" s="20">
        <f t="shared" si="0"/>
        <v>145.44</v>
      </c>
      <c r="K37" s="106"/>
      <c r="L37" s="114"/>
      <c r="M37" s="114">
        <f>tblAquisições[[#This Row],[VALOR UNITARIO COMPRADO]]*tblAquisições[[#This Row],[QUANTIDADE COMPRADA]]</f>
        <v>0</v>
      </c>
      <c r="N37" s="110">
        <f>K37-tblAquisições[[#This Row],[QUANTIDADE PLANEJADA]]</f>
        <v>-24</v>
      </c>
      <c r="O37" s="106" t="str">
        <f t="shared" si="1"/>
        <v>Faltando Comprar</v>
      </c>
    </row>
    <row r="38" spans="1:15" ht="47.25">
      <c r="A38" s="16" t="s">
        <v>17</v>
      </c>
      <c r="B38" s="16" t="s">
        <v>28</v>
      </c>
      <c r="C38" s="17" t="s">
        <v>19</v>
      </c>
      <c r="D38" s="18" t="s">
        <v>63</v>
      </c>
      <c r="E38" s="18">
        <v>5</v>
      </c>
      <c r="F38" s="18" t="s">
        <v>58</v>
      </c>
      <c r="G38" s="18" t="s">
        <v>22</v>
      </c>
      <c r="H38" s="18" t="s">
        <v>23</v>
      </c>
      <c r="I38" s="19">
        <v>6.75</v>
      </c>
      <c r="J38" s="20">
        <f t="shared" si="0"/>
        <v>33.75</v>
      </c>
      <c r="K38" s="106"/>
      <c r="L38" s="114"/>
      <c r="M38" s="114">
        <f>tblAquisições[[#This Row],[VALOR UNITARIO COMPRADO]]*tblAquisições[[#This Row],[QUANTIDADE COMPRADA]]</f>
        <v>0</v>
      </c>
      <c r="N38" s="110">
        <f>K38-tblAquisições[[#This Row],[QUANTIDADE PLANEJADA]]</f>
        <v>-5</v>
      </c>
      <c r="O38" s="106" t="str">
        <f t="shared" si="1"/>
        <v>Faltando Comprar</v>
      </c>
    </row>
    <row r="39" spans="1:15" ht="47.25">
      <c r="A39" s="16" t="s">
        <v>17</v>
      </c>
      <c r="B39" s="16" t="s">
        <v>28</v>
      </c>
      <c r="C39" s="17" t="s">
        <v>19</v>
      </c>
      <c r="D39" s="18" t="s">
        <v>64</v>
      </c>
      <c r="E39" s="18">
        <v>3</v>
      </c>
      <c r="F39" s="18" t="s">
        <v>58</v>
      </c>
      <c r="G39" s="18" t="s">
        <v>22</v>
      </c>
      <c r="H39" s="18" t="s">
        <v>65</v>
      </c>
      <c r="I39" s="19">
        <v>199</v>
      </c>
      <c r="J39" s="20">
        <f t="shared" si="0"/>
        <v>597</v>
      </c>
      <c r="K39" s="106"/>
      <c r="L39" s="114"/>
      <c r="M39" s="114">
        <f>tblAquisições[[#This Row],[VALOR UNITARIO COMPRADO]]*tblAquisições[[#This Row],[QUANTIDADE COMPRADA]]</f>
        <v>0</v>
      </c>
      <c r="N39" s="110">
        <f>K39-tblAquisições[[#This Row],[QUANTIDADE PLANEJADA]]</f>
        <v>-3</v>
      </c>
      <c r="O39" s="106" t="str">
        <f t="shared" si="1"/>
        <v>Faltando Comprar</v>
      </c>
    </row>
    <row r="40" spans="1:15" ht="47.25">
      <c r="A40" s="16" t="s">
        <v>17</v>
      </c>
      <c r="B40" s="16" t="s">
        <v>26</v>
      </c>
      <c r="C40" s="17" t="s">
        <v>19</v>
      </c>
      <c r="D40" s="18" t="s">
        <v>66</v>
      </c>
      <c r="E40" s="18">
        <v>5</v>
      </c>
      <c r="F40" s="18" t="s">
        <v>58</v>
      </c>
      <c r="G40" s="18" t="s">
        <v>22</v>
      </c>
      <c r="H40" s="18" t="s">
        <v>23</v>
      </c>
      <c r="I40" s="19">
        <v>35.270000000000003</v>
      </c>
      <c r="J40" s="20">
        <f t="shared" si="0"/>
        <v>176.35000000000002</v>
      </c>
      <c r="K40" s="106"/>
      <c r="L40" s="114"/>
      <c r="M40" s="114">
        <f>tblAquisições[[#This Row],[VALOR UNITARIO COMPRADO]]*tblAquisições[[#This Row],[QUANTIDADE COMPRADA]]</f>
        <v>0</v>
      </c>
      <c r="N40" s="110">
        <f>K40-tblAquisições[[#This Row],[QUANTIDADE PLANEJADA]]</f>
        <v>-5</v>
      </c>
      <c r="O40" s="106" t="str">
        <f t="shared" si="1"/>
        <v>Faltando Comprar</v>
      </c>
    </row>
    <row r="41" spans="1:15" ht="31.5">
      <c r="A41" s="16" t="s">
        <v>17</v>
      </c>
      <c r="B41" s="16" t="s">
        <v>26</v>
      </c>
      <c r="C41" s="17" t="s">
        <v>19</v>
      </c>
      <c r="D41" s="18" t="s">
        <v>67</v>
      </c>
      <c r="E41" s="18">
        <v>2</v>
      </c>
      <c r="F41" s="18" t="s">
        <v>21</v>
      </c>
      <c r="G41" s="18" t="s">
        <v>22</v>
      </c>
      <c r="H41" s="18" t="s">
        <v>65</v>
      </c>
      <c r="I41" s="19">
        <v>14.16</v>
      </c>
      <c r="J41" s="20">
        <f t="shared" si="0"/>
        <v>28.32</v>
      </c>
      <c r="K41" s="106"/>
      <c r="L41" s="114"/>
      <c r="M41" s="114">
        <f>tblAquisições[[#This Row],[VALOR UNITARIO COMPRADO]]*tblAquisições[[#This Row],[QUANTIDADE COMPRADA]]</f>
        <v>0</v>
      </c>
      <c r="N41" s="110">
        <f>K41-tblAquisições[[#This Row],[QUANTIDADE PLANEJADA]]</f>
        <v>-2</v>
      </c>
      <c r="O41" s="106" t="str">
        <f t="shared" si="1"/>
        <v>Faltando Comprar</v>
      </c>
    </row>
    <row r="42" spans="1:15" ht="47.25">
      <c r="A42" s="16" t="s">
        <v>17</v>
      </c>
      <c r="B42" s="16" t="s">
        <v>26</v>
      </c>
      <c r="C42" s="17" t="s">
        <v>19</v>
      </c>
      <c r="D42" s="18" t="s">
        <v>68</v>
      </c>
      <c r="E42" s="18">
        <v>2</v>
      </c>
      <c r="F42" s="18" t="s">
        <v>58</v>
      </c>
      <c r="G42" s="18" t="s">
        <v>22</v>
      </c>
      <c r="H42" s="18" t="s">
        <v>65</v>
      </c>
      <c r="I42" s="19">
        <v>13.66</v>
      </c>
      <c r="J42" s="20">
        <f t="shared" si="0"/>
        <v>27.32</v>
      </c>
      <c r="K42" s="106"/>
      <c r="L42" s="114"/>
      <c r="M42" s="114">
        <f>tblAquisições[[#This Row],[VALOR UNITARIO COMPRADO]]*tblAquisições[[#This Row],[QUANTIDADE COMPRADA]]</f>
        <v>0</v>
      </c>
      <c r="N42" s="110">
        <f>K42-tblAquisições[[#This Row],[QUANTIDADE PLANEJADA]]</f>
        <v>-2</v>
      </c>
      <c r="O42" s="106" t="str">
        <f t="shared" si="1"/>
        <v>Faltando Comprar</v>
      </c>
    </row>
    <row r="43" spans="1:15" ht="47.25">
      <c r="A43" s="16" t="s">
        <v>17</v>
      </c>
      <c r="B43" s="16" t="s">
        <v>34</v>
      </c>
      <c r="C43" s="17" t="s">
        <v>19</v>
      </c>
      <c r="D43" s="18" t="s">
        <v>69</v>
      </c>
      <c r="E43" s="18">
        <v>10</v>
      </c>
      <c r="F43" s="18" t="s">
        <v>58</v>
      </c>
      <c r="G43" s="18" t="s">
        <v>22</v>
      </c>
      <c r="H43" s="18" t="s">
        <v>23</v>
      </c>
      <c r="I43" s="19">
        <v>30.6</v>
      </c>
      <c r="J43" s="20">
        <f t="shared" si="0"/>
        <v>306</v>
      </c>
      <c r="K43" s="106"/>
      <c r="L43" s="114"/>
      <c r="M43" s="114">
        <f>tblAquisições[[#This Row],[VALOR UNITARIO COMPRADO]]*tblAquisições[[#This Row],[QUANTIDADE COMPRADA]]</f>
        <v>0</v>
      </c>
      <c r="N43" s="110">
        <f>K43-tblAquisições[[#This Row],[QUANTIDADE PLANEJADA]]</f>
        <v>-10</v>
      </c>
      <c r="O43" s="106" t="str">
        <f t="shared" si="1"/>
        <v>Faltando Comprar</v>
      </c>
    </row>
    <row r="44" spans="1:15" ht="47.25">
      <c r="A44" s="16" t="s">
        <v>17</v>
      </c>
      <c r="B44" s="16" t="s">
        <v>26</v>
      </c>
      <c r="C44" s="17" t="s">
        <v>19</v>
      </c>
      <c r="D44" s="18" t="s">
        <v>70</v>
      </c>
      <c r="E44" s="18">
        <v>50</v>
      </c>
      <c r="F44" s="18" t="s">
        <v>71</v>
      </c>
      <c r="G44" s="18" t="s">
        <v>22</v>
      </c>
      <c r="H44" s="18" t="s">
        <v>23</v>
      </c>
      <c r="I44" s="19">
        <v>22.18</v>
      </c>
      <c r="J44" s="20">
        <f t="shared" si="0"/>
        <v>1109</v>
      </c>
      <c r="K44" s="106"/>
      <c r="L44" s="114"/>
      <c r="M44" s="114">
        <f>tblAquisições[[#This Row],[VALOR UNITARIO COMPRADO]]*tblAquisições[[#This Row],[QUANTIDADE COMPRADA]]</f>
        <v>0</v>
      </c>
      <c r="N44" s="110">
        <f>K44-tblAquisições[[#This Row],[QUANTIDADE PLANEJADA]]</f>
        <v>-50</v>
      </c>
      <c r="O44" s="106" t="str">
        <f t="shared" si="1"/>
        <v>Faltando Comprar</v>
      </c>
    </row>
    <row r="45" spans="1:15" ht="47.25">
      <c r="A45" s="16" t="s">
        <v>17</v>
      </c>
      <c r="B45" s="16" t="s">
        <v>72</v>
      </c>
      <c r="C45" s="17" t="s">
        <v>19</v>
      </c>
      <c r="D45" s="18" t="s">
        <v>70</v>
      </c>
      <c r="E45" s="18">
        <v>10</v>
      </c>
      <c r="F45" s="18" t="s">
        <v>71</v>
      </c>
      <c r="G45" s="18" t="s">
        <v>22</v>
      </c>
      <c r="H45" s="18" t="s">
        <v>23</v>
      </c>
      <c r="I45" s="19">
        <v>22.18</v>
      </c>
      <c r="J45" s="20">
        <f t="shared" si="0"/>
        <v>221.8</v>
      </c>
      <c r="K45" s="106"/>
      <c r="L45" s="114"/>
      <c r="M45" s="114">
        <f>tblAquisições[[#This Row],[VALOR UNITARIO COMPRADO]]*tblAquisições[[#This Row],[QUANTIDADE COMPRADA]]</f>
        <v>0</v>
      </c>
      <c r="N45" s="110">
        <f>K45-tblAquisições[[#This Row],[QUANTIDADE PLANEJADA]]</f>
        <v>-10</v>
      </c>
      <c r="O45" s="106" t="str">
        <f t="shared" si="1"/>
        <v>Faltando Comprar</v>
      </c>
    </row>
    <row r="46" spans="1:15" ht="47.25">
      <c r="A46" s="16" t="s">
        <v>17</v>
      </c>
      <c r="B46" s="16" t="s">
        <v>72</v>
      </c>
      <c r="C46" s="17" t="s">
        <v>19</v>
      </c>
      <c r="D46" s="18" t="s">
        <v>73</v>
      </c>
      <c r="E46" s="18">
        <v>2</v>
      </c>
      <c r="F46" s="18" t="s">
        <v>58</v>
      </c>
      <c r="G46" s="18" t="s">
        <v>22</v>
      </c>
      <c r="H46" s="18" t="s">
        <v>23</v>
      </c>
      <c r="I46" s="19">
        <v>22.71</v>
      </c>
      <c r="J46" s="20">
        <f t="shared" si="0"/>
        <v>45.42</v>
      </c>
      <c r="K46" s="106"/>
      <c r="L46" s="114"/>
      <c r="M46" s="114">
        <f>tblAquisições[[#This Row],[VALOR UNITARIO COMPRADO]]*tblAquisições[[#This Row],[QUANTIDADE COMPRADA]]</f>
        <v>0</v>
      </c>
      <c r="N46" s="110">
        <f>K46-tblAquisições[[#This Row],[QUANTIDADE PLANEJADA]]</f>
        <v>-2</v>
      </c>
      <c r="O46" s="106" t="str">
        <f t="shared" si="1"/>
        <v>Faltando Comprar</v>
      </c>
    </row>
    <row r="47" spans="1:15" ht="47.25">
      <c r="A47" s="16" t="s">
        <v>17</v>
      </c>
      <c r="B47" s="16" t="s">
        <v>28</v>
      </c>
      <c r="C47" s="17" t="s">
        <v>19</v>
      </c>
      <c r="D47" s="18" t="s">
        <v>74</v>
      </c>
      <c r="E47" s="18">
        <v>10</v>
      </c>
      <c r="F47" s="18" t="s">
        <v>58</v>
      </c>
      <c r="G47" s="18" t="s">
        <v>22</v>
      </c>
      <c r="H47" s="18" t="s">
        <v>23</v>
      </c>
      <c r="I47" s="19">
        <v>7.17</v>
      </c>
      <c r="J47" s="20">
        <f t="shared" si="0"/>
        <v>71.7</v>
      </c>
      <c r="K47" s="106"/>
      <c r="L47" s="114"/>
      <c r="M47" s="114">
        <f>tblAquisições[[#This Row],[VALOR UNITARIO COMPRADO]]*tblAquisições[[#This Row],[QUANTIDADE COMPRADA]]</f>
        <v>0</v>
      </c>
      <c r="N47" s="110">
        <f>K47-tblAquisições[[#This Row],[QUANTIDADE PLANEJADA]]</f>
        <v>-10</v>
      </c>
      <c r="O47" s="106" t="str">
        <f t="shared" si="1"/>
        <v>Faltando Comprar</v>
      </c>
    </row>
    <row r="48" spans="1:15" ht="47.25">
      <c r="A48" s="16" t="s">
        <v>17</v>
      </c>
      <c r="B48" s="16" t="s">
        <v>59</v>
      </c>
      <c r="C48" s="17" t="s">
        <v>19</v>
      </c>
      <c r="D48" s="18" t="s">
        <v>74</v>
      </c>
      <c r="E48" s="18">
        <v>10</v>
      </c>
      <c r="F48" s="18" t="s">
        <v>58</v>
      </c>
      <c r="G48" s="18" t="s">
        <v>22</v>
      </c>
      <c r="H48" s="18" t="s">
        <v>23</v>
      </c>
      <c r="I48" s="19">
        <v>7.17</v>
      </c>
      <c r="J48" s="20">
        <f t="shared" si="0"/>
        <v>71.7</v>
      </c>
      <c r="K48" s="106"/>
      <c r="L48" s="114"/>
      <c r="M48" s="114">
        <f>tblAquisições[[#This Row],[VALOR UNITARIO COMPRADO]]*tblAquisições[[#This Row],[QUANTIDADE COMPRADA]]</f>
        <v>0</v>
      </c>
      <c r="N48" s="110">
        <f>K48-tblAquisições[[#This Row],[QUANTIDADE PLANEJADA]]</f>
        <v>-10</v>
      </c>
      <c r="O48" s="106" t="str">
        <f t="shared" si="1"/>
        <v>Faltando Comprar</v>
      </c>
    </row>
    <row r="49" spans="1:15" ht="47.25">
      <c r="A49" s="16" t="s">
        <v>17</v>
      </c>
      <c r="B49" s="16" t="s">
        <v>26</v>
      </c>
      <c r="C49" s="17" t="s">
        <v>19</v>
      </c>
      <c r="D49" s="18" t="s">
        <v>75</v>
      </c>
      <c r="E49" s="18">
        <v>5</v>
      </c>
      <c r="F49" s="18" t="s">
        <v>58</v>
      </c>
      <c r="G49" s="18" t="s">
        <v>22</v>
      </c>
      <c r="H49" s="18" t="s">
        <v>23</v>
      </c>
      <c r="I49" s="19">
        <v>9.67</v>
      </c>
      <c r="J49" s="20">
        <f t="shared" si="0"/>
        <v>48.35</v>
      </c>
      <c r="K49" s="106"/>
      <c r="L49" s="114"/>
      <c r="M49" s="114">
        <f>tblAquisições[[#This Row],[VALOR UNITARIO COMPRADO]]*tblAquisições[[#This Row],[QUANTIDADE COMPRADA]]</f>
        <v>0</v>
      </c>
      <c r="N49" s="110">
        <f>K49-tblAquisições[[#This Row],[QUANTIDADE PLANEJADA]]</f>
        <v>-5</v>
      </c>
      <c r="O49" s="106" t="str">
        <f t="shared" si="1"/>
        <v>Faltando Comprar</v>
      </c>
    </row>
    <row r="50" spans="1:15" ht="47.25">
      <c r="A50" s="16" t="s">
        <v>17</v>
      </c>
      <c r="B50" s="16" t="s">
        <v>59</v>
      </c>
      <c r="C50" s="17" t="s">
        <v>19</v>
      </c>
      <c r="D50" s="18" t="s">
        <v>75</v>
      </c>
      <c r="E50" s="18">
        <v>10</v>
      </c>
      <c r="F50" s="18" t="s">
        <v>58</v>
      </c>
      <c r="G50" s="18" t="s">
        <v>22</v>
      </c>
      <c r="H50" s="18" t="s">
        <v>23</v>
      </c>
      <c r="I50" s="19">
        <v>9.67</v>
      </c>
      <c r="J50" s="20">
        <f t="shared" si="0"/>
        <v>96.7</v>
      </c>
      <c r="K50" s="106"/>
      <c r="L50" s="114"/>
      <c r="M50" s="114">
        <f>tblAquisições[[#This Row],[VALOR UNITARIO COMPRADO]]*tblAquisições[[#This Row],[QUANTIDADE COMPRADA]]</f>
        <v>0</v>
      </c>
      <c r="N50" s="110">
        <f>K50-tblAquisições[[#This Row],[QUANTIDADE PLANEJADA]]</f>
        <v>-10</v>
      </c>
      <c r="O50" s="106" t="str">
        <f t="shared" si="1"/>
        <v>Faltando Comprar</v>
      </c>
    </row>
    <row r="51" spans="1:15" ht="47.25">
      <c r="A51" s="16" t="s">
        <v>17</v>
      </c>
      <c r="B51" s="16" t="s">
        <v>59</v>
      </c>
      <c r="C51" s="17" t="s">
        <v>19</v>
      </c>
      <c r="D51" s="18" t="s">
        <v>76</v>
      </c>
      <c r="E51" s="18">
        <v>10</v>
      </c>
      <c r="F51" s="18" t="s">
        <v>58</v>
      </c>
      <c r="G51" s="18" t="s">
        <v>22</v>
      </c>
      <c r="H51" s="18" t="s">
        <v>23</v>
      </c>
      <c r="I51" s="19">
        <v>10.61</v>
      </c>
      <c r="J51" s="20">
        <f t="shared" si="0"/>
        <v>106.1</v>
      </c>
      <c r="K51" s="106"/>
      <c r="L51" s="114"/>
      <c r="M51" s="114">
        <f>tblAquisições[[#This Row],[VALOR UNITARIO COMPRADO]]*tblAquisições[[#This Row],[QUANTIDADE COMPRADA]]</f>
        <v>0</v>
      </c>
      <c r="N51" s="110">
        <f>K51-tblAquisições[[#This Row],[QUANTIDADE PLANEJADA]]</f>
        <v>-10</v>
      </c>
      <c r="O51" s="106" t="str">
        <f t="shared" si="1"/>
        <v>Faltando Comprar</v>
      </c>
    </row>
    <row r="52" spans="1:15" ht="47.25">
      <c r="A52" s="16" t="s">
        <v>17</v>
      </c>
      <c r="B52" s="16" t="s">
        <v>72</v>
      </c>
      <c r="C52" s="17" t="s">
        <v>19</v>
      </c>
      <c r="D52" s="18" t="s">
        <v>77</v>
      </c>
      <c r="E52" s="18">
        <v>12</v>
      </c>
      <c r="F52" s="18" t="s">
        <v>78</v>
      </c>
      <c r="G52" s="18" t="s">
        <v>22</v>
      </c>
      <c r="H52" s="18" t="s">
        <v>23</v>
      </c>
      <c r="I52" s="19">
        <v>2.06</v>
      </c>
      <c r="J52" s="20">
        <f t="shared" si="0"/>
        <v>24.72</v>
      </c>
      <c r="K52" s="106"/>
      <c r="L52" s="114"/>
      <c r="M52" s="114">
        <f>tblAquisições[[#This Row],[VALOR UNITARIO COMPRADO]]*tblAquisições[[#This Row],[QUANTIDADE COMPRADA]]</f>
        <v>0</v>
      </c>
      <c r="N52" s="110">
        <f>K52-tblAquisições[[#This Row],[QUANTIDADE PLANEJADA]]</f>
        <v>-12</v>
      </c>
      <c r="O52" s="106" t="str">
        <f t="shared" si="1"/>
        <v>Faltando Comprar</v>
      </c>
    </row>
    <row r="53" spans="1:15" ht="47.25">
      <c r="A53" s="16" t="s">
        <v>17</v>
      </c>
      <c r="B53" s="16" t="s">
        <v>28</v>
      </c>
      <c r="C53" s="17" t="s">
        <v>19</v>
      </c>
      <c r="D53" s="18" t="s">
        <v>79</v>
      </c>
      <c r="E53" s="18">
        <v>10</v>
      </c>
      <c r="F53" s="18" t="s">
        <v>58</v>
      </c>
      <c r="G53" s="18" t="s">
        <v>22</v>
      </c>
      <c r="H53" s="18" t="s">
        <v>23</v>
      </c>
      <c r="I53" s="19">
        <v>6.81</v>
      </c>
      <c r="J53" s="20">
        <f t="shared" si="0"/>
        <v>68.099999999999994</v>
      </c>
      <c r="K53" s="106"/>
      <c r="L53" s="114"/>
      <c r="M53" s="114">
        <f>tblAquisições[[#This Row],[VALOR UNITARIO COMPRADO]]*tblAquisições[[#This Row],[QUANTIDADE COMPRADA]]</f>
        <v>0</v>
      </c>
      <c r="N53" s="110">
        <f>K53-tblAquisições[[#This Row],[QUANTIDADE PLANEJADA]]</f>
        <v>-10</v>
      </c>
      <c r="O53" s="106" t="str">
        <f t="shared" si="1"/>
        <v>Faltando Comprar</v>
      </c>
    </row>
    <row r="54" spans="1:15" ht="31.5">
      <c r="A54" s="16" t="s">
        <v>17</v>
      </c>
      <c r="B54" s="16" t="s">
        <v>80</v>
      </c>
      <c r="C54" s="17" t="s">
        <v>19</v>
      </c>
      <c r="D54" s="18" t="s">
        <v>81</v>
      </c>
      <c r="E54" s="18">
        <v>150</v>
      </c>
      <c r="F54" s="18" t="s">
        <v>82</v>
      </c>
      <c r="G54" s="18" t="s">
        <v>39</v>
      </c>
      <c r="H54" s="18" t="s">
        <v>83</v>
      </c>
      <c r="I54" s="19">
        <v>2.44</v>
      </c>
      <c r="J54" s="20">
        <f t="shared" si="0"/>
        <v>366</v>
      </c>
      <c r="K54" s="106"/>
      <c r="L54" s="114"/>
      <c r="M54" s="114">
        <f>tblAquisições[[#This Row],[VALOR UNITARIO COMPRADO]]*tblAquisições[[#This Row],[QUANTIDADE COMPRADA]]</f>
        <v>0</v>
      </c>
      <c r="N54" s="110">
        <f>K54-tblAquisições[[#This Row],[QUANTIDADE PLANEJADA]]</f>
        <v>-150</v>
      </c>
      <c r="O54" s="106" t="str">
        <f t="shared" si="1"/>
        <v>Faltando Comprar</v>
      </c>
    </row>
    <row r="55" spans="1:15" ht="31.5">
      <c r="A55" s="16" t="s">
        <v>17</v>
      </c>
      <c r="B55" s="16" t="s">
        <v>26</v>
      </c>
      <c r="C55" s="17" t="s">
        <v>19</v>
      </c>
      <c r="D55" s="18" t="s">
        <v>84</v>
      </c>
      <c r="E55" s="18">
        <v>150</v>
      </c>
      <c r="F55" s="18" t="s">
        <v>30</v>
      </c>
      <c r="G55" s="18" t="s">
        <v>22</v>
      </c>
      <c r="H55" s="18" t="s">
        <v>23</v>
      </c>
      <c r="I55" s="19">
        <v>5.56</v>
      </c>
      <c r="J55" s="20">
        <f t="shared" si="0"/>
        <v>833.99999999999989</v>
      </c>
      <c r="K55" s="106"/>
      <c r="L55" s="114"/>
      <c r="M55" s="114">
        <f>tblAquisições[[#This Row],[VALOR UNITARIO COMPRADO]]*tblAquisições[[#This Row],[QUANTIDADE COMPRADA]]</f>
        <v>0</v>
      </c>
      <c r="N55" s="110">
        <f>K55-tblAquisições[[#This Row],[QUANTIDADE PLANEJADA]]</f>
        <v>-150</v>
      </c>
      <c r="O55" s="106" t="str">
        <f t="shared" si="1"/>
        <v>Faltando Comprar</v>
      </c>
    </row>
    <row r="56" spans="1:15" ht="31.5">
      <c r="A56" s="16" t="s">
        <v>17</v>
      </c>
      <c r="B56" s="16" t="s">
        <v>26</v>
      </c>
      <c r="C56" s="17" t="s">
        <v>19</v>
      </c>
      <c r="D56" s="18" t="s">
        <v>85</v>
      </c>
      <c r="E56" s="18">
        <v>20</v>
      </c>
      <c r="F56" s="18" t="s">
        <v>30</v>
      </c>
      <c r="G56" s="18" t="s">
        <v>22</v>
      </c>
      <c r="H56" s="18" t="s">
        <v>23</v>
      </c>
      <c r="I56" s="19">
        <v>6.06</v>
      </c>
      <c r="J56" s="20">
        <f t="shared" si="0"/>
        <v>121.19999999999999</v>
      </c>
      <c r="K56" s="106"/>
      <c r="L56" s="114"/>
      <c r="M56" s="114">
        <f>tblAquisições[[#This Row],[VALOR UNITARIO COMPRADO]]*tblAquisições[[#This Row],[QUANTIDADE COMPRADA]]</f>
        <v>0</v>
      </c>
      <c r="N56" s="110">
        <f>K56-tblAquisições[[#This Row],[QUANTIDADE PLANEJADA]]</f>
        <v>-20</v>
      </c>
      <c r="O56" s="106" t="str">
        <f t="shared" si="1"/>
        <v>Faltando Comprar</v>
      </c>
    </row>
    <row r="57" spans="1:15" ht="31.5">
      <c r="A57" s="16" t="s">
        <v>17</v>
      </c>
      <c r="B57" s="16" t="s">
        <v>26</v>
      </c>
      <c r="C57" s="17" t="s">
        <v>19</v>
      </c>
      <c r="D57" s="18" t="s">
        <v>86</v>
      </c>
      <c r="E57" s="18">
        <v>30</v>
      </c>
      <c r="F57" s="18" t="s">
        <v>30</v>
      </c>
      <c r="G57" s="18" t="s">
        <v>22</v>
      </c>
      <c r="H57" s="18" t="s">
        <v>23</v>
      </c>
      <c r="I57" s="19">
        <v>17.829999999999998</v>
      </c>
      <c r="J57" s="20">
        <f t="shared" si="0"/>
        <v>534.9</v>
      </c>
      <c r="K57" s="106"/>
      <c r="L57" s="114"/>
      <c r="M57" s="114">
        <f>tblAquisições[[#This Row],[VALOR UNITARIO COMPRADO]]*tblAquisições[[#This Row],[QUANTIDADE COMPRADA]]</f>
        <v>0</v>
      </c>
      <c r="N57" s="110">
        <f>K57-tblAquisições[[#This Row],[QUANTIDADE PLANEJADA]]</f>
        <v>-30</v>
      </c>
      <c r="O57" s="106" t="str">
        <f t="shared" si="1"/>
        <v>Faltando Comprar</v>
      </c>
    </row>
    <row r="58" spans="1:15" ht="31.5">
      <c r="A58" s="16" t="s">
        <v>17</v>
      </c>
      <c r="B58" s="16" t="s">
        <v>26</v>
      </c>
      <c r="C58" s="17" t="s">
        <v>19</v>
      </c>
      <c r="D58" s="18" t="s">
        <v>87</v>
      </c>
      <c r="E58" s="18">
        <v>200</v>
      </c>
      <c r="F58" s="18" t="s">
        <v>30</v>
      </c>
      <c r="G58" s="18" t="s">
        <v>22</v>
      </c>
      <c r="H58" s="18" t="s">
        <v>23</v>
      </c>
      <c r="I58" s="19">
        <v>10.99</v>
      </c>
      <c r="J58" s="20">
        <f t="shared" si="0"/>
        <v>2198</v>
      </c>
      <c r="K58" s="106"/>
      <c r="L58" s="114"/>
      <c r="M58" s="114">
        <f>tblAquisições[[#This Row],[VALOR UNITARIO COMPRADO]]*tblAquisições[[#This Row],[QUANTIDADE COMPRADA]]</f>
        <v>0</v>
      </c>
      <c r="N58" s="110">
        <f>K58-tblAquisições[[#This Row],[QUANTIDADE PLANEJADA]]</f>
        <v>-200</v>
      </c>
      <c r="O58" s="106" t="str">
        <f t="shared" si="1"/>
        <v>Faltando Comprar</v>
      </c>
    </row>
    <row r="59" spans="1:15" ht="31.5">
      <c r="A59" s="16" t="s">
        <v>17</v>
      </c>
      <c r="B59" s="16" t="s">
        <v>26</v>
      </c>
      <c r="C59" s="17" t="s">
        <v>19</v>
      </c>
      <c r="D59" s="18" t="s">
        <v>88</v>
      </c>
      <c r="E59" s="18">
        <v>200</v>
      </c>
      <c r="F59" s="18" t="s">
        <v>30</v>
      </c>
      <c r="G59" s="18" t="s">
        <v>22</v>
      </c>
      <c r="H59" s="18" t="s">
        <v>23</v>
      </c>
      <c r="I59" s="19">
        <v>15.27</v>
      </c>
      <c r="J59" s="20">
        <f t="shared" si="0"/>
        <v>3054</v>
      </c>
      <c r="K59" s="106"/>
      <c r="L59" s="114"/>
      <c r="M59" s="114">
        <f>tblAquisições[[#This Row],[VALOR UNITARIO COMPRADO]]*tblAquisições[[#This Row],[QUANTIDADE COMPRADA]]</f>
        <v>0</v>
      </c>
      <c r="N59" s="110">
        <f>K59-tblAquisições[[#This Row],[QUANTIDADE PLANEJADA]]</f>
        <v>-200</v>
      </c>
      <c r="O59" s="106" t="str">
        <f t="shared" si="1"/>
        <v>Faltando Comprar</v>
      </c>
    </row>
    <row r="60" spans="1:15" ht="31.5">
      <c r="A60" s="16" t="s">
        <v>17</v>
      </c>
      <c r="B60" s="16" t="s">
        <v>26</v>
      </c>
      <c r="C60" s="17" t="s">
        <v>19</v>
      </c>
      <c r="D60" s="18" t="s">
        <v>89</v>
      </c>
      <c r="E60" s="18">
        <v>30</v>
      </c>
      <c r="F60" s="18" t="s">
        <v>30</v>
      </c>
      <c r="G60" s="18" t="s">
        <v>22</v>
      </c>
      <c r="H60" s="18" t="s">
        <v>23</v>
      </c>
      <c r="I60" s="19">
        <v>21.5</v>
      </c>
      <c r="J60" s="20">
        <f t="shared" si="0"/>
        <v>645</v>
      </c>
      <c r="K60" s="106"/>
      <c r="L60" s="114"/>
      <c r="M60" s="114">
        <f>tblAquisições[[#This Row],[VALOR UNITARIO COMPRADO]]*tblAquisições[[#This Row],[QUANTIDADE COMPRADA]]</f>
        <v>0</v>
      </c>
      <c r="N60" s="110">
        <f>K60-tblAquisições[[#This Row],[QUANTIDADE PLANEJADA]]</f>
        <v>-30</v>
      </c>
      <c r="O60" s="106" t="str">
        <f t="shared" si="1"/>
        <v>Faltando Comprar</v>
      </c>
    </row>
    <row r="61" spans="1:15" ht="31.5">
      <c r="A61" s="16" t="s">
        <v>17</v>
      </c>
      <c r="B61" s="16" t="s">
        <v>18</v>
      </c>
      <c r="C61" s="17" t="s">
        <v>19</v>
      </c>
      <c r="D61" s="18" t="s">
        <v>90</v>
      </c>
      <c r="E61" s="18">
        <v>10</v>
      </c>
      <c r="F61" s="18" t="s">
        <v>21</v>
      </c>
      <c r="G61" s="18" t="s">
        <v>22</v>
      </c>
      <c r="H61" s="18" t="s">
        <v>23</v>
      </c>
      <c r="I61" s="19">
        <v>587.80999999999995</v>
      </c>
      <c r="J61" s="20">
        <f t="shared" si="0"/>
        <v>5878.0999999999995</v>
      </c>
      <c r="K61" s="106"/>
      <c r="L61" s="114"/>
      <c r="M61" s="114">
        <f>tblAquisições[[#This Row],[VALOR UNITARIO COMPRADO]]*tblAquisições[[#This Row],[QUANTIDADE COMPRADA]]</f>
        <v>0</v>
      </c>
      <c r="N61" s="110">
        <f>K61-tblAquisições[[#This Row],[QUANTIDADE PLANEJADA]]</f>
        <v>-10</v>
      </c>
      <c r="O61" s="106" t="str">
        <f t="shared" si="1"/>
        <v>Faltando Comprar</v>
      </c>
    </row>
    <row r="62" spans="1:15" ht="31.5">
      <c r="A62" s="16" t="s">
        <v>17</v>
      </c>
      <c r="B62" s="16" t="s">
        <v>24</v>
      </c>
      <c r="C62" s="17" t="s">
        <v>19</v>
      </c>
      <c r="D62" s="18" t="s">
        <v>90</v>
      </c>
      <c r="E62" s="18">
        <v>10</v>
      </c>
      <c r="F62" s="18" t="s">
        <v>21</v>
      </c>
      <c r="G62" s="18" t="s">
        <v>22</v>
      </c>
      <c r="H62" s="18" t="s">
        <v>23</v>
      </c>
      <c r="I62" s="19">
        <v>587.80999999999995</v>
      </c>
      <c r="J62" s="20">
        <f t="shared" si="0"/>
        <v>5878.0999999999995</v>
      </c>
      <c r="K62" s="106"/>
      <c r="L62" s="114"/>
      <c r="M62" s="114">
        <f>tblAquisições[[#This Row],[VALOR UNITARIO COMPRADO]]*tblAquisições[[#This Row],[QUANTIDADE COMPRADA]]</f>
        <v>0</v>
      </c>
      <c r="N62" s="110">
        <f>K62-tblAquisições[[#This Row],[QUANTIDADE PLANEJADA]]</f>
        <v>-10</v>
      </c>
      <c r="O62" s="106" t="str">
        <f t="shared" si="1"/>
        <v>Faltando Comprar</v>
      </c>
    </row>
    <row r="63" spans="1:15" ht="31.5">
      <c r="A63" s="16" t="s">
        <v>17</v>
      </c>
      <c r="B63" s="16" t="s">
        <v>25</v>
      </c>
      <c r="C63" s="17" t="s">
        <v>19</v>
      </c>
      <c r="D63" s="18" t="s">
        <v>90</v>
      </c>
      <c r="E63" s="18">
        <v>10</v>
      </c>
      <c r="F63" s="18" t="s">
        <v>21</v>
      </c>
      <c r="G63" s="18" t="s">
        <v>22</v>
      </c>
      <c r="H63" s="18" t="s">
        <v>23</v>
      </c>
      <c r="I63" s="19">
        <v>587.80999999999995</v>
      </c>
      <c r="J63" s="20">
        <f t="shared" si="0"/>
        <v>5878.0999999999995</v>
      </c>
      <c r="K63" s="106"/>
      <c r="L63" s="114"/>
      <c r="M63" s="114">
        <f>tblAquisições[[#This Row],[VALOR UNITARIO COMPRADO]]*tblAquisições[[#This Row],[QUANTIDADE COMPRADA]]</f>
        <v>0</v>
      </c>
      <c r="N63" s="110">
        <f>K63-tblAquisições[[#This Row],[QUANTIDADE PLANEJADA]]</f>
        <v>-10</v>
      </c>
      <c r="O63" s="106" t="str">
        <f t="shared" si="1"/>
        <v>Faltando Comprar</v>
      </c>
    </row>
    <row r="64" spans="1:15" ht="31.5">
      <c r="A64" s="16" t="s">
        <v>17</v>
      </c>
      <c r="B64" s="16" t="s">
        <v>41</v>
      </c>
      <c r="C64" s="17" t="s">
        <v>19</v>
      </c>
      <c r="D64" s="18" t="s">
        <v>90</v>
      </c>
      <c r="E64" s="18">
        <v>5</v>
      </c>
      <c r="F64" s="18" t="s">
        <v>21</v>
      </c>
      <c r="G64" s="18" t="s">
        <v>22</v>
      </c>
      <c r="H64" s="18" t="s">
        <v>23</v>
      </c>
      <c r="I64" s="19">
        <v>587.80999999999995</v>
      </c>
      <c r="J64" s="20">
        <f t="shared" si="0"/>
        <v>2939.0499999999997</v>
      </c>
      <c r="K64" s="106"/>
      <c r="L64" s="114"/>
      <c r="M64" s="114">
        <f>tblAquisições[[#This Row],[VALOR UNITARIO COMPRADO]]*tblAquisições[[#This Row],[QUANTIDADE COMPRADA]]</f>
        <v>0</v>
      </c>
      <c r="N64" s="110">
        <f>K64-tblAquisições[[#This Row],[QUANTIDADE PLANEJADA]]</f>
        <v>-5</v>
      </c>
      <c r="O64" s="106" t="str">
        <f t="shared" si="1"/>
        <v>Faltando Comprar</v>
      </c>
    </row>
    <row r="65" spans="1:15" ht="31.5">
      <c r="A65" s="16" t="s">
        <v>17</v>
      </c>
      <c r="B65" s="16" t="s">
        <v>28</v>
      </c>
      <c r="C65" s="17" t="s">
        <v>19</v>
      </c>
      <c r="D65" s="18" t="s">
        <v>90</v>
      </c>
      <c r="E65" s="18">
        <v>2</v>
      </c>
      <c r="F65" s="18" t="s">
        <v>21</v>
      </c>
      <c r="G65" s="18" t="s">
        <v>22</v>
      </c>
      <c r="H65" s="18" t="s">
        <v>23</v>
      </c>
      <c r="I65" s="19">
        <v>587.80999999999995</v>
      </c>
      <c r="J65" s="20">
        <f t="shared" si="0"/>
        <v>1175.6199999999999</v>
      </c>
      <c r="K65" s="106"/>
      <c r="L65" s="114"/>
      <c r="M65" s="114">
        <f>tblAquisições[[#This Row],[VALOR UNITARIO COMPRADO]]*tblAquisições[[#This Row],[QUANTIDADE COMPRADA]]</f>
        <v>0</v>
      </c>
      <c r="N65" s="110">
        <f>K65-tblAquisições[[#This Row],[QUANTIDADE PLANEJADA]]</f>
        <v>-2</v>
      </c>
      <c r="O65" s="106" t="str">
        <f t="shared" si="1"/>
        <v>Faltando Comprar</v>
      </c>
    </row>
    <row r="66" spans="1:15" ht="47.25">
      <c r="A66" s="16" t="s">
        <v>17</v>
      </c>
      <c r="B66" s="16" t="s">
        <v>28</v>
      </c>
      <c r="C66" s="17" t="s">
        <v>19</v>
      </c>
      <c r="D66" s="18" t="s">
        <v>91</v>
      </c>
      <c r="E66" s="18">
        <v>25</v>
      </c>
      <c r="F66" s="18" t="s">
        <v>78</v>
      </c>
      <c r="G66" s="18" t="s">
        <v>22</v>
      </c>
      <c r="H66" s="18" t="s">
        <v>23</v>
      </c>
      <c r="I66" s="19">
        <v>98.89</v>
      </c>
      <c r="J66" s="20">
        <f t="shared" ref="J66:J129" si="2">E66*I66</f>
        <v>2472.25</v>
      </c>
      <c r="K66" s="106"/>
      <c r="L66" s="114"/>
      <c r="M66" s="114">
        <f>tblAquisições[[#This Row],[VALOR UNITARIO COMPRADO]]*tblAquisições[[#This Row],[QUANTIDADE COMPRADA]]</f>
        <v>0</v>
      </c>
      <c r="N66" s="110">
        <f>K66-tblAquisições[[#This Row],[QUANTIDADE PLANEJADA]]</f>
        <v>-25</v>
      </c>
      <c r="O66" s="106" t="str">
        <f t="shared" ref="O66:O129" si="3">IF(K66=E66,"OK",IF(K66&lt;E66,"Faltando Comprar","Excedente"))</f>
        <v>Faltando Comprar</v>
      </c>
    </row>
    <row r="67" spans="1:15" ht="31.5">
      <c r="A67" s="16" t="s">
        <v>17</v>
      </c>
      <c r="B67" s="16" t="s">
        <v>92</v>
      </c>
      <c r="C67" s="17" t="s">
        <v>19</v>
      </c>
      <c r="D67" s="18" t="s">
        <v>93</v>
      </c>
      <c r="E67" s="18">
        <v>10</v>
      </c>
      <c r="F67" s="18" t="s">
        <v>38</v>
      </c>
      <c r="G67" s="18" t="s">
        <v>39</v>
      </c>
      <c r="H67" s="18" t="s">
        <v>23</v>
      </c>
      <c r="I67" s="19">
        <v>23.82</v>
      </c>
      <c r="J67" s="20">
        <f t="shared" si="2"/>
        <v>238.2</v>
      </c>
      <c r="K67" s="106"/>
      <c r="L67" s="114"/>
      <c r="M67" s="114">
        <f>tblAquisições[[#This Row],[VALOR UNITARIO COMPRADO]]*tblAquisições[[#This Row],[QUANTIDADE COMPRADA]]</f>
        <v>0</v>
      </c>
      <c r="N67" s="110">
        <f>K67-tblAquisições[[#This Row],[QUANTIDADE PLANEJADA]]</f>
        <v>-10</v>
      </c>
      <c r="O67" s="106" t="str">
        <f t="shared" si="3"/>
        <v>Faltando Comprar</v>
      </c>
    </row>
    <row r="68" spans="1:15" ht="47.25">
      <c r="A68" s="16" t="s">
        <v>17</v>
      </c>
      <c r="B68" s="16" t="s">
        <v>26</v>
      </c>
      <c r="C68" s="17" t="s">
        <v>19</v>
      </c>
      <c r="D68" s="18" t="s">
        <v>94</v>
      </c>
      <c r="E68" s="18">
        <v>6</v>
      </c>
      <c r="F68" s="18" t="s">
        <v>58</v>
      </c>
      <c r="G68" s="18" t="s">
        <v>22</v>
      </c>
      <c r="H68" s="18" t="s">
        <v>65</v>
      </c>
      <c r="I68" s="19">
        <v>23.1</v>
      </c>
      <c r="J68" s="20">
        <f t="shared" si="2"/>
        <v>138.60000000000002</v>
      </c>
      <c r="K68" s="106"/>
      <c r="L68" s="114"/>
      <c r="M68" s="114">
        <f>tblAquisições[[#This Row],[VALOR UNITARIO COMPRADO]]*tblAquisições[[#This Row],[QUANTIDADE COMPRADA]]</f>
        <v>0</v>
      </c>
      <c r="N68" s="110">
        <f>K68-tblAquisições[[#This Row],[QUANTIDADE PLANEJADA]]</f>
        <v>-6</v>
      </c>
      <c r="O68" s="106" t="str">
        <f t="shared" si="3"/>
        <v>Faltando Comprar</v>
      </c>
    </row>
    <row r="69" spans="1:15" ht="47.25">
      <c r="A69" s="16" t="s">
        <v>17</v>
      </c>
      <c r="B69" s="16" t="s">
        <v>80</v>
      </c>
      <c r="C69" s="17" t="s">
        <v>19</v>
      </c>
      <c r="D69" s="18" t="s">
        <v>95</v>
      </c>
      <c r="E69" s="18">
        <v>12</v>
      </c>
      <c r="F69" s="18" t="s">
        <v>96</v>
      </c>
      <c r="G69" s="18" t="s">
        <v>39</v>
      </c>
      <c r="H69" s="18" t="s">
        <v>23</v>
      </c>
      <c r="I69" s="19">
        <v>4.59</v>
      </c>
      <c r="J69" s="20">
        <f t="shared" si="2"/>
        <v>55.08</v>
      </c>
      <c r="K69" s="106"/>
      <c r="L69" s="114"/>
      <c r="M69" s="114">
        <f>tblAquisições[[#This Row],[VALOR UNITARIO COMPRADO]]*tblAquisições[[#This Row],[QUANTIDADE COMPRADA]]</f>
        <v>0</v>
      </c>
      <c r="N69" s="110">
        <f>K69-tblAquisições[[#This Row],[QUANTIDADE PLANEJADA]]</f>
        <v>-12</v>
      </c>
      <c r="O69" s="106" t="str">
        <f t="shared" si="3"/>
        <v>Faltando Comprar</v>
      </c>
    </row>
    <row r="70" spans="1:15" ht="47.25">
      <c r="A70" s="16" t="s">
        <v>17</v>
      </c>
      <c r="B70" s="16" t="s">
        <v>26</v>
      </c>
      <c r="C70" s="17" t="s">
        <v>19</v>
      </c>
      <c r="D70" s="18" t="s">
        <v>97</v>
      </c>
      <c r="E70" s="18">
        <v>20</v>
      </c>
      <c r="F70" s="18" t="s">
        <v>58</v>
      </c>
      <c r="G70" s="18" t="s">
        <v>22</v>
      </c>
      <c r="H70" s="18" t="s">
        <v>23</v>
      </c>
      <c r="I70" s="19">
        <v>4.59</v>
      </c>
      <c r="J70" s="20">
        <f t="shared" si="2"/>
        <v>91.8</v>
      </c>
      <c r="K70" s="106"/>
      <c r="L70" s="114"/>
      <c r="M70" s="114">
        <f>tblAquisições[[#This Row],[VALOR UNITARIO COMPRADO]]*tblAquisições[[#This Row],[QUANTIDADE COMPRADA]]</f>
        <v>0</v>
      </c>
      <c r="N70" s="110">
        <f>K70-tblAquisições[[#This Row],[QUANTIDADE PLANEJADA]]</f>
        <v>-20</v>
      </c>
      <c r="O70" s="106" t="str">
        <f t="shared" si="3"/>
        <v>Faltando Comprar</v>
      </c>
    </row>
    <row r="71" spans="1:15" ht="47.25">
      <c r="A71" s="16" t="s">
        <v>17</v>
      </c>
      <c r="B71" s="16" t="s">
        <v>28</v>
      </c>
      <c r="C71" s="17" t="s">
        <v>19</v>
      </c>
      <c r="D71" s="18" t="s">
        <v>97</v>
      </c>
      <c r="E71" s="18">
        <v>100</v>
      </c>
      <c r="F71" s="18" t="s">
        <v>58</v>
      </c>
      <c r="G71" s="18" t="s">
        <v>22</v>
      </c>
      <c r="H71" s="18" t="s">
        <v>23</v>
      </c>
      <c r="I71" s="19">
        <v>4.59</v>
      </c>
      <c r="J71" s="20">
        <f t="shared" si="2"/>
        <v>459</v>
      </c>
      <c r="K71" s="106"/>
      <c r="L71" s="114"/>
      <c r="M71" s="114">
        <f>tblAquisições[[#This Row],[VALOR UNITARIO COMPRADO]]*tblAquisições[[#This Row],[QUANTIDADE COMPRADA]]</f>
        <v>0</v>
      </c>
      <c r="N71" s="110">
        <f>K71-tblAquisições[[#This Row],[QUANTIDADE PLANEJADA]]</f>
        <v>-100</v>
      </c>
      <c r="O71" s="106" t="str">
        <f t="shared" si="3"/>
        <v>Faltando Comprar</v>
      </c>
    </row>
    <row r="72" spans="1:15" ht="47.25">
      <c r="A72" s="16" t="s">
        <v>17</v>
      </c>
      <c r="B72" s="16" t="s">
        <v>72</v>
      </c>
      <c r="C72" s="17" t="s">
        <v>19</v>
      </c>
      <c r="D72" s="18" t="s">
        <v>97</v>
      </c>
      <c r="E72" s="18">
        <v>4</v>
      </c>
      <c r="F72" s="18" t="s">
        <v>58</v>
      </c>
      <c r="G72" s="18" t="s">
        <v>22</v>
      </c>
      <c r="H72" s="18" t="s">
        <v>23</v>
      </c>
      <c r="I72" s="19">
        <v>4.59</v>
      </c>
      <c r="J72" s="20">
        <f t="shared" si="2"/>
        <v>18.36</v>
      </c>
      <c r="K72" s="106"/>
      <c r="L72" s="114"/>
      <c r="M72" s="114">
        <f>tblAquisições[[#This Row],[VALOR UNITARIO COMPRADO]]*tblAquisições[[#This Row],[QUANTIDADE COMPRADA]]</f>
        <v>0</v>
      </c>
      <c r="N72" s="110">
        <f>K72-tblAquisições[[#This Row],[QUANTIDADE PLANEJADA]]</f>
        <v>-4</v>
      </c>
      <c r="O72" s="106" t="str">
        <f t="shared" si="3"/>
        <v>Faltando Comprar</v>
      </c>
    </row>
    <row r="73" spans="1:15" ht="31.5">
      <c r="A73" s="16" t="s">
        <v>17</v>
      </c>
      <c r="B73" s="16" t="s">
        <v>80</v>
      </c>
      <c r="C73" s="17" t="s">
        <v>19</v>
      </c>
      <c r="D73" s="18" t="s">
        <v>98</v>
      </c>
      <c r="E73" s="23">
        <v>3000</v>
      </c>
      <c r="F73" s="18" t="s">
        <v>99</v>
      </c>
      <c r="G73" s="18" t="s">
        <v>39</v>
      </c>
      <c r="H73" s="18" t="s">
        <v>100</v>
      </c>
      <c r="I73" s="19">
        <v>1.2</v>
      </c>
      <c r="J73" s="20">
        <f t="shared" si="2"/>
        <v>3600</v>
      </c>
      <c r="K73" s="106"/>
      <c r="L73" s="114"/>
      <c r="M73" s="114">
        <f>tblAquisições[[#This Row],[VALOR UNITARIO COMPRADO]]*tblAquisições[[#This Row],[QUANTIDADE COMPRADA]]</f>
        <v>0</v>
      </c>
      <c r="N73" s="110">
        <f>K73-tblAquisições[[#This Row],[QUANTIDADE PLANEJADA]]</f>
        <v>-3000</v>
      </c>
      <c r="O73" s="106" t="str">
        <f t="shared" si="3"/>
        <v>Faltando Comprar</v>
      </c>
    </row>
    <row r="74" spans="1:15" ht="31.5">
      <c r="A74" s="16" t="s">
        <v>17</v>
      </c>
      <c r="B74" s="16" t="s">
        <v>34</v>
      </c>
      <c r="C74" s="17" t="s">
        <v>19</v>
      </c>
      <c r="D74" s="18" t="s">
        <v>101</v>
      </c>
      <c r="E74" s="18">
        <v>500</v>
      </c>
      <c r="F74" s="18" t="s">
        <v>102</v>
      </c>
      <c r="G74" s="18" t="s">
        <v>22</v>
      </c>
      <c r="H74" s="18" t="s">
        <v>100</v>
      </c>
      <c r="I74" s="19">
        <v>1.2</v>
      </c>
      <c r="J74" s="20">
        <f t="shared" si="2"/>
        <v>600</v>
      </c>
      <c r="K74" s="106"/>
      <c r="L74" s="114"/>
      <c r="M74" s="114">
        <f>tblAquisições[[#This Row],[VALOR UNITARIO COMPRADO]]*tblAquisições[[#This Row],[QUANTIDADE COMPRADA]]</f>
        <v>0</v>
      </c>
      <c r="N74" s="110">
        <f>K74-tblAquisições[[#This Row],[QUANTIDADE PLANEJADA]]</f>
        <v>-500</v>
      </c>
      <c r="O74" s="106" t="str">
        <f t="shared" si="3"/>
        <v>Faltando Comprar</v>
      </c>
    </row>
    <row r="75" spans="1:15" ht="31.5">
      <c r="A75" s="16" t="s">
        <v>17</v>
      </c>
      <c r="B75" s="16" t="s">
        <v>31</v>
      </c>
      <c r="C75" s="17" t="s">
        <v>19</v>
      </c>
      <c r="D75" s="18" t="s">
        <v>101</v>
      </c>
      <c r="E75" s="18">
        <v>10</v>
      </c>
      <c r="F75" s="18" t="s">
        <v>102</v>
      </c>
      <c r="G75" s="18" t="s">
        <v>22</v>
      </c>
      <c r="H75" s="18" t="s">
        <v>103</v>
      </c>
      <c r="I75" s="19">
        <v>1.2</v>
      </c>
      <c r="J75" s="20">
        <f t="shared" si="2"/>
        <v>12</v>
      </c>
      <c r="K75" s="106"/>
      <c r="L75" s="114"/>
      <c r="M75" s="114">
        <f>tblAquisições[[#This Row],[VALOR UNITARIO COMPRADO]]*tblAquisições[[#This Row],[QUANTIDADE COMPRADA]]</f>
        <v>0</v>
      </c>
      <c r="N75" s="110">
        <f>K75-tblAquisições[[#This Row],[QUANTIDADE PLANEJADA]]</f>
        <v>-10</v>
      </c>
      <c r="O75" s="106" t="str">
        <f t="shared" si="3"/>
        <v>Faltando Comprar</v>
      </c>
    </row>
    <row r="76" spans="1:15" ht="31.5">
      <c r="A76" s="16" t="s">
        <v>17</v>
      </c>
      <c r="B76" s="16" t="s">
        <v>18</v>
      </c>
      <c r="C76" s="17" t="s">
        <v>19</v>
      </c>
      <c r="D76" s="18" t="s">
        <v>101</v>
      </c>
      <c r="E76" s="23">
        <v>30240</v>
      </c>
      <c r="F76" s="18" t="s">
        <v>102</v>
      </c>
      <c r="G76" s="18" t="s">
        <v>22</v>
      </c>
      <c r="H76" s="18" t="s">
        <v>100</v>
      </c>
      <c r="I76" s="19">
        <v>1.2</v>
      </c>
      <c r="J76" s="20">
        <f t="shared" si="2"/>
        <v>36288</v>
      </c>
      <c r="K76" s="106"/>
      <c r="L76" s="114"/>
      <c r="M76" s="114">
        <f>tblAquisições[[#This Row],[VALOR UNITARIO COMPRADO]]*tblAquisições[[#This Row],[QUANTIDADE COMPRADA]]</f>
        <v>0</v>
      </c>
      <c r="N76" s="110">
        <f>K76-tblAquisições[[#This Row],[QUANTIDADE PLANEJADA]]</f>
        <v>-30240</v>
      </c>
      <c r="O76" s="106" t="str">
        <f t="shared" si="3"/>
        <v>Faltando Comprar</v>
      </c>
    </row>
    <row r="77" spans="1:15" ht="31.5">
      <c r="A77" s="16" t="s">
        <v>17</v>
      </c>
      <c r="B77" s="16" t="s">
        <v>24</v>
      </c>
      <c r="C77" s="17" t="s">
        <v>19</v>
      </c>
      <c r="D77" s="18" t="s">
        <v>101</v>
      </c>
      <c r="E77" s="23">
        <v>30240</v>
      </c>
      <c r="F77" s="18" t="s">
        <v>102</v>
      </c>
      <c r="G77" s="18" t="s">
        <v>22</v>
      </c>
      <c r="H77" s="18" t="s">
        <v>100</v>
      </c>
      <c r="I77" s="19">
        <v>1.2</v>
      </c>
      <c r="J77" s="20">
        <f t="shared" si="2"/>
        <v>36288</v>
      </c>
      <c r="K77" s="106"/>
      <c r="L77" s="114"/>
      <c r="M77" s="114">
        <f>tblAquisições[[#This Row],[VALOR UNITARIO COMPRADO]]*tblAquisições[[#This Row],[QUANTIDADE COMPRADA]]</f>
        <v>0</v>
      </c>
      <c r="N77" s="110">
        <f>K77-tblAquisições[[#This Row],[QUANTIDADE PLANEJADA]]</f>
        <v>-30240</v>
      </c>
      <c r="O77" s="106" t="str">
        <f t="shared" si="3"/>
        <v>Faltando Comprar</v>
      </c>
    </row>
    <row r="78" spans="1:15" ht="31.5">
      <c r="A78" s="16" t="s">
        <v>17</v>
      </c>
      <c r="B78" s="16" t="s">
        <v>25</v>
      </c>
      <c r="C78" s="17" t="s">
        <v>19</v>
      </c>
      <c r="D78" s="18" t="s">
        <v>101</v>
      </c>
      <c r="E78" s="23">
        <v>60000</v>
      </c>
      <c r="F78" s="18" t="s">
        <v>102</v>
      </c>
      <c r="G78" s="18" t="s">
        <v>22</v>
      </c>
      <c r="H78" s="18" t="s">
        <v>100</v>
      </c>
      <c r="I78" s="19">
        <v>1.2</v>
      </c>
      <c r="J78" s="20">
        <f t="shared" si="2"/>
        <v>72000</v>
      </c>
      <c r="K78" s="106"/>
      <c r="L78" s="114"/>
      <c r="M78" s="114">
        <f>tblAquisições[[#This Row],[VALOR UNITARIO COMPRADO]]*tblAquisições[[#This Row],[QUANTIDADE COMPRADA]]</f>
        <v>0</v>
      </c>
      <c r="N78" s="110">
        <f>K78-tblAquisições[[#This Row],[QUANTIDADE PLANEJADA]]</f>
        <v>-60000</v>
      </c>
      <c r="O78" s="106" t="str">
        <f t="shared" si="3"/>
        <v>Faltando Comprar</v>
      </c>
    </row>
    <row r="79" spans="1:15" ht="31.5">
      <c r="A79" s="16" t="s">
        <v>17</v>
      </c>
      <c r="B79" s="16" t="s">
        <v>41</v>
      </c>
      <c r="C79" s="17" t="s">
        <v>19</v>
      </c>
      <c r="D79" s="18" t="s">
        <v>101</v>
      </c>
      <c r="E79" s="18">
        <v>200</v>
      </c>
      <c r="F79" s="18" t="s">
        <v>102</v>
      </c>
      <c r="G79" s="18" t="s">
        <v>22</v>
      </c>
      <c r="H79" s="18" t="s">
        <v>100</v>
      </c>
      <c r="I79" s="19">
        <v>1.2</v>
      </c>
      <c r="J79" s="20">
        <f t="shared" si="2"/>
        <v>240</v>
      </c>
      <c r="K79" s="106"/>
      <c r="L79" s="114"/>
      <c r="M79" s="114">
        <f>tblAquisições[[#This Row],[VALOR UNITARIO COMPRADO]]*tblAquisições[[#This Row],[QUANTIDADE COMPRADA]]</f>
        <v>0</v>
      </c>
      <c r="N79" s="110">
        <f>K79-tblAquisições[[#This Row],[QUANTIDADE PLANEJADA]]</f>
        <v>-200</v>
      </c>
      <c r="O79" s="106" t="str">
        <f t="shared" si="3"/>
        <v>Faltando Comprar</v>
      </c>
    </row>
    <row r="80" spans="1:15" ht="31.5">
      <c r="A80" s="16" t="s">
        <v>17</v>
      </c>
      <c r="B80" s="16" t="s">
        <v>26</v>
      </c>
      <c r="C80" s="17" t="s">
        <v>19</v>
      </c>
      <c r="D80" s="18" t="s">
        <v>101</v>
      </c>
      <c r="E80" s="18">
        <v>1000</v>
      </c>
      <c r="F80" s="18" t="s">
        <v>102</v>
      </c>
      <c r="G80" s="18" t="s">
        <v>22</v>
      </c>
      <c r="H80" s="18" t="s">
        <v>100</v>
      </c>
      <c r="I80" s="19">
        <v>1.2</v>
      </c>
      <c r="J80" s="20">
        <f t="shared" si="2"/>
        <v>1200</v>
      </c>
      <c r="K80" s="106"/>
      <c r="L80" s="114"/>
      <c r="M80" s="114">
        <f>tblAquisições[[#This Row],[VALOR UNITARIO COMPRADO]]*tblAquisições[[#This Row],[QUANTIDADE COMPRADA]]</f>
        <v>0</v>
      </c>
      <c r="N80" s="110">
        <f>K80-tblAquisições[[#This Row],[QUANTIDADE PLANEJADA]]</f>
        <v>-1000</v>
      </c>
      <c r="O80" s="106" t="str">
        <f t="shared" si="3"/>
        <v>Faltando Comprar</v>
      </c>
    </row>
    <row r="81" spans="1:15" ht="31.5">
      <c r="A81" s="16" t="s">
        <v>17</v>
      </c>
      <c r="B81" s="16" t="s">
        <v>28</v>
      </c>
      <c r="C81" s="17" t="s">
        <v>19</v>
      </c>
      <c r="D81" s="18" t="s">
        <v>101</v>
      </c>
      <c r="E81" s="23">
        <v>1000</v>
      </c>
      <c r="F81" s="18" t="s">
        <v>102</v>
      </c>
      <c r="G81" s="18" t="s">
        <v>22</v>
      </c>
      <c r="H81" s="18" t="s">
        <v>100</v>
      </c>
      <c r="I81" s="19">
        <v>1.2</v>
      </c>
      <c r="J81" s="20">
        <f t="shared" si="2"/>
        <v>1200</v>
      </c>
      <c r="K81" s="106"/>
      <c r="L81" s="114"/>
      <c r="M81" s="114">
        <f>tblAquisições[[#This Row],[VALOR UNITARIO COMPRADO]]*tblAquisições[[#This Row],[QUANTIDADE COMPRADA]]</f>
        <v>0</v>
      </c>
      <c r="N81" s="110">
        <f>K81-tblAquisições[[#This Row],[QUANTIDADE PLANEJADA]]</f>
        <v>-1000</v>
      </c>
      <c r="O81" s="106" t="str">
        <f t="shared" si="3"/>
        <v>Faltando Comprar</v>
      </c>
    </row>
    <row r="82" spans="1:15" ht="31.5">
      <c r="A82" s="16" t="s">
        <v>17</v>
      </c>
      <c r="B82" s="16" t="s">
        <v>80</v>
      </c>
      <c r="C82" s="17" t="s">
        <v>19</v>
      </c>
      <c r="D82" s="18" t="s">
        <v>104</v>
      </c>
      <c r="E82" s="18">
        <v>40</v>
      </c>
      <c r="F82" s="18" t="s">
        <v>38</v>
      </c>
      <c r="G82" s="18" t="s">
        <v>39</v>
      </c>
      <c r="H82" s="18" t="s">
        <v>23</v>
      </c>
      <c r="I82" s="19">
        <v>795.28</v>
      </c>
      <c r="J82" s="20">
        <f t="shared" si="2"/>
        <v>31811.199999999997</v>
      </c>
      <c r="K82" s="106"/>
      <c r="L82" s="114"/>
      <c r="M82" s="114">
        <f>tblAquisições[[#This Row],[VALOR UNITARIO COMPRADO]]*tblAquisições[[#This Row],[QUANTIDADE COMPRADA]]</f>
        <v>0</v>
      </c>
      <c r="N82" s="110">
        <f>K82-tblAquisições[[#This Row],[QUANTIDADE PLANEJADA]]</f>
        <v>-40</v>
      </c>
      <c r="O82" s="106" t="str">
        <f t="shared" si="3"/>
        <v>Faltando Comprar</v>
      </c>
    </row>
    <row r="83" spans="1:15" ht="31.5">
      <c r="A83" s="16" t="s">
        <v>17</v>
      </c>
      <c r="B83" s="16" t="s">
        <v>31</v>
      </c>
      <c r="C83" s="17" t="s">
        <v>19</v>
      </c>
      <c r="D83" s="18" t="s">
        <v>105</v>
      </c>
      <c r="E83" s="18">
        <v>15</v>
      </c>
      <c r="F83" s="18" t="s">
        <v>21</v>
      </c>
      <c r="G83" s="18" t="s">
        <v>22</v>
      </c>
      <c r="H83" s="18" t="s">
        <v>23</v>
      </c>
      <c r="I83" s="19">
        <v>795.28</v>
      </c>
      <c r="J83" s="20">
        <f t="shared" si="2"/>
        <v>11929.199999999999</v>
      </c>
      <c r="K83" s="106"/>
      <c r="L83" s="114"/>
      <c r="M83" s="114">
        <f>tblAquisições[[#This Row],[VALOR UNITARIO COMPRADO]]*tblAquisições[[#This Row],[QUANTIDADE COMPRADA]]</f>
        <v>0</v>
      </c>
      <c r="N83" s="110">
        <f>K83-tblAquisições[[#This Row],[QUANTIDADE PLANEJADA]]</f>
        <v>-15</v>
      </c>
      <c r="O83" s="106" t="str">
        <f t="shared" si="3"/>
        <v>Faltando Comprar</v>
      </c>
    </row>
    <row r="84" spans="1:15" ht="31.5">
      <c r="A84" s="16" t="s">
        <v>17</v>
      </c>
      <c r="B84" s="16" t="s">
        <v>41</v>
      </c>
      <c r="C84" s="17" t="s">
        <v>19</v>
      </c>
      <c r="D84" s="18" t="s">
        <v>105</v>
      </c>
      <c r="E84" s="18">
        <v>20</v>
      </c>
      <c r="F84" s="18" t="s">
        <v>21</v>
      </c>
      <c r="G84" s="18" t="s">
        <v>22</v>
      </c>
      <c r="H84" s="18" t="s">
        <v>23</v>
      </c>
      <c r="I84" s="19">
        <v>795.28</v>
      </c>
      <c r="J84" s="20">
        <f t="shared" si="2"/>
        <v>15905.599999999999</v>
      </c>
      <c r="K84" s="106"/>
      <c r="L84" s="114"/>
      <c r="M84" s="114">
        <f>tblAquisições[[#This Row],[VALOR UNITARIO COMPRADO]]*tblAquisições[[#This Row],[QUANTIDADE COMPRADA]]</f>
        <v>0</v>
      </c>
      <c r="N84" s="110">
        <f>K84-tblAquisições[[#This Row],[QUANTIDADE PLANEJADA]]</f>
        <v>-20</v>
      </c>
      <c r="O84" s="106" t="str">
        <f t="shared" si="3"/>
        <v>Faltando Comprar</v>
      </c>
    </row>
    <row r="85" spans="1:15" ht="31.5">
      <c r="A85" s="16" t="s">
        <v>17</v>
      </c>
      <c r="B85" s="16" t="s">
        <v>28</v>
      </c>
      <c r="C85" s="17" t="s">
        <v>19</v>
      </c>
      <c r="D85" s="18" t="s">
        <v>105</v>
      </c>
      <c r="E85" s="18">
        <v>35</v>
      </c>
      <c r="F85" s="18" t="s">
        <v>21</v>
      </c>
      <c r="G85" s="18" t="s">
        <v>22</v>
      </c>
      <c r="H85" s="18" t="s">
        <v>23</v>
      </c>
      <c r="I85" s="19">
        <v>795.28</v>
      </c>
      <c r="J85" s="20">
        <f t="shared" si="2"/>
        <v>27834.799999999999</v>
      </c>
      <c r="K85" s="106"/>
      <c r="L85" s="114"/>
      <c r="M85" s="114">
        <f>tblAquisições[[#This Row],[VALOR UNITARIO COMPRADO]]*tblAquisições[[#This Row],[QUANTIDADE COMPRADA]]</f>
        <v>0</v>
      </c>
      <c r="N85" s="110">
        <f>K85-tblAquisições[[#This Row],[QUANTIDADE PLANEJADA]]</f>
        <v>-35</v>
      </c>
      <c r="O85" s="106" t="str">
        <f t="shared" si="3"/>
        <v>Faltando Comprar</v>
      </c>
    </row>
    <row r="86" spans="1:15" ht="47.25">
      <c r="A86" s="16" t="s">
        <v>17</v>
      </c>
      <c r="B86" s="16" t="s">
        <v>26</v>
      </c>
      <c r="C86" s="17" t="s">
        <v>19</v>
      </c>
      <c r="D86" s="18" t="s">
        <v>106</v>
      </c>
      <c r="E86" s="18">
        <v>20</v>
      </c>
      <c r="F86" s="18" t="s">
        <v>107</v>
      </c>
      <c r="G86" s="18" t="s">
        <v>22</v>
      </c>
      <c r="H86" s="18" t="s">
        <v>23</v>
      </c>
      <c r="I86" s="19">
        <v>1045.78</v>
      </c>
      <c r="J86" s="20">
        <f t="shared" si="2"/>
        <v>20915.599999999999</v>
      </c>
      <c r="K86" s="106"/>
      <c r="L86" s="114"/>
      <c r="M86" s="114">
        <f>tblAquisições[[#This Row],[VALOR UNITARIO COMPRADO]]*tblAquisições[[#This Row],[QUANTIDADE COMPRADA]]</f>
        <v>0</v>
      </c>
      <c r="N86" s="110">
        <f>K86-tblAquisições[[#This Row],[QUANTIDADE PLANEJADA]]</f>
        <v>-20</v>
      </c>
      <c r="O86" s="106" t="str">
        <f t="shared" si="3"/>
        <v>Faltando Comprar</v>
      </c>
    </row>
    <row r="87" spans="1:15" ht="31.5">
      <c r="A87" s="16" t="s">
        <v>17</v>
      </c>
      <c r="B87" s="16" t="s">
        <v>18</v>
      </c>
      <c r="C87" s="17" t="s">
        <v>19</v>
      </c>
      <c r="D87" s="18" t="s">
        <v>108</v>
      </c>
      <c r="E87" s="18">
        <v>300</v>
      </c>
      <c r="F87" s="18" t="s">
        <v>21</v>
      </c>
      <c r="G87" s="18" t="s">
        <v>22</v>
      </c>
      <c r="H87" s="18" t="s">
        <v>83</v>
      </c>
      <c r="I87" s="19">
        <v>22</v>
      </c>
      <c r="J87" s="20">
        <f t="shared" si="2"/>
        <v>6600</v>
      </c>
      <c r="K87" s="106"/>
      <c r="L87" s="114"/>
      <c r="M87" s="114">
        <f>tblAquisições[[#This Row],[VALOR UNITARIO COMPRADO]]*tblAquisições[[#This Row],[QUANTIDADE COMPRADA]]</f>
        <v>0</v>
      </c>
      <c r="N87" s="110">
        <f>K87-tblAquisições[[#This Row],[QUANTIDADE PLANEJADA]]</f>
        <v>-300</v>
      </c>
      <c r="O87" s="106" t="str">
        <f t="shared" si="3"/>
        <v>Faltando Comprar</v>
      </c>
    </row>
    <row r="88" spans="1:15" ht="31.5">
      <c r="A88" s="16" t="s">
        <v>17</v>
      </c>
      <c r="B88" s="16" t="s">
        <v>24</v>
      </c>
      <c r="C88" s="17" t="s">
        <v>19</v>
      </c>
      <c r="D88" s="18" t="s">
        <v>108</v>
      </c>
      <c r="E88" s="18">
        <v>300</v>
      </c>
      <c r="F88" s="18" t="s">
        <v>21</v>
      </c>
      <c r="G88" s="18" t="s">
        <v>22</v>
      </c>
      <c r="H88" s="18" t="s">
        <v>83</v>
      </c>
      <c r="I88" s="19">
        <v>22</v>
      </c>
      <c r="J88" s="20">
        <f t="shared" si="2"/>
        <v>6600</v>
      </c>
      <c r="K88" s="106"/>
      <c r="L88" s="114"/>
      <c r="M88" s="114">
        <f>tblAquisições[[#This Row],[VALOR UNITARIO COMPRADO]]*tblAquisições[[#This Row],[QUANTIDADE COMPRADA]]</f>
        <v>0</v>
      </c>
      <c r="N88" s="110">
        <f>K88-tblAquisições[[#This Row],[QUANTIDADE PLANEJADA]]</f>
        <v>-300</v>
      </c>
      <c r="O88" s="106" t="str">
        <f t="shared" si="3"/>
        <v>Faltando Comprar</v>
      </c>
    </row>
    <row r="89" spans="1:15" ht="31.5">
      <c r="A89" s="16" t="s">
        <v>17</v>
      </c>
      <c r="B89" s="16" t="s">
        <v>25</v>
      </c>
      <c r="C89" s="17" t="s">
        <v>19</v>
      </c>
      <c r="D89" s="18" t="s">
        <v>108</v>
      </c>
      <c r="E89" s="18">
        <v>300</v>
      </c>
      <c r="F89" s="18" t="s">
        <v>21</v>
      </c>
      <c r="G89" s="18" t="s">
        <v>22</v>
      </c>
      <c r="H89" s="18" t="s">
        <v>83</v>
      </c>
      <c r="I89" s="19">
        <v>22</v>
      </c>
      <c r="J89" s="20">
        <f t="shared" si="2"/>
        <v>6600</v>
      </c>
      <c r="K89" s="106"/>
      <c r="L89" s="114"/>
      <c r="M89" s="114">
        <f>tblAquisições[[#This Row],[VALOR UNITARIO COMPRADO]]*tblAquisições[[#This Row],[QUANTIDADE COMPRADA]]</f>
        <v>0</v>
      </c>
      <c r="N89" s="110">
        <f>K89-tblAquisições[[#This Row],[QUANTIDADE PLANEJADA]]</f>
        <v>-300</v>
      </c>
      <c r="O89" s="106" t="str">
        <f t="shared" si="3"/>
        <v>Faltando Comprar</v>
      </c>
    </row>
    <row r="90" spans="1:15" ht="31.5">
      <c r="A90" s="16" t="s">
        <v>17</v>
      </c>
      <c r="B90" s="16" t="s">
        <v>28</v>
      </c>
      <c r="C90" s="17" t="s">
        <v>19</v>
      </c>
      <c r="D90" s="18" t="s">
        <v>108</v>
      </c>
      <c r="E90" s="18">
        <v>1200</v>
      </c>
      <c r="F90" s="18" t="s">
        <v>21</v>
      </c>
      <c r="G90" s="18" t="s">
        <v>22</v>
      </c>
      <c r="H90" s="18" t="s">
        <v>83</v>
      </c>
      <c r="I90" s="19">
        <v>22</v>
      </c>
      <c r="J90" s="20">
        <f t="shared" si="2"/>
        <v>26400</v>
      </c>
      <c r="K90" s="106"/>
      <c r="L90" s="114"/>
      <c r="M90" s="114">
        <f>tblAquisições[[#This Row],[VALOR UNITARIO COMPRADO]]*tblAquisições[[#This Row],[QUANTIDADE COMPRADA]]</f>
        <v>0</v>
      </c>
      <c r="N90" s="110">
        <f>K90-tblAquisições[[#This Row],[QUANTIDADE PLANEJADA]]</f>
        <v>-1200</v>
      </c>
      <c r="O90" s="106" t="str">
        <f t="shared" si="3"/>
        <v>Faltando Comprar</v>
      </c>
    </row>
    <row r="91" spans="1:15" ht="31.5">
      <c r="A91" s="16" t="s">
        <v>17</v>
      </c>
      <c r="B91" s="16" t="s">
        <v>80</v>
      </c>
      <c r="C91" s="17" t="s">
        <v>19</v>
      </c>
      <c r="D91" s="18" t="s">
        <v>109</v>
      </c>
      <c r="E91" s="23">
        <v>232700</v>
      </c>
      <c r="F91" s="18" t="s">
        <v>110</v>
      </c>
      <c r="G91" s="18" t="s">
        <v>39</v>
      </c>
      <c r="H91" s="18" t="s">
        <v>100</v>
      </c>
      <c r="I91" s="19">
        <v>1.1499999999999999</v>
      </c>
      <c r="J91" s="20">
        <f t="shared" si="2"/>
        <v>267605</v>
      </c>
      <c r="K91" s="106"/>
      <c r="L91" s="114"/>
      <c r="M91" s="114">
        <f>tblAquisições[[#This Row],[VALOR UNITARIO COMPRADO]]*tblAquisições[[#This Row],[QUANTIDADE COMPRADA]]</f>
        <v>0</v>
      </c>
      <c r="N91" s="110">
        <f>K91-tblAquisições[[#This Row],[QUANTIDADE PLANEJADA]]</f>
        <v>-232700</v>
      </c>
      <c r="O91" s="106" t="str">
        <f t="shared" si="3"/>
        <v>Faltando Comprar</v>
      </c>
    </row>
    <row r="92" spans="1:15" ht="31.5">
      <c r="A92" s="16" t="s">
        <v>17</v>
      </c>
      <c r="B92" s="16" t="s">
        <v>31</v>
      </c>
      <c r="C92" s="17" t="s">
        <v>19</v>
      </c>
      <c r="D92" s="18" t="s">
        <v>111</v>
      </c>
      <c r="E92" s="18">
        <v>260</v>
      </c>
      <c r="F92" s="18" t="s">
        <v>52</v>
      </c>
      <c r="G92" s="18" t="s">
        <v>22</v>
      </c>
      <c r="H92" s="18" t="s">
        <v>103</v>
      </c>
      <c r="I92" s="19">
        <v>1.1499999999999999</v>
      </c>
      <c r="J92" s="20">
        <f t="shared" si="2"/>
        <v>299</v>
      </c>
      <c r="K92" s="106"/>
      <c r="L92" s="114"/>
      <c r="M92" s="114">
        <f>tblAquisições[[#This Row],[VALOR UNITARIO COMPRADO]]*tblAquisições[[#This Row],[QUANTIDADE COMPRADA]]</f>
        <v>0</v>
      </c>
      <c r="N92" s="110">
        <f>K92-tblAquisições[[#This Row],[QUANTIDADE PLANEJADA]]</f>
        <v>-260</v>
      </c>
      <c r="O92" s="106" t="str">
        <f t="shared" si="3"/>
        <v>Faltando Comprar</v>
      </c>
    </row>
    <row r="93" spans="1:15" ht="31.5">
      <c r="A93" s="16" t="s">
        <v>17</v>
      </c>
      <c r="B93" s="16" t="s">
        <v>18</v>
      </c>
      <c r="C93" s="17" t="s">
        <v>19</v>
      </c>
      <c r="D93" s="18" t="s">
        <v>111</v>
      </c>
      <c r="E93" s="23">
        <v>309045</v>
      </c>
      <c r="F93" s="18" t="s">
        <v>52</v>
      </c>
      <c r="G93" s="18" t="s">
        <v>22</v>
      </c>
      <c r="H93" s="18" t="s">
        <v>100</v>
      </c>
      <c r="I93" s="19">
        <v>1.1499999999999999</v>
      </c>
      <c r="J93" s="20">
        <f t="shared" si="2"/>
        <v>355401.75</v>
      </c>
      <c r="K93" s="106"/>
      <c r="L93" s="114"/>
      <c r="M93" s="114">
        <f>tblAquisições[[#This Row],[VALOR UNITARIO COMPRADO]]*tblAquisições[[#This Row],[QUANTIDADE COMPRADA]]</f>
        <v>0</v>
      </c>
      <c r="N93" s="110">
        <f>K93-tblAquisições[[#This Row],[QUANTIDADE PLANEJADA]]</f>
        <v>-309045</v>
      </c>
      <c r="O93" s="106" t="str">
        <f t="shared" si="3"/>
        <v>Faltando Comprar</v>
      </c>
    </row>
    <row r="94" spans="1:15" ht="31.5">
      <c r="A94" s="16" t="s">
        <v>17</v>
      </c>
      <c r="B94" s="16" t="s">
        <v>24</v>
      </c>
      <c r="C94" s="17" t="s">
        <v>19</v>
      </c>
      <c r="D94" s="18" t="s">
        <v>111</v>
      </c>
      <c r="E94" s="23">
        <v>309045</v>
      </c>
      <c r="F94" s="18" t="s">
        <v>52</v>
      </c>
      <c r="G94" s="18" t="s">
        <v>22</v>
      </c>
      <c r="H94" s="18" t="s">
        <v>100</v>
      </c>
      <c r="I94" s="19">
        <v>1.1499999999999999</v>
      </c>
      <c r="J94" s="20">
        <f t="shared" si="2"/>
        <v>355401.75</v>
      </c>
      <c r="K94" s="106"/>
      <c r="L94" s="114"/>
      <c r="M94" s="114">
        <f>tblAquisições[[#This Row],[VALOR UNITARIO COMPRADO]]*tblAquisições[[#This Row],[QUANTIDADE COMPRADA]]</f>
        <v>0</v>
      </c>
      <c r="N94" s="110">
        <f>K94-tblAquisições[[#This Row],[QUANTIDADE PLANEJADA]]</f>
        <v>-309045</v>
      </c>
      <c r="O94" s="106" t="str">
        <f t="shared" si="3"/>
        <v>Faltando Comprar</v>
      </c>
    </row>
    <row r="95" spans="1:15" ht="31.5">
      <c r="A95" s="16" t="s">
        <v>17</v>
      </c>
      <c r="B95" s="16" t="s">
        <v>25</v>
      </c>
      <c r="C95" s="17" t="s">
        <v>19</v>
      </c>
      <c r="D95" s="18" t="s">
        <v>111</v>
      </c>
      <c r="E95" s="23">
        <v>500000</v>
      </c>
      <c r="F95" s="18" t="s">
        <v>52</v>
      </c>
      <c r="G95" s="18" t="s">
        <v>22</v>
      </c>
      <c r="H95" s="18" t="s">
        <v>100</v>
      </c>
      <c r="I95" s="19">
        <v>1.1499999999999999</v>
      </c>
      <c r="J95" s="20">
        <f t="shared" si="2"/>
        <v>575000</v>
      </c>
      <c r="K95" s="106"/>
      <c r="L95" s="114"/>
      <c r="M95" s="114">
        <f>tblAquisições[[#This Row],[VALOR UNITARIO COMPRADO]]*tblAquisições[[#This Row],[QUANTIDADE COMPRADA]]</f>
        <v>0</v>
      </c>
      <c r="N95" s="110">
        <f>K95-tblAquisições[[#This Row],[QUANTIDADE PLANEJADA]]</f>
        <v>-500000</v>
      </c>
      <c r="O95" s="106" t="str">
        <f t="shared" si="3"/>
        <v>Faltando Comprar</v>
      </c>
    </row>
    <row r="96" spans="1:15" ht="31.5">
      <c r="A96" s="16" t="s">
        <v>17</v>
      </c>
      <c r="B96" s="16" t="s">
        <v>41</v>
      </c>
      <c r="C96" s="17" t="s">
        <v>19</v>
      </c>
      <c r="D96" s="18" t="s">
        <v>111</v>
      </c>
      <c r="E96" s="18">
        <v>130</v>
      </c>
      <c r="F96" s="18" t="s">
        <v>52</v>
      </c>
      <c r="G96" s="18" t="s">
        <v>22</v>
      </c>
      <c r="H96" s="18" t="s">
        <v>103</v>
      </c>
      <c r="I96" s="19">
        <v>1.1499999999999999</v>
      </c>
      <c r="J96" s="20">
        <f t="shared" si="2"/>
        <v>149.5</v>
      </c>
      <c r="K96" s="106"/>
      <c r="L96" s="114"/>
      <c r="M96" s="114">
        <f>tblAquisições[[#This Row],[VALOR UNITARIO COMPRADO]]*tblAquisições[[#This Row],[QUANTIDADE COMPRADA]]</f>
        <v>0</v>
      </c>
      <c r="N96" s="110">
        <f>K96-tblAquisições[[#This Row],[QUANTIDADE PLANEJADA]]</f>
        <v>-130</v>
      </c>
      <c r="O96" s="106" t="str">
        <f t="shared" si="3"/>
        <v>Faltando Comprar</v>
      </c>
    </row>
    <row r="97" spans="1:15" ht="31.5">
      <c r="A97" s="16" t="s">
        <v>17</v>
      </c>
      <c r="B97" s="16" t="s">
        <v>28</v>
      </c>
      <c r="C97" s="17" t="s">
        <v>19</v>
      </c>
      <c r="D97" s="18" t="s">
        <v>111</v>
      </c>
      <c r="E97" s="23">
        <v>230000</v>
      </c>
      <c r="F97" s="18" t="s">
        <v>52</v>
      </c>
      <c r="G97" s="18" t="s">
        <v>22</v>
      </c>
      <c r="H97" s="18" t="s">
        <v>100</v>
      </c>
      <c r="I97" s="19">
        <v>1.1499999999999999</v>
      </c>
      <c r="J97" s="20">
        <f t="shared" si="2"/>
        <v>264500</v>
      </c>
      <c r="K97" s="106"/>
      <c r="L97" s="114"/>
      <c r="M97" s="114">
        <f>tblAquisições[[#This Row],[VALOR UNITARIO COMPRADO]]*tblAquisições[[#This Row],[QUANTIDADE COMPRADA]]</f>
        <v>0</v>
      </c>
      <c r="N97" s="110">
        <f>K97-tblAquisições[[#This Row],[QUANTIDADE PLANEJADA]]</f>
        <v>-230000</v>
      </c>
      <c r="O97" s="106" t="str">
        <f t="shared" si="3"/>
        <v>Faltando Comprar</v>
      </c>
    </row>
    <row r="98" spans="1:15" ht="31.5">
      <c r="A98" s="16" t="s">
        <v>17</v>
      </c>
      <c r="B98" s="16" t="s">
        <v>80</v>
      </c>
      <c r="C98" s="17" t="s">
        <v>19</v>
      </c>
      <c r="D98" s="18" t="s">
        <v>112</v>
      </c>
      <c r="E98" s="23">
        <v>1000</v>
      </c>
      <c r="F98" s="18" t="s">
        <v>113</v>
      </c>
      <c r="G98" s="18" t="s">
        <v>39</v>
      </c>
      <c r="H98" s="18" t="s">
        <v>100</v>
      </c>
      <c r="I98" s="19">
        <v>20.43</v>
      </c>
      <c r="J98" s="20">
        <f t="shared" si="2"/>
        <v>20430</v>
      </c>
      <c r="K98" s="106"/>
      <c r="L98" s="114"/>
      <c r="M98" s="114">
        <f>tblAquisições[[#This Row],[VALOR UNITARIO COMPRADO]]*tblAquisições[[#This Row],[QUANTIDADE COMPRADA]]</f>
        <v>0</v>
      </c>
      <c r="N98" s="110">
        <f>K98-tblAquisições[[#This Row],[QUANTIDADE PLANEJADA]]</f>
        <v>-1000</v>
      </c>
      <c r="O98" s="106" t="str">
        <f t="shared" si="3"/>
        <v>Faltando Comprar</v>
      </c>
    </row>
    <row r="99" spans="1:15" ht="31.5">
      <c r="A99" s="16" t="s">
        <v>17</v>
      </c>
      <c r="B99" s="16" t="s">
        <v>31</v>
      </c>
      <c r="C99" s="17" t="s">
        <v>19</v>
      </c>
      <c r="D99" s="18" t="s">
        <v>114</v>
      </c>
      <c r="E99" s="18">
        <v>2700</v>
      </c>
      <c r="F99" s="18" t="s">
        <v>115</v>
      </c>
      <c r="G99" s="18" t="s">
        <v>22</v>
      </c>
      <c r="H99" s="18" t="s">
        <v>100</v>
      </c>
      <c r="I99" s="19">
        <v>20.43</v>
      </c>
      <c r="J99" s="20">
        <f t="shared" si="2"/>
        <v>55161</v>
      </c>
      <c r="K99" s="106"/>
      <c r="L99" s="114"/>
      <c r="M99" s="114">
        <f>tblAquisições[[#This Row],[VALOR UNITARIO COMPRADO]]*tblAquisições[[#This Row],[QUANTIDADE COMPRADA]]</f>
        <v>0</v>
      </c>
      <c r="N99" s="110">
        <f>K99-tblAquisições[[#This Row],[QUANTIDADE PLANEJADA]]</f>
        <v>-2700</v>
      </c>
      <c r="O99" s="106" t="str">
        <f t="shared" si="3"/>
        <v>Faltando Comprar</v>
      </c>
    </row>
    <row r="100" spans="1:15" ht="31.5">
      <c r="A100" s="16" t="s">
        <v>17</v>
      </c>
      <c r="B100" s="16" t="s">
        <v>18</v>
      </c>
      <c r="C100" s="17" t="s">
        <v>19</v>
      </c>
      <c r="D100" s="18" t="s">
        <v>114</v>
      </c>
      <c r="E100" s="18">
        <v>504</v>
      </c>
      <c r="F100" s="18" t="s">
        <v>115</v>
      </c>
      <c r="G100" s="18" t="s">
        <v>22</v>
      </c>
      <c r="H100" s="18" t="s">
        <v>100</v>
      </c>
      <c r="I100" s="19">
        <v>20.43</v>
      </c>
      <c r="J100" s="20">
        <f t="shared" si="2"/>
        <v>10296.719999999999</v>
      </c>
      <c r="K100" s="106"/>
      <c r="L100" s="114"/>
      <c r="M100" s="114">
        <f>tblAquisições[[#This Row],[VALOR UNITARIO COMPRADO]]*tblAquisições[[#This Row],[QUANTIDADE COMPRADA]]</f>
        <v>0</v>
      </c>
      <c r="N100" s="110">
        <f>K100-tblAquisições[[#This Row],[QUANTIDADE PLANEJADA]]</f>
        <v>-504</v>
      </c>
      <c r="O100" s="106" t="str">
        <f t="shared" si="3"/>
        <v>Faltando Comprar</v>
      </c>
    </row>
    <row r="101" spans="1:15" ht="31.5">
      <c r="A101" s="16" t="s">
        <v>17</v>
      </c>
      <c r="B101" s="16" t="s">
        <v>24</v>
      </c>
      <c r="C101" s="17" t="s">
        <v>19</v>
      </c>
      <c r="D101" s="18" t="s">
        <v>114</v>
      </c>
      <c r="E101" s="18">
        <v>504</v>
      </c>
      <c r="F101" s="18" t="s">
        <v>115</v>
      </c>
      <c r="G101" s="18" t="s">
        <v>22</v>
      </c>
      <c r="H101" s="18" t="s">
        <v>100</v>
      </c>
      <c r="I101" s="19">
        <v>20.43</v>
      </c>
      <c r="J101" s="20">
        <f t="shared" si="2"/>
        <v>10296.719999999999</v>
      </c>
      <c r="K101" s="106"/>
      <c r="L101" s="114"/>
      <c r="M101" s="114">
        <f>tblAquisições[[#This Row],[VALOR UNITARIO COMPRADO]]*tblAquisições[[#This Row],[QUANTIDADE COMPRADA]]</f>
        <v>0</v>
      </c>
      <c r="N101" s="110">
        <f>K101-tblAquisições[[#This Row],[QUANTIDADE PLANEJADA]]</f>
        <v>-504</v>
      </c>
      <c r="O101" s="106" t="str">
        <f t="shared" si="3"/>
        <v>Faltando Comprar</v>
      </c>
    </row>
    <row r="102" spans="1:15" ht="31.5">
      <c r="A102" s="16" t="s">
        <v>17</v>
      </c>
      <c r="B102" s="16" t="s">
        <v>25</v>
      </c>
      <c r="C102" s="17" t="s">
        <v>19</v>
      </c>
      <c r="D102" s="18" t="s">
        <v>114</v>
      </c>
      <c r="E102" s="18">
        <v>1000</v>
      </c>
      <c r="F102" s="18" t="s">
        <v>115</v>
      </c>
      <c r="G102" s="18" t="s">
        <v>22</v>
      </c>
      <c r="H102" s="18" t="s">
        <v>100</v>
      </c>
      <c r="I102" s="19">
        <v>20.43</v>
      </c>
      <c r="J102" s="20">
        <f t="shared" si="2"/>
        <v>20430</v>
      </c>
      <c r="K102" s="106"/>
      <c r="L102" s="114"/>
      <c r="M102" s="114">
        <f>tblAquisições[[#This Row],[VALOR UNITARIO COMPRADO]]*tblAquisições[[#This Row],[QUANTIDADE COMPRADA]]</f>
        <v>0</v>
      </c>
      <c r="N102" s="110">
        <f>K102-tblAquisições[[#This Row],[QUANTIDADE PLANEJADA]]</f>
        <v>-1000</v>
      </c>
      <c r="O102" s="106" t="str">
        <f t="shared" si="3"/>
        <v>Faltando Comprar</v>
      </c>
    </row>
    <row r="103" spans="1:15" ht="31.5">
      <c r="A103" s="16" t="s">
        <v>17</v>
      </c>
      <c r="B103" s="16" t="s">
        <v>41</v>
      </c>
      <c r="C103" s="17" t="s">
        <v>19</v>
      </c>
      <c r="D103" s="18" t="s">
        <v>114</v>
      </c>
      <c r="E103" s="18">
        <v>1500</v>
      </c>
      <c r="F103" s="18" t="s">
        <v>115</v>
      </c>
      <c r="G103" s="18" t="s">
        <v>22</v>
      </c>
      <c r="H103" s="18" t="s">
        <v>100</v>
      </c>
      <c r="I103" s="19">
        <v>20.43</v>
      </c>
      <c r="J103" s="20">
        <f t="shared" si="2"/>
        <v>30645</v>
      </c>
      <c r="K103" s="106"/>
      <c r="L103" s="114"/>
      <c r="M103" s="114">
        <f>tblAquisições[[#This Row],[VALOR UNITARIO COMPRADO]]*tblAquisições[[#This Row],[QUANTIDADE COMPRADA]]</f>
        <v>0</v>
      </c>
      <c r="N103" s="110">
        <f>K103-tblAquisições[[#This Row],[QUANTIDADE PLANEJADA]]</f>
        <v>-1500</v>
      </c>
      <c r="O103" s="106" t="str">
        <f t="shared" si="3"/>
        <v>Faltando Comprar</v>
      </c>
    </row>
    <row r="104" spans="1:15" ht="31.5">
      <c r="A104" s="16" t="s">
        <v>17</v>
      </c>
      <c r="B104" s="16" t="s">
        <v>26</v>
      </c>
      <c r="C104" s="17" t="s">
        <v>19</v>
      </c>
      <c r="D104" s="18" t="s">
        <v>114</v>
      </c>
      <c r="E104" s="18">
        <v>400</v>
      </c>
      <c r="F104" s="18" t="s">
        <v>115</v>
      </c>
      <c r="G104" s="18" t="s">
        <v>22</v>
      </c>
      <c r="H104" s="18" t="s">
        <v>100</v>
      </c>
      <c r="I104" s="19">
        <v>20.43</v>
      </c>
      <c r="J104" s="20">
        <f t="shared" si="2"/>
        <v>8172</v>
      </c>
      <c r="K104" s="106"/>
      <c r="L104" s="114"/>
      <c r="M104" s="114">
        <f>tblAquisições[[#This Row],[VALOR UNITARIO COMPRADO]]*tblAquisições[[#This Row],[QUANTIDADE COMPRADA]]</f>
        <v>0</v>
      </c>
      <c r="N104" s="110">
        <f>K104-tblAquisições[[#This Row],[QUANTIDADE PLANEJADA]]</f>
        <v>-400</v>
      </c>
      <c r="O104" s="106" t="str">
        <f t="shared" si="3"/>
        <v>Faltando Comprar</v>
      </c>
    </row>
    <row r="105" spans="1:15" ht="31.5">
      <c r="A105" s="16" t="s">
        <v>17</v>
      </c>
      <c r="B105" s="16" t="s">
        <v>28</v>
      </c>
      <c r="C105" s="17" t="s">
        <v>19</v>
      </c>
      <c r="D105" s="18" t="s">
        <v>114</v>
      </c>
      <c r="E105" s="18">
        <v>450</v>
      </c>
      <c r="F105" s="18" t="s">
        <v>115</v>
      </c>
      <c r="G105" s="18" t="s">
        <v>22</v>
      </c>
      <c r="H105" s="18" t="s">
        <v>100</v>
      </c>
      <c r="I105" s="19">
        <v>20.43</v>
      </c>
      <c r="J105" s="20">
        <f t="shared" si="2"/>
        <v>9193.5</v>
      </c>
      <c r="K105" s="106"/>
      <c r="L105" s="114"/>
      <c r="M105" s="114">
        <f>tblAquisições[[#This Row],[VALOR UNITARIO COMPRADO]]*tblAquisições[[#This Row],[QUANTIDADE COMPRADA]]</f>
        <v>0</v>
      </c>
      <c r="N105" s="110">
        <f>K105-tblAquisições[[#This Row],[QUANTIDADE PLANEJADA]]</f>
        <v>-450</v>
      </c>
      <c r="O105" s="106" t="str">
        <f t="shared" si="3"/>
        <v>Faltando Comprar</v>
      </c>
    </row>
    <row r="106" spans="1:15" ht="31.5">
      <c r="A106" s="16" t="s">
        <v>17</v>
      </c>
      <c r="B106" s="16" t="s">
        <v>26</v>
      </c>
      <c r="C106" s="17" t="s">
        <v>19</v>
      </c>
      <c r="D106" s="18" t="s">
        <v>116</v>
      </c>
      <c r="E106" s="18">
        <v>5</v>
      </c>
      <c r="F106" s="18" t="s">
        <v>30</v>
      </c>
      <c r="G106" s="18" t="s">
        <v>22</v>
      </c>
      <c r="H106" s="18" t="s">
        <v>23</v>
      </c>
      <c r="I106" s="19">
        <v>92.33</v>
      </c>
      <c r="J106" s="20">
        <f t="shared" si="2"/>
        <v>461.65</v>
      </c>
      <c r="K106" s="106"/>
      <c r="L106" s="114"/>
      <c r="M106" s="114">
        <f>tblAquisições[[#This Row],[VALOR UNITARIO COMPRADO]]*tblAquisições[[#This Row],[QUANTIDADE COMPRADA]]</f>
        <v>0</v>
      </c>
      <c r="N106" s="110">
        <f>K106-tblAquisições[[#This Row],[QUANTIDADE PLANEJADA]]</f>
        <v>-5</v>
      </c>
      <c r="O106" s="106" t="str">
        <f t="shared" si="3"/>
        <v>Faltando Comprar</v>
      </c>
    </row>
    <row r="107" spans="1:15" ht="47.25">
      <c r="A107" s="16" t="s">
        <v>17</v>
      </c>
      <c r="B107" s="16" t="s">
        <v>18</v>
      </c>
      <c r="C107" s="17" t="s">
        <v>19</v>
      </c>
      <c r="D107" s="18" t="s">
        <v>117</v>
      </c>
      <c r="E107" s="18">
        <v>3360</v>
      </c>
      <c r="F107" s="18" t="s">
        <v>118</v>
      </c>
      <c r="G107" s="18" t="s">
        <v>22</v>
      </c>
      <c r="H107" s="18" t="s">
        <v>23</v>
      </c>
      <c r="I107" s="19">
        <v>8.17</v>
      </c>
      <c r="J107" s="20">
        <f t="shared" si="2"/>
        <v>27451.200000000001</v>
      </c>
      <c r="K107" s="106"/>
      <c r="L107" s="114"/>
      <c r="M107" s="114">
        <f>tblAquisições[[#This Row],[VALOR UNITARIO COMPRADO]]*tblAquisições[[#This Row],[QUANTIDADE COMPRADA]]</f>
        <v>0</v>
      </c>
      <c r="N107" s="110">
        <f>K107-tblAquisições[[#This Row],[QUANTIDADE PLANEJADA]]</f>
        <v>-3360</v>
      </c>
      <c r="O107" s="106" t="str">
        <f t="shared" si="3"/>
        <v>Faltando Comprar</v>
      </c>
    </row>
    <row r="108" spans="1:15" ht="47.25">
      <c r="A108" s="16" t="s">
        <v>17</v>
      </c>
      <c r="B108" s="16" t="s">
        <v>24</v>
      </c>
      <c r="C108" s="17" t="s">
        <v>19</v>
      </c>
      <c r="D108" s="18" t="s">
        <v>117</v>
      </c>
      <c r="E108" s="18">
        <v>3360</v>
      </c>
      <c r="F108" s="18" t="s">
        <v>118</v>
      </c>
      <c r="G108" s="18" t="s">
        <v>22</v>
      </c>
      <c r="H108" s="18" t="s">
        <v>23</v>
      </c>
      <c r="I108" s="19">
        <v>8.17</v>
      </c>
      <c r="J108" s="20">
        <f t="shared" si="2"/>
        <v>27451.200000000001</v>
      </c>
      <c r="K108" s="106"/>
      <c r="L108" s="114"/>
      <c r="M108" s="114">
        <f>tblAquisições[[#This Row],[VALOR UNITARIO COMPRADO]]*tblAquisições[[#This Row],[QUANTIDADE COMPRADA]]</f>
        <v>0</v>
      </c>
      <c r="N108" s="110">
        <f>K108-tblAquisições[[#This Row],[QUANTIDADE PLANEJADA]]</f>
        <v>-3360</v>
      </c>
      <c r="O108" s="106" t="str">
        <f t="shared" si="3"/>
        <v>Faltando Comprar</v>
      </c>
    </row>
    <row r="109" spans="1:15" ht="31.5">
      <c r="A109" s="16" t="s">
        <v>17</v>
      </c>
      <c r="B109" s="16" t="s">
        <v>80</v>
      </c>
      <c r="C109" s="17" t="s">
        <v>19</v>
      </c>
      <c r="D109" s="18" t="s">
        <v>119</v>
      </c>
      <c r="E109" s="23">
        <v>10500</v>
      </c>
      <c r="F109" s="18" t="s">
        <v>110</v>
      </c>
      <c r="G109" s="18" t="s">
        <v>39</v>
      </c>
      <c r="H109" s="18" t="s">
        <v>100</v>
      </c>
      <c r="I109" s="19">
        <v>2.4700000000000002</v>
      </c>
      <c r="J109" s="20">
        <f t="shared" si="2"/>
        <v>25935.000000000004</v>
      </c>
      <c r="K109" s="106"/>
      <c r="L109" s="114"/>
      <c r="M109" s="114">
        <f>tblAquisições[[#This Row],[VALOR UNITARIO COMPRADO]]*tblAquisições[[#This Row],[QUANTIDADE COMPRADA]]</f>
        <v>0</v>
      </c>
      <c r="N109" s="110">
        <f>K109-tblAquisições[[#This Row],[QUANTIDADE PLANEJADA]]</f>
        <v>-10500</v>
      </c>
      <c r="O109" s="106" t="str">
        <f t="shared" si="3"/>
        <v>Faltando Comprar</v>
      </c>
    </row>
    <row r="110" spans="1:15" ht="31.5">
      <c r="A110" s="16" t="s">
        <v>17</v>
      </c>
      <c r="B110" s="16" t="s">
        <v>31</v>
      </c>
      <c r="C110" s="17" t="s">
        <v>19</v>
      </c>
      <c r="D110" s="18" t="s">
        <v>120</v>
      </c>
      <c r="E110" s="18">
        <v>10</v>
      </c>
      <c r="F110" s="18" t="s">
        <v>52</v>
      </c>
      <c r="G110" s="18" t="s">
        <v>22</v>
      </c>
      <c r="H110" s="18" t="s">
        <v>103</v>
      </c>
      <c r="I110" s="19">
        <v>2.4700000000000002</v>
      </c>
      <c r="J110" s="20">
        <f t="shared" si="2"/>
        <v>24.700000000000003</v>
      </c>
      <c r="K110" s="106"/>
      <c r="L110" s="114"/>
      <c r="M110" s="114">
        <f>tblAquisições[[#This Row],[VALOR UNITARIO COMPRADO]]*tblAquisições[[#This Row],[QUANTIDADE COMPRADA]]</f>
        <v>0</v>
      </c>
      <c r="N110" s="110">
        <f>K110-tblAquisições[[#This Row],[QUANTIDADE PLANEJADA]]</f>
        <v>-10</v>
      </c>
      <c r="O110" s="106" t="str">
        <f t="shared" si="3"/>
        <v>Faltando Comprar</v>
      </c>
    </row>
    <row r="111" spans="1:15" ht="31.5">
      <c r="A111" s="16" t="s">
        <v>17</v>
      </c>
      <c r="B111" s="16" t="s">
        <v>18</v>
      </c>
      <c r="C111" s="17" t="s">
        <v>19</v>
      </c>
      <c r="D111" s="18" t="s">
        <v>120</v>
      </c>
      <c r="E111" s="23">
        <v>64080</v>
      </c>
      <c r="F111" s="18" t="s">
        <v>52</v>
      </c>
      <c r="G111" s="18" t="s">
        <v>22</v>
      </c>
      <c r="H111" s="18" t="s">
        <v>100</v>
      </c>
      <c r="I111" s="19">
        <v>2.4700000000000002</v>
      </c>
      <c r="J111" s="20">
        <f t="shared" si="2"/>
        <v>158277.6</v>
      </c>
      <c r="K111" s="106"/>
      <c r="L111" s="114"/>
      <c r="M111" s="114">
        <f>tblAquisições[[#This Row],[VALOR UNITARIO COMPRADO]]*tblAquisições[[#This Row],[QUANTIDADE COMPRADA]]</f>
        <v>0</v>
      </c>
      <c r="N111" s="110">
        <f>K111-tblAquisições[[#This Row],[QUANTIDADE PLANEJADA]]</f>
        <v>-64080</v>
      </c>
      <c r="O111" s="106" t="str">
        <f t="shared" si="3"/>
        <v>Faltando Comprar</v>
      </c>
    </row>
    <row r="112" spans="1:15" ht="31.5">
      <c r="A112" s="16" t="s">
        <v>17</v>
      </c>
      <c r="B112" s="16" t="s">
        <v>24</v>
      </c>
      <c r="C112" s="17" t="s">
        <v>19</v>
      </c>
      <c r="D112" s="18" t="s">
        <v>120</v>
      </c>
      <c r="E112" s="23">
        <v>64080</v>
      </c>
      <c r="F112" s="18" t="s">
        <v>52</v>
      </c>
      <c r="G112" s="18" t="s">
        <v>22</v>
      </c>
      <c r="H112" s="18" t="s">
        <v>100</v>
      </c>
      <c r="I112" s="19">
        <v>2.4700000000000002</v>
      </c>
      <c r="J112" s="20">
        <f t="shared" si="2"/>
        <v>158277.6</v>
      </c>
      <c r="K112" s="106"/>
      <c r="L112" s="114"/>
      <c r="M112" s="114">
        <f>tblAquisições[[#This Row],[VALOR UNITARIO COMPRADO]]*tblAquisições[[#This Row],[QUANTIDADE COMPRADA]]</f>
        <v>0</v>
      </c>
      <c r="N112" s="110">
        <f>K112-tblAquisições[[#This Row],[QUANTIDADE PLANEJADA]]</f>
        <v>-64080</v>
      </c>
      <c r="O112" s="106" t="str">
        <f t="shared" si="3"/>
        <v>Faltando Comprar</v>
      </c>
    </row>
    <row r="113" spans="1:15" ht="31.5">
      <c r="A113" s="16" t="s">
        <v>17</v>
      </c>
      <c r="B113" s="16" t="s">
        <v>28</v>
      </c>
      <c r="C113" s="17" t="s">
        <v>19</v>
      </c>
      <c r="D113" s="18" t="s">
        <v>120</v>
      </c>
      <c r="E113" s="23">
        <v>1000</v>
      </c>
      <c r="F113" s="18" t="s">
        <v>52</v>
      </c>
      <c r="G113" s="18" t="s">
        <v>22</v>
      </c>
      <c r="H113" s="18" t="s">
        <v>100</v>
      </c>
      <c r="I113" s="19">
        <v>2.4700000000000002</v>
      </c>
      <c r="J113" s="20">
        <f t="shared" si="2"/>
        <v>2470</v>
      </c>
      <c r="K113" s="106"/>
      <c r="L113" s="114"/>
      <c r="M113" s="114">
        <f>tblAquisições[[#This Row],[VALOR UNITARIO COMPRADO]]*tblAquisições[[#This Row],[QUANTIDADE COMPRADA]]</f>
        <v>0</v>
      </c>
      <c r="N113" s="110">
        <f>K113-tblAquisições[[#This Row],[QUANTIDADE PLANEJADA]]</f>
        <v>-1000</v>
      </c>
      <c r="O113" s="106" t="str">
        <f t="shared" si="3"/>
        <v>Faltando Comprar</v>
      </c>
    </row>
    <row r="114" spans="1:15" ht="31.5">
      <c r="A114" s="16" t="s">
        <v>17</v>
      </c>
      <c r="B114" s="16" t="s">
        <v>28</v>
      </c>
      <c r="C114" s="17" t="s">
        <v>19</v>
      </c>
      <c r="D114" s="18" t="s">
        <v>121</v>
      </c>
      <c r="E114" s="18">
        <v>70</v>
      </c>
      <c r="F114" s="18" t="s">
        <v>21</v>
      </c>
      <c r="G114" s="18" t="s">
        <v>22</v>
      </c>
      <c r="H114" s="18" t="s">
        <v>23</v>
      </c>
      <c r="I114" s="19">
        <v>526.29999999999995</v>
      </c>
      <c r="J114" s="20">
        <f t="shared" si="2"/>
        <v>36841</v>
      </c>
      <c r="K114" s="106"/>
      <c r="L114" s="114"/>
      <c r="M114" s="114">
        <f>tblAquisições[[#This Row],[VALOR UNITARIO COMPRADO]]*tblAquisições[[#This Row],[QUANTIDADE COMPRADA]]</f>
        <v>0</v>
      </c>
      <c r="N114" s="110">
        <f>K114-tblAquisições[[#This Row],[QUANTIDADE PLANEJADA]]</f>
        <v>-70</v>
      </c>
      <c r="O114" s="106" t="str">
        <f t="shared" si="3"/>
        <v>Faltando Comprar</v>
      </c>
    </row>
    <row r="115" spans="1:15" ht="47.25">
      <c r="A115" s="16" t="s">
        <v>17</v>
      </c>
      <c r="B115" s="16" t="s">
        <v>18</v>
      </c>
      <c r="C115" s="17" t="s">
        <v>19</v>
      </c>
      <c r="D115" s="18" t="s">
        <v>122</v>
      </c>
      <c r="E115" s="18">
        <v>100</v>
      </c>
      <c r="F115" s="18" t="s">
        <v>118</v>
      </c>
      <c r="G115" s="18" t="s">
        <v>22</v>
      </c>
      <c r="H115" s="18" t="s">
        <v>100</v>
      </c>
      <c r="I115" s="19">
        <v>52.24</v>
      </c>
      <c r="J115" s="20">
        <f t="shared" si="2"/>
        <v>5224</v>
      </c>
      <c r="K115" s="106"/>
      <c r="L115" s="114"/>
      <c r="M115" s="114">
        <f>tblAquisições[[#This Row],[VALOR UNITARIO COMPRADO]]*tblAquisições[[#This Row],[QUANTIDADE COMPRADA]]</f>
        <v>0</v>
      </c>
      <c r="N115" s="110">
        <f>K115-tblAquisições[[#This Row],[QUANTIDADE PLANEJADA]]</f>
        <v>-100</v>
      </c>
      <c r="O115" s="106" t="str">
        <f t="shared" si="3"/>
        <v>Faltando Comprar</v>
      </c>
    </row>
    <row r="116" spans="1:15" ht="47.25">
      <c r="A116" s="16" t="s">
        <v>17</v>
      </c>
      <c r="B116" s="16" t="s">
        <v>24</v>
      </c>
      <c r="C116" s="17" t="s">
        <v>19</v>
      </c>
      <c r="D116" s="18" t="s">
        <v>122</v>
      </c>
      <c r="E116" s="18">
        <v>100</v>
      </c>
      <c r="F116" s="18" t="s">
        <v>118</v>
      </c>
      <c r="G116" s="18" t="s">
        <v>22</v>
      </c>
      <c r="H116" s="18" t="s">
        <v>100</v>
      </c>
      <c r="I116" s="19">
        <v>52.24</v>
      </c>
      <c r="J116" s="20">
        <f t="shared" si="2"/>
        <v>5224</v>
      </c>
      <c r="K116" s="106"/>
      <c r="L116" s="114"/>
      <c r="M116" s="114">
        <f>tblAquisições[[#This Row],[VALOR UNITARIO COMPRADO]]*tblAquisições[[#This Row],[QUANTIDADE COMPRADA]]</f>
        <v>0</v>
      </c>
      <c r="N116" s="110">
        <f>K116-tblAquisições[[#This Row],[QUANTIDADE PLANEJADA]]</f>
        <v>-100</v>
      </c>
      <c r="O116" s="106" t="str">
        <f t="shared" si="3"/>
        <v>Faltando Comprar</v>
      </c>
    </row>
    <row r="117" spans="1:15" ht="47.25">
      <c r="A117" s="16" t="s">
        <v>17</v>
      </c>
      <c r="B117" s="16" t="s">
        <v>25</v>
      </c>
      <c r="C117" s="17" t="s">
        <v>19</v>
      </c>
      <c r="D117" s="18" t="s">
        <v>122</v>
      </c>
      <c r="E117" s="18">
        <v>100</v>
      </c>
      <c r="F117" s="18" t="s">
        <v>118</v>
      </c>
      <c r="G117" s="18" t="s">
        <v>22</v>
      </c>
      <c r="H117" s="18" t="s">
        <v>100</v>
      </c>
      <c r="I117" s="19">
        <v>52.24</v>
      </c>
      <c r="J117" s="20">
        <f t="shared" si="2"/>
        <v>5224</v>
      </c>
      <c r="K117" s="106"/>
      <c r="L117" s="114"/>
      <c r="M117" s="114">
        <f>tblAquisições[[#This Row],[VALOR UNITARIO COMPRADO]]*tblAquisições[[#This Row],[QUANTIDADE COMPRADA]]</f>
        <v>0</v>
      </c>
      <c r="N117" s="110">
        <f>K117-tblAquisições[[#This Row],[QUANTIDADE PLANEJADA]]</f>
        <v>-100</v>
      </c>
      <c r="O117" s="106" t="str">
        <f t="shared" si="3"/>
        <v>Faltando Comprar</v>
      </c>
    </row>
    <row r="118" spans="1:15" ht="47.25">
      <c r="A118" s="16" t="s">
        <v>17</v>
      </c>
      <c r="B118" s="16" t="s">
        <v>41</v>
      </c>
      <c r="C118" s="17" t="s">
        <v>19</v>
      </c>
      <c r="D118" s="18" t="s">
        <v>122</v>
      </c>
      <c r="E118" s="18">
        <v>20</v>
      </c>
      <c r="F118" s="18" t="s">
        <v>118</v>
      </c>
      <c r="G118" s="18" t="s">
        <v>22</v>
      </c>
      <c r="H118" s="18" t="s">
        <v>100</v>
      </c>
      <c r="I118" s="19">
        <v>52.24</v>
      </c>
      <c r="J118" s="20">
        <f t="shared" si="2"/>
        <v>1044.8</v>
      </c>
      <c r="K118" s="106"/>
      <c r="L118" s="114"/>
      <c r="M118" s="114">
        <f>tblAquisições[[#This Row],[VALOR UNITARIO COMPRADO]]*tblAquisições[[#This Row],[QUANTIDADE COMPRADA]]</f>
        <v>0</v>
      </c>
      <c r="N118" s="110">
        <f>K118-tblAquisições[[#This Row],[QUANTIDADE PLANEJADA]]</f>
        <v>-20</v>
      </c>
      <c r="O118" s="106" t="str">
        <f t="shared" si="3"/>
        <v>Faltando Comprar</v>
      </c>
    </row>
    <row r="119" spans="1:15" ht="31.5">
      <c r="A119" s="16" t="s">
        <v>17</v>
      </c>
      <c r="B119" s="16" t="s">
        <v>34</v>
      </c>
      <c r="C119" s="17" t="s">
        <v>19</v>
      </c>
      <c r="D119" s="18" t="s">
        <v>123</v>
      </c>
      <c r="E119" s="18">
        <v>4</v>
      </c>
      <c r="F119" s="18" t="s">
        <v>21</v>
      </c>
      <c r="G119" s="18" t="s">
        <v>22</v>
      </c>
      <c r="H119" s="18" t="s">
        <v>23</v>
      </c>
      <c r="I119" s="19">
        <v>6375.44</v>
      </c>
      <c r="J119" s="20">
        <f t="shared" si="2"/>
        <v>25501.759999999998</v>
      </c>
      <c r="K119" s="106"/>
      <c r="L119" s="114"/>
      <c r="M119" s="114">
        <f>tblAquisições[[#This Row],[VALOR UNITARIO COMPRADO]]*tblAquisições[[#This Row],[QUANTIDADE COMPRADA]]</f>
        <v>0</v>
      </c>
      <c r="N119" s="110">
        <f>K119-tblAquisições[[#This Row],[QUANTIDADE PLANEJADA]]</f>
        <v>-4</v>
      </c>
      <c r="O119" s="106" t="str">
        <f t="shared" si="3"/>
        <v>Faltando Comprar</v>
      </c>
    </row>
    <row r="120" spans="1:15" ht="31.5">
      <c r="A120" s="16" t="s">
        <v>17</v>
      </c>
      <c r="B120" s="16" t="s">
        <v>18</v>
      </c>
      <c r="C120" s="17" t="s">
        <v>19</v>
      </c>
      <c r="D120" s="18" t="s">
        <v>124</v>
      </c>
      <c r="E120" s="18">
        <v>6</v>
      </c>
      <c r="F120" s="18" t="s">
        <v>21</v>
      </c>
      <c r="G120" s="18" t="s">
        <v>22</v>
      </c>
      <c r="H120" s="18" t="s">
        <v>23</v>
      </c>
      <c r="I120" s="19">
        <v>93.72</v>
      </c>
      <c r="J120" s="20">
        <f t="shared" si="2"/>
        <v>562.31999999999994</v>
      </c>
      <c r="K120" s="106"/>
      <c r="L120" s="114"/>
      <c r="M120" s="114">
        <f>tblAquisições[[#This Row],[VALOR UNITARIO COMPRADO]]*tblAquisições[[#This Row],[QUANTIDADE COMPRADA]]</f>
        <v>0</v>
      </c>
      <c r="N120" s="110">
        <f>K120-tblAquisições[[#This Row],[QUANTIDADE PLANEJADA]]</f>
        <v>-6</v>
      </c>
      <c r="O120" s="106" t="str">
        <f t="shared" si="3"/>
        <v>Faltando Comprar</v>
      </c>
    </row>
    <row r="121" spans="1:15" ht="31.5">
      <c r="A121" s="16" t="s">
        <v>17</v>
      </c>
      <c r="B121" s="16" t="s">
        <v>24</v>
      </c>
      <c r="C121" s="17" t="s">
        <v>19</v>
      </c>
      <c r="D121" s="18" t="s">
        <v>124</v>
      </c>
      <c r="E121" s="18">
        <v>6</v>
      </c>
      <c r="F121" s="18" t="s">
        <v>21</v>
      </c>
      <c r="G121" s="18" t="s">
        <v>22</v>
      </c>
      <c r="H121" s="18" t="s">
        <v>23</v>
      </c>
      <c r="I121" s="19">
        <v>93.72</v>
      </c>
      <c r="J121" s="20">
        <f t="shared" si="2"/>
        <v>562.31999999999994</v>
      </c>
      <c r="K121" s="106"/>
      <c r="L121" s="114"/>
      <c r="M121" s="114">
        <f>tblAquisições[[#This Row],[VALOR UNITARIO COMPRADO]]*tblAquisições[[#This Row],[QUANTIDADE COMPRADA]]</f>
        <v>0</v>
      </c>
      <c r="N121" s="110">
        <f>K121-tblAquisições[[#This Row],[QUANTIDADE PLANEJADA]]</f>
        <v>-6</v>
      </c>
      <c r="O121" s="106" t="str">
        <f t="shared" si="3"/>
        <v>Faltando Comprar</v>
      </c>
    </row>
    <row r="122" spans="1:15" ht="47.25">
      <c r="A122" s="16" t="s">
        <v>17</v>
      </c>
      <c r="B122" s="16" t="s">
        <v>34</v>
      </c>
      <c r="C122" s="17" t="s">
        <v>19</v>
      </c>
      <c r="D122" s="18" t="s">
        <v>125</v>
      </c>
      <c r="E122" s="18">
        <v>6</v>
      </c>
      <c r="F122" s="18" t="s">
        <v>126</v>
      </c>
      <c r="G122" s="18" t="s">
        <v>127</v>
      </c>
      <c r="H122" s="18" t="s">
        <v>23</v>
      </c>
      <c r="I122" s="19">
        <v>1869.33</v>
      </c>
      <c r="J122" s="20">
        <f t="shared" si="2"/>
        <v>11215.98</v>
      </c>
      <c r="K122" s="106"/>
      <c r="L122" s="114"/>
      <c r="M122" s="114">
        <f>tblAquisições[[#This Row],[VALOR UNITARIO COMPRADO]]*tblAquisições[[#This Row],[QUANTIDADE COMPRADA]]</f>
        <v>0</v>
      </c>
      <c r="N122" s="110">
        <f>K122-tblAquisições[[#This Row],[QUANTIDADE PLANEJADA]]</f>
        <v>-6</v>
      </c>
      <c r="O122" s="106" t="str">
        <f t="shared" si="3"/>
        <v>Faltando Comprar</v>
      </c>
    </row>
    <row r="123" spans="1:15" ht="47.25">
      <c r="A123" s="16" t="s">
        <v>17</v>
      </c>
      <c r="B123" s="16" t="s">
        <v>31</v>
      </c>
      <c r="C123" s="17" t="s">
        <v>19</v>
      </c>
      <c r="D123" s="18" t="s">
        <v>125</v>
      </c>
      <c r="E123" s="18">
        <v>3</v>
      </c>
      <c r="F123" s="18" t="s">
        <v>126</v>
      </c>
      <c r="G123" s="18" t="s">
        <v>127</v>
      </c>
      <c r="H123" s="18" t="s">
        <v>23</v>
      </c>
      <c r="I123" s="19">
        <v>1869.33</v>
      </c>
      <c r="J123" s="20">
        <f t="shared" si="2"/>
        <v>5607.99</v>
      </c>
      <c r="K123" s="106"/>
      <c r="L123" s="114"/>
      <c r="M123" s="114">
        <f>tblAquisições[[#This Row],[VALOR UNITARIO COMPRADO]]*tblAquisições[[#This Row],[QUANTIDADE COMPRADA]]</f>
        <v>0</v>
      </c>
      <c r="N123" s="110">
        <f>K123-tblAquisições[[#This Row],[QUANTIDADE PLANEJADA]]</f>
        <v>-3</v>
      </c>
      <c r="O123" s="106" t="str">
        <f t="shared" si="3"/>
        <v>Faltando Comprar</v>
      </c>
    </row>
    <row r="124" spans="1:15" ht="47.25">
      <c r="A124" s="16" t="s">
        <v>17</v>
      </c>
      <c r="B124" s="16" t="s">
        <v>18</v>
      </c>
      <c r="C124" s="17" t="s">
        <v>19</v>
      </c>
      <c r="D124" s="18" t="s">
        <v>125</v>
      </c>
      <c r="E124" s="18">
        <v>3</v>
      </c>
      <c r="F124" s="18" t="s">
        <v>126</v>
      </c>
      <c r="G124" s="18" t="s">
        <v>127</v>
      </c>
      <c r="H124" s="18" t="s">
        <v>23</v>
      </c>
      <c r="I124" s="19">
        <v>1869.33</v>
      </c>
      <c r="J124" s="20">
        <f t="shared" si="2"/>
        <v>5607.99</v>
      </c>
      <c r="K124" s="106"/>
      <c r="L124" s="114"/>
      <c r="M124" s="114">
        <f>tblAquisições[[#This Row],[VALOR UNITARIO COMPRADO]]*tblAquisições[[#This Row],[QUANTIDADE COMPRADA]]</f>
        <v>0</v>
      </c>
      <c r="N124" s="110">
        <f>K124-tblAquisições[[#This Row],[QUANTIDADE PLANEJADA]]</f>
        <v>-3</v>
      </c>
      <c r="O124" s="106" t="str">
        <f t="shared" si="3"/>
        <v>Faltando Comprar</v>
      </c>
    </row>
    <row r="125" spans="1:15" ht="47.25">
      <c r="A125" s="16" t="s">
        <v>17</v>
      </c>
      <c r="B125" s="16" t="s">
        <v>24</v>
      </c>
      <c r="C125" s="17" t="s">
        <v>19</v>
      </c>
      <c r="D125" s="18" t="s">
        <v>125</v>
      </c>
      <c r="E125" s="18">
        <v>3</v>
      </c>
      <c r="F125" s="18" t="s">
        <v>126</v>
      </c>
      <c r="G125" s="18" t="s">
        <v>127</v>
      </c>
      <c r="H125" s="18" t="s">
        <v>23</v>
      </c>
      <c r="I125" s="19">
        <v>1869.33</v>
      </c>
      <c r="J125" s="20">
        <f t="shared" si="2"/>
        <v>5607.99</v>
      </c>
      <c r="K125" s="106"/>
      <c r="L125" s="114"/>
      <c r="M125" s="114">
        <f>tblAquisições[[#This Row],[VALOR UNITARIO COMPRADO]]*tblAquisições[[#This Row],[QUANTIDADE COMPRADA]]</f>
        <v>0</v>
      </c>
      <c r="N125" s="110">
        <f>K125-tblAquisições[[#This Row],[QUANTIDADE PLANEJADA]]</f>
        <v>-3</v>
      </c>
      <c r="O125" s="106" t="str">
        <f t="shared" si="3"/>
        <v>Faltando Comprar</v>
      </c>
    </row>
    <row r="126" spans="1:15" ht="47.25">
      <c r="A126" s="16" t="s">
        <v>17</v>
      </c>
      <c r="B126" s="16" t="s">
        <v>25</v>
      </c>
      <c r="C126" s="17" t="s">
        <v>19</v>
      </c>
      <c r="D126" s="18" t="s">
        <v>125</v>
      </c>
      <c r="E126" s="18">
        <v>3</v>
      </c>
      <c r="F126" s="18" t="s">
        <v>126</v>
      </c>
      <c r="G126" s="18" t="s">
        <v>127</v>
      </c>
      <c r="H126" s="18" t="s">
        <v>23</v>
      </c>
      <c r="I126" s="19">
        <v>1869.33</v>
      </c>
      <c r="J126" s="20">
        <f t="shared" si="2"/>
        <v>5607.99</v>
      </c>
      <c r="K126" s="106"/>
      <c r="L126" s="114"/>
      <c r="M126" s="114">
        <f>tblAquisições[[#This Row],[VALOR UNITARIO COMPRADO]]*tblAquisições[[#This Row],[QUANTIDADE COMPRADA]]</f>
        <v>0</v>
      </c>
      <c r="N126" s="110">
        <f>K126-tblAquisições[[#This Row],[QUANTIDADE PLANEJADA]]</f>
        <v>-3</v>
      </c>
      <c r="O126" s="106" t="str">
        <f t="shared" si="3"/>
        <v>Faltando Comprar</v>
      </c>
    </row>
    <row r="127" spans="1:15" ht="47.25">
      <c r="A127" s="16" t="s">
        <v>17</v>
      </c>
      <c r="B127" s="16" t="s">
        <v>41</v>
      </c>
      <c r="C127" s="17" t="s">
        <v>19</v>
      </c>
      <c r="D127" s="18" t="s">
        <v>125</v>
      </c>
      <c r="E127" s="18">
        <v>5</v>
      </c>
      <c r="F127" s="18" t="s">
        <v>126</v>
      </c>
      <c r="G127" s="18" t="s">
        <v>127</v>
      </c>
      <c r="H127" s="18" t="s">
        <v>23</v>
      </c>
      <c r="I127" s="19">
        <v>1869.33</v>
      </c>
      <c r="J127" s="20">
        <f t="shared" si="2"/>
        <v>9346.65</v>
      </c>
      <c r="K127" s="106"/>
      <c r="L127" s="114"/>
      <c r="M127" s="114">
        <f>tblAquisições[[#This Row],[VALOR UNITARIO COMPRADO]]*tblAquisições[[#This Row],[QUANTIDADE COMPRADA]]</f>
        <v>0</v>
      </c>
      <c r="N127" s="110">
        <f>K127-tblAquisições[[#This Row],[QUANTIDADE PLANEJADA]]</f>
        <v>-5</v>
      </c>
      <c r="O127" s="106" t="str">
        <f t="shared" si="3"/>
        <v>Faltando Comprar</v>
      </c>
    </row>
    <row r="128" spans="1:15" ht="47.25">
      <c r="A128" s="16" t="s">
        <v>17</v>
      </c>
      <c r="B128" s="16" t="s">
        <v>26</v>
      </c>
      <c r="C128" s="17" t="s">
        <v>19</v>
      </c>
      <c r="D128" s="18" t="s">
        <v>125</v>
      </c>
      <c r="E128" s="18">
        <v>20</v>
      </c>
      <c r="F128" s="18" t="s">
        <v>126</v>
      </c>
      <c r="G128" s="18" t="s">
        <v>127</v>
      </c>
      <c r="H128" s="18" t="s">
        <v>23</v>
      </c>
      <c r="I128" s="19">
        <v>1869.33</v>
      </c>
      <c r="J128" s="20">
        <f t="shared" si="2"/>
        <v>37386.6</v>
      </c>
      <c r="K128" s="106"/>
      <c r="L128" s="114"/>
      <c r="M128" s="114">
        <f>tblAquisições[[#This Row],[VALOR UNITARIO COMPRADO]]*tblAquisições[[#This Row],[QUANTIDADE COMPRADA]]</f>
        <v>0</v>
      </c>
      <c r="N128" s="110">
        <f>K128-tblAquisições[[#This Row],[QUANTIDADE PLANEJADA]]</f>
        <v>-20</v>
      </c>
      <c r="O128" s="106" t="str">
        <f t="shared" si="3"/>
        <v>Faltando Comprar</v>
      </c>
    </row>
    <row r="129" spans="1:15" ht="47.25">
      <c r="A129" s="16" t="s">
        <v>17</v>
      </c>
      <c r="B129" s="16" t="s">
        <v>27</v>
      </c>
      <c r="C129" s="17" t="s">
        <v>19</v>
      </c>
      <c r="D129" s="18" t="s">
        <v>125</v>
      </c>
      <c r="E129" s="18">
        <v>5</v>
      </c>
      <c r="F129" s="18" t="s">
        <v>126</v>
      </c>
      <c r="G129" s="18" t="s">
        <v>127</v>
      </c>
      <c r="H129" s="18" t="s">
        <v>23</v>
      </c>
      <c r="I129" s="19">
        <v>1869.33</v>
      </c>
      <c r="J129" s="20">
        <f t="shared" si="2"/>
        <v>9346.65</v>
      </c>
      <c r="K129" s="106"/>
      <c r="L129" s="114"/>
      <c r="M129" s="114">
        <f>tblAquisições[[#This Row],[VALOR UNITARIO COMPRADO]]*tblAquisições[[#This Row],[QUANTIDADE COMPRADA]]</f>
        <v>0</v>
      </c>
      <c r="N129" s="110">
        <f>K129-tblAquisições[[#This Row],[QUANTIDADE PLANEJADA]]</f>
        <v>-5</v>
      </c>
      <c r="O129" s="106" t="str">
        <f t="shared" si="3"/>
        <v>Faltando Comprar</v>
      </c>
    </row>
    <row r="130" spans="1:15" ht="47.25">
      <c r="A130" s="16" t="s">
        <v>17</v>
      </c>
      <c r="B130" s="16" t="s">
        <v>28</v>
      </c>
      <c r="C130" s="17" t="s">
        <v>19</v>
      </c>
      <c r="D130" s="18" t="s">
        <v>125</v>
      </c>
      <c r="E130" s="18">
        <v>12</v>
      </c>
      <c r="F130" s="18" t="s">
        <v>126</v>
      </c>
      <c r="G130" s="18" t="s">
        <v>127</v>
      </c>
      <c r="H130" s="18" t="s">
        <v>23</v>
      </c>
      <c r="I130" s="19">
        <v>1869.33</v>
      </c>
      <c r="J130" s="20">
        <f t="shared" ref="J130:J193" si="4">E130*I130</f>
        <v>22431.96</v>
      </c>
      <c r="K130" s="106"/>
      <c r="L130" s="114"/>
      <c r="M130" s="114">
        <f>tblAquisições[[#This Row],[VALOR UNITARIO COMPRADO]]*tblAquisições[[#This Row],[QUANTIDADE COMPRADA]]</f>
        <v>0</v>
      </c>
      <c r="N130" s="110">
        <f>K130-tblAquisições[[#This Row],[QUANTIDADE PLANEJADA]]</f>
        <v>-12</v>
      </c>
      <c r="O130" s="106" t="str">
        <f t="shared" ref="O130:O193" si="5">IF(K130=E130,"OK",IF(K130&lt;E130,"Faltando Comprar","Excedente"))</f>
        <v>Faltando Comprar</v>
      </c>
    </row>
    <row r="131" spans="1:15" ht="47.25">
      <c r="A131" s="16" t="s">
        <v>17</v>
      </c>
      <c r="B131" s="16" t="s">
        <v>34</v>
      </c>
      <c r="C131" s="17" t="s">
        <v>19</v>
      </c>
      <c r="D131" s="18" t="s">
        <v>128</v>
      </c>
      <c r="E131" s="18">
        <v>1</v>
      </c>
      <c r="F131" s="18" t="s">
        <v>126</v>
      </c>
      <c r="G131" s="18" t="s">
        <v>127</v>
      </c>
      <c r="H131" s="18" t="s">
        <v>23</v>
      </c>
      <c r="I131" s="19">
        <v>6066.34</v>
      </c>
      <c r="J131" s="20">
        <f t="shared" si="4"/>
        <v>6066.34</v>
      </c>
      <c r="K131" s="106"/>
      <c r="L131" s="114"/>
      <c r="M131" s="114">
        <f>tblAquisições[[#This Row],[VALOR UNITARIO COMPRADO]]*tblAquisições[[#This Row],[QUANTIDADE COMPRADA]]</f>
        <v>0</v>
      </c>
      <c r="N131" s="110">
        <f>K131-tblAquisições[[#This Row],[QUANTIDADE PLANEJADA]]</f>
        <v>-1</v>
      </c>
      <c r="O131" s="106" t="str">
        <f t="shared" si="5"/>
        <v>Faltando Comprar</v>
      </c>
    </row>
    <row r="132" spans="1:15" ht="47.25">
      <c r="A132" s="16" t="s">
        <v>17</v>
      </c>
      <c r="B132" s="16" t="s">
        <v>18</v>
      </c>
      <c r="C132" s="17" t="s">
        <v>19</v>
      </c>
      <c r="D132" s="18" t="s">
        <v>128</v>
      </c>
      <c r="E132" s="18">
        <v>1</v>
      </c>
      <c r="F132" s="18" t="s">
        <v>126</v>
      </c>
      <c r="G132" s="18" t="s">
        <v>127</v>
      </c>
      <c r="H132" s="18" t="s">
        <v>23</v>
      </c>
      <c r="I132" s="19">
        <v>6066.34</v>
      </c>
      <c r="J132" s="20">
        <f t="shared" si="4"/>
        <v>6066.34</v>
      </c>
      <c r="K132" s="106"/>
      <c r="L132" s="114"/>
      <c r="M132" s="114">
        <f>tblAquisições[[#This Row],[VALOR UNITARIO COMPRADO]]*tblAquisições[[#This Row],[QUANTIDADE COMPRADA]]</f>
        <v>0</v>
      </c>
      <c r="N132" s="110">
        <f>K132-tblAquisições[[#This Row],[QUANTIDADE PLANEJADA]]</f>
        <v>-1</v>
      </c>
      <c r="O132" s="106" t="str">
        <f t="shared" si="5"/>
        <v>Faltando Comprar</v>
      </c>
    </row>
    <row r="133" spans="1:15" ht="47.25">
      <c r="A133" s="16" t="s">
        <v>17</v>
      </c>
      <c r="B133" s="16" t="s">
        <v>24</v>
      </c>
      <c r="C133" s="17" t="s">
        <v>19</v>
      </c>
      <c r="D133" s="18" t="s">
        <v>128</v>
      </c>
      <c r="E133" s="18">
        <v>1</v>
      </c>
      <c r="F133" s="18" t="s">
        <v>126</v>
      </c>
      <c r="G133" s="18" t="s">
        <v>127</v>
      </c>
      <c r="H133" s="18" t="s">
        <v>23</v>
      </c>
      <c r="I133" s="19">
        <v>6066.34</v>
      </c>
      <c r="J133" s="20">
        <f t="shared" si="4"/>
        <v>6066.34</v>
      </c>
      <c r="K133" s="106"/>
      <c r="L133" s="114"/>
      <c r="M133" s="114">
        <f>tblAquisições[[#This Row],[VALOR UNITARIO COMPRADO]]*tblAquisições[[#This Row],[QUANTIDADE COMPRADA]]</f>
        <v>0</v>
      </c>
      <c r="N133" s="110">
        <f>K133-tblAquisições[[#This Row],[QUANTIDADE PLANEJADA]]</f>
        <v>-1</v>
      </c>
      <c r="O133" s="106" t="str">
        <f t="shared" si="5"/>
        <v>Faltando Comprar</v>
      </c>
    </row>
    <row r="134" spans="1:15" ht="47.25">
      <c r="A134" s="16" t="s">
        <v>17</v>
      </c>
      <c r="B134" s="16" t="s">
        <v>41</v>
      </c>
      <c r="C134" s="17" t="s">
        <v>19</v>
      </c>
      <c r="D134" s="18" t="s">
        <v>128</v>
      </c>
      <c r="E134" s="18">
        <v>1</v>
      </c>
      <c r="F134" s="18" t="s">
        <v>126</v>
      </c>
      <c r="G134" s="18" t="s">
        <v>127</v>
      </c>
      <c r="H134" s="18" t="s">
        <v>23</v>
      </c>
      <c r="I134" s="19">
        <v>6066.34</v>
      </c>
      <c r="J134" s="20">
        <f t="shared" si="4"/>
        <v>6066.34</v>
      </c>
      <c r="K134" s="106"/>
      <c r="L134" s="114"/>
      <c r="M134" s="114">
        <f>tblAquisições[[#This Row],[VALOR UNITARIO COMPRADO]]*tblAquisições[[#This Row],[QUANTIDADE COMPRADA]]</f>
        <v>0</v>
      </c>
      <c r="N134" s="110">
        <f>K134-tblAquisições[[#This Row],[QUANTIDADE PLANEJADA]]</f>
        <v>-1</v>
      </c>
      <c r="O134" s="106" t="str">
        <f t="shared" si="5"/>
        <v>Faltando Comprar</v>
      </c>
    </row>
    <row r="135" spans="1:15" ht="47.25">
      <c r="A135" s="16" t="s">
        <v>17</v>
      </c>
      <c r="B135" s="16" t="s">
        <v>27</v>
      </c>
      <c r="C135" s="17" t="s">
        <v>19</v>
      </c>
      <c r="D135" s="18" t="s">
        <v>128</v>
      </c>
      <c r="E135" s="18">
        <v>1</v>
      </c>
      <c r="F135" s="18" t="s">
        <v>126</v>
      </c>
      <c r="G135" s="18" t="s">
        <v>127</v>
      </c>
      <c r="H135" s="18" t="s">
        <v>23</v>
      </c>
      <c r="I135" s="19">
        <v>6066.34</v>
      </c>
      <c r="J135" s="20">
        <f t="shared" si="4"/>
        <v>6066.34</v>
      </c>
      <c r="K135" s="106"/>
      <c r="L135" s="114"/>
      <c r="M135" s="114">
        <f>tblAquisições[[#This Row],[VALOR UNITARIO COMPRADO]]*tblAquisições[[#This Row],[QUANTIDADE COMPRADA]]</f>
        <v>0</v>
      </c>
      <c r="N135" s="110">
        <f>K135-tblAquisições[[#This Row],[QUANTIDADE PLANEJADA]]</f>
        <v>-1</v>
      </c>
      <c r="O135" s="106" t="str">
        <f t="shared" si="5"/>
        <v>Faltando Comprar</v>
      </c>
    </row>
    <row r="136" spans="1:15" ht="47.25">
      <c r="A136" s="16" t="s">
        <v>17</v>
      </c>
      <c r="B136" s="16" t="s">
        <v>28</v>
      </c>
      <c r="C136" s="17" t="s">
        <v>19</v>
      </c>
      <c r="D136" s="18" t="s">
        <v>128</v>
      </c>
      <c r="E136" s="18">
        <v>12</v>
      </c>
      <c r="F136" s="18" t="s">
        <v>126</v>
      </c>
      <c r="G136" s="18" t="s">
        <v>127</v>
      </c>
      <c r="H136" s="18" t="s">
        <v>23</v>
      </c>
      <c r="I136" s="19">
        <v>6066.34</v>
      </c>
      <c r="J136" s="20">
        <f t="shared" si="4"/>
        <v>72796.08</v>
      </c>
      <c r="K136" s="106"/>
      <c r="L136" s="114"/>
      <c r="M136" s="114">
        <f>tblAquisições[[#This Row],[VALOR UNITARIO COMPRADO]]*tblAquisições[[#This Row],[QUANTIDADE COMPRADA]]</f>
        <v>0</v>
      </c>
      <c r="N136" s="110">
        <f>K136-tblAquisições[[#This Row],[QUANTIDADE PLANEJADA]]</f>
        <v>-12</v>
      </c>
      <c r="O136" s="106" t="str">
        <f t="shared" si="5"/>
        <v>Faltando Comprar</v>
      </c>
    </row>
    <row r="137" spans="1:15" ht="31.5">
      <c r="A137" s="16" t="s">
        <v>17</v>
      </c>
      <c r="B137" s="16" t="s">
        <v>18</v>
      </c>
      <c r="C137" s="17" t="s">
        <v>19</v>
      </c>
      <c r="D137" s="18" t="s">
        <v>129</v>
      </c>
      <c r="E137" s="18">
        <v>15</v>
      </c>
      <c r="F137" s="18" t="s">
        <v>21</v>
      </c>
      <c r="G137" s="18" t="s">
        <v>22</v>
      </c>
      <c r="H137" s="18" t="s">
        <v>23</v>
      </c>
      <c r="I137" s="19">
        <v>1079.32</v>
      </c>
      <c r="J137" s="20">
        <f t="shared" si="4"/>
        <v>16189.8</v>
      </c>
      <c r="K137" s="106"/>
      <c r="L137" s="114"/>
      <c r="M137" s="114">
        <f>tblAquisições[[#This Row],[VALOR UNITARIO COMPRADO]]*tblAquisições[[#This Row],[QUANTIDADE COMPRADA]]</f>
        <v>0</v>
      </c>
      <c r="N137" s="110">
        <f>K137-tblAquisições[[#This Row],[QUANTIDADE PLANEJADA]]</f>
        <v>-15</v>
      </c>
      <c r="O137" s="106" t="str">
        <f t="shared" si="5"/>
        <v>Faltando Comprar</v>
      </c>
    </row>
    <row r="138" spans="1:15" ht="31.5">
      <c r="A138" s="16" t="s">
        <v>17</v>
      </c>
      <c r="B138" s="16" t="s">
        <v>24</v>
      </c>
      <c r="C138" s="17" t="s">
        <v>19</v>
      </c>
      <c r="D138" s="18" t="s">
        <v>129</v>
      </c>
      <c r="E138" s="18">
        <v>15</v>
      </c>
      <c r="F138" s="18" t="s">
        <v>21</v>
      </c>
      <c r="G138" s="18" t="s">
        <v>22</v>
      </c>
      <c r="H138" s="18" t="s">
        <v>23</v>
      </c>
      <c r="I138" s="19">
        <v>1079.32</v>
      </c>
      <c r="J138" s="20">
        <f t="shared" si="4"/>
        <v>16189.8</v>
      </c>
      <c r="K138" s="106"/>
      <c r="L138" s="114"/>
      <c r="M138" s="114">
        <f>tblAquisições[[#This Row],[VALOR UNITARIO COMPRADO]]*tblAquisições[[#This Row],[QUANTIDADE COMPRADA]]</f>
        <v>0</v>
      </c>
      <c r="N138" s="110">
        <f>K138-tblAquisições[[#This Row],[QUANTIDADE PLANEJADA]]</f>
        <v>-15</v>
      </c>
      <c r="O138" s="106" t="str">
        <f t="shared" si="5"/>
        <v>Faltando Comprar</v>
      </c>
    </row>
    <row r="139" spans="1:15" ht="31.5">
      <c r="A139" s="16" t="s">
        <v>17</v>
      </c>
      <c r="B139" s="16" t="s">
        <v>25</v>
      </c>
      <c r="C139" s="17" t="s">
        <v>19</v>
      </c>
      <c r="D139" s="18" t="s">
        <v>129</v>
      </c>
      <c r="E139" s="18">
        <v>15</v>
      </c>
      <c r="F139" s="18" t="s">
        <v>21</v>
      </c>
      <c r="G139" s="18" t="s">
        <v>22</v>
      </c>
      <c r="H139" s="18" t="s">
        <v>23</v>
      </c>
      <c r="I139" s="19">
        <v>1079.32</v>
      </c>
      <c r="J139" s="20">
        <f t="shared" si="4"/>
        <v>16189.8</v>
      </c>
      <c r="K139" s="106"/>
      <c r="L139" s="114"/>
      <c r="M139" s="114">
        <f>tblAquisições[[#This Row],[VALOR UNITARIO COMPRADO]]*tblAquisições[[#This Row],[QUANTIDADE COMPRADA]]</f>
        <v>0</v>
      </c>
      <c r="N139" s="110">
        <f>K139-tblAquisições[[#This Row],[QUANTIDADE PLANEJADA]]</f>
        <v>-15</v>
      </c>
      <c r="O139" s="106" t="str">
        <f t="shared" si="5"/>
        <v>Faltando Comprar</v>
      </c>
    </row>
    <row r="140" spans="1:15" ht="31.5">
      <c r="A140" s="16" t="s">
        <v>17</v>
      </c>
      <c r="B140" s="16" t="s">
        <v>27</v>
      </c>
      <c r="C140" s="17" t="s">
        <v>19</v>
      </c>
      <c r="D140" s="18" t="s">
        <v>129</v>
      </c>
      <c r="E140" s="18">
        <v>10</v>
      </c>
      <c r="F140" s="18" t="s">
        <v>21</v>
      </c>
      <c r="G140" s="18" t="s">
        <v>22</v>
      </c>
      <c r="H140" s="18" t="s">
        <v>23</v>
      </c>
      <c r="I140" s="19">
        <v>1079.32</v>
      </c>
      <c r="J140" s="20">
        <f t="shared" si="4"/>
        <v>10793.199999999999</v>
      </c>
      <c r="K140" s="106"/>
      <c r="L140" s="114"/>
      <c r="M140" s="114">
        <f>tblAquisições[[#This Row],[VALOR UNITARIO COMPRADO]]*tblAquisições[[#This Row],[QUANTIDADE COMPRADA]]</f>
        <v>0</v>
      </c>
      <c r="N140" s="110">
        <f>K140-tblAquisições[[#This Row],[QUANTIDADE PLANEJADA]]</f>
        <v>-10</v>
      </c>
      <c r="O140" s="106" t="str">
        <f t="shared" si="5"/>
        <v>Faltando Comprar</v>
      </c>
    </row>
    <row r="141" spans="1:15" ht="47.25">
      <c r="A141" s="16" t="s">
        <v>17</v>
      </c>
      <c r="B141" s="16" t="s">
        <v>18</v>
      </c>
      <c r="C141" s="17" t="s">
        <v>19</v>
      </c>
      <c r="D141" s="18" t="s">
        <v>130</v>
      </c>
      <c r="E141" s="18">
        <v>2</v>
      </c>
      <c r="F141" s="18" t="s">
        <v>131</v>
      </c>
      <c r="G141" s="18" t="s">
        <v>22</v>
      </c>
      <c r="H141" s="18" t="s">
        <v>23</v>
      </c>
      <c r="I141" s="19">
        <v>73.97</v>
      </c>
      <c r="J141" s="20">
        <f t="shared" si="4"/>
        <v>147.94</v>
      </c>
      <c r="K141" s="106"/>
      <c r="L141" s="114"/>
      <c r="M141" s="114">
        <f>tblAquisições[[#This Row],[VALOR UNITARIO COMPRADO]]*tblAquisições[[#This Row],[QUANTIDADE COMPRADA]]</f>
        <v>0</v>
      </c>
      <c r="N141" s="110">
        <f>K141-tblAquisições[[#This Row],[QUANTIDADE PLANEJADA]]</f>
        <v>-2</v>
      </c>
      <c r="O141" s="106" t="str">
        <f t="shared" si="5"/>
        <v>Faltando Comprar</v>
      </c>
    </row>
    <row r="142" spans="1:15" ht="47.25">
      <c r="A142" s="16" t="s">
        <v>17</v>
      </c>
      <c r="B142" s="16" t="s">
        <v>24</v>
      </c>
      <c r="C142" s="17" t="s">
        <v>19</v>
      </c>
      <c r="D142" s="18" t="s">
        <v>130</v>
      </c>
      <c r="E142" s="18">
        <v>2</v>
      </c>
      <c r="F142" s="18" t="s">
        <v>131</v>
      </c>
      <c r="G142" s="18" t="s">
        <v>22</v>
      </c>
      <c r="H142" s="18" t="s">
        <v>23</v>
      </c>
      <c r="I142" s="19">
        <v>73.97</v>
      </c>
      <c r="J142" s="20">
        <f t="shared" si="4"/>
        <v>147.94</v>
      </c>
      <c r="K142" s="106"/>
      <c r="L142" s="114"/>
      <c r="M142" s="114">
        <f>tblAquisições[[#This Row],[VALOR UNITARIO COMPRADO]]*tblAquisições[[#This Row],[QUANTIDADE COMPRADA]]</f>
        <v>0</v>
      </c>
      <c r="N142" s="110">
        <f>K142-tblAquisições[[#This Row],[QUANTIDADE PLANEJADA]]</f>
        <v>-2</v>
      </c>
      <c r="O142" s="106" t="str">
        <f t="shared" si="5"/>
        <v>Faltando Comprar</v>
      </c>
    </row>
    <row r="143" spans="1:15" ht="47.25">
      <c r="A143" s="16" t="s">
        <v>17</v>
      </c>
      <c r="B143" s="16" t="s">
        <v>25</v>
      </c>
      <c r="C143" s="17" t="s">
        <v>19</v>
      </c>
      <c r="D143" s="18" t="s">
        <v>130</v>
      </c>
      <c r="E143" s="18">
        <v>2</v>
      </c>
      <c r="F143" s="18" t="s">
        <v>131</v>
      </c>
      <c r="G143" s="18" t="s">
        <v>22</v>
      </c>
      <c r="H143" s="18" t="s">
        <v>23</v>
      </c>
      <c r="I143" s="19">
        <v>73.97</v>
      </c>
      <c r="J143" s="20">
        <f t="shared" si="4"/>
        <v>147.94</v>
      </c>
      <c r="K143" s="106"/>
      <c r="L143" s="114"/>
      <c r="M143" s="114">
        <f>tblAquisições[[#This Row],[VALOR UNITARIO COMPRADO]]*tblAquisições[[#This Row],[QUANTIDADE COMPRADA]]</f>
        <v>0</v>
      </c>
      <c r="N143" s="110">
        <f>K143-tblAquisições[[#This Row],[QUANTIDADE PLANEJADA]]</f>
        <v>-2</v>
      </c>
      <c r="O143" s="106" t="str">
        <f t="shared" si="5"/>
        <v>Faltando Comprar</v>
      </c>
    </row>
    <row r="144" spans="1:15" ht="31.5">
      <c r="A144" s="16" t="s">
        <v>17</v>
      </c>
      <c r="B144" s="16" t="s">
        <v>25</v>
      </c>
      <c r="C144" s="17" t="s">
        <v>19</v>
      </c>
      <c r="D144" s="18" t="s">
        <v>132</v>
      </c>
      <c r="E144" s="18">
        <v>10</v>
      </c>
      <c r="F144" s="18" t="s">
        <v>21</v>
      </c>
      <c r="G144" s="18" t="s">
        <v>22</v>
      </c>
      <c r="H144" s="18" t="s">
        <v>23</v>
      </c>
      <c r="I144" s="19">
        <v>14.99</v>
      </c>
      <c r="J144" s="20">
        <f t="shared" si="4"/>
        <v>149.9</v>
      </c>
      <c r="K144" s="106"/>
      <c r="L144" s="114"/>
      <c r="M144" s="114">
        <f>tblAquisições[[#This Row],[VALOR UNITARIO COMPRADO]]*tblAquisições[[#This Row],[QUANTIDADE COMPRADA]]</f>
        <v>0</v>
      </c>
      <c r="N144" s="110">
        <f>K144-tblAquisições[[#This Row],[QUANTIDADE PLANEJADA]]</f>
        <v>-10</v>
      </c>
      <c r="O144" s="106" t="str">
        <f t="shared" si="5"/>
        <v>Faltando Comprar</v>
      </c>
    </row>
    <row r="145" spans="1:15" ht="47.25">
      <c r="A145" s="16" t="s">
        <v>17</v>
      </c>
      <c r="B145" s="16" t="s">
        <v>26</v>
      </c>
      <c r="C145" s="17" t="s">
        <v>19</v>
      </c>
      <c r="D145" s="18" t="s">
        <v>133</v>
      </c>
      <c r="E145" s="18">
        <v>15</v>
      </c>
      <c r="F145" s="18" t="s">
        <v>58</v>
      </c>
      <c r="G145" s="18" t="s">
        <v>22</v>
      </c>
      <c r="H145" s="18" t="s">
        <v>23</v>
      </c>
      <c r="I145" s="19">
        <v>11.35</v>
      </c>
      <c r="J145" s="20">
        <f t="shared" si="4"/>
        <v>170.25</v>
      </c>
      <c r="K145" s="106"/>
      <c r="L145" s="114"/>
      <c r="M145" s="114">
        <f>tblAquisições[[#This Row],[VALOR UNITARIO COMPRADO]]*tblAquisições[[#This Row],[QUANTIDADE COMPRADA]]</f>
        <v>0</v>
      </c>
      <c r="N145" s="110">
        <f>K145-tblAquisições[[#This Row],[QUANTIDADE PLANEJADA]]</f>
        <v>-15</v>
      </c>
      <c r="O145" s="106" t="str">
        <f t="shared" si="5"/>
        <v>Faltando Comprar</v>
      </c>
    </row>
    <row r="146" spans="1:15" ht="31.5">
      <c r="A146" s="16" t="s">
        <v>17</v>
      </c>
      <c r="B146" s="16" t="s">
        <v>28</v>
      </c>
      <c r="C146" s="17" t="s">
        <v>19</v>
      </c>
      <c r="D146" s="18" t="s">
        <v>134</v>
      </c>
      <c r="E146" s="18">
        <v>5</v>
      </c>
      <c r="F146" s="18" t="s">
        <v>30</v>
      </c>
      <c r="G146" s="18" t="s">
        <v>22</v>
      </c>
      <c r="H146" s="18" t="s">
        <v>23</v>
      </c>
      <c r="I146" s="19">
        <v>13.49</v>
      </c>
      <c r="J146" s="20">
        <f t="shared" si="4"/>
        <v>67.45</v>
      </c>
      <c r="K146" s="106"/>
      <c r="L146" s="114"/>
      <c r="M146" s="114">
        <f>tblAquisições[[#This Row],[VALOR UNITARIO COMPRADO]]*tblAquisições[[#This Row],[QUANTIDADE COMPRADA]]</f>
        <v>0</v>
      </c>
      <c r="N146" s="110">
        <f>K146-tblAquisições[[#This Row],[QUANTIDADE PLANEJADA]]</f>
        <v>-5</v>
      </c>
      <c r="O146" s="106" t="str">
        <f t="shared" si="5"/>
        <v>Faltando Comprar</v>
      </c>
    </row>
    <row r="147" spans="1:15" ht="31.5">
      <c r="A147" s="16" t="s">
        <v>17</v>
      </c>
      <c r="B147" s="16" t="s">
        <v>28</v>
      </c>
      <c r="C147" s="17" t="s">
        <v>19</v>
      </c>
      <c r="D147" s="18" t="s">
        <v>135</v>
      </c>
      <c r="E147" s="18">
        <v>6</v>
      </c>
      <c r="F147" s="18" t="s">
        <v>21</v>
      </c>
      <c r="G147" s="18" t="s">
        <v>22</v>
      </c>
      <c r="H147" s="18" t="s">
        <v>23</v>
      </c>
      <c r="I147" s="19">
        <v>489</v>
      </c>
      <c r="J147" s="20">
        <f t="shared" si="4"/>
        <v>2934</v>
      </c>
      <c r="K147" s="106"/>
      <c r="L147" s="114"/>
      <c r="M147" s="114">
        <f>tblAquisições[[#This Row],[VALOR UNITARIO COMPRADO]]*tblAquisições[[#This Row],[QUANTIDADE COMPRADA]]</f>
        <v>0</v>
      </c>
      <c r="N147" s="110">
        <f>K147-tblAquisições[[#This Row],[QUANTIDADE PLANEJADA]]</f>
        <v>-6</v>
      </c>
      <c r="O147" s="106" t="str">
        <f t="shared" si="5"/>
        <v>Faltando Comprar</v>
      </c>
    </row>
    <row r="148" spans="1:15" ht="47.25">
      <c r="A148" s="16" t="s">
        <v>17</v>
      </c>
      <c r="B148" s="16" t="s">
        <v>80</v>
      </c>
      <c r="C148" s="17" t="s">
        <v>19</v>
      </c>
      <c r="D148" s="18" t="s">
        <v>136</v>
      </c>
      <c r="E148" s="18">
        <v>20</v>
      </c>
      <c r="F148" s="18" t="s">
        <v>96</v>
      </c>
      <c r="G148" s="18" t="s">
        <v>39</v>
      </c>
      <c r="H148" s="18" t="s">
        <v>23</v>
      </c>
      <c r="I148" s="19">
        <v>23.37</v>
      </c>
      <c r="J148" s="20">
        <f t="shared" si="4"/>
        <v>467.40000000000003</v>
      </c>
      <c r="K148" s="106"/>
      <c r="L148" s="114"/>
      <c r="M148" s="114">
        <f>tblAquisições[[#This Row],[VALOR UNITARIO COMPRADO]]*tblAquisições[[#This Row],[QUANTIDADE COMPRADA]]</f>
        <v>0</v>
      </c>
      <c r="N148" s="110">
        <f>K148-tblAquisições[[#This Row],[QUANTIDADE PLANEJADA]]</f>
        <v>-20</v>
      </c>
      <c r="O148" s="106" t="str">
        <f t="shared" si="5"/>
        <v>Faltando Comprar</v>
      </c>
    </row>
    <row r="149" spans="1:15" ht="47.25">
      <c r="A149" s="16" t="s">
        <v>17</v>
      </c>
      <c r="B149" s="16" t="s">
        <v>26</v>
      </c>
      <c r="C149" s="17" t="s">
        <v>19</v>
      </c>
      <c r="D149" s="18" t="s">
        <v>137</v>
      </c>
      <c r="E149" s="18">
        <v>4</v>
      </c>
      <c r="F149" s="18" t="s">
        <v>58</v>
      </c>
      <c r="G149" s="18" t="s">
        <v>22</v>
      </c>
      <c r="H149" s="18" t="s">
        <v>23</v>
      </c>
      <c r="I149" s="19">
        <v>23.37</v>
      </c>
      <c r="J149" s="20">
        <f t="shared" si="4"/>
        <v>93.48</v>
      </c>
      <c r="K149" s="106"/>
      <c r="L149" s="114"/>
      <c r="M149" s="114">
        <f>tblAquisições[[#This Row],[VALOR UNITARIO COMPRADO]]*tblAquisições[[#This Row],[QUANTIDADE COMPRADA]]</f>
        <v>0</v>
      </c>
      <c r="N149" s="110">
        <f>K149-tblAquisições[[#This Row],[QUANTIDADE PLANEJADA]]</f>
        <v>-4</v>
      </c>
      <c r="O149" s="106" t="str">
        <f t="shared" si="5"/>
        <v>Faltando Comprar</v>
      </c>
    </row>
    <row r="150" spans="1:15" ht="47.25">
      <c r="A150" s="16" t="s">
        <v>17</v>
      </c>
      <c r="B150" s="16" t="s">
        <v>31</v>
      </c>
      <c r="C150" s="17" t="s">
        <v>19</v>
      </c>
      <c r="D150" s="18" t="s">
        <v>138</v>
      </c>
      <c r="E150" s="18">
        <v>5</v>
      </c>
      <c r="F150" s="18" t="s">
        <v>58</v>
      </c>
      <c r="G150" s="18" t="s">
        <v>22</v>
      </c>
      <c r="H150" s="18" t="s">
        <v>23</v>
      </c>
      <c r="I150" s="19">
        <v>7.52</v>
      </c>
      <c r="J150" s="20">
        <f t="shared" si="4"/>
        <v>37.599999999999994</v>
      </c>
      <c r="K150" s="106"/>
      <c r="L150" s="114"/>
      <c r="M150" s="114">
        <f>tblAquisições[[#This Row],[VALOR UNITARIO COMPRADO]]*tblAquisições[[#This Row],[QUANTIDADE COMPRADA]]</f>
        <v>0</v>
      </c>
      <c r="N150" s="110">
        <f>K150-tblAquisições[[#This Row],[QUANTIDADE PLANEJADA]]</f>
        <v>-5</v>
      </c>
      <c r="O150" s="106" t="str">
        <f t="shared" si="5"/>
        <v>Faltando Comprar</v>
      </c>
    </row>
    <row r="151" spans="1:15" ht="47.25">
      <c r="A151" s="16" t="s">
        <v>17</v>
      </c>
      <c r="B151" s="16" t="s">
        <v>72</v>
      </c>
      <c r="C151" s="17" t="s">
        <v>19</v>
      </c>
      <c r="D151" s="18" t="s">
        <v>138</v>
      </c>
      <c r="E151" s="18">
        <v>2</v>
      </c>
      <c r="F151" s="18" t="s">
        <v>58</v>
      </c>
      <c r="G151" s="18" t="s">
        <v>22</v>
      </c>
      <c r="H151" s="18" t="s">
        <v>23</v>
      </c>
      <c r="I151" s="19">
        <v>7.52</v>
      </c>
      <c r="J151" s="20">
        <f t="shared" si="4"/>
        <v>15.04</v>
      </c>
      <c r="K151" s="106"/>
      <c r="L151" s="114"/>
      <c r="M151" s="114">
        <f>tblAquisições[[#This Row],[VALOR UNITARIO COMPRADO]]*tblAquisições[[#This Row],[QUANTIDADE COMPRADA]]</f>
        <v>0</v>
      </c>
      <c r="N151" s="110">
        <f>K151-tblAquisições[[#This Row],[QUANTIDADE PLANEJADA]]</f>
        <v>-2</v>
      </c>
      <c r="O151" s="106" t="str">
        <f t="shared" si="5"/>
        <v>Faltando Comprar</v>
      </c>
    </row>
    <row r="152" spans="1:15" ht="47.25">
      <c r="A152" s="16" t="s">
        <v>17</v>
      </c>
      <c r="B152" s="16" t="s">
        <v>80</v>
      </c>
      <c r="C152" s="17" t="s">
        <v>19</v>
      </c>
      <c r="D152" s="18" t="s">
        <v>139</v>
      </c>
      <c r="E152" s="18">
        <v>12</v>
      </c>
      <c r="F152" s="18" t="s">
        <v>96</v>
      </c>
      <c r="G152" s="18" t="s">
        <v>39</v>
      </c>
      <c r="H152" s="18" t="s">
        <v>23</v>
      </c>
      <c r="I152" s="19">
        <v>9.59</v>
      </c>
      <c r="J152" s="20">
        <f t="shared" si="4"/>
        <v>115.08</v>
      </c>
      <c r="K152" s="106"/>
      <c r="L152" s="114"/>
      <c r="M152" s="114">
        <f>tblAquisições[[#This Row],[VALOR UNITARIO COMPRADO]]*tblAquisições[[#This Row],[QUANTIDADE COMPRADA]]</f>
        <v>0</v>
      </c>
      <c r="N152" s="110">
        <f>K152-tblAquisições[[#This Row],[QUANTIDADE PLANEJADA]]</f>
        <v>-12</v>
      </c>
      <c r="O152" s="106" t="str">
        <f t="shared" si="5"/>
        <v>Faltando Comprar</v>
      </c>
    </row>
    <row r="153" spans="1:15" ht="47.25">
      <c r="A153" s="16" t="s">
        <v>17</v>
      </c>
      <c r="B153" s="16" t="s">
        <v>26</v>
      </c>
      <c r="C153" s="17" t="s">
        <v>19</v>
      </c>
      <c r="D153" s="18" t="s">
        <v>140</v>
      </c>
      <c r="E153" s="18">
        <v>10</v>
      </c>
      <c r="F153" s="18" t="s">
        <v>58</v>
      </c>
      <c r="G153" s="18" t="s">
        <v>22</v>
      </c>
      <c r="H153" s="18" t="s">
        <v>23</v>
      </c>
      <c r="I153" s="19">
        <v>38.270000000000003</v>
      </c>
      <c r="J153" s="20">
        <f t="shared" si="4"/>
        <v>382.70000000000005</v>
      </c>
      <c r="K153" s="106"/>
      <c r="L153" s="114"/>
      <c r="M153" s="114">
        <f>tblAquisições[[#This Row],[VALOR UNITARIO COMPRADO]]*tblAquisições[[#This Row],[QUANTIDADE COMPRADA]]</f>
        <v>0</v>
      </c>
      <c r="N153" s="110">
        <f>K153-tblAquisições[[#This Row],[QUANTIDADE PLANEJADA]]</f>
        <v>-10</v>
      </c>
      <c r="O153" s="106" t="str">
        <f t="shared" si="5"/>
        <v>Faltando Comprar</v>
      </c>
    </row>
    <row r="154" spans="1:15" ht="47.25">
      <c r="A154" s="16" t="s">
        <v>17</v>
      </c>
      <c r="B154" s="16" t="s">
        <v>26</v>
      </c>
      <c r="C154" s="17" t="s">
        <v>19</v>
      </c>
      <c r="D154" s="18" t="s">
        <v>141</v>
      </c>
      <c r="E154" s="18">
        <v>10</v>
      </c>
      <c r="F154" s="18" t="s">
        <v>58</v>
      </c>
      <c r="G154" s="18" t="s">
        <v>22</v>
      </c>
      <c r="H154" s="18" t="s">
        <v>23</v>
      </c>
      <c r="I154" s="19">
        <v>22.33</v>
      </c>
      <c r="J154" s="20">
        <f t="shared" si="4"/>
        <v>223.29999999999998</v>
      </c>
      <c r="K154" s="106"/>
      <c r="L154" s="114"/>
      <c r="M154" s="114">
        <f>tblAquisições[[#This Row],[VALOR UNITARIO COMPRADO]]*tblAquisições[[#This Row],[QUANTIDADE COMPRADA]]</f>
        <v>0</v>
      </c>
      <c r="N154" s="110">
        <f>K154-tblAquisições[[#This Row],[QUANTIDADE PLANEJADA]]</f>
        <v>-10</v>
      </c>
      <c r="O154" s="106" t="str">
        <f t="shared" si="5"/>
        <v>Faltando Comprar</v>
      </c>
    </row>
    <row r="155" spans="1:15" ht="47.25">
      <c r="A155" s="16" t="s">
        <v>17</v>
      </c>
      <c r="B155" s="16" t="s">
        <v>28</v>
      </c>
      <c r="C155" s="17" t="s">
        <v>19</v>
      </c>
      <c r="D155" s="18" t="s">
        <v>141</v>
      </c>
      <c r="E155" s="18">
        <v>10</v>
      </c>
      <c r="F155" s="18" t="s">
        <v>58</v>
      </c>
      <c r="G155" s="18" t="s">
        <v>22</v>
      </c>
      <c r="H155" s="18" t="s">
        <v>23</v>
      </c>
      <c r="I155" s="19">
        <v>22.33</v>
      </c>
      <c r="J155" s="20">
        <f t="shared" si="4"/>
        <v>223.29999999999998</v>
      </c>
      <c r="K155" s="106"/>
      <c r="L155" s="114"/>
      <c r="M155" s="114">
        <f>tblAquisições[[#This Row],[VALOR UNITARIO COMPRADO]]*tblAquisições[[#This Row],[QUANTIDADE COMPRADA]]</f>
        <v>0</v>
      </c>
      <c r="N155" s="110">
        <f>K155-tblAquisições[[#This Row],[QUANTIDADE PLANEJADA]]</f>
        <v>-10</v>
      </c>
      <c r="O155" s="106" t="str">
        <f t="shared" si="5"/>
        <v>Faltando Comprar</v>
      </c>
    </row>
    <row r="156" spans="1:15" ht="47.25">
      <c r="A156" s="16" t="s">
        <v>17</v>
      </c>
      <c r="B156" s="16" t="s">
        <v>26</v>
      </c>
      <c r="C156" s="17" t="s">
        <v>19</v>
      </c>
      <c r="D156" s="18" t="s">
        <v>142</v>
      </c>
      <c r="E156" s="18">
        <v>6</v>
      </c>
      <c r="F156" s="18" t="s">
        <v>58</v>
      </c>
      <c r="G156" s="18" t="s">
        <v>22</v>
      </c>
      <c r="H156" s="18" t="s">
        <v>23</v>
      </c>
      <c r="I156" s="19">
        <v>15.25</v>
      </c>
      <c r="J156" s="20">
        <f t="shared" si="4"/>
        <v>91.5</v>
      </c>
      <c r="K156" s="106"/>
      <c r="L156" s="114"/>
      <c r="M156" s="114">
        <f>tblAquisições[[#This Row],[VALOR UNITARIO COMPRADO]]*tblAquisições[[#This Row],[QUANTIDADE COMPRADA]]</f>
        <v>0</v>
      </c>
      <c r="N156" s="110">
        <f>K156-tblAquisições[[#This Row],[QUANTIDADE PLANEJADA]]</f>
        <v>-6</v>
      </c>
      <c r="O156" s="106" t="str">
        <f t="shared" si="5"/>
        <v>Faltando Comprar</v>
      </c>
    </row>
    <row r="157" spans="1:15" ht="47.25">
      <c r="A157" s="16" t="s">
        <v>17</v>
      </c>
      <c r="B157" s="16" t="s">
        <v>28</v>
      </c>
      <c r="C157" s="17" t="s">
        <v>19</v>
      </c>
      <c r="D157" s="18" t="s">
        <v>142</v>
      </c>
      <c r="E157" s="18">
        <v>20</v>
      </c>
      <c r="F157" s="18" t="s">
        <v>58</v>
      </c>
      <c r="G157" s="18" t="s">
        <v>22</v>
      </c>
      <c r="H157" s="18" t="s">
        <v>23</v>
      </c>
      <c r="I157" s="19">
        <v>15.25</v>
      </c>
      <c r="J157" s="20">
        <f t="shared" si="4"/>
        <v>305</v>
      </c>
      <c r="K157" s="106"/>
      <c r="L157" s="114"/>
      <c r="M157" s="114">
        <f>tblAquisições[[#This Row],[VALOR UNITARIO COMPRADO]]*tblAquisições[[#This Row],[QUANTIDADE COMPRADA]]</f>
        <v>0</v>
      </c>
      <c r="N157" s="110">
        <f>K157-tblAquisições[[#This Row],[QUANTIDADE PLANEJADA]]</f>
        <v>-20</v>
      </c>
      <c r="O157" s="106" t="str">
        <f t="shared" si="5"/>
        <v>Faltando Comprar</v>
      </c>
    </row>
    <row r="158" spans="1:15" ht="47.25">
      <c r="A158" s="16" t="s">
        <v>17</v>
      </c>
      <c r="B158" s="16" t="s">
        <v>72</v>
      </c>
      <c r="C158" s="17" t="s">
        <v>19</v>
      </c>
      <c r="D158" s="18" t="s">
        <v>142</v>
      </c>
      <c r="E158" s="18">
        <v>5</v>
      </c>
      <c r="F158" s="18" t="s">
        <v>58</v>
      </c>
      <c r="G158" s="18" t="s">
        <v>22</v>
      </c>
      <c r="H158" s="18" t="s">
        <v>23</v>
      </c>
      <c r="I158" s="19">
        <v>15.25</v>
      </c>
      <c r="J158" s="20">
        <f t="shared" si="4"/>
        <v>76.25</v>
      </c>
      <c r="K158" s="106"/>
      <c r="L158" s="114"/>
      <c r="M158" s="114">
        <f>tblAquisições[[#This Row],[VALOR UNITARIO COMPRADO]]*tblAquisições[[#This Row],[QUANTIDADE COMPRADA]]</f>
        <v>0</v>
      </c>
      <c r="N158" s="110">
        <f>K158-tblAquisições[[#This Row],[QUANTIDADE PLANEJADA]]</f>
        <v>-5</v>
      </c>
      <c r="O158" s="106" t="str">
        <f t="shared" si="5"/>
        <v>Faltando Comprar</v>
      </c>
    </row>
    <row r="159" spans="1:15" ht="47.25">
      <c r="A159" s="16" t="s">
        <v>17</v>
      </c>
      <c r="B159" s="16" t="s">
        <v>59</v>
      </c>
      <c r="C159" s="17" t="s">
        <v>19</v>
      </c>
      <c r="D159" s="18" t="s">
        <v>142</v>
      </c>
      <c r="E159" s="18">
        <v>24</v>
      </c>
      <c r="F159" s="18" t="s">
        <v>58</v>
      </c>
      <c r="G159" s="18" t="s">
        <v>22</v>
      </c>
      <c r="H159" s="18" t="s">
        <v>23</v>
      </c>
      <c r="I159" s="19">
        <v>15.25</v>
      </c>
      <c r="J159" s="20">
        <f t="shared" si="4"/>
        <v>366</v>
      </c>
      <c r="K159" s="106"/>
      <c r="L159" s="114"/>
      <c r="M159" s="114">
        <f>tblAquisições[[#This Row],[VALOR UNITARIO COMPRADO]]*tblAquisições[[#This Row],[QUANTIDADE COMPRADA]]</f>
        <v>0</v>
      </c>
      <c r="N159" s="110">
        <f>K159-tblAquisições[[#This Row],[QUANTIDADE PLANEJADA]]</f>
        <v>-24</v>
      </c>
      <c r="O159" s="106" t="str">
        <f t="shared" si="5"/>
        <v>Faltando Comprar</v>
      </c>
    </row>
    <row r="160" spans="1:15" ht="47.25">
      <c r="A160" s="16" t="s">
        <v>17</v>
      </c>
      <c r="B160" s="16" t="s">
        <v>59</v>
      </c>
      <c r="C160" s="17" t="s">
        <v>19</v>
      </c>
      <c r="D160" s="18" t="s">
        <v>143</v>
      </c>
      <c r="E160" s="18">
        <v>4</v>
      </c>
      <c r="F160" s="18" t="s">
        <v>58</v>
      </c>
      <c r="G160" s="18" t="s">
        <v>22</v>
      </c>
      <c r="H160" s="18" t="s">
        <v>144</v>
      </c>
      <c r="I160" s="19">
        <v>6.15</v>
      </c>
      <c r="J160" s="20">
        <f t="shared" si="4"/>
        <v>24.6</v>
      </c>
      <c r="K160" s="106"/>
      <c r="L160" s="114"/>
      <c r="M160" s="114">
        <f>tblAquisições[[#This Row],[VALOR UNITARIO COMPRADO]]*tblAquisições[[#This Row],[QUANTIDADE COMPRADA]]</f>
        <v>0</v>
      </c>
      <c r="N160" s="110">
        <f>K160-tblAquisições[[#This Row],[QUANTIDADE PLANEJADA]]</f>
        <v>-4</v>
      </c>
      <c r="O160" s="106" t="str">
        <f t="shared" si="5"/>
        <v>Faltando Comprar</v>
      </c>
    </row>
    <row r="161" spans="1:15" ht="47.25">
      <c r="A161" s="16" t="s">
        <v>17</v>
      </c>
      <c r="B161" s="16" t="s">
        <v>59</v>
      </c>
      <c r="C161" s="17" t="s">
        <v>19</v>
      </c>
      <c r="D161" s="18" t="s">
        <v>145</v>
      </c>
      <c r="E161" s="18">
        <v>5</v>
      </c>
      <c r="F161" s="18" t="s">
        <v>58</v>
      </c>
      <c r="G161" s="18" t="s">
        <v>22</v>
      </c>
      <c r="H161" s="18" t="s">
        <v>23</v>
      </c>
      <c r="I161" s="19">
        <v>260.07</v>
      </c>
      <c r="J161" s="20">
        <f t="shared" si="4"/>
        <v>1300.3499999999999</v>
      </c>
      <c r="K161" s="106"/>
      <c r="L161" s="114"/>
      <c r="M161" s="114">
        <f>tblAquisições[[#This Row],[VALOR UNITARIO COMPRADO]]*tblAquisições[[#This Row],[QUANTIDADE COMPRADA]]</f>
        <v>0</v>
      </c>
      <c r="N161" s="110">
        <f>K161-tblAquisições[[#This Row],[QUANTIDADE PLANEJADA]]</f>
        <v>-5</v>
      </c>
      <c r="O161" s="106" t="str">
        <f t="shared" si="5"/>
        <v>Faltando Comprar</v>
      </c>
    </row>
    <row r="162" spans="1:15" ht="47.25">
      <c r="A162" s="16" t="s">
        <v>17</v>
      </c>
      <c r="B162" s="16" t="s">
        <v>80</v>
      </c>
      <c r="C162" s="17" t="s">
        <v>19</v>
      </c>
      <c r="D162" s="18" t="s">
        <v>146</v>
      </c>
      <c r="E162" s="18">
        <v>20</v>
      </c>
      <c r="F162" s="18" t="s">
        <v>147</v>
      </c>
      <c r="G162" s="18" t="s">
        <v>39</v>
      </c>
      <c r="H162" s="21"/>
      <c r="I162" s="19">
        <v>23.82</v>
      </c>
      <c r="J162" s="20">
        <f t="shared" si="4"/>
        <v>476.4</v>
      </c>
      <c r="K162" s="106"/>
      <c r="L162" s="114"/>
      <c r="M162" s="114">
        <f>tblAquisições[[#This Row],[VALOR UNITARIO COMPRADO]]*tblAquisições[[#This Row],[QUANTIDADE COMPRADA]]</f>
        <v>0</v>
      </c>
      <c r="N162" s="110">
        <f>K162-tblAquisições[[#This Row],[QUANTIDADE PLANEJADA]]</f>
        <v>-20</v>
      </c>
      <c r="O162" s="106" t="str">
        <f t="shared" si="5"/>
        <v>Faltando Comprar</v>
      </c>
    </row>
    <row r="163" spans="1:15" ht="47.25">
      <c r="A163" s="16" t="s">
        <v>17</v>
      </c>
      <c r="B163" s="16" t="s">
        <v>26</v>
      </c>
      <c r="C163" s="17" t="s">
        <v>19</v>
      </c>
      <c r="D163" s="18" t="s">
        <v>148</v>
      </c>
      <c r="E163" s="18">
        <v>10</v>
      </c>
      <c r="F163" s="18" t="s">
        <v>58</v>
      </c>
      <c r="G163" s="18" t="s">
        <v>22</v>
      </c>
      <c r="H163" s="18" t="s">
        <v>23</v>
      </c>
      <c r="I163" s="19">
        <v>48.57</v>
      </c>
      <c r="J163" s="20">
        <f t="shared" si="4"/>
        <v>485.7</v>
      </c>
      <c r="K163" s="106"/>
      <c r="L163" s="114"/>
      <c r="M163" s="114">
        <f>tblAquisições[[#This Row],[VALOR UNITARIO COMPRADO]]*tblAquisições[[#This Row],[QUANTIDADE COMPRADA]]</f>
        <v>0</v>
      </c>
      <c r="N163" s="110">
        <f>K163-tblAquisições[[#This Row],[QUANTIDADE PLANEJADA]]</f>
        <v>-10</v>
      </c>
      <c r="O163" s="106" t="str">
        <f t="shared" si="5"/>
        <v>Faltando Comprar</v>
      </c>
    </row>
    <row r="164" spans="1:15" ht="47.25">
      <c r="A164" s="16" t="s">
        <v>17</v>
      </c>
      <c r="B164" s="16" t="s">
        <v>26</v>
      </c>
      <c r="C164" s="17" t="s">
        <v>19</v>
      </c>
      <c r="D164" s="18" t="s">
        <v>149</v>
      </c>
      <c r="E164" s="18">
        <v>10</v>
      </c>
      <c r="F164" s="18" t="s">
        <v>58</v>
      </c>
      <c r="G164" s="18" t="s">
        <v>22</v>
      </c>
      <c r="H164" s="18" t="s">
        <v>23</v>
      </c>
      <c r="I164" s="19">
        <v>3.71</v>
      </c>
      <c r="J164" s="20">
        <f t="shared" si="4"/>
        <v>37.1</v>
      </c>
      <c r="K164" s="106"/>
      <c r="L164" s="114"/>
      <c r="M164" s="114">
        <f>tblAquisições[[#This Row],[VALOR UNITARIO COMPRADO]]*tblAquisições[[#This Row],[QUANTIDADE COMPRADA]]</f>
        <v>0</v>
      </c>
      <c r="N164" s="110">
        <f>K164-tblAquisições[[#This Row],[QUANTIDADE PLANEJADA]]</f>
        <v>-10</v>
      </c>
      <c r="O164" s="106" t="str">
        <f t="shared" si="5"/>
        <v>Faltando Comprar</v>
      </c>
    </row>
    <row r="165" spans="1:15" ht="31.5">
      <c r="A165" s="16" t="s">
        <v>17</v>
      </c>
      <c r="B165" s="16" t="s">
        <v>80</v>
      </c>
      <c r="C165" s="17" t="s">
        <v>19</v>
      </c>
      <c r="D165" s="18" t="s">
        <v>150</v>
      </c>
      <c r="E165" s="23">
        <v>12600</v>
      </c>
      <c r="F165" s="18" t="s">
        <v>150</v>
      </c>
      <c r="G165" s="18" t="s">
        <v>39</v>
      </c>
      <c r="H165" s="18" t="s">
        <v>100</v>
      </c>
      <c r="I165" s="19">
        <v>22.08</v>
      </c>
      <c r="J165" s="20">
        <f t="shared" si="4"/>
        <v>278208</v>
      </c>
      <c r="K165" s="106"/>
      <c r="L165" s="114"/>
      <c r="M165" s="114">
        <f>tblAquisições[[#This Row],[VALOR UNITARIO COMPRADO]]*tblAquisições[[#This Row],[QUANTIDADE COMPRADA]]</f>
        <v>0</v>
      </c>
      <c r="N165" s="110">
        <f>K165-tblAquisições[[#This Row],[QUANTIDADE PLANEJADA]]</f>
        <v>-12600</v>
      </c>
      <c r="O165" s="106" t="str">
        <f t="shared" si="5"/>
        <v>Faltando Comprar</v>
      </c>
    </row>
    <row r="166" spans="1:15" ht="31.5">
      <c r="A166" s="16" t="s">
        <v>17</v>
      </c>
      <c r="B166" s="16" t="s">
        <v>31</v>
      </c>
      <c r="C166" s="17" t="s">
        <v>19</v>
      </c>
      <c r="D166" s="18" t="s">
        <v>151</v>
      </c>
      <c r="E166" s="18">
        <v>300</v>
      </c>
      <c r="F166" s="18" t="s">
        <v>151</v>
      </c>
      <c r="G166" s="18" t="s">
        <v>22</v>
      </c>
      <c r="H166" s="18" t="s">
        <v>23</v>
      </c>
      <c r="I166" s="19">
        <v>22.08</v>
      </c>
      <c r="J166" s="20">
        <f t="shared" si="4"/>
        <v>6623.9999999999991</v>
      </c>
      <c r="K166" s="106"/>
      <c r="L166" s="114"/>
      <c r="M166" s="114">
        <f>tblAquisições[[#This Row],[VALOR UNITARIO COMPRADO]]*tblAquisições[[#This Row],[QUANTIDADE COMPRADA]]</f>
        <v>0</v>
      </c>
      <c r="N166" s="110">
        <f>K166-tblAquisições[[#This Row],[QUANTIDADE PLANEJADA]]</f>
        <v>-300</v>
      </c>
      <c r="O166" s="106" t="str">
        <f t="shared" si="5"/>
        <v>Faltando Comprar</v>
      </c>
    </row>
    <row r="167" spans="1:15" ht="31.5">
      <c r="A167" s="16" t="s">
        <v>17</v>
      </c>
      <c r="B167" s="16" t="s">
        <v>18</v>
      </c>
      <c r="C167" s="17" t="s">
        <v>19</v>
      </c>
      <c r="D167" s="18" t="s">
        <v>151</v>
      </c>
      <c r="E167" s="23">
        <v>23640</v>
      </c>
      <c r="F167" s="18" t="s">
        <v>151</v>
      </c>
      <c r="G167" s="18" t="s">
        <v>22</v>
      </c>
      <c r="H167" s="18" t="s">
        <v>100</v>
      </c>
      <c r="I167" s="19">
        <v>22.08</v>
      </c>
      <c r="J167" s="20">
        <f t="shared" si="4"/>
        <v>521971.19999999995</v>
      </c>
      <c r="K167" s="106"/>
      <c r="L167" s="114"/>
      <c r="M167" s="114">
        <f>tblAquisições[[#This Row],[VALOR UNITARIO COMPRADO]]*tblAquisições[[#This Row],[QUANTIDADE COMPRADA]]</f>
        <v>0</v>
      </c>
      <c r="N167" s="110">
        <f>K167-tblAquisições[[#This Row],[QUANTIDADE PLANEJADA]]</f>
        <v>-23640</v>
      </c>
      <c r="O167" s="106" t="str">
        <f t="shared" si="5"/>
        <v>Faltando Comprar</v>
      </c>
    </row>
    <row r="168" spans="1:15" ht="31.5">
      <c r="A168" s="16" t="s">
        <v>17</v>
      </c>
      <c r="B168" s="16" t="s">
        <v>24</v>
      </c>
      <c r="C168" s="17" t="s">
        <v>19</v>
      </c>
      <c r="D168" s="18" t="s">
        <v>151</v>
      </c>
      <c r="E168" s="23">
        <v>23640</v>
      </c>
      <c r="F168" s="18" t="s">
        <v>151</v>
      </c>
      <c r="G168" s="18" t="s">
        <v>22</v>
      </c>
      <c r="H168" s="18" t="s">
        <v>100</v>
      </c>
      <c r="I168" s="19">
        <v>22.08</v>
      </c>
      <c r="J168" s="20">
        <f t="shared" si="4"/>
        <v>521971.19999999995</v>
      </c>
      <c r="K168" s="106"/>
      <c r="L168" s="114"/>
      <c r="M168" s="114">
        <f>tblAquisições[[#This Row],[VALOR UNITARIO COMPRADO]]*tblAquisições[[#This Row],[QUANTIDADE COMPRADA]]</f>
        <v>0</v>
      </c>
      <c r="N168" s="110">
        <f>K168-tblAquisições[[#This Row],[QUANTIDADE PLANEJADA]]</f>
        <v>-23640</v>
      </c>
      <c r="O168" s="106" t="str">
        <f t="shared" si="5"/>
        <v>Faltando Comprar</v>
      </c>
    </row>
    <row r="169" spans="1:15" ht="31.5">
      <c r="A169" s="16" t="s">
        <v>17</v>
      </c>
      <c r="B169" s="16" t="s">
        <v>25</v>
      </c>
      <c r="C169" s="17" t="s">
        <v>19</v>
      </c>
      <c r="D169" s="18" t="s">
        <v>151</v>
      </c>
      <c r="E169" s="23">
        <v>27000</v>
      </c>
      <c r="F169" s="18" t="s">
        <v>151</v>
      </c>
      <c r="G169" s="18" t="s">
        <v>22</v>
      </c>
      <c r="H169" s="18" t="s">
        <v>100</v>
      </c>
      <c r="I169" s="19">
        <v>22.08</v>
      </c>
      <c r="J169" s="20">
        <f t="shared" si="4"/>
        <v>596160</v>
      </c>
      <c r="K169" s="106"/>
      <c r="L169" s="114"/>
      <c r="M169" s="114">
        <f>tblAquisições[[#This Row],[VALOR UNITARIO COMPRADO]]*tblAquisições[[#This Row],[QUANTIDADE COMPRADA]]</f>
        <v>0</v>
      </c>
      <c r="N169" s="110">
        <f>K169-tblAquisições[[#This Row],[QUANTIDADE PLANEJADA]]</f>
        <v>-27000</v>
      </c>
      <c r="O169" s="106" t="str">
        <f t="shared" si="5"/>
        <v>Faltando Comprar</v>
      </c>
    </row>
    <row r="170" spans="1:15" ht="31.5">
      <c r="A170" s="16" t="s">
        <v>17</v>
      </c>
      <c r="B170" s="16" t="s">
        <v>41</v>
      </c>
      <c r="C170" s="17" t="s">
        <v>19</v>
      </c>
      <c r="D170" s="18" t="s">
        <v>151</v>
      </c>
      <c r="E170" s="18">
        <v>21688</v>
      </c>
      <c r="F170" s="18" t="s">
        <v>151</v>
      </c>
      <c r="G170" s="18" t="s">
        <v>22</v>
      </c>
      <c r="H170" s="18" t="s">
        <v>100</v>
      </c>
      <c r="I170" s="19">
        <v>22.08</v>
      </c>
      <c r="J170" s="20">
        <f t="shared" si="4"/>
        <v>478871.03999999998</v>
      </c>
      <c r="K170" s="106"/>
      <c r="L170" s="114"/>
      <c r="M170" s="114">
        <f>tblAquisições[[#This Row],[VALOR UNITARIO COMPRADO]]*tblAquisições[[#This Row],[QUANTIDADE COMPRADA]]</f>
        <v>0</v>
      </c>
      <c r="N170" s="110">
        <f>K170-tblAquisições[[#This Row],[QUANTIDADE PLANEJADA]]</f>
        <v>-21688</v>
      </c>
      <c r="O170" s="106" t="str">
        <f t="shared" si="5"/>
        <v>Faltando Comprar</v>
      </c>
    </row>
    <row r="171" spans="1:15" ht="31.5">
      <c r="A171" s="16" t="s">
        <v>17</v>
      </c>
      <c r="B171" s="16" t="s">
        <v>26</v>
      </c>
      <c r="C171" s="17" t="s">
        <v>19</v>
      </c>
      <c r="D171" s="18" t="s">
        <v>151</v>
      </c>
      <c r="E171" s="18">
        <v>5000</v>
      </c>
      <c r="F171" s="18" t="s">
        <v>151</v>
      </c>
      <c r="G171" s="18" t="s">
        <v>22</v>
      </c>
      <c r="H171" s="18" t="s">
        <v>100</v>
      </c>
      <c r="I171" s="19">
        <v>22.08</v>
      </c>
      <c r="J171" s="20">
        <f t="shared" si="4"/>
        <v>110399.99999999999</v>
      </c>
      <c r="K171" s="106"/>
      <c r="L171" s="114"/>
      <c r="M171" s="114">
        <f>tblAquisições[[#This Row],[VALOR UNITARIO COMPRADO]]*tblAquisições[[#This Row],[QUANTIDADE COMPRADA]]</f>
        <v>0</v>
      </c>
      <c r="N171" s="110">
        <f>K171-tblAquisições[[#This Row],[QUANTIDADE PLANEJADA]]</f>
        <v>-5000</v>
      </c>
      <c r="O171" s="106" t="str">
        <f t="shared" si="5"/>
        <v>Faltando Comprar</v>
      </c>
    </row>
    <row r="172" spans="1:15" ht="31.5">
      <c r="A172" s="16" t="s">
        <v>17</v>
      </c>
      <c r="B172" s="16" t="s">
        <v>28</v>
      </c>
      <c r="C172" s="17" t="s">
        <v>19</v>
      </c>
      <c r="D172" s="18" t="s">
        <v>151</v>
      </c>
      <c r="E172" s="23">
        <v>8100</v>
      </c>
      <c r="F172" s="18" t="s">
        <v>151</v>
      </c>
      <c r="G172" s="18" t="s">
        <v>22</v>
      </c>
      <c r="H172" s="18" t="s">
        <v>100</v>
      </c>
      <c r="I172" s="19">
        <v>22.08</v>
      </c>
      <c r="J172" s="20">
        <f t="shared" si="4"/>
        <v>178848</v>
      </c>
      <c r="K172" s="106"/>
      <c r="L172" s="114"/>
      <c r="M172" s="114">
        <f>tblAquisições[[#This Row],[VALOR UNITARIO COMPRADO]]*tblAquisições[[#This Row],[QUANTIDADE COMPRADA]]</f>
        <v>0</v>
      </c>
      <c r="N172" s="110">
        <f>K172-tblAquisições[[#This Row],[QUANTIDADE PLANEJADA]]</f>
        <v>-8100</v>
      </c>
      <c r="O172" s="106" t="str">
        <f t="shared" si="5"/>
        <v>Faltando Comprar</v>
      </c>
    </row>
    <row r="173" spans="1:15" ht="31.5">
      <c r="A173" s="16" t="s">
        <v>17</v>
      </c>
      <c r="B173" s="16" t="s">
        <v>80</v>
      </c>
      <c r="C173" s="17" t="s">
        <v>19</v>
      </c>
      <c r="D173" s="18" t="s">
        <v>152</v>
      </c>
      <c r="E173" s="23">
        <v>1000</v>
      </c>
      <c r="F173" s="18" t="s">
        <v>113</v>
      </c>
      <c r="G173" s="18" t="s">
        <v>39</v>
      </c>
      <c r="H173" s="18" t="s">
        <v>100</v>
      </c>
      <c r="I173" s="19">
        <v>24.66</v>
      </c>
      <c r="J173" s="20">
        <f t="shared" si="4"/>
        <v>24660</v>
      </c>
      <c r="K173" s="106"/>
      <c r="L173" s="114"/>
      <c r="M173" s="114">
        <f>tblAquisições[[#This Row],[VALOR UNITARIO COMPRADO]]*tblAquisições[[#This Row],[QUANTIDADE COMPRADA]]</f>
        <v>0</v>
      </c>
      <c r="N173" s="110">
        <f>K173-tblAquisições[[#This Row],[QUANTIDADE PLANEJADA]]</f>
        <v>-1000</v>
      </c>
      <c r="O173" s="106" t="str">
        <f t="shared" si="5"/>
        <v>Faltando Comprar</v>
      </c>
    </row>
    <row r="174" spans="1:15" ht="31.5">
      <c r="A174" s="16" t="s">
        <v>17</v>
      </c>
      <c r="B174" s="16" t="s">
        <v>31</v>
      </c>
      <c r="C174" s="17" t="s">
        <v>19</v>
      </c>
      <c r="D174" s="18" t="s">
        <v>153</v>
      </c>
      <c r="E174" s="18">
        <v>2100</v>
      </c>
      <c r="F174" s="18" t="s">
        <v>115</v>
      </c>
      <c r="G174" s="18" t="s">
        <v>22</v>
      </c>
      <c r="H174" s="18" t="s">
        <v>100</v>
      </c>
      <c r="I174" s="19">
        <v>24.66</v>
      </c>
      <c r="J174" s="20">
        <f t="shared" si="4"/>
        <v>51786</v>
      </c>
      <c r="K174" s="106"/>
      <c r="L174" s="114"/>
      <c r="M174" s="114">
        <f>tblAquisições[[#This Row],[VALOR UNITARIO COMPRADO]]*tblAquisições[[#This Row],[QUANTIDADE COMPRADA]]</f>
        <v>0</v>
      </c>
      <c r="N174" s="110">
        <f>K174-tblAquisições[[#This Row],[QUANTIDADE PLANEJADA]]</f>
        <v>-2100</v>
      </c>
      <c r="O174" s="106" t="str">
        <f t="shared" si="5"/>
        <v>Faltando Comprar</v>
      </c>
    </row>
    <row r="175" spans="1:15" ht="31.5">
      <c r="A175" s="16" t="s">
        <v>17</v>
      </c>
      <c r="B175" s="16" t="s">
        <v>18</v>
      </c>
      <c r="C175" s="17" t="s">
        <v>19</v>
      </c>
      <c r="D175" s="18" t="s">
        <v>153</v>
      </c>
      <c r="E175" s="18">
        <v>2580</v>
      </c>
      <c r="F175" s="18" t="s">
        <v>115</v>
      </c>
      <c r="G175" s="18" t="s">
        <v>22</v>
      </c>
      <c r="H175" s="18" t="s">
        <v>100</v>
      </c>
      <c r="I175" s="19">
        <v>24.66</v>
      </c>
      <c r="J175" s="20">
        <f t="shared" si="4"/>
        <v>63622.8</v>
      </c>
      <c r="K175" s="106"/>
      <c r="L175" s="114"/>
      <c r="M175" s="114">
        <f>tblAquisições[[#This Row],[VALOR UNITARIO COMPRADO]]*tblAquisições[[#This Row],[QUANTIDADE COMPRADA]]</f>
        <v>0</v>
      </c>
      <c r="N175" s="110">
        <f>K175-tblAquisições[[#This Row],[QUANTIDADE PLANEJADA]]</f>
        <v>-2580</v>
      </c>
      <c r="O175" s="106" t="str">
        <f t="shared" si="5"/>
        <v>Faltando Comprar</v>
      </c>
    </row>
    <row r="176" spans="1:15" ht="31.5">
      <c r="A176" s="16" t="s">
        <v>17</v>
      </c>
      <c r="B176" s="16" t="s">
        <v>24</v>
      </c>
      <c r="C176" s="17" t="s">
        <v>19</v>
      </c>
      <c r="D176" s="18" t="s">
        <v>153</v>
      </c>
      <c r="E176" s="18">
        <v>2580</v>
      </c>
      <c r="F176" s="18" t="s">
        <v>115</v>
      </c>
      <c r="G176" s="18" t="s">
        <v>22</v>
      </c>
      <c r="H176" s="18" t="s">
        <v>100</v>
      </c>
      <c r="I176" s="19">
        <v>24.66</v>
      </c>
      <c r="J176" s="20">
        <f t="shared" si="4"/>
        <v>63622.8</v>
      </c>
      <c r="K176" s="106"/>
      <c r="L176" s="114"/>
      <c r="M176" s="114">
        <f>tblAquisições[[#This Row],[VALOR UNITARIO COMPRADO]]*tblAquisições[[#This Row],[QUANTIDADE COMPRADA]]</f>
        <v>0</v>
      </c>
      <c r="N176" s="110">
        <f>K176-tblAquisições[[#This Row],[QUANTIDADE PLANEJADA]]</f>
        <v>-2580</v>
      </c>
      <c r="O176" s="106" t="str">
        <f t="shared" si="5"/>
        <v>Faltando Comprar</v>
      </c>
    </row>
    <row r="177" spans="1:15" ht="31.5">
      <c r="A177" s="16" t="s">
        <v>17</v>
      </c>
      <c r="B177" s="16" t="s">
        <v>25</v>
      </c>
      <c r="C177" s="17" t="s">
        <v>19</v>
      </c>
      <c r="D177" s="18" t="s">
        <v>153</v>
      </c>
      <c r="E177" s="18">
        <v>2500</v>
      </c>
      <c r="F177" s="18" t="s">
        <v>115</v>
      </c>
      <c r="G177" s="18" t="s">
        <v>22</v>
      </c>
      <c r="H177" s="18" t="s">
        <v>100</v>
      </c>
      <c r="I177" s="19">
        <v>24.66</v>
      </c>
      <c r="J177" s="20">
        <f t="shared" si="4"/>
        <v>61650</v>
      </c>
      <c r="K177" s="106"/>
      <c r="L177" s="114"/>
      <c r="M177" s="114">
        <f>tblAquisições[[#This Row],[VALOR UNITARIO COMPRADO]]*tblAquisições[[#This Row],[QUANTIDADE COMPRADA]]</f>
        <v>0</v>
      </c>
      <c r="N177" s="110">
        <f>K177-tblAquisições[[#This Row],[QUANTIDADE PLANEJADA]]</f>
        <v>-2500</v>
      </c>
      <c r="O177" s="106" t="str">
        <f t="shared" si="5"/>
        <v>Faltando Comprar</v>
      </c>
    </row>
    <row r="178" spans="1:15" ht="31.5">
      <c r="A178" s="16" t="s">
        <v>17</v>
      </c>
      <c r="B178" s="16" t="s">
        <v>41</v>
      </c>
      <c r="C178" s="17" t="s">
        <v>19</v>
      </c>
      <c r="D178" s="18" t="s">
        <v>153</v>
      </c>
      <c r="E178" s="18">
        <v>3800</v>
      </c>
      <c r="F178" s="18" t="s">
        <v>115</v>
      </c>
      <c r="G178" s="18" t="s">
        <v>22</v>
      </c>
      <c r="H178" s="18" t="s">
        <v>100</v>
      </c>
      <c r="I178" s="19">
        <v>24.66</v>
      </c>
      <c r="J178" s="20">
        <f t="shared" si="4"/>
        <v>93708</v>
      </c>
      <c r="K178" s="106"/>
      <c r="L178" s="114"/>
      <c r="M178" s="114">
        <f>tblAquisições[[#This Row],[VALOR UNITARIO COMPRADO]]*tblAquisições[[#This Row],[QUANTIDADE COMPRADA]]</f>
        <v>0</v>
      </c>
      <c r="N178" s="110">
        <f>K178-tblAquisições[[#This Row],[QUANTIDADE PLANEJADA]]</f>
        <v>-3800</v>
      </c>
      <c r="O178" s="106" t="str">
        <f t="shared" si="5"/>
        <v>Faltando Comprar</v>
      </c>
    </row>
    <row r="179" spans="1:15" ht="31.5">
      <c r="A179" s="16" t="s">
        <v>17</v>
      </c>
      <c r="B179" s="16" t="s">
        <v>26</v>
      </c>
      <c r="C179" s="17" t="s">
        <v>19</v>
      </c>
      <c r="D179" s="18" t="s">
        <v>153</v>
      </c>
      <c r="E179" s="23">
        <v>6200</v>
      </c>
      <c r="F179" s="18" t="s">
        <v>115</v>
      </c>
      <c r="G179" s="18" t="s">
        <v>22</v>
      </c>
      <c r="H179" s="18" t="s">
        <v>100</v>
      </c>
      <c r="I179" s="19">
        <v>24.66</v>
      </c>
      <c r="J179" s="20">
        <f t="shared" si="4"/>
        <v>152892</v>
      </c>
      <c r="K179" s="106"/>
      <c r="L179" s="114"/>
      <c r="M179" s="114">
        <f>tblAquisições[[#This Row],[VALOR UNITARIO COMPRADO]]*tblAquisições[[#This Row],[QUANTIDADE COMPRADA]]</f>
        <v>0</v>
      </c>
      <c r="N179" s="110">
        <f>K179-tblAquisições[[#This Row],[QUANTIDADE PLANEJADA]]</f>
        <v>-6200</v>
      </c>
      <c r="O179" s="106" t="str">
        <f t="shared" si="5"/>
        <v>Faltando Comprar</v>
      </c>
    </row>
    <row r="180" spans="1:15" ht="31.5">
      <c r="A180" s="16" t="s">
        <v>17</v>
      </c>
      <c r="B180" s="16" t="s">
        <v>28</v>
      </c>
      <c r="C180" s="17" t="s">
        <v>19</v>
      </c>
      <c r="D180" s="18" t="s">
        <v>153</v>
      </c>
      <c r="E180" s="23">
        <v>16080</v>
      </c>
      <c r="F180" s="18" t="s">
        <v>115</v>
      </c>
      <c r="G180" s="18" t="s">
        <v>22</v>
      </c>
      <c r="H180" s="18" t="s">
        <v>100</v>
      </c>
      <c r="I180" s="19">
        <v>24.66</v>
      </c>
      <c r="J180" s="20">
        <f t="shared" si="4"/>
        <v>396532.8</v>
      </c>
      <c r="K180" s="106"/>
      <c r="L180" s="114"/>
      <c r="M180" s="114">
        <f>tblAquisições[[#This Row],[VALOR UNITARIO COMPRADO]]*tblAquisições[[#This Row],[QUANTIDADE COMPRADA]]</f>
        <v>0</v>
      </c>
      <c r="N180" s="110">
        <f>K180-tblAquisições[[#This Row],[QUANTIDADE PLANEJADA]]</f>
        <v>-16080</v>
      </c>
      <c r="O180" s="106" t="str">
        <f t="shared" si="5"/>
        <v>Faltando Comprar</v>
      </c>
    </row>
    <row r="181" spans="1:15" ht="47.25">
      <c r="A181" s="16" t="s">
        <v>17</v>
      </c>
      <c r="B181" s="16" t="s">
        <v>31</v>
      </c>
      <c r="C181" s="17" t="s">
        <v>19</v>
      </c>
      <c r="D181" s="18" t="s">
        <v>154</v>
      </c>
      <c r="E181" s="18">
        <v>1</v>
      </c>
      <c r="F181" s="18" t="s">
        <v>21</v>
      </c>
      <c r="G181" s="18" t="s">
        <v>22</v>
      </c>
      <c r="H181" s="18" t="s">
        <v>23</v>
      </c>
      <c r="I181" s="19">
        <v>20000</v>
      </c>
      <c r="J181" s="20">
        <f t="shared" si="4"/>
        <v>20000</v>
      </c>
      <c r="K181" s="106"/>
      <c r="L181" s="114"/>
      <c r="M181" s="114">
        <f>tblAquisições[[#This Row],[VALOR UNITARIO COMPRADO]]*tblAquisições[[#This Row],[QUANTIDADE COMPRADA]]</f>
        <v>0</v>
      </c>
      <c r="N181" s="110">
        <f>K181-tblAquisições[[#This Row],[QUANTIDADE PLANEJADA]]</f>
        <v>-1</v>
      </c>
      <c r="O181" s="106" t="str">
        <f t="shared" si="5"/>
        <v>Faltando Comprar</v>
      </c>
    </row>
    <row r="182" spans="1:15" ht="47.25">
      <c r="A182" s="16" t="s">
        <v>17</v>
      </c>
      <c r="B182" s="16" t="s">
        <v>18</v>
      </c>
      <c r="C182" s="17" t="s">
        <v>19</v>
      </c>
      <c r="D182" s="18" t="s">
        <v>154</v>
      </c>
      <c r="E182" s="18">
        <v>2</v>
      </c>
      <c r="F182" s="18" t="s">
        <v>21</v>
      </c>
      <c r="G182" s="18" t="s">
        <v>22</v>
      </c>
      <c r="H182" s="18" t="s">
        <v>23</v>
      </c>
      <c r="I182" s="19">
        <v>20000</v>
      </c>
      <c r="J182" s="20">
        <f t="shared" si="4"/>
        <v>40000</v>
      </c>
      <c r="K182" s="106"/>
      <c r="L182" s="114"/>
      <c r="M182" s="114">
        <f>tblAquisições[[#This Row],[VALOR UNITARIO COMPRADO]]*tblAquisições[[#This Row],[QUANTIDADE COMPRADA]]</f>
        <v>0</v>
      </c>
      <c r="N182" s="110">
        <f>K182-tblAquisições[[#This Row],[QUANTIDADE PLANEJADA]]</f>
        <v>-2</v>
      </c>
      <c r="O182" s="106" t="str">
        <f t="shared" si="5"/>
        <v>Faltando Comprar</v>
      </c>
    </row>
    <row r="183" spans="1:15" ht="47.25">
      <c r="A183" s="16" t="s">
        <v>17</v>
      </c>
      <c r="B183" s="16" t="s">
        <v>24</v>
      </c>
      <c r="C183" s="17" t="s">
        <v>19</v>
      </c>
      <c r="D183" s="18" t="s">
        <v>154</v>
      </c>
      <c r="E183" s="18">
        <v>2</v>
      </c>
      <c r="F183" s="18" t="s">
        <v>21</v>
      </c>
      <c r="G183" s="18" t="s">
        <v>22</v>
      </c>
      <c r="H183" s="18" t="s">
        <v>23</v>
      </c>
      <c r="I183" s="19">
        <v>20000</v>
      </c>
      <c r="J183" s="20">
        <f t="shared" si="4"/>
        <v>40000</v>
      </c>
      <c r="K183" s="106"/>
      <c r="L183" s="114"/>
      <c r="M183" s="114">
        <f>tblAquisições[[#This Row],[VALOR UNITARIO COMPRADO]]*tblAquisições[[#This Row],[QUANTIDADE COMPRADA]]</f>
        <v>0</v>
      </c>
      <c r="N183" s="110">
        <f>K183-tblAquisições[[#This Row],[QUANTIDADE PLANEJADA]]</f>
        <v>-2</v>
      </c>
      <c r="O183" s="106" t="str">
        <f t="shared" si="5"/>
        <v>Faltando Comprar</v>
      </c>
    </row>
    <row r="184" spans="1:15" ht="47.25">
      <c r="A184" s="16" t="s">
        <v>17</v>
      </c>
      <c r="B184" s="16" t="s">
        <v>25</v>
      </c>
      <c r="C184" s="17" t="s">
        <v>19</v>
      </c>
      <c r="D184" s="18" t="s">
        <v>154</v>
      </c>
      <c r="E184" s="18">
        <v>2</v>
      </c>
      <c r="F184" s="18" t="s">
        <v>21</v>
      </c>
      <c r="G184" s="18" t="s">
        <v>22</v>
      </c>
      <c r="H184" s="18" t="s">
        <v>23</v>
      </c>
      <c r="I184" s="19">
        <v>20000</v>
      </c>
      <c r="J184" s="20">
        <f t="shared" si="4"/>
        <v>40000</v>
      </c>
      <c r="K184" s="106"/>
      <c r="L184" s="114"/>
      <c r="M184" s="114">
        <f>tblAquisições[[#This Row],[VALOR UNITARIO COMPRADO]]*tblAquisições[[#This Row],[QUANTIDADE COMPRADA]]</f>
        <v>0</v>
      </c>
      <c r="N184" s="110">
        <f>K184-tblAquisições[[#This Row],[QUANTIDADE PLANEJADA]]</f>
        <v>-2</v>
      </c>
      <c r="O184" s="106" t="str">
        <f t="shared" si="5"/>
        <v>Faltando Comprar</v>
      </c>
    </row>
    <row r="185" spans="1:15" ht="47.25">
      <c r="A185" s="16" t="s">
        <v>17</v>
      </c>
      <c r="B185" s="16" t="s">
        <v>26</v>
      </c>
      <c r="C185" s="17" t="s">
        <v>19</v>
      </c>
      <c r="D185" s="18" t="s">
        <v>154</v>
      </c>
      <c r="E185" s="18">
        <v>2</v>
      </c>
      <c r="F185" s="18" t="s">
        <v>21</v>
      </c>
      <c r="G185" s="18" t="s">
        <v>22</v>
      </c>
      <c r="H185" s="18" t="s">
        <v>23</v>
      </c>
      <c r="I185" s="19">
        <v>20000</v>
      </c>
      <c r="J185" s="20">
        <f t="shared" si="4"/>
        <v>40000</v>
      </c>
      <c r="K185" s="106"/>
      <c r="L185" s="114"/>
      <c r="M185" s="114">
        <f>tblAquisições[[#This Row],[VALOR UNITARIO COMPRADO]]*tblAquisições[[#This Row],[QUANTIDADE COMPRADA]]</f>
        <v>0</v>
      </c>
      <c r="N185" s="110">
        <f>K185-tblAquisições[[#This Row],[QUANTIDADE PLANEJADA]]</f>
        <v>-2</v>
      </c>
      <c r="O185" s="106" t="str">
        <f t="shared" si="5"/>
        <v>Faltando Comprar</v>
      </c>
    </row>
    <row r="186" spans="1:15" ht="47.25">
      <c r="A186" s="16" t="s">
        <v>17</v>
      </c>
      <c r="B186" s="16" t="s">
        <v>28</v>
      </c>
      <c r="C186" s="17" t="s">
        <v>19</v>
      </c>
      <c r="D186" s="18" t="s">
        <v>154</v>
      </c>
      <c r="E186" s="18">
        <v>10</v>
      </c>
      <c r="F186" s="18" t="s">
        <v>21</v>
      </c>
      <c r="G186" s="18" t="s">
        <v>22</v>
      </c>
      <c r="H186" s="18" t="s">
        <v>23</v>
      </c>
      <c r="I186" s="19">
        <v>20000</v>
      </c>
      <c r="J186" s="20">
        <f t="shared" si="4"/>
        <v>200000</v>
      </c>
      <c r="K186" s="106"/>
      <c r="L186" s="114"/>
      <c r="M186" s="114">
        <f>tblAquisições[[#This Row],[VALOR UNITARIO COMPRADO]]*tblAquisições[[#This Row],[QUANTIDADE COMPRADA]]</f>
        <v>0</v>
      </c>
      <c r="N186" s="110">
        <f>K186-tblAquisições[[#This Row],[QUANTIDADE PLANEJADA]]</f>
        <v>-10</v>
      </c>
      <c r="O186" s="106" t="str">
        <f t="shared" si="5"/>
        <v>Faltando Comprar</v>
      </c>
    </row>
    <row r="187" spans="1:15" ht="31.5">
      <c r="A187" s="16" t="s">
        <v>17</v>
      </c>
      <c r="B187" s="16" t="s">
        <v>18</v>
      </c>
      <c r="C187" s="17" t="s">
        <v>19</v>
      </c>
      <c r="D187" s="18" t="s">
        <v>155</v>
      </c>
      <c r="E187" s="18">
        <v>70</v>
      </c>
      <c r="F187" s="18" t="s">
        <v>21</v>
      </c>
      <c r="G187" s="18" t="s">
        <v>22</v>
      </c>
      <c r="H187" s="18" t="s">
        <v>23</v>
      </c>
      <c r="I187" s="19">
        <v>55.89</v>
      </c>
      <c r="J187" s="20">
        <f t="shared" si="4"/>
        <v>3912.3</v>
      </c>
      <c r="K187" s="106"/>
      <c r="L187" s="114"/>
      <c r="M187" s="114">
        <f>tblAquisições[[#This Row],[VALOR UNITARIO COMPRADO]]*tblAquisições[[#This Row],[QUANTIDADE COMPRADA]]</f>
        <v>0</v>
      </c>
      <c r="N187" s="110">
        <f>K187-tblAquisições[[#This Row],[QUANTIDADE PLANEJADA]]</f>
        <v>-70</v>
      </c>
      <c r="O187" s="106" t="str">
        <f t="shared" si="5"/>
        <v>Faltando Comprar</v>
      </c>
    </row>
    <row r="188" spans="1:15" ht="31.5">
      <c r="A188" s="16" t="s">
        <v>17</v>
      </c>
      <c r="B188" s="16" t="s">
        <v>24</v>
      </c>
      <c r="C188" s="17" t="s">
        <v>19</v>
      </c>
      <c r="D188" s="18" t="s">
        <v>155</v>
      </c>
      <c r="E188" s="18">
        <v>70</v>
      </c>
      <c r="F188" s="18" t="s">
        <v>21</v>
      </c>
      <c r="G188" s="18" t="s">
        <v>22</v>
      </c>
      <c r="H188" s="18" t="s">
        <v>23</v>
      </c>
      <c r="I188" s="19">
        <v>55.89</v>
      </c>
      <c r="J188" s="20">
        <f t="shared" si="4"/>
        <v>3912.3</v>
      </c>
      <c r="K188" s="106"/>
      <c r="L188" s="114"/>
      <c r="M188" s="114">
        <f>tblAquisições[[#This Row],[VALOR UNITARIO COMPRADO]]*tblAquisições[[#This Row],[QUANTIDADE COMPRADA]]</f>
        <v>0</v>
      </c>
      <c r="N188" s="110">
        <f>K188-tblAquisições[[#This Row],[QUANTIDADE PLANEJADA]]</f>
        <v>-70</v>
      </c>
      <c r="O188" s="106" t="str">
        <f t="shared" si="5"/>
        <v>Faltando Comprar</v>
      </c>
    </row>
    <row r="189" spans="1:15" ht="31.5">
      <c r="A189" s="16" t="s">
        <v>17</v>
      </c>
      <c r="B189" s="16" t="s">
        <v>25</v>
      </c>
      <c r="C189" s="17" t="s">
        <v>19</v>
      </c>
      <c r="D189" s="18" t="s">
        <v>155</v>
      </c>
      <c r="E189" s="18">
        <v>70</v>
      </c>
      <c r="F189" s="18" t="s">
        <v>21</v>
      </c>
      <c r="G189" s="18" t="s">
        <v>22</v>
      </c>
      <c r="H189" s="18" t="s">
        <v>23</v>
      </c>
      <c r="I189" s="19">
        <v>55.89</v>
      </c>
      <c r="J189" s="20">
        <f t="shared" si="4"/>
        <v>3912.3</v>
      </c>
      <c r="K189" s="106"/>
      <c r="L189" s="114"/>
      <c r="M189" s="114">
        <f>tblAquisições[[#This Row],[VALOR UNITARIO COMPRADO]]*tblAquisições[[#This Row],[QUANTIDADE COMPRADA]]</f>
        <v>0</v>
      </c>
      <c r="N189" s="110">
        <f>K189-tblAquisições[[#This Row],[QUANTIDADE PLANEJADA]]</f>
        <v>-70</v>
      </c>
      <c r="O189" s="106" t="str">
        <f t="shared" si="5"/>
        <v>Faltando Comprar</v>
      </c>
    </row>
    <row r="190" spans="1:15" ht="31.5">
      <c r="A190" s="16" t="s">
        <v>17</v>
      </c>
      <c r="B190" s="16" t="s">
        <v>28</v>
      </c>
      <c r="C190" s="17" t="s">
        <v>19</v>
      </c>
      <c r="D190" s="18" t="s">
        <v>155</v>
      </c>
      <c r="E190" s="18">
        <v>70</v>
      </c>
      <c r="F190" s="18" t="s">
        <v>21</v>
      </c>
      <c r="G190" s="18" t="s">
        <v>22</v>
      </c>
      <c r="H190" s="18" t="s">
        <v>23</v>
      </c>
      <c r="I190" s="19">
        <v>55.89</v>
      </c>
      <c r="J190" s="20">
        <f t="shared" si="4"/>
        <v>3912.3</v>
      </c>
      <c r="K190" s="106"/>
      <c r="L190" s="114"/>
      <c r="M190" s="114">
        <f>tblAquisições[[#This Row],[VALOR UNITARIO COMPRADO]]*tblAquisições[[#This Row],[QUANTIDADE COMPRADA]]</f>
        <v>0</v>
      </c>
      <c r="N190" s="110">
        <f>K190-tblAquisições[[#This Row],[QUANTIDADE PLANEJADA]]</f>
        <v>-70</v>
      </c>
      <c r="O190" s="106" t="str">
        <f t="shared" si="5"/>
        <v>Faltando Comprar</v>
      </c>
    </row>
    <row r="191" spans="1:15" ht="31.5">
      <c r="A191" s="16" t="s">
        <v>17</v>
      </c>
      <c r="B191" s="16" t="s">
        <v>80</v>
      </c>
      <c r="C191" s="17" t="s">
        <v>19</v>
      </c>
      <c r="D191" s="18" t="s">
        <v>156</v>
      </c>
      <c r="E191" s="18">
        <v>6</v>
      </c>
      <c r="F191" s="18" t="s">
        <v>38</v>
      </c>
      <c r="G191" s="18" t="s">
        <v>39</v>
      </c>
      <c r="H191" s="21"/>
      <c r="I191" s="19">
        <v>46.52</v>
      </c>
      <c r="J191" s="20">
        <f t="shared" si="4"/>
        <v>279.12</v>
      </c>
      <c r="K191" s="106"/>
      <c r="L191" s="114"/>
      <c r="M191" s="114">
        <f>tblAquisições[[#This Row],[VALOR UNITARIO COMPRADO]]*tblAquisições[[#This Row],[QUANTIDADE COMPRADA]]</f>
        <v>0</v>
      </c>
      <c r="N191" s="110">
        <f>K191-tblAquisições[[#This Row],[QUANTIDADE PLANEJADA]]</f>
        <v>-6</v>
      </c>
      <c r="O191" s="106" t="str">
        <f t="shared" si="5"/>
        <v>Faltando Comprar</v>
      </c>
    </row>
    <row r="192" spans="1:15" ht="31.5">
      <c r="A192" s="16" t="s">
        <v>17</v>
      </c>
      <c r="B192" s="16" t="s">
        <v>80</v>
      </c>
      <c r="C192" s="17" t="s">
        <v>19</v>
      </c>
      <c r="D192" s="18" t="s">
        <v>157</v>
      </c>
      <c r="E192" s="18">
        <v>10</v>
      </c>
      <c r="F192" s="18" t="s">
        <v>38</v>
      </c>
      <c r="G192" s="18" t="s">
        <v>39</v>
      </c>
      <c r="H192" s="21"/>
      <c r="I192" s="19">
        <v>179.86</v>
      </c>
      <c r="J192" s="20">
        <f t="shared" si="4"/>
        <v>1798.6000000000001</v>
      </c>
      <c r="K192" s="106"/>
      <c r="L192" s="114"/>
      <c r="M192" s="114">
        <f>tblAquisições[[#This Row],[VALOR UNITARIO COMPRADO]]*tblAquisições[[#This Row],[QUANTIDADE COMPRADA]]</f>
        <v>0</v>
      </c>
      <c r="N192" s="110">
        <f>K192-tblAquisições[[#This Row],[QUANTIDADE PLANEJADA]]</f>
        <v>-10</v>
      </c>
      <c r="O192" s="106" t="str">
        <f t="shared" si="5"/>
        <v>Faltando Comprar</v>
      </c>
    </row>
    <row r="193" spans="1:15" ht="31.5">
      <c r="A193" s="16" t="s">
        <v>17</v>
      </c>
      <c r="B193" s="16" t="s">
        <v>18</v>
      </c>
      <c r="C193" s="17" t="s">
        <v>19</v>
      </c>
      <c r="D193" s="18" t="s">
        <v>158</v>
      </c>
      <c r="E193" s="18">
        <v>15</v>
      </c>
      <c r="F193" s="18" t="s">
        <v>159</v>
      </c>
      <c r="G193" s="18" t="s">
        <v>127</v>
      </c>
      <c r="H193" s="18" t="s">
        <v>23</v>
      </c>
      <c r="I193" s="19">
        <v>769.46</v>
      </c>
      <c r="J193" s="20">
        <f t="shared" si="4"/>
        <v>11541.900000000001</v>
      </c>
      <c r="K193" s="106"/>
      <c r="L193" s="114"/>
      <c r="M193" s="114">
        <f>tblAquisições[[#This Row],[VALOR UNITARIO COMPRADO]]*tblAquisições[[#This Row],[QUANTIDADE COMPRADA]]</f>
        <v>0</v>
      </c>
      <c r="N193" s="110">
        <f>K193-tblAquisições[[#This Row],[QUANTIDADE PLANEJADA]]</f>
        <v>-15</v>
      </c>
      <c r="O193" s="106" t="str">
        <f t="shared" si="5"/>
        <v>Faltando Comprar</v>
      </c>
    </row>
    <row r="194" spans="1:15" ht="31.5">
      <c r="A194" s="16" t="s">
        <v>17</v>
      </c>
      <c r="B194" s="16" t="s">
        <v>24</v>
      </c>
      <c r="C194" s="17" t="s">
        <v>19</v>
      </c>
      <c r="D194" s="18" t="s">
        <v>158</v>
      </c>
      <c r="E194" s="18">
        <v>15</v>
      </c>
      <c r="F194" s="18" t="s">
        <v>159</v>
      </c>
      <c r="G194" s="18" t="s">
        <v>127</v>
      </c>
      <c r="H194" s="18" t="s">
        <v>23</v>
      </c>
      <c r="I194" s="19">
        <v>769.46</v>
      </c>
      <c r="J194" s="20">
        <f t="shared" ref="J194:J257" si="6">E194*I194</f>
        <v>11541.900000000001</v>
      </c>
      <c r="K194" s="106"/>
      <c r="L194" s="114"/>
      <c r="M194" s="114">
        <f>tblAquisições[[#This Row],[VALOR UNITARIO COMPRADO]]*tblAquisições[[#This Row],[QUANTIDADE COMPRADA]]</f>
        <v>0</v>
      </c>
      <c r="N194" s="110">
        <f>K194-tblAquisições[[#This Row],[QUANTIDADE PLANEJADA]]</f>
        <v>-15</v>
      </c>
      <c r="O194" s="106" t="str">
        <f t="shared" ref="O194:O257" si="7">IF(K194=E194,"OK",IF(K194&lt;E194,"Faltando Comprar","Excedente"))</f>
        <v>Faltando Comprar</v>
      </c>
    </row>
    <row r="195" spans="1:15" ht="31.5">
      <c r="A195" s="16" t="s">
        <v>17</v>
      </c>
      <c r="B195" s="16" t="s">
        <v>25</v>
      </c>
      <c r="C195" s="17" t="s">
        <v>19</v>
      </c>
      <c r="D195" s="18" t="s">
        <v>158</v>
      </c>
      <c r="E195" s="18">
        <v>15</v>
      </c>
      <c r="F195" s="18" t="s">
        <v>159</v>
      </c>
      <c r="G195" s="18" t="s">
        <v>127</v>
      </c>
      <c r="H195" s="18" t="s">
        <v>23</v>
      </c>
      <c r="I195" s="19">
        <v>769.46</v>
      </c>
      <c r="J195" s="20">
        <f t="shared" si="6"/>
        <v>11541.900000000001</v>
      </c>
      <c r="K195" s="106"/>
      <c r="L195" s="114"/>
      <c r="M195" s="114">
        <f>tblAquisições[[#This Row],[VALOR UNITARIO COMPRADO]]*tblAquisições[[#This Row],[QUANTIDADE COMPRADA]]</f>
        <v>0</v>
      </c>
      <c r="N195" s="110">
        <f>K195-tblAquisições[[#This Row],[QUANTIDADE PLANEJADA]]</f>
        <v>-15</v>
      </c>
      <c r="O195" s="106" t="str">
        <f t="shared" si="7"/>
        <v>Faltando Comprar</v>
      </c>
    </row>
    <row r="196" spans="1:15" ht="31.5">
      <c r="A196" s="16" t="s">
        <v>17</v>
      </c>
      <c r="B196" s="16" t="s">
        <v>26</v>
      </c>
      <c r="C196" s="17" t="s">
        <v>19</v>
      </c>
      <c r="D196" s="18" t="s">
        <v>160</v>
      </c>
      <c r="E196" s="18">
        <v>5</v>
      </c>
      <c r="F196" s="18" t="s">
        <v>21</v>
      </c>
      <c r="G196" s="18" t="s">
        <v>22</v>
      </c>
      <c r="H196" s="18" t="s">
        <v>23</v>
      </c>
      <c r="I196" s="19">
        <v>84.37</v>
      </c>
      <c r="J196" s="20">
        <f t="shared" si="6"/>
        <v>421.85</v>
      </c>
      <c r="K196" s="106"/>
      <c r="L196" s="114"/>
      <c r="M196" s="114">
        <f>tblAquisições[[#This Row],[VALOR UNITARIO COMPRADO]]*tblAquisições[[#This Row],[QUANTIDADE COMPRADA]]</f>
        <v>0</v>
      </c>
      <c r="N196" s="110">
        <f>K196-tblAquisições[[#This Row],[QUANTIDADE PLANEJADA]]</f>
        <v>-5</v>
      </c>
      <c r="O196" s="106" t="str">
        <f t="shared" si="7"/>
        <v>Faltando Comprar</v>
      </c>
    </row>
    <row r="197" spans="1:15" ht="31.5">
      <c r="A197" s="16" t="s">
        <v>17</v>
      </c>
      <c r="B197" s="16" t="s">
        <v>26</v>
      </c>
      <c r="C197" s="17" t="s">
        <v>19</v>
      </c>
      <c r="D197" s="18" t="s">
        <v>161</v>
      </c>
      <c r="E197" s="18">
        <v>5</v>
      </c>
      <c r="F197" s="18" t="s">
        <v>21</v>
      </c>
      <c r="G197" s="18" t="s">
        <v>22</v>
      </c>
      <c r="H197" s="18" t="s">
        <v>23</v>
      </c>
      <c r="I197" s="19">
        <v>87.67</v>
      </c>
      <c r="J197" s="20">
        <f t="shared" si="6"/>
        <v>438.35</v>
      </c>
      <c r="K197" s="106"/>
      <c r="L197" s="114"/>
      <c r="M197" s="114">
        <f>tblAquisições[[#This Row],[VALOR UNITARIO COMPRADO]]*tblAquisições[[#This Row],[QUANTIDADE COMPRADA]]</f>
        <v>0</v>
      </c>
      <c r="N197" s="110">
        <f>K197-tblAquisições[[#This Row],[QUANTIDADE PLANEJADA]]</f>
        <v>-5</v>
      </c>
      <c r="O197" s="106" t="str">
        <f t="shared" si="7"/>
        <v>Faltando Comprar</v>
      </c>
    </row>
    <row r="198" spans="1:15" ht="47.25">
      <c r="A198" s="16" t="s">
        <v>17</v>
      </c>
      <c r="B198" s="16" t="s">
        <v>41</v>
      </c>
      <c r="C198" s="17" t="s">
        <v>19</v>
      </c>
      <c r="D198" s="18" t="s">
        <v>162</v>
      </c>
      <c r="E198" s="18">
        <v>1</v>
      </c>
      <c r="F198" s="18" t="s">
        <v>118</v>
      </c>
      <c r="G198" s="18" t="s">
        <v>22</v>
      </c>
      <c r="H198" s="18" t="s">
        <v>100</v>
      </c>
      <c r="I198" s="19">
        <v>30.54</v>
      </c>
      <c r="J198" s="20">
        <f t="shared" si="6"/>
        <v>30.54</v>
      </c>
      <c r="K198" s="106"/>
      <c r="L198" s="114"/>
      <c r="M198" s="114">
        <f>tblAquisições[[#This Row],[VALOR UNITARIO COMPRADO]]*tblAquisições[[#This Row],[QUANTIDADE COMPRADA]]</f>
        <v>0</v>
      </c>
      <c r="N198" s="110">
        <f>K198-tblAquisições[[#This Row],[QUANTIDADE PLANEJADA]]</f>
        <v>-1</v>
      </c>
      <c r="O198" s="106" t="str">
        <f t="shared" si="7"/>
        <v>Faltando Comprar</v>
      </c>
    </row>
    <row r="199" spans="1:15" ht="47.25">
      <c r="A199" s="16" t="s">
        <v>17</v>
      </c>
      <c r="B199" s="16" t="s">
        <v>41</v>
      </c>
      <c r="C199" s="17" t="s">
        <v>19</v>
      </c>
      <c r="D199" s="18" t="s">
        <v>163</v>
      </c>
      <c r="E199" s="18">
        <v>12</v>
      </c>
      <c r="F199" s="18" t="s">
        <v>78</v>
      </c>
      <c r="G199" s="18" t="s">
        <v>22</v>
      </c>
      <c r="H199" s="18" t="s">
        <v>23</v>
      </c>
      <c r="I199" s="19">
        <v>6.58</v>
      </c>
      <c r="J199" s="20">
        <f t="shared" si="6"/>
        <v>78.960000000000008</v>
      </c>
      <c r="K199" s="106"/>
      <c r="L199" s="114"/>
      <c r="M199" s="114">
        <f>tblAquisições[[#This Row],[VALOR UNITARIO COMPRADO]]*tblAquisições[[#This Row],[QUANTIDADE COMPRADA]]</f>
        <v>0</v>
      </c>
      <c r="N199" s="110">
        <f>K199-tblAquisições[[#This Row],[QUANTIDADE PLANEJADA]]</f>
        <v>-12</v>
      </c>
      <c r="O199" s="106" t="str">
        <f t="shared" si="7"/>
        <v>Faltando Comprar</v>
      </c>
    </row>
    <row r="200" spans="1:15" ht="47.25">
      <c r="A200" s="16" t="s">
        <v>17</v>
      </c>
      <c r="B200" s="16" t="s">
        <v>28</v>
      </c>
      <c r="C200" s="17" t="s">
        <v>19</v>
      </c>
      <c r="D200" s="18" t="s">
        <v>164</v>
      </c>
      <c r="E200" s="18">
        <v>60</v>
      </c>
      <c r="F200" s="18" t="s">
        <v>78</v>
      </c>
      <c r="G200" s="18" t="s">
        <v>22</v>
      </c>
      <c r="H200" s="18" t="s">
        <v>23</v>
      </c>
      <c r="I200" s="19">
        <v>13.52</v>
      </c>
      <c r="J200" s="20">
        <f t="shared" si="6"/>
        <v>811.19999999999993</v>
      </c>
      <c r="K200" s="106"/>
      <c r="L200" s="114"/>
      <c r="M200" s="114">
        <f>tblAquisições[[#This Row],[VALOR UNITARIO COMPRADO]]*tblAquisições[[#This Row],[QUANTIDADE COMPRADA]]</f>
        <v>0</v>
      </c>
      <c r="N200" s="110">
        <f>K200-tblAquisições[[#This Row],[QUANTIDADE PLANEJADA]]</f>
        <v>-60</v>
      </c>
      <c r="O200" s="106" t="str">
        <f t="shared" si="7"/>
        <v>Faltando Comprar</v>
      </c>
    </row>
    <row r="201" spans="1:15" ht="31.5">
      <c r="A201" s="16" t="s">
        <v>17</v>
      </c>
      <c r="B201" s="16" t="s">
        <v>80</v>
      </c>
      <c r="C201" s="17" t="s">
        <v>19</v>
      </c>
      <c r="D201" s="18" t="s">
        <v>165</v>
      </c>
      <c r="E201" s="18">
        <v>2</v>
      </c>
      <c r="F201" s="18" t="s">
        <v>166</v>
      </c>
      <c r="G201" s="18" t="s">
        <v>39</v>
      </c>
      <c r="H201" s="21"/>
      <c r="I201" s="19">
        <v>29.87</v>
      </c>
      <c r="J201" s="20">
        <f t="shared" si="6"/>
        <v>59.74</v>
      </c>
      <c r="K201" s="106"/>
      <c r="L201" s="114"/>
      <c r="M201" s="114">
        <f>tblAquisições[[#This Row],[VALOR UNITARIO COMPRADO]]*tblAquisições[[#This Row],[QUANTIDADE COMPRADA]]</f>
        <v>0</v>
      </c>
      <c r="N201" s="110">
        <f>K201-tblAquisições[[#This Row],[QUANTIDADE PLANEJADA]]</f>
        <v>-2</v>
      </c>
      <c r="O201" s="106" t="str">
        <f t="shared" si="7"/>
        <v>Faltando Comprar</v>
      </c>
    </row>
    <row r="202" spans="1:15" ht="31.5">
      <c r="A202" s="16" t="s">
        <v>17</v>
      </c>
      <c r="B202" s="16" t="s">
        <v>80</v>
      </c>
      <c r="C202" s="17" t="s">
        <v>19</v>
      </c>
      <c r="D202" s="18" t="s">
        <v>167</v>
      </c>
      <c r="E202" s="18">
        <v>2</v>
      </c>
      <c r="F202" s="18" t="s">
        <v>166</v>
      </c>
      <c r="G202" s="18" t="s">
        <v>39</v>
      </c>
      <c r="H202" s="21"/>
      <c r="I202" s="19">
        <v>61.6</v>
      </c>
      <c r="J202" s="20">
        <f t="shared" si="6"/>
        <v>123.2</v>
      </c>
      <c r="K202" s="106"/>
      <c r="L202" s="114"/>
      <c r="M202" s="114">
        <f>tblAquisições[[#This Row],[VALOR UNITARIO COMPRADO]]*tblAquisições[[#This Row],[QUANTIDADE COMPRADA]]</f>
        <v>0</v>
      </c>
      <c r="N202" s="110">
        <f>K202-tblAquisições[[#This Row],[QUANTIDADE PLANEJADA]]</f>
        <v>-2</v>
      </c>
      <c r="O202" s="106" t="str">
        <f t="shared" si="7"/>
        <v>Faltando Comprar</v>
      </c>
    </row>
    <row r="203" spans="1:15" ht="47.25">
      <c r="A203" s="16" t="s">
        <v>17</v>
      </c>
      <c r="B203" s="16" t="s">
        <v>18</v>
      </c>
      <c r="C203" s="17" t="s">
        <v>19</v>
      </c>
      <c r="D203" s="18" t="s">
        <v>168</v>
      </c>
      <c r="E203" s="18">
        <v>15</v>
      </c>
      <c r="F203" s="18" t="s">
        <v>58</v>
      </c>
      <c r="G203" s="18" t="s">
        <v>22</v>
      </c>
      <c r="H203" s="18" t="s">
        <v>23</v>
      </c>
      <c r="I203" s="19">
        <v>26.6</v>
      </c>
      <c r="J203" s="20">
        <f t="shared" si="6"/>
        <v>399</v>
      </c>
      <c r="K203" s="106"/>
      <c r="L203" s="114"/>
      <c r="M203" s="114">
        <f>tblAquisições[[#This Row],[VALOR UNITARIO COMPRADO]]*tblAquisições[[#This Row],[QUANTIDADE COMPRADA]]</f>
        <v>0</v>
      </c>
      <c r="N203" s="110">
        <f>K203-tblAquisições[[#This Row],[QUANTIDADE PLANEJADA]]</f>
        <v>-15</v>
      </c>
      <c r="O203" s="106" t="str">
        <f t="shared" si="7"/>
        <v>Faltando Comprar</v>
      </c>
    </row>
    <row r="204" spans="1:15" ht="47.25">
      <c r="A204" s="16" t="s">
        <v>17</v>
      </c>
      <c r="B204" s="16" t="s">
        <v>24</v>
      </c>
      <c r="C204" s="17" t="s">
        <v>19</v>
      </c>
      <c r="D204" s="18" t="s">
        <v>168</v>
      </c>
      <c r="E204" s="18">
        <v>15</v>
      </c>
      <c r="F204" s="18" t="s">
        <v>58</v>
      </c>
      <c r="G204" s="18" t="s">
        <v>22</v>
      </c>
      <c r="H204" s="18" t="s">
        <v>23</v>
      </c>
      <c r="I204" s="19">
        <v>26.6</v>
      </c>
      <c r="J204" s="20">
        <f t="shared" si="6"/>
        <v>399</v>
      </c>
      <c r="K204" s="106"/>
      <c r="L204" s="114"/>
      <c r="M204" s="114">
        <f>tblAquisições[[#This Row],[VALOR UNITARIO COMPRADO]]*tblAquisições[[#This Row],[QUANTIDADE COMPRADA]]</f>
        <v>0</v>
      </c>
      <c r="N204" s="110">
        <f>K204-tblAquisições[[#This Row],[QUANTIDADE PLANEJADA]]</f>
        <v>-15</v>
      </c>
      <c r="O204" s="106" t="str">
        <f t="shared" si="7"/>
        <v>Faltando Comprar</v>
      </c>
    </row>
    <row r="205" spans="1:15" ht="47.25">
      <c r="A205" s="16" t="s">
        <v>17</v>
      </c>
      <c r="B205" s="16" t="s">
        <v>25</v>
      </c>
      <c r="C205" s="17" t="s">
        <v>19</v>
      </c>
      <c r="D205" s="18" t="s">
        <v>168</v>
      </c>
      <c r="E205" s="18">
        <v>15</v>
      </c>
      <c r="F205" s="18" t="s">
        <v>58</v>
      </c>
      <c r="G205" s="18" t="s">
        <v>22</v>
      </c>
      <c r="H205" s="18" t="s">
        <v>23</v>
      </c>
      <c r="I205" s="19">
        <v>26.6</v>
      </c>
      <c r="J205" s="20">
        <f t="shared" si="6"/>
        <v>399</v>
      </c>
      <c r="K205" s="106"/>
      <c r="L205" s="114"/>
      <c r="M205" s="114">
        <f>tblAquisições[[#This Row],[VALOR UNITARIO COMPRADO]]*tblAquisições[[#This Row],[QUANTIDADE COMPRADA]]</f>
        <v>0</v>
      </c>
      <c r="N205" s="110">
        <f>K205-tblAquisições[[#This Row],[QUANTIDADE PLANEJADA]]</f>
        <v>-15</v>
      </c>
      <c r="O205" s="106" t="str">
        <f t="shared" si="7"/>
        <v>Faltando Comprar</v>
      </c>
    </row>
    <row r="206" spans="1:15" ht="47.25">
      <c r="A206" s="16" t="s">
        <v>17</v>
      </c>
      <c r="B206" s="16" t="s">
        <v>27</v>
      </c>
      <c r="C206" s="17" t="s">
        <v>19</v>
      </c>
      <c r="D206" s="18" t="s">
        <v>168</v>
      </c>
      <c r="E206" s="18">
        <v>10</v>
      </c>
      <c r="F206" s="18" t="s">
        <v>58</v>
      </c>
      <c r="G206" s="18" t="s">
        <v>22</v>
      </c>
      <c r="H206" s="18" t="s">
        <v>23</v>
      </c>
      <c r="I206" s="19">
        <v>26.6</v>
      </c>
      <c r="J206" s="20">
        <f t="shared" si="6"/>
        <v>266</v>
      </c>
      <c r="K206" s="106"/>
      <c r="L206" s="114"/>
      <c r="M206" s="114">
        <f>tblAquisições[[#This Row],[VALOR UNITARIO COMPRADO]]*tblAquisições[[#This Row],[QUANTIDADE COMPRADA]]</f>
        <v>0</v>
      </c>
      <c r="N206" s="110">
        <f>K206-tblAquisições[[#This Row],[QUANTIDADE PLANEJADA]]</f>
        <v>-10</v>
      </c>
      <c r="O206" s="106" t="str">
        <f t="shared" si="7"/>
        <v>Faltando Comprar</v>
      </c>
    </row>
    <row r="207" spans="1:15" ht="31.5">
      <c r="A207" s="16" t="s">
        <v>17</v>
      </c>
      <c r="B207" s="16" t="s">
        <v>27</v>
      </c>
      <c r="C207" s="17" t="s">
        <v>19</v>
      </c>
      <c r="D207" s="18" t="s">
        <v>169</v>
      </c>
      <c r="E207" s="18">
        <v>2</v>
      </c>
      <c r="F207" s="18" t="s">
        <v>170</v>
      </c>
      <c r="G207" s="18" t="s">
        <v>22</v>
      </c>
      <c r="H207" s="18" t="s">
        <v>23</v>
      </c>
      <c r="I207" s="19">
        <v>342</v>
      </c>
      <c r="J207" s="20">
        <f t="shared" si="6"/>
        <v>684</v>
      </c>
      <c r="K207" s="106"/>
      <c r="L207" s="114"/>
      <c r="M207" s="114">
        <f>tblAquisições[[#This Row],[VALOR UNITARIO COMPRADO]]*tblAquisições[[#This Row],[QUANTIDADE COMPRADA]]</f>
        <v>0</v>
      </c>
      <c r="N207" s="110">
        <f>K207-tblAquisições[[#This Row],[QUANTIDADE PLANEJADA]]</f>
        <v>-2</v>
      </c>
      <c r="O207" s="106" t="str">
        <f t="shared" si="7"/>
        <v>Faltando Comprar</v>
      </c>
    </row>
    <row r="208" spans="1:15" ht="47.25">
      <c r="A208" s="16" t="s">
        <v>17</v>
      </c>
      <c r="B208" s="16" t="s">
        <v>28</v>
      </c>
      <c r="C208" s="17" t="s">
        <v>19</v>
      </c>
      <c r="D208" s="18" t="s">
        <v>171</v>
      </c>
      <c r="E208" s="18">
        <v>4</v>
      </c>
      <c r="F208" s="18" t="s">
        <v>78</v>
      </c>
      <c r="G208" s="18" t="s">
        <v>22</v>
      </c>
      <c r="H208" s="18" t="s">
        <v>23</v>
      </c>
      <c r="I208" s="19">
        <v>810.97</v>
      </c>
      <c r="J208" s="20">
        <f t="shared" si="6"/>
        <v>3243.88</v>
      </c>
      <c r="K208" s="106"/>
      <c r="L208" s="114"/>
      <c r="M208" s="114">
        <f>tblAquisições[[#This Row],[VALOR UNITARIO COMPRADO]]*tblAquisições[[#This Row],[QUANTIDADE COMPRADA]]</f>
        <v>0</v>
      </c>
      <c r="N208" s="110">
        <f>K208-tblAquisições[[#This Row],[QUANTIDADE PLANEJADA]]</f>
        <v>-4</v>
      </c>
      <c r="O208" s="106" t="str">
        <f t="shared" si="7"/>
        <v>Faltando Comprar</v>
      </c>
    </row>
    <row r="209" spans="1:15" ht="31.5">
      <c r="A209" s="16" t="s">
        <v>17</v>
      </c>
      <c r="B209" s="16" t="s">
        <v>28</v>
      </c>
      <c r="C209" s="17" t="s">
        <v>19</v>
      </c>
      <c r="D209" s="18" t="s">
        <v>172</v>
      </c>
      <c r="E209" s="18">
        <v>50</v>
      </c>
      <c r="F209" s="18" t="s">
        <v>21</v>
      </c>
      <c r="G209" s="18" t="s">
        <v>22</v>
      </c>
      <c r="H209" s="18" t="s">
        <v>23</v>
      </c>
      <c r="I209" s="19">
        <v>5.29</v>
      </c>
      <c r="J209" s="20">
        <f t="shared" si="6"/>
        <v>264.5</v>
      </c>
      <c r="K209" s="106"/>
      <c r="L209" s="114"/>
      <c r="M209" s="114">
        <f>tblAquisições[[#This Row],[VALOR UNITARIO COMPRADO]]*tblAquisições[[#This Row],[QUANTIDADE COMPRADA]]</f>
        <v>0</v>
      </c>
      <c r="N209" s="110">
        <f>K209-tblAquisições[[#This Row],[QUANTIDADE PLANEJADA]]</f>
        <v>-50</v>
      </c>
      <c r="O209" s="106" t="str">
        <f t="shared" si="7"/>
        <v>Faltando Comprar</v>
      </c>
    </row>
    <row r="210" spans="1:15" ht="31.5">
      <c r="A210" s="16" t="s">
        <v>17</v>
      </c>
      <c r="B210" s="16" t="s">
        <v>80</v>
      </c>
      <c r="C210" s="17" t="s">
        <v>19</v>
      </c>
      <c r="D210" s="18" t="s">
        <v>173</v>
      </c>
      <c r="E210" s="18">
        <v>20</v>
      </c>
      <c r="F210" s="18" t="s">
        <v>38</v>
      </c>
      <c r="G210" s="18" t="s">
        <v>39</v>
      </c>
      <c r="H210" s="18" t="s">
        <v>23</v>
      </c>
      <c r="I210" s="19">
        <v>7.98</v>
      </c>
      <c r="J210" s="20">
        <f t="shared" si="6"/>
        <v>159.60000000000002</v>
      </c>
      <c r="K210" s="106"/>
      <c r="L210" s="114"/>
      <c r="M210" s="114">
        <f>tblAquisições[[#This Row],[VALOR UNITARIO COMPRADO]]*tblAquisições[[#This Row],[QUANTIDADE COMPRADA]]</f>
        <v>0</v>
      </c>
      <c r="N210" s="110">
        <f>K210-tblAquisições[[#This Row],[QUANTIDADE PLANEJADA]]</f>
        <v>-20</v>
      </c>
      <c r="O210" s="106" t="str">
        <f t="shared" si="7"/>
        <v>Faltando Comprar</v>
      </c>
    </row>
    <row r="211" spans="1:15" ht="31.5">
      <c r="A211" s="16" t="s">
        <v>17</v>
      </c>
      <c r="B211" s="16" t="s">
        <v>41</v>
      </c>
      <c r="C211" s="17" t="s">
        <v>19</v>
      </c>
      <c r="D211" s="18" t="s">
        <v>174</v>
      </c>
      <c r="E211" s="18">
        <v>100</v>
      </c>
      <c r="F211" s="18" t="s">
        <v>21</v>
      </c>
      <c r="G211" s="18" t="s">
        <v>22</v>
      </c>
      <c r="H211" s="18" t="s">
        <v>23</v>
      </c>
      <c r="I211" s="19">
        <v>7.98</v>
      </c>
      <c r="J211" s="20">
        <f t="shared" si="6"/>
        <v>798</v>
      </c>
      <c r="K211" s="106"/>
      <c r="L211" s="114"/>
      <c r="M211" s="114">
        <f>tblAquisições[[#This Row],[VALOR UNITARIO COMPRADO]]*tblAquisições[[#This Row],[QUANTIDADE COMPRADA]]</f>
        <v>0</v>
      </c>
      <c r="N211" s="110">
        <f>K211-tblAquisições[[#This Row],[QUANTIDADE PLANEJADA]]</f>
        <v>-100</v>
      </c>
      <c r="O211" s="106" t="str">
        <f t="shared" si="7"/>
        <v>Faltando Comprar</v>
      </c>
    </row>
    <row r="212" spans="1:15" ht="31.5">
      <c r="A212" s="16" t="s">
        <v>17</v>
      </c>
      <c r="B212" s="16" t="s">
        <v>80</v>
      </c>
      <c r="C212" s="17" t="s">
        <v>19</v>
      </c>
      <c r="D212" s="18" t="s">
        <v>175</v>
      </c>
      <c r="E212" s="18">
        <v>40</v>
      </c>
      <c r="F212" s="18" t="s">
        <v>38</v>
      </c>
      <c r="G212" s="18" t="s">
        <v>39</v>
      </c>
      <c r="H212" s="18" t="s">
        <v>23</v>
      </c>
      <c r="I212" s="19">
        <v>30.64</v>
      </c>
      <c r="J212" s="20">
        <f t="shared" si="6"/>
        <v>1225.5999999999999</v>
      </c>
      <c r="K212" s="106"/>
      <c r="L212" s="114"/>
      <c r="M212" s="114">
        <f>tblAquisições[[#This Row],[VALOR UNITARIO COMPRADO]]*tblAquisições[[#This Row],[QUANTIDADE COMPRADA]]</f>
        <v>0</v>
      </c>
      <c r="N212" s="110">
        <f>K212-tblAquisições[[#This Row],[QUANTIDADE PLANEJADA]]</f>
        <v>-40</v>
      </c>
      <c r="O212" s="106" t="str">
        <f t="shared" si="7"/>
        <v>Faltando Comprar</v>
      </c>
    </row>
    <row r="213" spans="1:15" ht="31.5">
      <c r="A213" s="16" t="s">
        <v>17</v>
      </c>
      <c r="B213" s="16" t="s">
        <v>80</v>
      </c>
      <c r="C213" s="17" t="s">
        <v>19</v>
      </c>
      <c r="D213" s="18" t="s">
        <v>176</v>
      </c>
      <c r="E213" s="18">
        <v>20</v>
      </c>
      <c r="F213" s="18" t="s">
        <v>38</v>
      </c>
      <c r="G213" s="18" t="s">
        <v>39</v>
      </c>
      <c r="H213" s="18" t="s">
        <v>23</v>
      </c>
      <c r="I213" s="19">
        <v>25.47</v>
      </c>
      <c r="J213" s="20">
        <f t="shared" si="6"/>
        <v>509.4</v>
      </c>
      <c r="K213" s="106"/>
      <c r="L213" s="114"/>
      <c r="M213" s="114">
        <f>tblAquisições[[#This Row],[VALOR UNITARIO COMPRADO]]*tblAquisições[[#This Row],[QUANTIDADE COMPRADA]]</f>
        <v>0</v>
      </c>
      <c r="N213" s="110">
        <f>K213-tblAquisições[[#This Row],[QUANTIDADE PLANEJADA]]</f>
        <v>-20</v>
      </c>
      <c r="O213" s="106" t="str">
        <f t="shared" si="7"/>
        <v>Faltando Comprar</v>
      </c>
    </row>
    <row r="214" spans="1:15" ht="31.5">
      <c r="A214" s="16" t="s">
        <v>17</v>
      </c>
      <c r="B214" s="16" t="s">
        <v>41</v>
      </c>
      <c r="C214" s="17" t="s">
        <v>19</v>
      </c>
      <c r="D214" s="18" t="s">
        <v>177</v>
      </c>
      <c r="E214" s="18">
        <v>50</v>
      </c>
      <c r="F214" s="18" t="s">
        <v>21</v>
      </c>
      <c r="G214" s="18" t="s">
        <v>22</v>
      </c>
      <c r="H214" s="18" t="s">
        <v>23</v>
      </c>
      <c r="I214" s="19">
        <v>25.47</v>
      </c>
      <c r="J214" s="20">
        <f t="shared" si="6"/>
        <v>1273.5</v>
      </c>
      <c r="K214" s="106"/>
      <c r="L214" s="114"/>
      <c r="M214" s="114">
        <f>tblAquisições[[#This Row],[VALOR UNITARIO COMPRADO]]*tblAquisições[[#This Row],[QUANTIDADE COMPRADA]]</f>
        <v>0</v>
      </c>
      <c r="N214" s="110">
        <f>K214-tblAquisições[[#This Row],[QUANTIDADE PLANEJADA]]</f>
        <v>-50</v>
      </c>
      <c r="O214" s="106" t="str">
        <f t="shared" si="7"/>
        <v>Faltando Comprar</v>
      </c>
    </row>
    <row r="215" spans="1:15" ht="31.5">
      <c r="A215" s="16" t="s">
        <v>17</v>
      </c>
      <c r="B215" s="16" t="s">
        <v>26</v>
      </c>
      <c r="C215" s="17" t="s">
        <v>19</v>
      </c>
      <c r="D215" s="18" t="s">
        <v>177</v>
      </c>
      <c r="E215" s="18">
        <v>40</v>
      </c>
      <c r="F215" s="18" t="s">
        <v>21</v>
      </c>
      <c r="G215" s="18" t="s">
        <v>22</v>
      </c>
      <c r="H215" s="18" t="s">
        <v>23</v>
      </c>
      <c r="I215" s="19">
        <v>25.47</v>
      </c>
      <c r="J215" s="20">
        <f t="shared" si="6"/>
        <v>1018.8</v>
      </c>
      <c r="K215" s="106"/>
      <c r="L215" s="114"/>
      <c r="M215" s="114">
        <f>tblAquisições[[#This Row],[VALOR UNITARIO COMPRADO]]*tblAquisições[[#This Row],[QUANTIDADE COMPRADA]]</f>
        <v>0</v>
      </c>
      <c r="N215" s="110">
        <f>K215-tblAquisições[[#This Row],[QUANTIDADE PLANEJADA]]</f>
        <v>-40</v>
      </c>
      <c r="O215" s="106" t="str">
        <f t="shared" si="7"/>
        <v>Faltando Comprar</v>
      </c>
    </row>
    <row r="216" spans="1:15" ht="31.5">
      <c r="A216" s="16" t="s">
        <v>17</v>
      </c>
      <c r="B216" s="16" t="s">
        <v>28</v>
      </c>
      <c r="C216" s="17" t="s">
        <v>19</v>
      </c>
      <c r="D216" s="18" t="s">
        <v>177</v>
      </c>
      <c r="E216" s="18">
        <v>60</v>
      </c>
      <c r="F216" s="18" t="s">
        <v>21</v>
      </c>
      <c r="G216" s="18" t="s">
        <v>22</v>
      </c>
      <c r="H216" s="18" t="s">
        <v>23</v>
      </c>
      <c r="I216" s="19">
        <v>25.47</v>
      </c>
      <c r="J216" s="20">
        <f t="shared" si="6"/>
        <v>1528.1999999999998</v>
      </c>
      <c r="K216" s="106"/>
      <c r="L216" s="114"/>
      <c r="M216" s="114">
        <f>tblAquisições[[#This Row],[VALOR UNITARIO COMPRADO]]*tblAquisições[[#This Row],[QUANTIDADE COMPRADA]]</f>
        <v>0</v>
      </c>
      <c r="N216" s="110">
        <f>K216-tblAquisições[[#This Row],[QUANTIDADE PLANEJADA]]</f>
        <v>-60</v>
      </c>
      <c r="O216" s="106" t="str">
        <f t="shared" si="7"/>
        <v>Faltando Comprar</v>
      </c>
    </row>
    <row r="217" spans="1:15" ht="31.5">
      <c r="A217" s="16" t="s">
        <v>17</v>
      </c>
      <c r="B217" s="16" t="s">
        <v>80</v>
      </c>
      <c r="C217" s="17" t="s">
        <v>19</v>
      </c>
      <c r="D217" s="18" t="s">
        <v>178</v>
      </c>
      <c r="E217" s="18">
        <v>10</v>
      </c>
      <c r="F217" s="18" t="s">
        <v>38</v>
      </c>
      <c r="G217" s="18" t="s">
        <v>39</v>
      </c>
      <c r="H217" s="18" t="s">
        <v>23</v>
      </c>
      <c r="I217" s="19">
        <v>70.06</v>
      </c>
      <c r="J217" s="20">
        <f t="shared" si="6"/>
        <v>700.6</v>
      </c>
      <c r="K217" s="106"/>
      <c r="L217" s="114"/>
      <c r="M217" s="114">
        <f>tblAquisições[[#This Row],[VALOR UNITARIO COMPRADO]]*tblAquisições[[#This Row],[QUANTIDADE COMPRADA]]</f>
        <v>0</v>
      </c>
      <c r="N217" s="110">
        <f>K217-tblAquisições[[#This Row],[QUANTIDADE PLANEJADA]]</f>
        <v>-10</v>
      </c>
      <c r="O217" s="106" t="str">
        <f t="shared" si="7"/>
        <v>Faltando Comprar</v>
      </c>
    </row>
    <row r="218" spans="1:15" ht="31.5">
      <c r="A218" s="16" t="s">
        <v>17</v>
      </c>
      <c r="B218" s="16" t="s">
        <v>31</v>
      </c>
      <c r="C218" s="17" t="s">
        <v>19</v>
      </c>
      <c r="D218" s="18" t="s">
        <v>179</v>
      </c>
      <c r="E218" s="18">
        <v>30</v>
      </c>
      <c r="F218" s="18" t="s">
        <v>21</v>
      </c>
      <c r="G218" s="18" t="s">
        <v>22</v>
      </c>
      <c r="H218" s="18" t="s">
        <v>23</v>
      </c>
      <c r="I218" s="19">
        <v>70.06</v>
      </c>
      <c r="J218" s="20">
        <f t="shared" si="6"/>
        <v>2101.8000000000002</v>
      </c>
      <c r="K218" s="106"/>
      <c r="L218" s="114"/>
      <c r="M218" s="114">
        <f>tblAquisições[[#This Row],[VALOR UNITARIO COMPRADO]]*tblAquisições[[#This Row],[QUANTIDADE COMPRADA]]</f>
        <v>0</v>
      </c>
      <c r="N218" s="110">
        <f>K218-tblAquisições[[#This Row],[QUANTIDADE PLANEJADA]]</f>
        <v>-30</v>
      </c>
      <c r="O218" s="106" t="str">
        <f t="shared" si="7"/>
        <v>Faltando Comprar</v>
      </c>
    </row>
    <row r="219" spans="1:15" ht="31.5">
      <c r="A219" s="16" t="s">
        <v>17</v>
      </c>
      <c r="B219" s="16" t="s">
        <v>18</v>
      </c>
      <c r="C219" s="17" t="s">
        <v>19</v>
      </c>
      <c r="D219" s="18" t="s">
        <v>179</v>
      </c>
      <c r="E219" s="18">
        <v>20</v>
      </c>
      <c r="F219" s="18" t="s">
        <v>21</v>
      </c>
      <c r="G219" s="18" t="s">
        <v>22</v>
      </c>
      <c r="H219" s="18" t="s">
        <v>23</v>
      </c>
      <c r="I219" s="19">
        <v>70.06</v>
      </c>
      <c r="J219" s="20">
        <f t="shared" si="6"/>
        <v>1401.2</v>
      </c>
      <c r="K219" s="106"/>
      <c r="L219" s="114"/>
      <c r="M219" s="114">
        <f>tblAquisições[[#This Row],[VALOR UNITARIO COMPRADO]]*tblAquisições[[#This Row],[QUANTIDADE COMPRADA]]</f>
        <v>0</v>
      </c>
      <c r="N219" s="110">
        <f>K219-tblAquisições[[#This Row],[QUANTIDADE PLANEJADA]]</f>
        <v>-20</v>
      </c>
      <c r="O219" s="106" t="str">
        <f t="shared" si="7"/>
        <v>Faltando Comprar</v>
      </c>
    </row>
    <row r="220" spans="1:15" ht="31.5">
      <c r="A220" s="16" t="s">
        <v>17</v>
      </c>
      <c r="B220" s="16" t="s">
        <v>24</v>
      </c>
      <c r="C220" s="17" t="s">
        <v>19</v>
      </c>
      <c r="D220" s="18" t="s">
        <v>179</v>
      </c>
      <c r="E220" s="18">
        <v>20</v>
      </c>
      <c r="F220" s="18" t="s">
        <v>21</v>
      </c>
      <c r="G220" s="18" t="s">
        <v>22</v>
      </c>
      <c r="H220" s="18" t="s">
        <v>23</v>
      </c>
      <c r="I220" s="19">
        <v>70.06</v>
      </c>
      <c r="J220" s="20">
        <f t="shared" si="6"/>
        <v>1401.2</v>
      </c>
      <c r="K220" s="106"/>
      <c r="L220" s="114"/>
      <c r="M220" s="114">
        <f>tblAquisições[[#This Row],[VALOR UNITARIO COMPRADO]]*tblAquisições[[#This Row],[QUANTIDADE COMPRADA]]</f>
        <v>0</v>
      </c>
      <c r="N220" s="110">
        <f>K220-tblAquisições[[#This Row],[QUANTIDADE PLANEJADA]]</f>
        <v>-20</v>
      </c>
      <c r="O220" s="106" t="str">
        <f t="shared" si="7"/>
        <v>Faltando Comprar</v>
      </c>
    </row>
    <row r="221" spans="1:15" ht="31.5">
      <c r="A221" s="16" t="s">
        <v>17</v>
      </c>
      <c r="B221" s="16" t="s">
        <v>25</v>
      </c>
      <c r="C221" s="17" t="s">
        <v>19</v>
      </c>
      <c r="D221" s="18" t="s">
        <v>179</v>
      </c>
      <c r="E221" s="18">
        <v>20</v>
      </c>
      <c r="F221" s="18" t="s">
        <v>21</v>
      </c>
      <c r="G221" s="18" t="s">
        <v>22</v>
      </c>
      <c r="H221" s="18" t="s">
        <v>23</v>
      </c>
      <c r="I221" s="19">
        <v>70.06</v>
      </c>
      <c r="J221" s="20">
        <f t="shared" si="6"/>
        <v>1401.2</v>
      </c>
      <c r="K221" s="106"/>
      <c r="L221" s="114"/>
      <c r="M221" s="114">
        <f>tblAquisições[[#This Row],[VALOR UNITARIO COMPRADO]]*tblAquisições[[#This Row],[QUANTIDADE COMPRADA]]</f>
        <v>0</v>
      </c>
      <c r="N221" s="110">
        <f>K221-tblAquisições[[#This Row],[QUANTIDADE PLANEJADA]]</f>
        <v>-20</v>
      </c>
      <c r="O221" s="106" t="str">
        <f t="shared" si="7"/>
        <v>Faltando Comprar</v>
      </c>
    </row>
    <row r="222" spans="1:15" ht="31.5">
      <c r="A222" s="16" t="s">
        <v>17</v>
      </c>
      <c r="B222" s="16" t="s">
        <v>41</v>
      </c>
      <c r="C222" s="17" t="s">
        <v>19</v>
      </c>
      <c r="D222" s="18" t="s">
        <v>179</v>
      </c>
      <c r="E222" s="18">
        <v>20</v>
      </c>
      <c r="F222" s="18" t="s">
        <v>21</v>
      </c>
      <c r="G222" s="18" t="s">
        <v>22</v>
      </c>
      <c r="H222" s="18" t="s">
        <v>23</v>
      </c>
      <c r="I222" s="19">
        <v>70.06</v>
      </c>
      <c r="J222" s="20">
        <f t="shared" si="6"/>
        <v>1401.2</v>
      </c>
      <c r="K222" s="106"/>
      <c r="L222" s="114"/>
      <c r="M222" s="114">
        <f>tblAquisições[[#This Row],[VALOR UNITARIO COMPRADO]]*tblAquisições[[#This Row],[QUANTIDADE COMPRADA]]</f>
        <v>0</v>
      </c>
      <c r="N222" s="110">
        <f>K222-tblAquisições[[#This Row],[QUANTIDADE PLANEJADA]]</f>
        <v>-20</v>
      </c>
      <c r="O222" s="106" t="str">
        <f t="shared" si="7"/>
        <v>Faltando Comprar</v>
      </c>
    </row>
    <row r="223" spans="1:15" ht="31.5">
      <c r="A223" s="16" t="s">
        <v>17</v>
      </c>
      <c r="B223" s="16" t="s">
        <v>26</v>
      </c>
      <c r="C223" s="17" t="s">
        <v>19</v>
      </c>
      <c r="D223" s="18" t="s">
        <v>179</v>
      </c>
      <c r="E223" s="18">
        <v>20</v>
      </c>
      <c r="F223" s="18" t="s">
        <v>21</v>
      </c>
      <c r="G223" s="18" t="s">
        <v>22</v>
      </c>
      <c r="H223" s="18" t="s">
        <v>23</v>
      </c>
      <c r="I223" s="19">
        <v>70.06</v>
      </c>
      <c r="J223" s="20">
        <f t="shared" si="6"/>
        <v>1401.2</v>
      </c>
      <c r="K223" s="106"/>
      <c r="L223" s="114"/>
      <c r="M223" s="114">
        <f>tblAquisições[[#This Row],[VALOR UNITARIO COMPRADO]]*tblAquisições[[#This Row],[QUANTIDADE COMPRADA]]</f>
        <v>0</v>
      </c>
      <c r="N223" s="110">
        <f>K223-tblAquisições[[#This Row],[QUANTIDADE PLANEJADA]]</f>
        <v>-20</v>
      </c>
      <c r="O223" s="106" t="str">
        <f t="shared" si="7"/>
        <v>Faltando Comprar</v>
      </c>
    </row>
    <row r="224" spans="1:15" ht="31.5">
      <c r="A224" s="16" t="s">
        <v>17</v>
      </c>
      <c r="B224" s="16" t="s">
        <v>27</v>
      </c>
      <c r="C224" s="17" t="s">
        <v>19</v>
      </c>
      <c r="D224" s="18" t="s">
        <v>179</v>
      </c>
      <c r="E224" s="18">
        <v>20</v>
      </c>
      <c r="F224" s="18" t="s">
        <v>21</v>
      </c>
      <c r="G224" s="18" t="s">
        <v>22</v>
      </c>
      <c r="H224" s="18" t="s">
        <v>23</v>
      </c>
      <c r="I224" s="19">
        <v>70.06</v>
      </c>
      <c r="J224" s="20">
        <f t="shared" si="6"/>
        <v>1401.2</v>
      </c>
      <c r="K224" s="106"/>
      <c r="L224" s="114"/>
      <c r="M224" s="114">
        <f>tblAquisições[[#This Row],[VALOR UNITARIO COMPRADO]]*tblAquisições[[#This Row],[QUANTIDADE COMPRADA]]</f>
        <v>0</v>
      </c>
      <c r="N224" s="110">
        <f>K224-tblAquisições[[#This Row],[QUANTIDADE PLANEJADA]]</f>
        <v>-20</v>
      </c>
      <c r="O224" s="106" t="str">
        <f t="shared" si="7"/>
        <v>Faltando Comprar</v>
      </c>
    </row>
    <row r="225" spans="1:15" ht="31.5">
      <c r="A225" s="16" t="s">
        <v>17</v>
      </c>
      <c r="B225" s="16" t="s">
        <v>28</v>
      </c>
      <c r="C225" s="17" t="s">
        <v>19</v>
      </c>
      <c r="D225" s="18" t="s">
        <v>179</v>
      </c>
      <c r="E225" s="18">
        <v>6</v>
      </c>
      <c r="F225" s="18" t="s">
        <v>21</v>
      </c>
      <c r="G225" s="18" t="s">
        <v>22</v>
      </c>
      <c r="H225" s="18" t="s">
        <v>23</v>
      </c>
      <c r="I225" s="19">
        <v>70.06</v>
      </c>
      <c r="J225" s="20">
        <f t="shared" si="6"/>
        <v>420.36</v>
      </c>
      <c r="K225" s="106"/>
      <c r="L225" s="114"/>
      <c r="M225" s="114">
        <f>tblAquisições[[#This Row],[VALOR UNITARIO COMPRADO]]*tblAquisições[[#This Row],[QUANTIDADE COMPRADA]]</f>
        <v>0</v>
      </c>
      <c r="N225" s="110">
        <f>K225-tblAquisições[[#This Row],[QUANTIDADE PLANEJADA]]</f>
        <v>-6</v>
      </c>
      <c r="O225" s="106" t="str">
        <f t="shared" si="7"/>
        <v>Faltando Comprar</v>
      </c>
    </row>
    <row r="226" spans="1:15" ht="31.5">
      <c r="A226" s="16" t="s">
        <v>17</v>
      </c>
      <c r="B226" s="16" t="s">
        <v>28</v>
      </c>
      <c r="C226" s="17" t="s">
        <v>19</v>
      </c>
      <c r="D226" s="18" t="s">
        <v>180</v>
      </c>
      <c r="E226" s="18">
        <v>36</v>
      </c>
      <c r="F226" s="18" t="s">
        <v>21</v>
      </c>
      <c r="G226" s="18" t="s">
        <v>22</v>
      </c>
      <c r="H226" s="18" t="s">
        <v>23</v>
      </c>
      <c r="I226" s="19">
        <v>71.28</v>
      </c>
      <c r="J226" s="20">
        <f t="shared" si="6"/>
        <v>2566.08</v>
      </c>
      <c r="K226" s="106"/>
      <c r="L226" s="114"/>
      <c r="M226" s="114">
        <f>tblAquisições[[#This Row],[VALOR UNITARIO COMPRADO]]*tblAquisições[[#This Row],[QUANTIDADE COMPRADA]]</f>
        <v>0</v>
      </c>
      <c r="N226" s="110">
        <f>K226-tblAquisições[[#This Row],[QUANTIDADE PLANEJADA]]</f>
        <v>-36</v>
      </c>
      <c r="O226" s="106" t="str">
        <f t="shared" si="7"/>
        <v>Faltando Comprar</v>
      </c>
    </row>
    <row r="227" spans="1:15" ht="31.5">
      <c r="A227" s="16" t="s">
        <v>17</v>
      </c>
      <c r="B227" s="16" t="s">
        <v>26</v>
      </c>
      <c r="C227" s="17" t="s">
        <v>19</v>
      </c>
      <c r="D227" s="18" t="s">
        <v>181</v>
      </c>
      <c r="E227" s="18">
        <v>20</v>
      </c>
      <c r="F227" s="18" t="s">
        <v>21</v>
      </c>
      <c r="G227" s="18" t="s">
        <v>22</v>
      </c>
      <c r="H227" s="18" t="s">
        <v>23</v>
      </c>
      <c r="I227" s="19">
        <v>6.71</v>
      </c>
      <c r="J227" s="20">
        <f t="shared" si="6"/>
        <v>134.19999999999999</v>
      </c>
      <c r="K227" s="106"/>
      <c r="L227" s="114"/>
      <c r="M227" s="114">
        <f>tblAquisições[[#This Row],[VALOR UNITARIO COMPRADO]]*tblAquisições[[#This Row],[QUANTIDADE COMPRADA]]</f>
        <v>0</v>
      </c>
      <c r="N227" s="110">
        <f>K227-tblAquisições[[#This Row],[QUANTIDADE PLANEJADA]]</f>
        <v>-20</v>
      </c>
      <c r="O227" s="106" t="str">
        <f t="shared" si="7"/>
        <v>Faltando Comprar</v>
      </c>
    </row>
    <row r="228" spans="1:15" ht="31.5">
      <c r="A228" s="16" t="s">
        <v>17</v>
      </c>
      <c r="B228" s="16" t="s">
        <v>26</v>
      </c>
      <c r="C228" s="17" t="s">
        <v>19</v>
      </c>
      <c r="D228" s="18" t="s">
        <v>182</v>
      </c>
      <c r="E228" s="18">
        <v>10</v>
      </c>
      <c r="F228" s="18" t="s">
        <v>21</v>
      </c>
      <c r="G228" s="18" t="s">
        <v>22</v>
      </c>
      <c r="H228" s="18" t="s">
        <v>23</v>
      </c>
      <c r="I228" s="19">
        <v>14.62</v>
      </c>
      <c r="J228" s="20">
        <f t="shared" si="6"/>
        <v>146.19999999999999</v>
      </c>
      <c r="K228" s="106"/>
      <c r="L228" s="114"/>
      <c r="M228" s="114">
        <f>tblAquisições[[#This Row],[VALOR UNITARIO COMPRADO]]*tblAquisições[[#This Row],[QUANTIDADE COMPRADA]]</f>
        <v>0</v>
      </c>
      <c r="N228" s="110">
        <f>K228-tblAquisições[[#This Row],[QUANTIDADE PLANEJADA]]</f>
        <v>-10</v>
      </c>
      <c r="O228" s="106" t="str">
        <f t="shared" si="7"/>
        <v>Faltando Comprar</v>
      </c>
    </row>
    <row r="229" spans="1:15" ht="31.5">
      <c r="A229" s="16" t="s">
        <v>17</v>
      </c>
      <c r="B229" s="16" t="s">
        <v>25</v>
      </c>
      <c r="C229" s="17" t="s">
        <v>19</v>
      </c>
      <c r="D229" s="18" t="s">
        <v>183</v>
      </c>
      <c r="E229" s="18">
        <v>300</v>
      </c>
      <c r="F229" s="18" t="s">
        <v>21</v>
      </c>
      <c r="G229" s="18" t="s">
        <v>22</v>
      </c>
      <c r="H229" s="18" t="s">
        <v>83</v>
      </c>
      <c r="I229" s="19">
        <v>2.64</v>
      </c>
      <c r="J229" s="20">
        <f t="shared" si="6"/>
        <v>792</v>
      </c>
      <c r="K229" s="106"/>
      <c r="L229" s="114"/>
      <c r="M229" s="114">
        <f>tblAquisições[[#This Row],[VALOR UNITARIO COMPRADO]]*tblAquisições[[#This Row],[QUANTIDADE COMPRADA]]</f>
        <v>0</v>
      </c>
      <c r="N229" s="110">
        <f>K229-tblAquisições[[#This Row],[QUANTIDADE PLANEJADA]]</f>
        <v>-300</v>
      </c>
      <c r="O229" s="106" t="str">
        <f t="shared" si="7"/>
        <v>Faltando Comprar</v>
      </c>
    </row>
    <row r="230" spans="1:15" ht="31.5">
      <c r="A230" s="16" t="s">
        <v>17</v>
      </c>
      <c r="B230" s="16" t="s">
        <v>28</v>
      </c>
      <c r="C230" s="17" t="s">
        <v>19</v>
      </c>
      <c r="D230" s="18" t="s">
        <v>183</v>
      </c>
      <c r="E230" s="18">
        <v>700</v>
      </c>
      <c r="F230" s="18" t="s">
        <v>21</v>
      </c>
      <c r="G230" s="18" t="s">
        <v>22</v>
      </c>
      <c r="H230" s="18" t="s">
        <v>83</v>
      </c>
      <c r="I230" s="19">
        <v>2.64</v>
      </c>
      <c r="J230" s="20">
        <f t="shared" si="6"/>
        <v>1848</v>
      </c>
      <c r="K230" s="106"/>
      <c r="L230" s="114"/>
      <c r="M230" s="114">
        <f>tblAquisições[[#This Row],[VALOR UNITARIO COMPRADO]]*tblAquisições[[#This Row],[QUANTIDADE COMPRADA]]</f>
        <v>0</v>
      </c>
      <c r="N230" s="110">
        <f>K230-tblAquisições[[#This Row],[QUANTIDADE PLANEJADA]]</f>
        <v>-700</v>
      </c>
      <c r="O230" s="106" t="str">
        <f t="shared" si="7"/>
        <v>Faltando Comprar</v>
      </c>
    </row>
    <row r="231" spans="1:15" ht="31.5">
      <c r="A231" s="16" t="s">
        <v>17</v>
      </c>
      <c r="B231" s="16" t="s">
        <v>26</v>
      </c>
      <c r="C231" s="17" t="s">
        <v>19</v>
      </c>
      <c r="D231" s="18" t="s">
        <v>184</v>
      </c>
      <c r="E231" s="18">
        <v>4</v>
      </c>
      <c r="F231" s="18" t="s">
        <v>30</v>
      </c>
      <c r="G231" s="18" t="s">
        <v>22</v>
      </c>
      <c r="H231" s="18" t="s">
        <v>23</v>
      </c>
      <c r="I231" s="19">
        <v>307.60000000000002</v>
      </c>
      <c r="J231" s="20">
        <f t="shared" si="6"/>
        <v>1230.4000000000001</v>
      </c>
      <c r="K231" s="106"/>
      <c r="L231" s="114"/>
      <c r="M231" s="114">
        <f>tblAquisições[[#This Row],[VALOR UNITARIO COMPRADO]]*tblAquisições[[#This Row],[QUANTIDADE COMPRADA]]</f>
        <v>0</v>
      </c>
      <c r="N231" s="110">
        <f>K231-tblAquisições[[#This Row],[QUANTIDADE PLANEJADA]]</f>
        <v>-4</v>
      </c>
      <c r="O231" s="106" t="str">
        <f t="shared" si="7"/>
        <v>Faltando Comprar</v>
      </c>
    </row>
    <row r="232" spans="1:15" ht="31.5">
      <c r="A232" s="16" t="s">
        <v>17</v>
      </c>
      <c r="B232" s="16" t="s">
        <v>28</v>
      </c>
      <c r="C232" s="17" t="s">
        <v>19</v>
      </c>
      <c r="D232" s="18" t="s">
        <v>185</v>
      </c>
      <c r="E232" s="18">
        <v>43</v>
      </c>
      <c r="F232" s="18" t="s">
        <v>21</v>
      </c>
      <c r="G232" s="18" t="s">
        <v>22</v>
      </c>
      <c r="H232" s="18" t="s">
        <v>23</v>
      </c>
      <c r="I232" s="19">
        <v>67.459999999999994</v>
      </c>
      <c r="J232" s="20">
        <f t="shared" si="6"/>
        <v>2900.7799999999997</v>
      </c>
      <c r="K232" s="106"/>
      <c r="L232" s="114"/>
      <c r="M232" s="114">
        <f>tblAquisições[[#This Row],[VALOR UNITARIO COMPRADO]]*tblAquisições[[#This Row],[QUANTIDADE COMPRADA]]</f>
        <v>0</v>
      </c>
      <c r="N232" s="110">
        <f>K232-tblAquisições[[#This Row],[QUANTIDADE PLANEJADA]]</f>
        <v>-43</v>
      </c>
      <c r="O232" s="106" t="str">
        <f t="shared" si="7"/>
        <v>Faltando Comprar</v>
      </c>
    </row>
    <row r="233" spans="1:15" ht="47.25">
      <c r="A233" s="16" t="s">
        <v>17</v>
      </c>
      <c r="B233" s="16" t="s">
        <v>28</v>
      </c>
      <c r="C233" s="17" t="s">
        <v>19</v>
      </c>
      <c r="D233" s="18" t="s">
        <v>186</v>
      </c>
      <c r="E233" s="18">
        <v>8000</v>
      </c>
      <c r="F233" s="18" t="s">
        <v>118</v>
      </c>
      <c r="G233" s="18" t="s">
        <v>22</v>
      </c>
      <c r="H233" s="18" t="s">
        <v>23</v>
      </c>
      <c r="I233" s="19">
        <v>161.66999999999999</v>
      </c>
      <c r="J233" s="20">
        <f t="shared" si="6"/>
        <v>1293360</v>
      </c>
      <c r="K233" s="106"/>
      <c r="L233" s="114"/>
      <c r="M233" s="114">
        <f>tblAquisições[[#This Row],[VALOR UNITARIO COMPRADO]]*tblAquisições[[#This Row],[QUANTIDADE COMPRADA]]</f>
        <v>0</v>
      </c>
      <c r="N233" s="110">
        <f>K233-tblAquisições[[#This Row],[QUANTIDADE PLANEJADA]]</f>
        <v>-8000</v>
      </c>
      <c r="O233" s="106" t="str">
        <f t="shared" si="7"/>
        <v>Faltando Comprar</v>
      </c>
    </row>
    <row r="234" spans="1:15" ht="31.5">
      <c r="A234" s="16" t="s">
        <v>17</v>
      </c>
      <c r="B234" s="16" t="s">
        <v>80</v>
      </c>
      <c r="C234" s="17" t="s">
        <v>19</v>
      </c>
      <c r="D234" s="18" t="s">
        <v>187</v>
      </c>
      <c r="E234" s="18">
        <v>6</v>
      </c>
      <c r="F234" s="18" t="s">
        <v>38</v>
      </c>
      <c r="G234" s="18" t="s">
        <v>39</v>
      </c>
      <c r="H234" s="18" t="s">
        <v>23</v>
      </c>
      <c r="I234" s="19">
        <v>77.239999999999995</v>
      </c>
      <c r="J234" s="20">
        <f t="shared" si="6"/>
        <v>463.43999999999994</v>
      </c>
      <c r="K234" s="106"/>
      <c r="L234" s="114"/>
      <c r="M234" s="114">
        <f>tblAquisições[[#This Row],[VALOR UNITARIO COMPRADO]]*tblAquisições[[#This Row],[QUANTIDADE COMPRADA]]</f>
        <v>0</v>
      </c>
      <c r="N234" s="110">
        <f>K234-tblAquisições[[#This Row],[QUANTIDADE PLANEJADA]]</f>
        <v>-6</v>
      </c>
      <c r="O234" s="106" t="str">
        <f t="shared" si="7"/>
        <v>Faltando Comprar</v>
      </c>
    </row>
    <row r="235" spans="1:15" ht="31.5">
      <c r="A235" s="16" t="s">
        <v>17</v>
      </c>
      <c r="B235" s="16" t="s">
        <v>28</v>
      </c>
      <c r="C235" s="17" t="s">
        <v>19</v>
      </c>
      <c r="D235" s="18" t="s">
        <v>188</v>
      </c>
      <c r="E235" s="18">
        <v>100</v>
      </c>
      <c r="F235" s="18" t="s">
        <v>21</v>
      </c>
      <c r="G235" s="18" t="s">
        <v>22</v>
      </c>
      <c r="H235" s="18" t="s">
        <v>23</v>
      </c>
      <c r="I235" s="19">
        <v>77.239999999999995</v>
      </c>
      <c r="J235" s="20">
        <f t="shared" si="6"/>
        <v>7723.9999999999991</v>
      </c>
      <c r="K235" s="106"/>
      <c r="L235" s="114"/>
      <c r="M235" s="114">
        <f>tblAquisições[[#This Row],[VALOR UNITARIO COMPRADO]]*tblAquisições[[#This Row],[QUANTIDADE COMPRADA]]</f>
        <v>0</v>
      </c>
      <c r="N235" s="110">
        <f>K235-tblAquisições[[#This Row],[QUANTIDADE PLANEJADA]]</f>
        <v>-100</v>
      </c>
      <c r="O235" s="106" t="str">
        <f t="shared" si="7"/>
        <v>Faltando Comprar</v>
      </c>
    </row>
    <row r="236" spans="1:15" ht="47.25">
      <c r="A236" s="16" t="s">
        <v>17</v>
      </c>
      <c r="B236" s="16" t="s">
        <v>26</v>
      </c>
      <c r="C236" s="17" t="s">
        <v>19</v>
      </c>
      <c r="D236" s="18" t="s">
        <v>189</v>
      </c>
      <c r="E236" s="18">
        <v>36</v>
      </c>
      <c r="F236" s="18" t="s">
        <v>78</v>
      </c>
      <c r="G236" s="18" t="s">
        <v>22</v>
      </c>
      <c r="H236" s="18" t="s">
        <v>23</v>
      </c>
      <c r="I236" s="19">
        <v>16.989999999999998</v>
      </c>
      <c r="J236" s="20">
        <f t="shared" si="6"/>
        <v>611.64</v>
      </c>
      <c r="K236" s="106"/>
      <c r="L236" s="114"/>
      <c r="M236" s="114">
        <f>tblAquisições[[#This Row],[VALOR UNITARIO COMPRADO]]*tblAquisições[[#This Row],[QUANTIDADE COMPRADA]]</f>
        <v>0</v>
      </c>
      <c r="N236" s="110">
        <f>K236-tblAquisições[[#This Row],[QUANTIDADE PLANEJADA]]</f>
        <v>-36</v>
      </c>
      <c r="O236" s="106" t="str">
        <f t="shared" si="7"/>
        <v>Faltando Comprar</v>
      </c>
    </row>
    <row r="237" spans="1:15" ht="47.25">
      <c r="A237" s="16" t="s">
        <v>17</v>
      </c>
      <c r="B237" s="16" t="s">
        <v>80</v>
      </c>
      <c r="C237" s="17" t="s">
        <v>19</v>
      </c>
      <c r="D237" s="18" t="s">
        <v>190</v>
      </c>
      <c r="E237" s="18">
        <v>60</v>
      </c>
      <c r="F237" s="18" t="s">
        <v>191</v>
      </c>
      <c r="G237" s="18" t="s">
        <v>39</v>
      </c>
      <c r="H237" s="18" t="s">
        <v>23</v>
      </c>
      <c r="I237" s="19">
        <v>26.29</v>
      </c>
      <c r="J237" s="20">
        <f t="shared" si="6"/>
        <v>1577.3999999999999</v>
      </c>
      <c r="K237" s="106"/>
      <c r="L237" s="114"/>
      <c r="M237" s="114">
        <f>tblAquisições[[#This Row],[VALOR UNITARIO COMPRADO]]*tblAquisições[[#This Row],[QUANTIDADE COMPRADA]]</f>
        <v>0</v>
      </c>
      <c r="N237" s="110">
        <f>K237-tblAquisições[[#This Row],[QUANTIDADE PLANEJADA]]</f>
        <v>-60</v>
      </c>
      <c r="O237" s="106" t="str">
        <f t="shared" si="7"/>
        <v>Faltando Comprar</v>
      </c>
    </row>
    <row r="238" spans="1:15" ht="31.5">
      <c r="A238" s="16" t="s">
        <v>17</v>
      </c>
      <c r="B238" s="16" t="s">
        <v>80</v>
      </c>
      <c r="C238" s="17" t="s">
        <v>19</v>
      </c>
      <c r="D238" s="18" t="s">
        <v>192</v>
      </c>
      <c r="E238" s="18">
        <v>30</v>
      </c>
      <c r="F238" s="18" t="s">
        <v>38</v>
      </c>
      <c r="G238" s="18" t="s">
        <v>39</v>
      </c>
      <c r="H238" s="21"/>
      <c r="I238" s="19">
        <v>14</v>
      </c>
      <c r="J238" s="20">
        <f t="shared" si="6"/>
        <v>420</v>
      </c>
      <c r="K238" s="106"/>
      <c r="L238" s="114"/>
      <c r="M238" s="114">
        <f>tblAquisições[[#This Row],[VALOR UNITARIO COMPRADO]]*tblAquisições[[#This Row],[QUANTIDADE COMPRADA]]</f>
        <v>0</v>
      </c>
      <c r="N238" s="110">
        <f>K238-tblAquisições[[#This Row],[QUANTIDADE PLANEJADA]]</f>
        <v>-30</v>
      </c>
      <c r="O238" s="106" t="str">
        <f t="shared" si="7"/>
        <v>Faltando Comprar</v>
      </c>
    </row>
    <row r="239" spans="1:15" ht="31.5">
      <c r="A239" s="16" t="s">
        <v>17</v>
      </c>
      <c r="B239" s="16" t="s">
        <v>26</v>
      </c>
      <c r="C239" s="17" t="s">
        <v>19</v>
      </c>
      <c r="D239" s="18" t="s">
        <v>193</v>
      </c>
      <c r="E239" s="18">
        <v>50</v>
      </c>
      <c r="F239" s="18" t="s">
        <v>21</v>
      </c>
      <c r="G239" s="18" t="s">
        <v>22</v>
      </c>
      <c r="H239" s="18" t="s">
        <v>23</v>
      </c>
      <c r="I239" s="19">
        <v>14</v>
      </c>
      <c r="J239" s="20">
        <f t="shared" si="6"/>
        <v>700</v>
      </c>
      <c r="K239" s="106"/>
      <c r="L239" s="114"/>
      <c r="M239" s="114">
        <f>tblAquisições[[#This Row],[VALOR UNITARIO COMPRADO]]*tblAquisições[[#This Row],[QUANTIDADE COMPRADA]]</f>
        <v>0</v>
      </c>
      <c r="N239" s="110">
        <f>K239-tblAquisições[[#This Row],[QUANTIDADE PLANEJADA]]</f>
        <v>-50</v>
      </c>
      <c r="O239" s="106" t="str">
        <f t="shared" si="7"/>
        <v>Faltando Comprar</v>
      </c>
    </row>
    <row r="240" spans="1:15" ht="31.5">
      <c r="A240" s="16" t="s">
        <v>17</v>
      </c>
      <c r="B240" s="16" t="s">
        <v>80</v>
      </c>
      <c r="C240" s="17" t="s">
        <v>19</v>
      </c>
      <c r="D240" s="18" t="s">
        <v>194</v>
      </c>
      <c r="E240" s="18">
        <v>30</v>
      </c>
      <c r="F240" s="18" t="s">
        <v>38</v>
      </c>
      <c r="G240" s="18" t="s">
        <v>39</v>
      </c>
      <c r="H240" s="21"/>
      <c r="I240" s="19">
        <v>17.88</v>
      </c>
      <c r="J240" s="20">
        <f t="shared" si="6"/>
        <v>536.4</v>
      </c>
      <c r="K240" s="106"/>
      <c r="L240" s="114"/>
      <c r="M240" s="114">
        <f>tblAquisições[[#This Row],[VALOR UNITARIO COMPRADO]]*tblAquisições[[#This Row],[QUANTIDADE COMPRADA]]</f>
        <v>0</v>
      </c>
      <c r="N240" s="110">
        <f>K240-tblAquisições[[#This Row],[QUANTIDADE PLANEJADA]]</f>
        <v>-30</v>
      </c>
      <c r="O240" s="106" t="str">
        <f t="shared" si="7"/>
        <v>Faltando Comprar</v>
      </c>
    </row>
    <row r="241" spans="1:15" ht="31.5">
      <c r="A241" s="16" t="s">
        <v>17</v>
      </c>
      <c r="B241" s="16" t="s">
        <v>26</v>
      </c>
      <c r="C241" s="17" t="s">
        <v>19</v>
      </c>
      <c r="D241" s="18" t="s">
        <v>195</v>
      </c>
      <c r="E241" s="18">
        <v>60</v>
      </c>
      <c r="F241" s="18" t="s">
        <v>21</v>
      </c>
      <c r="G241" s="18" t="s">
        <v>22</v>
      </c>
      <c r="H241" s="18" t="s">
        <v>23</v>
      </c>
      <c r="I241" s="19">
        <v>17.88</v>
      </c>
      <c r="J241" s="20">
        <f t="shared" si="6"/>
        <v>1072.8</v>
      </c>
      <c r="K241" s="106"/>
      <c r="L241" s="114"/>
      <c r="M241" s="114">
        <f>tblAquisições[[#This Row],[VALOR UNITARIO COMPRADO]]*tblAquisições[[#This Row],[QUANTIDADE COMPRADA]]</f>
        <v>0</v>
      </c>
      <c r="N241" s="110">
        <f>K241-tblAquisições[[#This Row],[QUANTIDADE PLANEJADA]]</f>
        <v>-60</v>
      </c>
      <c r="O241" s="106" t="str">
        <f t="shared" si="7"/>
        <v>Faltando Comprar</v>
      </c>
    </row>
    <row r="242" spans="1:15" ht="31.5">
      <c r="A242" s="16" t="s">
        <v>17</v>
      </c>
      <c r="B242" s="16" t="s">
        <v>80</v>
      </c>
      <c r="C242" s="17" t="s">
        <v>19</v>
      </c>
      <c r="D242" s="18" t="s">
        <v>196</v>
      </c>
      <c r="E242" s="18">
        <v>30</v>
      </c>
      <c r="F242" s="18" t="s">
        <v>38</v>
      </c>
      <c r="G242" s="18" t="s">
        <v>39</v>
      </c>
      <c r="H242" s="21"/>
      <c r="I242" s="19">
        <v>22.31</v>
      </c>
      <c r="J242" s="20">
        <f t="shared" si="6"/>
        <v>669.3</v>
      </c>
      <c r="K242" s="106"/>
      <c r="L242" s="114"/>
      <c r="M242" s="114">
        <f>tblAquisições[[#This Row],[VALOR UNITARIO COMPRADO]]*tblAquisições[[#This Row],[QUANTIDADE COMPRADA]]</f>
        <v>0</v>
      </c>
      <c r="N242" s="110">
        <f>K242-tblAquisições[[#This Row],[QUANTIDADE PLANEJADA]]</f>
        <v>-30</v>
      </c>
      <c r="O242" s="106" t="str">
        <f t="shared" si="7"/>
        <v>Faltando Comprar</v>
      </c>
    </row>
    <row r="243" spans="1:15" ht="31.5">
      <c r="A243" s="16" t="s">
        <v>17</v>
      </c>
      <c r="B243" s="16" t="s">
        <v>26</v>
      </c>
      <c r="C243" s="17" t="s">
        <v>19</v>
      </c>
      <c r="D243" s="18" t="s">
        <v>197</v>
      </c>
      <c r="E243" s="18">
        <v>50</v>
      </c>
      <c r="F243" s="18" t="s">
        <v>21</v>
      </c>
      <c r="G243" s="18" t="s">
        <v>22</v>
      </c>
      <c r="H243" s="18" t="s">
        <v>23</v>
      </c>
      <c r="I243" s="19">
        <v>22.31</v>
      </c>
      <c r="J243" s="20">
        <f t="shared" si="6"/>
        <v>1115.5</v>
      </c>
      <c r="K243" s="106"/>
      <c r="L243" s="114"/>
      <c r="M243" s="114">
        <f>tblAquisições[[#This Row],[VALOR UNITARIO COMPRADO]]*tblAquisições[[#This Row],[QUANTIDADE COMPRADA]]</f>
        <v>0</v>
      </c>
      <c r="N243" s="110">
        <f>K243-tblAquisições[[#This Row],[QUANTIDADE PLANEJADA]]</f>
        <v>-50</v>
      </c>
      <c r="O243" s="106" t="str">
        <f t="shared" si="7"/>
        <v>Faltando Comprar</v>
      </c>
    </row>
    <row r="244" spans="1:15" ht="31.5">
      <c r="A244" s="16" t="s">
        <v>17</v>
      </c>
      <c r="B244" s="16" t="s">
        <v>17</v>
      </c>
      <c r="C244" s="17" t="s">
        <v>19</v>
      </c>
      <c r="D244" s="18" t="s">
        <v>198</v>
      </c>
      <c r="E244" s="18">
        <v>500</v>
      </c>
      <c r="F244" s="18" t="s">
        <v>38</v>
      </c>
      <c r="G244" s="18" t="s">
        <v>39</v>
      </c>
      <c r="H244" s="18" t="s">
        <v>23</v>
      </c>
      <c r="I244" s="19">
        <v>12.17</v>
      </c>
      <c r="J244" s="20">
        <f t="shared" si="6"/>
        <v>6085</v>
      </c>
      <c r="K244" s="106"/>
      <c r="L244" s="114"/>
      <c r="M244" s="114">
        <f>tblAquisições[[#This Row],[VALOR UNITARIO COMPRADO]]*tblAquisições[[#This Row],[QUANTIDADE COMPRADA]]</f>
        <v>0</v>
      </c>
      <c r="N244" s="110">
        <f>K244-tblAquisições[[#This Row],[QUANTIDADE PLANEJADA]]</f>
        <v>-500</v>
      </c>
      <c r="O244" s="106" t="str">
        <f t="shared" si="7"/>
        <v>Faltando Comprar</v>
      </c>
    </row>
    <row r="245" spans="1:15" ht="31.5">
      <c r="A245" s="16" t="s">
        <v>17</v>
      </c>
      <c r="B245" s="16" t="s">
        <v>34</v>
      </c>
      <c r="C245" s="17" t="s">
        <v>19</v>
      </c>
      <c r="D245" s="18" t="s">
        <v>199</v>
      </c>
      <c r="E245" s="18">
        <v>40</v>
      </c>
      <c r="F245" s="18" t="s">
        <v>21</v>
      </c>
      <c r="G245" s="18" t="s">
        <v>22</v>
      </c>
      <c r="H245" s="18" t="s">
        <v>23</v>
      </c>
      <c r="I245" s="19">
        <v>12.17</v>
      </c>
      <c r="J245" s="20">
        <f t="shared" si="6"/>
        <v>486.8</v>
      </c>
      <c r="K245" s="106"/>
      <c r="L245" s="114"/>
      <c r="M245" s="114">
        <f>tblAquisições[[#This Row],[VALOR UNITARIO COMPRADO]]*tblAquisições[[#This Row],[QUANTIDADE COMPRADA]]</f>
        <v>0</v>
      </c>
      <c r="N245" s="110">
        <f>K245-tblAquisições[[#This Row],[QUANTIDADE PLANEJADA]]</f>
        <v>-40</v>
      </c>
      <c r="O245" s="106" t="str">
        <f t="shared" si="7"/>
        <v>Faltando Comprar</v>
      </c>
    </row>
    <row r="246" spans="1:15" ht="31.5">
      <c r="A246" s="16" t="s">
        <v>17</v>
      </c>
      <c r="B246" s="16" t="s">
        <v>41</v>
      </c>
      <c r="C246" s="17" t="s">
        <v>19</v>
      </c>
      <c r="D246" s="18" t="s">
        <v>199</v>
      </c>
      <c r="E246" s="18">
        <v>600</v>
      </c>
      <c r="F246" s="18" t="s">
        <v>21</v>
      </c>
      <c r="G246" s="18" t="s">
        <v>22</v>
      </c>
      <c r="H246" s="18" t="s">
        <v>83</v>
      </c>
      <c r="I246" s="19">
        <v>12.17</v>
      </c>
      <c r="J246" s="20">
        <f t="shared" si="6"/>
        <v>7302</v>
      </c>
      <c r="K246" s="106"/>
      <c r="L246" s="114"/>
      <c r="M246" s="114">
        <f>tblAquisições[[#This Row],[VALOR UNITARIO COMPRADO]]*tblAquisições[[#This Row],[QUANTIDADE COMPRADA]]</f>
        <v>0</v>
      </c>
      <c r="N246" s="110">
        <f>K246-tblAquisições[[#This Row],[QUANTIDADE PLANEJADA]]</f>
        <v>-600</v>
      </c>
      <c r="O246" s="106" t="str">
        <f t="shared" si="7"/>
        <v>Faltando Comprar</v>
      </c>
    </row>
    <row r="247" spans="1:15" ht="31.5">
      <c r="A247" s="16" t="s">
        <v>17</v>
      </c>
      <c r="B247" s="16" t="s">
        <v>26</v>
      </c>
      <c r="C247" s="17" t="s">
        <v>19</v>
      </c>
      <c r="D247" s="18" t="s">
        <v>199</v>
      </c>
      <c r="E247" s="18">
        <v>20</v>
      </c>
      <c r="F247" s="18" t="s">
        <v>21</v>
      </c>
      <c r="G247" s="18" t="s">
        <v>22</v>
      </c>
      <c r="H247" s="18" t="s">
        <v>23</v>
      </c>
      <c r="I247" s="19">
        <v>12.17</v>
      </c>
      <c r="J247" s="20">
        <f t="shared" si="6"/>
        <v>243.4</v>
      </c>
      <c r="K247" s="106"/>
      <c r="L247" s="114"/>
      <c r="M247" s="114">
        <f>tblAquisições[[#This Row],[VALOR UNITARIO COMPRADO]]*tblAquisições[[#This Row],[QUANTIDADE COMPRADA]]</f>
        <v>0</v>
      </c>
      <c r="N247" s="110">
        <f>K247-tblAquisições[[#This Row],[QUANTIDADE PLANEJADA]]</f>
        <v>-20</v>
      </c>
      <c r="O247" s="106" t="str">
        <f t="shared" si="7"/>
        <v>Faltando Comprar</v>
      </c>
    </row>
    <row r="248" spans="1:15" ht="31.5">
      <c r="A248" s="16" t="s">
        <v>17</v>
      </c>
      <c r="B248" s="16" t="s">
        <v>18</v>
      </c>
      <c r="C248" s="17" t="s">
        <v>19</v>
      </c>
      <c r="D248" s="18" t="s">
        <v>200</v>
      </c>
      <c r="E248" s="18">
        <v>1200</v>
      </c>
      <c r="F248" s="18" t="s">
        <v>21</v>
      </c>
      <c r="G248" s="18" t="s">
        <v>22</v>
      </c>
      <c r="H248" s="18" t="s">
        <v>23</v>
      </c>
      <c r="I248" s="19">
        <v>1.41</v>
      </c>
      <c r="J248" s="20">
        <f t="shared" si="6"/>
        <v>1692</v>
      </c>
      <c r="K248" s="106"/>
      <c r="L248" s="114"/>
      <c r="M248" s="114">
        <f>tblAquisições[[#This Row],[VALOR UNITARIO COMPRADO]]*tblAquisições[[#This Row],[QUANTIDADE COMPRADA]]</f>
        <v>0</v>
      </c>
      <c r="N248" s="110">
        <f>K248-tblAquisições[[#This Row],[QUANTIDADE PLANEJADA]]</f>
        <v>-1200</v>
      </c>
      <c r="O248" s="106" t="str">
        <f t="shared" si="7"/>
        <v>Faltando Comprar</v>
      </c>
    </row>
    <row r="249" spans="1:15" ht="31.5">
      <c r="A249" s="16" t="s">
        <v>17</v>
      </c>
      <c r="B249" s="16" t="s">
        <v>24</v>
      </c>
      <c r="C249" s="17" t="s">
        <v>19</v>
      </c>
      <c r="D249" s="18" t="s">
        <v>200</v>
      </c>
      <c r="E249" s="18">
        <v>1200</v>
      </c>
      <c r="F249" s="18" t="s">
        <v>21</v>
      </c>
      <c r="G249" s="18" t="s">
        <v>22</v>
      </c>
      <c r="H249" s="18" t="s">
        <v>23</v>
      </c>
      <c r="I249" s="19">
        <v>1.41</v>
      </c>
      <c r="J249" s="20">
        <f t="shared" si="6"/>
        <v>1692</v>
      </c>
      <c r="K249" s="106"/>
      <c r="L249" s="114"/>
      <c r="M249" s="114">
        <f>tblAquisições[[#This Row],[VALOR UNITARIO COMPRADO]]*tblAquisições[[#This Row],[QUANTIDADE COMPRADA]]</f>
        <v>0</v>
      </c>
      <c r="N249" s="110">
        <f>K249-tblAquisições[[#This Row],[QUANTIDADE PLANEJADA]]</f>
        <v>-1200</v>
      </c>
      <c r="O249" s="106" t="str">
        <f t="shared" si="7"/>
        <v>Faltando Comprar</v>
      </c>
    </row>
    <row r="250" spans="1:15" ht="31.5">
      <c r="A250" s="16" t="s">
        <v>17</v>
      </c>
      <c r="B250" s="16" t="s">
        <v>25</v>
      </c>
      <c r="C250" s="17" t="s">
        <v>19</v>
      </c>
      <c r="D250" s="18" t="s">
        <v>200</v>
      </c>
      <c r="E250" s="18">
        <v>1200</v>
      </c>
      <c r="F250" s="18" t="s">
        <v>21</v>
      </c>
      <c r="G250" s="18" t="s">
        <v>22</v>
      </c>
      <c r="H250" s="18" t="s">
        <v>23</v>
      </c>
      <c r="I250" s="19">
        <v>1.41</v>
      </c>
      <c r="J250" s="20">
        <f t="shared" si="6"/>
        <v>1692</v>
      </c>
      <c r="K250" s="106"/>
      <c r="L250" s="114"/>
      <c r="M250" s="114">
        <f>tblAquisições[[#This Row],[VALOR UNITARIO COMPRADO]]*tblAquisições[[#This Row],[QUANTIDADE COMPRADA]]</f>
        <v>0</v>
      </c>
      <c r="N250" s="110">
        <f>K250-tblAquisições[[#This Row],[QUANTIDADE PLANEJADA]]</f>
        <v>-1200</v>
      </c>
      <c r="O250" s="106" t="str">
        <f t="shared" si="7"/>
        <v>Faltando Comprar</v>
      </c>
    </row>
    <row r="251" spans="1:15" ht="31.5">
      <c r="A251" s="16" t="s">
        <v>17</v>
      </c>
      <c r="B251" s="16" t="s">
        <v>28</v>
      </c>
      <c r="C251" s="17" t="s">
        <v>19</v>
      </c>
      <c r="D251" s="18" t="s">
        <v>200</v>
      </c>
      <c r="E251" s="18">
        <v>120</v>
      </c>
      <c r="F251" s="18" t="s">
        <v>21</v>
      </c>
      <c r="G251" s="18" t="s">
        <v>22</v>
      </c>
      <c r="H251" s="18" t="s">
        <v>23</v>
      </c>
      <c r="I251" s="19">
        <v>1.41</v>
      </c>
      <c r="J251" s="20">
        <f t="shared" si="6"/>
        <v>169.2</v>
      </c>
      <c r="K251" s="106"/>
      <c r="L251" s="114"/>
      <c r="M251" s="114">
        <f>tblAquisições[[#This Row],[VALOR UNITARIO COMPRADO]]*tblAquisições[[#This Row],[QUANTIDADE COMPRADA]]</f>
        <v>0</v>
      </c>
      <c r="N251" s="110">
        <f>K251-tblAquisições[[#This Row],[QUANTIDADE PLANEJADA]]</f>
        <v>-120</v>
      </c>
      <c r="O251" s="106" t="str">
        <f t="shared" si="7"/>
        <v>Faltando Comprar</v>
      </c>
    </row>
    <row r="252" spans="1:15" ht="31.5">
      <c r="A252" s="16" t="s">
        <v>17</v>
      </c>
      <c r="B252" s="16" t="s">
        <v>34</v>
      </c>
      <c r="C252" s="17" t="s">
        <v>19</v>
      </c>
      <c r="D252" s="18" t="s">
        <v>201</v>
      </c>
      <c r="E252" s="18">
        <v>20</v>
      </c>
      <c r="F252" s="18" t="s">
        <v>21</v>
      </c>
      <c r="G252" s="18" t="s">
        <v>22</v>
      </c>
      <c r="H252" s="18" t="s">
        <v>23</v>
      </c>
      <c r="I252" s="19">
        <v>8.33</v>
      </c>
      <c r="J252" s="20">
        <f t="shared" si="6"/>
        <v>166.6</v>
      </c>
      <c r="K252" s="106"/>
      <c r="L252" s="114"/>
      <c r="M252" s="114">
        <f>tblAquisições[[#This Row],[VALOR UNITARIO COMPRADO]]*tblAquisições[[#This Row],[QUANTIDADE COMPRADA]]</f>
        <v>0</v>
      </c>
      <c r="N252" s="110">
        <f>K252-tblAquisições[[#This Row],[QUANTIDADE PLANEJADA]]</f>
        <v>-20</v>
      </c>
      <c r="O252" s="106" t="str">
        <f t="shared" si="7"/>
        <v>Faltando Comprar</v>
      </c>
    </row>
    <row r="253" spans="1:15" ht="31.5">
      <c r="A253" s="16" t="s">
        <v>17</v>
      </c>
      <c r="B253" s="16" t="s">
        <v>31</v>
      </c>
      <c r="C253" s="17" t="s">
        <v>19</v>
      </c>
      <c r="D253" s="18" t="s">
        <v>201</v>
      </c>
      <c r="E253" s="18">
        <v>40</v>
      </c>
      <c r="F253" s="18" t="s">
        <v>21</v>
      </c>
      <c r="G253" s="18" t="s">
        <v>22</v>
      </c>
      <c r="H253" s="18" t="s">
        <v>23</v>
      </c>
      <c r="I253" s="19">
        <v>8.33</v>
      </c>
      <c r="J253" s="20">
        <f t="shared" si="6"/>
        <v>333.2</v>
      </c>
      <c r="K253" s="106"/>
      <c r="L253" s="114"/>
      <c r="M253" s="114">
        <f>tblAquisições[[#This Row],[VALOR UNITARIO COMPRADO]]*tblAquisições[[#This Row],[QUANTIDADE COMPRADA]]</f>
        <v>0</v>
      </c>
      <c r="N253" s="110">
        <f>K253-tblAquisições[[#This Row],[QUANTIDADE PLANEJADA]]</f>
        <v>-40</v>
      </c>
      <c r="O253" s="106" t="str">
        <f t="shared" si="7"/>
        <v>Faltando Comprar</v>
      </c>
    </row>
    <row r="254" spans="1:15" ht="31.5">
      <c r="A254" s="16" t="s">
        <v>17</v>
      </c>
      <c r="B254" s="16" t="s">
        <v>18</v>
      </c>
      <c r="C254" s="17" t="s">
        <v>19</v>
      </c>
      <c r="D254" s="18" t="s">
        <v>201</v>
      </c>
      <c r="E254" s="18">
        <v>1000</v>
      </c>
      <c r="F254" s="18" t="s">
        <v>21</v>
      </c>
      <c r="G254" s="18" t="s">
        <v>22</v>
      </c>
      <c r="H254" s="18" t="s">
        <v>23</v>
      </c>
      <c r="I254" s="19">
        <v>8.33</v>
      </c>
      <c r="J254" s="20">
        <f t="shared" si="6"/>
        <v>8330</v>
      </c>
      <c r="K254" s="106"/>
      <c r="L254" s="114"/>
      <c r="M254" s="114">
        <f>tblAquisições[[#This Row],[VALOR UNITARIO COMPRADO]]*tblAquisições[[#This Row],[QUANTIDADE COMPRADA]]</f>
        <v>0</v>
      </c>
      <c r="N254" s="110">
        <f>K254-tblAquisições[[#This Row],[QUANTIDADE PLANEJADA]]</f>
        <v>-1000</v>
      </c>
      <c r="O254" s="106" t="str">
        <f t="shared" si="7"/>
        <v>Faltando Comprar</v>
      </c>
    </row>
    <row r="255" spans="1:15" ht="31.5">
      <c r="A255" s="16" t="s">
        <v>17</v>
      </c>
      <c r="B255" s="16" t="s">
        <v>24</v>
      </c>
      <c r="C255" s="17" t="s">
        <v>19</v>
      </c>
      <c r="D255" s="18" t="s">
        <v>201</v>
      </c>
      <c r="E255" s="18">
        <v>1000</v>
      </c>
      <c r="F255" s="18" t="s">
        <v>21</v>
      </c>
      <c r="G255" s="18" t="s">
        <v>22</v>
      </c>
      <c r="H255" s="18" t="s">
        <v>23</v>
      </c>
      <c r="I255" s="19">
        <v>8.33</v>
      </c>
      <c r="J255" s="20">
        <f t="shared" si="6"/>
        <v>8330</v>
      </c>
      <c r="K255" s="106"/>
      <c r="L255" s="114"/>
      <c r="M255" s="114">
        <f>tblAquisições[[#This Row],[VALOR UNITARIO COMPRADO]]*tblAquisições[[#This Row],[QUANTIDADE COMPRADA]]</f>
        <v>0</v>
      </c>
      <c r="N255" s="110">
        <f>K255-tblAquisições[[#This Row],[QUANTIDADE PLANEJADA]]</f>
        <v>-1000</v>
      </c>
      <c r="O255" s="106" t="str">
        <f t="shared" si="7"/>
        <v>Faltando Comprar</v>
      </c>
    </row>
    <row r="256" spans="1:15" ht="31.5">
      <c r="A256" s="16" t="s">
        <v>17</v>
      </c>
      <c r="B256" s="16" t="s">
        <v>25</v>
      </c>
      <c r="C256" s="17" t="s">
        <v>19</v>
      </c>
      <c r="D256" s="18" t="s">
        <v>201</v>
      </c>
      <c r="E256" s="18">
        <v>1000</v>
      </c>
      <c r="F256" s="18" t="s">
        <v>21</v>
      </c>
      <c r="G256" s="18" t="s">
        <v>22</v>
      </c>
      <c r="H256" s="18" t="s">
        <v>23</v>
      </c>
      <c r="I256" s="19">
        <v>8.33</v>
      </c>
      <c r="J256" s="20">
        <f t="shared" si="6"/>
        <v>8330</v>
      </c>
      <c r="K256" s="106"/>
      <c r="L256" s="114"/>
      <c r="M256" s="114">
        <f>tblAquisições[[#This Row],[VALOR UNITARIO COMPRADO]]*tblAquisições[[#This Row],[QUANTIDADE COMPRADA]]</f>
        <v>0</v>
      </c>
      <c r="N256" s="110">
        <f>K256-tblAquisições[[#This Row],[QUANTIDADE PLANEJADA]]</f>
        <v>-1000</v>
      </c>
      <c r="O256" s="106" t="str">
        <f t="shared" si="7"/>
        <v>Faltando Comprar</v>
      </c>
    </row>
    <row r="257" spans="1:15" ht="31.5">
      <c r="A257" s="16" t="s">
        <v>17</v>
      </c>
      <c r="B257" s="16" t="s">
        <v>41</v>
      </c>
      <c r="C257" s="17" t="s">
        <v>19</v>
      </c>
      <c r="D257" s="18" t="s">
        <v>201</v>
      </c>
      <c r="E257" s="18">
        <v>200</v>
      </c>
      <c r="F257" s="18" t="s">
        <v>21</v>
      </c>
      <c r="G257" s="18" t="s">
        <v>22</v>
      </c>
      <c r="H257" s="18" t="s">
        <v>23</v>
      </c>
      <c r="I257" s="19">
        <v>8.33</v>
      </c>
      <c r="J257" s="20">
        <f t="shared" si="6"/>
        <v>1666</v>
      </c>
      <c r="K257" s="106"/>
      <c r="L257" s="114"/>
      <c r="M257" s="114">
        <f>tblAquisições[[#This Row],[VALOR UNITARIO COMPRADO]]*tblAquisições[[#This Row],[QUANTIDADE COMPRADA]]</f>
        <v>0</v>
      </c>
      <c r="N257" s="110">
        <f>K257-tblAquisições[[#This Row],[QUANTIDADE PLANEJADA]]</f>
        <v>-200</v>
      </c>
      <c r="O257" s="106" t="str">
        <f t="shared" si="7"/>
        <v>Faltando Comprar</v>
      </c>
    </row>
    <row r="258" spans="1:15" ht="31.5">
      <c r="A258" s="16" t="s">
        <v>17</v>
      </c>
      <c r="B258" s="16" t="s">
        <v>27</v>
      </c>
      <c r="C258" s="17" t="s">
        <v>19</v>
      </c>
      <c r="D258" s="18" t="s">
        <v>201</v>
      </c>
      <c r="E258" s="18">
        <v>500</v>
      </c>
      <c r="F258" s="18" t="s">
        <v>21</v>
      </c>
      <c r="G258" s="18" t="s">
        <v>22</v>
      </c>
      <c r="H258" s="18" t="s">
        <v>23</v>
      </c>
      <c r="I258" s="19">
        <v>8.33</v>
      </c>
      <c r="J258" s="20">
        <f t="shared" ref="J258:J321" si="8">E258*I258</f>
        <v>4165</v>
      </c>
      <c r="K258" s="106"/>
      <c r="L258" s="114"/>
      <c r="M258" s="114">
        <f>tblAquisições[[#This Row],[VALOR UNITARIO COMPRADO]]*tblAquisições[[#This Row],[QUANTIDADE COMPRADA]]</f>
        <v>0</v>
      </c>
      <c r="N258" s="110">
        <f>K258-tblAquisições[[#This Row],[QUANTIDADE PLANEJADA]]</f>
        <v>-500</v>
      </c>
      <c r="O258" s="106" t="str">
        <f t="shared" ref="O258:O321" si="9">IF(K258=E258,"OK",IF(K258&lt;E258,"Faltando Comprar","Excedente"))</f>
        <v>Faltando Comprar</v>
      </c>
    </row>
    <row r="259" spans="1:15" ht="31.5">
      <c r="A259" s="16" t="s">
        <v>17</v>
      </c>
      <c r="B259" s="16" t="s">
        <v>28</v>
      </c>
      <c r="C259" s="17" t="s">
        <v>19</v>
      </c>
      <c r="D259" s="18" t="s">
        <v>201</v>
      </c>
      <c r="E259" s="18">
        <v>10</v>
      </c>
      <c r="F259" s="18" t="s">
        <v>21</v>
      </c>
      <c r="G259" s="18" t="s">
        <v>22</v>
      </c>
      <c r="H259" s="18" t="s">
        <v>23</v>
      </c>
      <c r="I259" s="19">
        <v>8.33</v>
      </c>
      <c r="J259" s="20">
        <f t="shared" si="8"/>
        <v>83.3</v>
      </c>
      <c r="K259" s="106"/>
      <c r="L259" s="114"/>
      <c r="M259" s="114">
        <f>tblAquisições[[#This Row],[VALOR UNITARIO COMPRADO]]*tblAquisições[[#This Row],[QUANTIDADE COMPRADA]]</f>
        <v>0</v>
      </c>
      <c r="N259" s="110">
        <f>K259-tblAquisições[[#This Row],[QUANTIDADE PLANEJADA]]</f>
        <v>-10</v>
      </c>
      <c r="O259" s="106" t="str">
        <f t="shared" si="9"/>
        <v>Faltando Comprar</v>
      </c>
    </row>
    <row r="260" spans="1:15" ht="31.5">
      <c r="A260" s="16" t="s">
        <v>17</v>
      </c>
      <c r="B260" s="16" t="s">
        <v>28</v>
      </c>
      <c r="C260" s="17" t="s">
        <v>19</v>
      </c>
      <c r="D260" s="18" t="s">
        <v>202</v>
      </c>
      <c r="E260" s="18">
        <v>30</v>
      </c>
      <c r="F260" s="18" t="s">
        <v>21</v>
      </c>
      <c r="G260" s="18" t="s">
        <v>22</v>
      </c>
      <c r="H260" s="18" t="s">
        <v>23</v>
      </c>
      <c r="I260" s="19">
        <v>38.049999999999997</v>
      </c>
      <c r="J260" s="20">
        <f t="shared" si="8"/>
        <v>1141.5</v>
      </c>
      <c r="K260" s="106"/>
      <c r="L260" s="114"/>
      <c r="M260" s="114">
        <f>tblAquisições[[#This Row],[VALOR UNITARIO COMPRADO]]*tblAquisições[[#This Row],[QUANTIDADE COMPRADA]]</f>
        <v>0</v>
      </c>
      <c r="N260" s="110">
        <f>K260-tblAquisições[[#This Row],[QUANTIDADE PLANEJADA]]</f>
        <v>-30</v>
      </c>
      <c r="O260" s="106" t="str">
        <f t="shared" si="9"/>
        <v>Faltando Comprar</v>
      </c>
    </row>
    <row r="261" spans="1:15" ht="31.5">
      <c r="A261" s="16" t="s">
        <v>17</v>
      </c>
      <c r="B261" s="16" t="s">
        <v>80</v>
      </c>
      <c r="C261" s="17" t="s">
        <v>19</v>
      </c>
      <c r="D261" s="18" t="s">
        <v>203</v>
      </c>
      <c r="E261" s="18">
        <v>6</v>
      </c>
      <c r="F261" s="18" t="s">
        <v>38</v>
      </c>
      <c r="G261" s="18" t="s">
        <v>39</v>
      </c>
      <c r="H261" s="18" t="s">
        <v>23</v>
      </c>
      <c r="I261" s="19">
        <v>43.12</v>
      </c>
      <c r="J261" s="20">
        <f t="shared" si="8"/>
        <v>258.71999999999997</v>
      </c>
      <c r="K261" s="106"/>
      <c r="L261" s="114"/>
      <c r="M261" s="114">
        <f>tblAquisições[[#This Row],[VALOR UNITARIO COMPRADO]]*tblAquisições[[#This Row],[QUANTIDADE COMPRADA]]</f>
        <v>0</v>
      </c>
      <c r="N261" s="110">
        <f>K261-tblAquisições[[#This Row],[QUANTIDADE PLANEJADA]]</f>
        <v>-6</v>
      </c>
      <c r="O261" s="106" t="str">
        <f t="shared" si="9"/>
        <v>Faltando Comprar</v>
      </c>
    </row>
    <row r="262" spans="1:15" ht="31.5">
      <c r="A262" s="16" t="s">
        <v>17</v>
      </c>
      <c r="B262" s="16" t="s">
        <v>41</v>
      </c>
      <c r="C262" s="17" t="s">
        <v>19</v>
      </c>
      <c r="D262" s="18" t="s">
        <v>204</v>
      </c>
      <c r="E262" s="18">
        <v>50</v>
      </c>
      <c r="F262" s="18" t="s">
        <v>21</v>
      </c>
      <c r="G262" s="18" t="s">
        <v>22</v>
      </c>
      <c r="H262" s="18" t="s">
        <v>23</v>
      </c>
      <c r="I262" s="19">
        <v>43.12</v>
      </c>
      <c r="J262" s="20">
        <f t="shared" si="8"/>
        <v>2156</v>
      </c>
      <c r="K262" s="106"/>
      <c r="L262" s="114"/>
      <c r="M262" s="114">
        <f>tblAquisições[[#This Row],[VALOR UNITARIO COMPRADO]]*tblAquisições[[#This Row],[QUANTIDADE COMPRADA]]</f>
        <v>0</v>
      </c>
      <c r="N262" s="110">
        <f>K262-tblAquisições[[#This Row],[QUANTIDADE PLANEJADA]]</f>
        <v>-50</v>
      </c>
      <c r="O262" s="106" t="str">
        <f t="shared" si="9"/>
        <v>Faltando Comprar</v>
      </c>
    </row>
    <row r="263" spans="1:15" ht="31.5">
      <c r="A263" s="16" t="s">
        <v>17</v>
      </c>
      <c r="B263" s="16" t="s">
        <v>26</v>
      </c>
      <c r="C263" s="17" t="s">
        <v>19</v>
      </c>
      <c r="D263" s="18" t="s">
        <v>204</v>
      </c>
      <c r="E263" s="18">
        <v>10</v>
      </c>
      <c r="F263" s="18" t="s">
        <v>21</v>
      </c>
      <c r="G263" s="18" t="s">
        <v>22</v>
      </c>
      <c r="H263" s="18" t="s">
        <v>23</v>
      </c>
      <c r="I263" s="19">
        <v>43.12</v>
      </c>
      <c r="J263" s="20">
        <f t="shared" si="8"/>
        <v>431.2</v>
      </c>
      <c r="K263" s="106"/>
      <c r="L263" s="114"/>
      <c r="M263" s="114">
        <f>tblAquisições[[#This Row],[VALOR UNITARIO COMPRADO]]*tblAquisições[[#This Row],[QUANTIDADE COMPRADA]]</f>
        <v>0</v>
      </c>
      <c r="N263" s="110">
        <f>K263-tblAquisições[[#This Row],[QUANTIDADE PLANEJADA]]</f>
        <v>-10</v>
      </c>
      <c r="O263" s="106" t="str">
        <f t="shared" si="9"/>
        <v>Faltando Comprar</v>
      </c>
    </row>
    <row r="264" spans="1:15" ht="31.5">
      <c r="A264" s="16" t="s">
        <v>17</v>
      </c>
      <c r="B264" s="16" t="s">
        <v>28</v>
      </c>
      <c r="C264" s="17" t="s">
        <v>19</v>
      </c>
      <c r="D264" s="18" t="s">
        <v>204</v>
      </c>
      <c r="E264" s="18">
        <v>60</v>
      </c>
      <c r="F264" s="18" t="s">
        <v>21</v>
      </c>
      <c r="G264" s="18" t="s">
        <v>22</v>
      </c>
      <c r="H264" s="18" t="s">
        <v>23</v>
      </c>
      <c r="I264" s="19">
        <v>43.12</v>
      </c>
      <c r="J264" s="20">
        <f t="shared" si="8"/>
        <v>2587.1999999999998</v>
      </c>
      <c r="K264" s="106"/>
      <c r="L264" s="114"/>
      <c r="M264" s="114">
        <f>tblAquisições[[#This Row],[VALOR UNITARIO COMPRADO]]*tblAquisições[[#This Row],[QUANTIDADE COMPRADA]]</f>
        <v>0</v>
      </c>
      <c r="N264" s="110">
        <f>K264-tblAquisições[[#This Row],[QUANTIDADE PLANEJADA]]</f>
        <v>-60</v>
      </c>
      <c r="O264" s="106" t="str">
        <f t="shared" si="9"/>
        <v>Faltando Comprar</v>
      </c>
    </row>
    <row r="265" spans="1:15" ht="47.25">
      <c r="A265" s="16" t="s">
        <v>17</v>
      </c>
      <c r="B265" s="16" t="s">
        <v>28</v>
      </c>
      <c r="C265" s="17" t="s">
        <v>19</v>
      </c>
      <c r="D265" s="18" t="s">
        <v>205</v>
      </c>
      <c r="E265" s="18">
        <v>30</v>
      </c>
      <c r="F265" s="18" t="s">
        <v>58</v>
      </c>
      <c r="G265" s="18" t="s">
        <v>22</v>
      </c>
      <c r="H265" s="18" t="s">
        <v>23</v>
      </c>
      <c r="I265" s="19">
        <v>33.57</v>
      </c>
      <c r="J265" s="20">
        <f t="shared" si="8"/>
        <v>1007.1</v>
      </c>
      <c r="K265" s="106"/>
      <c r="L265" s="114"/>
      <c r="M265" s="114">
        <f>tblAquisições[[#This Row],[VALOR UNITARIO COMPRADO]]*tblAquisições[[#This Row],[QUANTIDADE COMPRADA]]</f>
        <v>0</v>
      </c>
      <c r="N265" s="110">
        <f>K265-tblAquisições[[#This Row],[QUANTIDADE PLANEJADA]]</f>
        <v>-30</v>
      </c>
      <c r="O265" s="106" t="str">
        <f t="shared" si="9"/>
        <v>Faltando Comprar</v>
      </c>
    </row>
    <row r="266" spans="1:15" ht="31.5">
      <c r="A266" s="16" t="s">
        <v>17</v>
      </c>
      <c r="B266" s="16" t="s">
        <v>17</v>
      </c>
      <c r="C266" s="17" t="s">
        <v>19</v>
      </c>
      <c r="D266" s="18" t="s">
        <v>206</v>
      </c>
      <c r="E266" s="18">
        <v>200</v>
      </c>
      <c r="F266" s="18" t="s">
        <v>38</v>
      </c>
      <c r="G266" s="18" t="s">
        <v>39</v>
      </c>
      <c r="H266" s="18" t="s">
        <v>23</v>
      </c>
      <c r="I266" s="19">
        <v>1.071</v>
      </c>
      <c r="J266" s="20">
        <f t="shared" si="8"/>
        <v>214.2</v>
      </c>
      <c r="K266" s="106"/>
      <c r="L266" s="114"/>
      <c r="M266" s="114">
        <f>tblAquisições[[#This Row],[VALOR UNITARIO COMPRADO]]*tblAquisições[[#This Row],[QUANTIDADE COMPRADA]]</f>
        <v>0</v>
      </c>
      <c r="N266" s="110">
        <f>K266-tblAquisições[[#This Row],[QUANTIDADE PLANEJADA]]</f>
        <v>-200</v>
      </c>
      <c r="O266" s="106" t="str">
        <f t="shared" si="9"/>
        <v>Faltando Comprar</v>
      </c>
    </row>
    <row r="267" spans="1:15" ht="31.5">
      <c r="A267" s="16" t="s">
        <v>17</v>
      </c>
      <c r="B267" s="16" t="s">
        <v>27</v>
      </c>
      <c r="C267" s="17" t="s">
        <v>19</v>
      </c>
      <c r="D267" s="18" t="s">
        <v>207</v>
      </c>
      <c r="E267" s="18">
        <v>20</v>
      </c>
      <c r="F267" s="18" t="s">
        <v>21</v>
      </c>
      <c r="G267" s="18" t="s">
        <v>22</v>
      </c>
      <c r="H267" s="18" t="s">
        <v>23</v>
      </c>
      <c r="I267" s="19">
        <v>1.071</v>
      </c>
      <c r="J267" s="20">
        <f t="shared" si="8"/>
        <v>21.419999999999998</v>
      </c>
      <c r="K267" s="106"/>
      <c r="L267" s="114"/>
      <c r="M267" s="114">
        <f>tblAquisições[[#This Row],[VALOR UNITARIO COMPRADO]]*tblAquisições[[#This Row],[QUANTIDADE COMPRADA]]</f>
        <v>0</v>
      </c>
      <c r="N267" s="110">
        <f>K267-tblAquisições[[#This Row],[QUANTIDADE PLANEJADA]]</f>
        <v>-20</v>
      </c>
      <c r="O267" s="106" t="str">
        <f t="shared" si="9"/>
        <v>Faltando Comprar</v>
      </c>
    </row>
    <row r="268" spans="1:15" ht="31.5">
      <c r="A268" s="16" t="s">
        <v>17</v>
      </c>
      <c r="B268" s="16" t="s">
        <v>28</v>
      </c>
      <c r="C268" s="17" t="s">
        <v>19</v>
      </c>
      <c r="D268" s="18" t="s">
        <v>207</v>
      </c>
      <c r="E268" s="18">
        <v>200</v>
      </c>
      <c r="F268" s="18" t="s">
        <v>21</v>
      </c>
      <c r="G268" s="18" t="s">
        <v>22</v>
      </c>
      <c r="H268" s="18" t="s">
        <v>23</v>
      </c>
      <c r="I268" s="19">
        <v>1.071</v>
      </c>
      <c r="J268" s="20">
        <f t="shared" si="8"/>
        <v>214.2</v>
      </c>
      <c r="K268" s="106"/>
      <c r="L268" s="114"/>
      <c r="M268" s="114">
        <f>tblAquisições[[#This Row],[VALOR UNITARIO COMPRADO]]*tblAquisições[[#This Row],[QUANTIDADE COMPRADA]]</f>
        <v>0</v>
      </c>
      <c r="N268" s="110">
        <f>K268-tblAquisições[[#This Row],[QUANTIDADE PLANEJADA]]</f>
        <v>-200</v>
      </c>
      <c r="O268" s="106" t="str">
        <f t="shared" si="9"/>
        <v>Faltando Comprar</v>
      </c>
    </row>
    <row r="269" spans="1:15" ht="31.5">
      <c r="A269" s="16" t="s">
        <v>17</v>
      </c>
      <c r="B269" s="16" t="s">
        <v>80</v>
      </c>
      <c r="C269" s="17" t="s">
        <v>19</v>
      </c>
      <c r="D269" s="18" t="s">
        <v>208</v>
      </c>
      <c r="E269" s="18">
        <v>60</v>
      </c>
      <c r="F269" s="18" t="s">
        <v>38</v>
      </c>
      <c r="G269" s="18" t="s">
        <v>39</v>
      </c>
      <c r="H269" s="21"/>
      <c r="I269" s="19">
        <v>12.55</v>
      </c>
      <c r="J269" s="20">
        <f t="shared" si="8"/>
        <v>753</v>
      </c>
      <c r="K269" s="106"/>
      <c r="L269" s="114"/>
      <c r="M269" s="114">
        <f>tblAquisições[[#This Row],[VALOR UNITARIO COMPRADO]]*tblAquisições[[#This Row],[QUANTIDADE COMPRADA]]</f>
        <v>0</v>
      </c>
      <c r="N269" s="110">
        <f>K269-tblAquisições[[#This Row],[QUANTIDADE PLANEJADA]]</f>
        <v>-60</v>
      </c>
      <c r="O269" s="106" t="str">
        <f t="shared" si="9"/>
        <v>Faltando Comprar</v>
      </c>
    </row>
    <row r="270" spans="1:15" ht="31.5">
      <c r="A270" s="16" t="s">
        <v>17</v>
      </c>
      <c r="B270" s="16" t="s">
        <v>17</v>
      </c>
      <c r="C270" s="17" t="s">
        <v>19</v>
      </c>
      <c r="D270" s="18" t="s">
        <v>209</v>
      </c>
      <c r="E270" s="18">
        <v>200</v>
      </c>
      <c r="F270" s="18" t="s">
        <v>38</v>
      </c>
      <c r="G270" s="18" t="s">
        <v>39</v>
      </c>
      <c r="H270" s="18" t="s">
        <v>23</v>
      </c>
      <c r="I270" s="19">
        <v>8.43</v>
      </c>
      <c r="J270" s="20">
        <f t="shared" si="8"/>
        <v>1686</v>
      </c>
      <c r="K270" s="106"/>
      <c r="L270" s="114"/>
      <c r="M270" s="114">
        <f>tblAquisições[[#This Row],[VALOR UNITARIO COMPRADO]]*tblAquisições[[#This Row],[QUANTIDADE COMPRADA]]</f>
        <v>0</v>
      </c>
      <c r="N270" s="110">
        <f>K270-tblAquisições[[#This Row],[QUANTIDADE PLANEJADA]]</f>
        <v>-200</v>
      </c>
      <c r="O270" s="106" t="str">
        <f t="shared" si="9"/>
        <v>Faltando Comprar</v>
      </c>
    </row>
    <row r="271" spans="1:15" ht="31.5">
      <c r="A271" s="16" t="s">
        <v>17</v>
      </c>
      <c r="B271" s="16" t="s">
        <v>34</v>
      </c>
      <c r="C271" s="17" t="s">
        <v>19</v>
      </c>
      <c r="D271" s="18" t="s">
        <v>210</v>
      </c>
      <c r="E271" s="18">
        <v>20</v>
      </c>
      <c r="F271" s="18" t="s">
        <v>21</v>
      </c>
      <c r="G271" s="18" t="s">
        <v>22</v>
      </c>
      <c r="H271" s="18" t="s">
        <v>23</v>
      </c>
      <c r="I271" s="19">
        <v>8.43</v>
      </c>
      <c r="J271" s="20">
        <f t="shared" si="8"/>
        <v>168.6</v>
      </c>
      <c r="K271" s="106"/>
      <c r="L271" s="114"/>
      <c r="M271" s="114">
        <f>tblAquisições[[#This Row],[VALOR UNITARIO COMPRADO]]*tblAquisições[[#This Row],[QUANTIDADE COMPRADA]]</f>
        <v>0</v>
      </c>
      <c r="N271" s="110">
        <f>K271-tblAquisições[[#This Row],[QUANTIDADE PLANEJADA]]</f>
        <v>-20</v>
      </c>
      <c r="O271" s="106" t="str">
        <f t="shared" si="9"/>
        <v>Faltando Comprar</v>
      </c>
    </row>
    <row r="272" spans="1:15" ht="31.5">
      <c r="A272" s="16" t="s">
        <v>17</v>
      </c>
      <c r="B272" s="16" t="s">
        <v>28</v>
      </c>
      <c r="C272" s="17" t="s">
        <v>19</v>
      </c>
      <c r="D272" s="18" t="s">
        <v>210</v>
      </c>
      <c r="E272" s="18">
        <v>200</v>
      </c>
      <c r="F272" s="18" t="s">
        <v>21</v>
      </c>
      <c r="G272" s="18" t="s">
        <v>22</v>
      </c>
      <c r="H272" s="18" t="s">
        <v>23</v>
      </c>
      <c r="I272" s="19">
        <v>8.43</v>
      </c>
      <c r="J272" s="20">
        <f t="shared" si="8"/>
        <v>1686</v>
      </c>
      <c r="K272" s="106"/>
      <c r="L272" s="114"/>
      <c r="M272" s="114">
        <f>tblAquisições[[#This Row],[VALOR UNITARIO COMPRADO]]*tblAquisições[[#This Row],[QUANTIDADE COMPRADA]]</f>
        <v>0</v>
      </c>
      <c r="N272" s="110">
        <f>K272-tblAquisições[[#This Row],[QUANTIDADE PLANEJADA]]</f>
        <v>-200</v>
      </c>
      <c r="O272" s="106" t="str">
        <f t="shared" si="9"/>
        <v>Faltando Comprar</v>
      </c>
    </row>
    <row r="273" spans="1:15" ht="47.25">
      <c r="A273" s="16" t="s">
        <v>17</v>
      </c>
      <c r="B273" s="16" t="s">
        <v>34</v>
      </c>
      <c r="C273" s="17" t="s">
        <v>19</v>
      </c>
      <c r="D273" s="18" t="s">
        <v>211</v>
      </c>
      <c r="E273" s="18">
        <v>4</v>
      </c>
      <c r="F273" s="18" t="s">
        <v>212</v>
      </c>
      <c r="G273" s="18" t="s">
        <v>22</v>
      </c>
      <c r="H273" s="18" t="s">
        <v>23</v>
      </c>
      <c r="I273" s="19">
        <v>2907.86</v>
      </c>
      <c r="J273" s="20">
        <f t="shared" si="8"/>
        <v>11631.44</v>
      </c>
      <c r="K273" s="106"/>
      <c r="L273" s="114"/>
      <c r="M273" s="114">
        <f>tblAquisições[[#This Row],[VALOR UNITARIO COMPRADO]]*tblAquisições[[#This Row],[QUANTIDADE COMPRADA]]</f>
        <v>0</v>
      </c>
      <c r="N273" s="110">
        <f>K273-tblAquisições[[#This Row],[QUANTIDADE PLANEJADA]]</f>
        <v>-4</v>
      </c>
      <c r="O273" s="106" t="str">
        <f t="shared" si="9"/>
        <v>Faltando Comprar</v>
      </c>
    </row>
    <row r="274" spans="1:15" ht="47.25">
      <c r="A274" s="16" t="s">
        <v>17</v>
      </c>
      <c r="B274" s="16" t="s">
        <v>18</v>
      </c>
      <c r="C274" s="17" t="s">
        <v>19</v>
      </c>
      <c r="D274" s="18" t="s">
        <v>211</v>
      </c>
      <c r="E274" s="18">
        <v>3</v>
      </c>
      <c r="F274" s="18" t="s">
        <v>212</v>
      </c>
      <c r="G274" s="18" t="s">
        <v>22</v>
      </c>
      <c r="H274" s="18" t="s">
        <v>23</v>
      </c>
      <c r="I274" s="19">
        <v>2907.86</v>
      </c>
      <c r="J274" s="20">
        <f t="shared" si="8"/>
        <v>8723.58</v>
      </c>
      <c r="K274" s="106"/>
      <c r="L274" s="114"/>
      <c r="M274" s="114">
        <f>tblAquisições[[#This Row],[VALOR UNITARIO COMPRADO]]*tblAquisições[[#This Row],[QUANTIDADE COMPRADA]]</f>
        <v>0</v>
      </c>
      <c r="N274" s="110">
        <f>K274-tblAquisições[[#This Row],[QUANTIDADE PLANEJADA]]</f>
        <v>-3</v>
      </c>
      <c r="O274" s="106" t="str">
        <f t="shared" si="9"/>
        <v>Faltando Comprar</v>
      </c>
    </row>
    <row r="275" spans="1:15" ht="47.25">
      <c r="A275" s="16" t="s">
        <v>17</v>
      </c>
      <c r="B275" s="16" t="s">
        <v>24</v>
      </c>
      <c r="C275" s="17" t="s">
        <v>19</v>
      </c>
      <c r="D275" s="18" t="s">
        <v>211</v>
      </c>
      <c r="E275" s="18">
        <v>3</v>
      </c>
      <c r="F275" s="18" t="s">
        <v>212</v>
      </c>
      <c r="G275" s="18" t="s">
        <v>22</v>
      </c>
      <c r="H275" s="18" t="s">
        <v>23</v>
      </c>
      <c r="I275" s="19">
        <v>2907.86</v>
      </c>
      <c r="J275" s="20">
        <f t="shared" si="8"/>
        <v>8723.58</v>
      </c>
      <c r="K275" s="106"/>
      <c r="L275" s="114"/>
      <c r="M275" s="114">
        <f>tblAquisições[[#This Row],[VALOR UNITARIO COMPRADO]]*tblAquisições[[#This Row],[QUANTIDADE COMPRADA]]</f>
        <v>0</v>
      </c>
      <c r="N275" s="110">
        <f>K275-tblAquisições[[#This Row],[QUANTIDADE PLANEJADA]]</f>
        <v>-3</v>
      </c>
      <c r="O275" s="106" t="str">
        <f t="shared" si="9"/>
        <v>Faltando Comprar</v>
      </c>
    </row>
    <row r="276" spans="1:15" ht="47.25">
      <c r="A276" s="16" t="s">
        <v>17</v>
      </c>
      <c r="B276" s="16" t="s">
        <v>25</v>
      </c>
      <c r="C276" s="17" t="s">
        <v>19</v>
      </c>
      <c r="D276" s="18" t="s">
        <v>211</v>
      </c>
      <c r="E276" s="18">
        <v>3</v>
      </c>
      <c r="F276" s="18" t="s">
        <v>212</v>
      </c>
      <c r="G276" s="18" t="s">
        <v>22</v>
      </c>
      <c r="H276" s="18" t="s">
        <v>23</v>
      </c>
      <c r="I276" s="19">
        <v>2907.86</v>
      </c>
      <c r="J276" s="20">
        <f t="shared" si="8"/>
        <v>8723.58</v>
      </c>
      <c r="K276" s="106"/>
      <c r="L276" s="114"/>
      <c r="M276" s="114">
        <f>tblAquisições[[#This Row],[VALOR UNITARIO COMPRADO]]*tblAquisições[[#This Row],[QUANTIDADE COMPRADA]]</f>
        <v>0</v>
      </c>
      <c r="N276" s="110">
        <f>K276-tblAquisições[[#This Row],[QUANTIDADE PLANEJADA]]</f>
        <v>-3</v>
      </c>
      <c r="O276" s="106" t="str">
        <f t="shared" si="9"/>
        <v>Faltando Comprar</v>
      </c>
    </row>
    <row r="277" spans="1:15" ht="47.25">
      <c r="A277" s="16" t="s">
        <v>17</v>
      </c>
      <c r="B277" s="16" t="s">
        <v>41</v>
      </c>
      <c r="C277" s="17" t="s">
        <v>19</v>
      </c>
      <c r="D277" s="18" t="s">
        <v>211</v>
      </c>
      <c r="E277" s="18">
        <v>3</v>
      </c>
      <c r="F277" s="18" t="s">
        <v>212</v>
      </c>
      <c r="G277" s="18" t="s">
        <v>22</v>
      </c>
      <c r="H277" s="18" t="s">
        <v>23</v>
      </c>
      <c r="I277" s="19">
        <v>2907.86</v>
      </c>
      <c r="J277" s="20">
        <f t="shared" si="8"/>
        <v>8723.58</v>
      </c>
      <c r="K277" s="106"/>
      <c r="L277" s="114"/>
      <c r="M277" s="114">
        <f>tblAquisições[[#This Row],[VALOR UNITARIO COMPRADO]]*tblAquisições[[#This Row],[QUANTIDADE COMPRADA]]</f>
        <v>0</v>
      </c>
      <c r="N277" s="110">
        <f>K277-tblAquisições[[#This Row],[QUANTIDADE PLANEJADA]]</f>
        <v>-3</v>
      </c>
      <c r="O277" s="106" t="str">
        <f t="shared" si="9"/>
        <v>Faltando Comprar</v>
      </c>
    </row>
    <row r="278" spans="1:15" ht="47.25">
      <c r="A278" s="16" t="s">
        <v>17</v>
      </c>
      <c r="B278" s="16" t="s">
        <v>26</v>
      </c>
      <c r="C278" s="17" t="s">
        <v>19</v>
      </c>
      <c r="D278" s="18" t="s">
        <v>211</v>
      </c>
      <c r="E278" s="18">
        <v>3</v>
      </c>
      <c r="F278" s="18" t="s">
        <v>212</v>
      </c>
      <c r="G278" s="18" t="s">
        <v>22</v>
      </c>
      <c r="H278" s="18" t="s">
        <v>23</v>
      </c>
      <c r="I278" s="19">
        <v>2907.86</v>
      </c>
      <c r="J278" s="20">
        <f t="shared" si="8"/>
        <v>8723.58</v>
      </c>
      <c r="K278" s="106"/>
      <c r="L278" s="114"/>
      <c r="M278" s="114">
        <f>tblAquisições[[#This Row],[VALOR UNITARIO COMPRADO]]*tblAquisições[[#This Row],[QUANTIDADE COMPRADA]]</f>
        <v>0</v>
      </c>
      <c r="N278" s="110">
        <f>K278-tblAquisições[[#This Row],[QUANTIDADE PLANEJADA]]</f>
        <v>-3</v>
      </c>
      <c r="O278" s="106" t="str">
        <f t="shared" si="9"/>
        <v>Faltando Comprar</v>
      </c>
    </row>
    <row r="279" spans="1:15" ht="47.25">
      <c r="A279" s="16" t="s">
        <v>17</v>
      </c>
      <c r="B279" s="16" t="s">
        <v>28</v>
      </c>
      <c r="C279" s="17" t="s">
        <v>19</v>
      </c>
      <c r="D279" s="18" t="s">
        <v>211</v>
      </c>
      <c r="E279" s="18">
        <v>1</v>
      </c>
      <c r="F279" s="18" t="s">
        <v>212</v>
      </c>
      <c r="G279" s="18" t="s">
        <v>22</v>
      </c>
      <c r="H279" s="18" t="s">
        <v>23</v>
      </c>
      <c r="I279" s="19">
        <v>2907.86</v>
      </c>
      <c r="J279" s="20">
        <f t="shared" si="8"/>
        <v>2907.86</v>
      </c>
      <c r="K279" s="106"/>
      <c r="L279" s="114"/>
      <c r="M279" s="114">
        <f>tblAquisições[[#This Row],[VALOR UNITARIO COMPRADO]]*tblAquisições[[#This Row],[QUANTIDADE COMPRADA]]</f>
        <v>0</v>
      </c>
      <c r="N279" s="110">
        <f>K279-tblAquisições[[#This Row],[QUANTIDADE PLANEJADA]]</f>
        <v>-1</v>
      </c>
      <c r="O279" s="106" t="str">
        <f t="shared" si="9"/>
        <v>Faltando Comprar</v>
      </c>
    </row>
    <row r="280" spans="1:15" ht="47.25">
      <c r="A280" s="16" t="s">
        <v>17</v>
      </c>
      <c r="B280" s="16" t="s">
        <v>28</v>
      </c>
      <c r="C280" s="17" t="s">
        <v>19</v>
      </c>
      <c r="D280" s="18" t="s">
        <v>213</v>
      </c>
      <c r="E280" s="18">
        <v>2</v>
      </c>
      <c r="F280" s="18" t="s">
        <v>214</v>
      </c>
      <c r="G280" s="18" t="s">
        <v>127</v>
      </c>
      <c r="H280" s="18" t="s">
        <v>23</v>
      </c>
      <c r="I280" s="19">
        <v>530.87</v>
      </c>
      <c r="J280" s="20">
        <f t="shared" si="8"/>
        <v>1061.74</v>
      </c>
      <c r="K280" s="106"/>
      <c r="L280" s="114"/>
      <c r="M280" s="114">
        <f>tblAquisições[[#This Row],[VALOR UNITARIO COMPRADO]]*tblAquisições[[#This Row],[QUANTIDADE COMPRADA]]</f>
        <v>0</v>
      </c>
      <c r="N280" s="110">
        <f>K280-tblAquisições[[#This Row],[QUANTIDADE PLANEJADA]]</f>
        <v>-2</v>
      </c>
      <c r="O280" s="106" t="str">
        <f t="shared" si="9"/>
        <v>Faltando Comprar</v>
      </c>
    </row>
    <row r="281" spans="1:15" ht="31.5">
      <c r="A281" s="16" t="s">
        <v>17</v>
      </c>
      <c r="B281" s="16" t="s">
        <v>18</v>
      </c>
      <c r="C281" s="17" t="s">
        <v>19</v>
      </c>
      <c r="D281" s="18" t="s">
        <v>215</v>
      </c>
      <c r="E281" s="18">
        <v>10</v>
      </c>
      <c r="F281" s="18" t="s">
        <v>21</v>
      </c>
      <c r="G281" s="18" t="s">
        <v>22</v>
      </c>
      <c r="H281" s="18" t="s">
        <v>23</v>
      </c>
      <c r="I281" s="19">
        <v>119.14</v>
      </c>
      <c r="J281" s="20">
        <f t="shared" si="8"/>
        <v>1191.4000000000001</v>
      </c>
      <c r="K281" s="106"/>
      <c r="L281" s="114"/>
      <c r="M281" s="114">
        <f>tblAquisições[[#This Row],[VALOR UNITARIO COMPRADO]]*tblAquisições[[#This Row],[QUANTIDADE COMPRADA]]</f>
        <v>0</v>
      </c>
      <c r="N281" s="110">
        <f>K281-tblAquisições[[#This Row],[QUANTIDADE PLANEJADA]]</f>
        <v>-10</v>
      </c>
      <c r="O281" s="106" t="str">
        <f t="shared" si="9"/>
        <v>Faltando Comprar</v>
      </c>
    </row>
    <row r="282" spans="1:15" ht="31.5">
      <c r="A282" s="16" t="s">
        <v>17</v>
      </c>
      <c r="B282" s="16" t="s">
        <v>24</v>
      </c>
      <c r="C282" s="17" t="s">
        <v>19</v>
      </c>
      <c r="D282" s="18" t="s">
        <v>215</v>
      </c>
      <c r="E282" s="18">
        <v>10</v>
      </c>
      <c r="F282" s="18" t="s">
        <v>21</v>
      </c>
      <c r="G282" s="18" t="s">
        <v>22</v>
      </c>
      <c r="H282" s="18" t="s">
        <v>23</v>
      </c>
      <c r="I282" s="19">
        <v>119.14</v>
      </c>
      <c r="J282" s="20">
        <f t="shared" si="8"/>
        <v>1191.4000000000001</v>
      </c>
      <c r="K282" s="106"/>
      <c r="L282" s="114"/>
      <c r="M282" s="114">
        <f>tblAquisições[[#This Row],[VALOR UNITARIO COMPRADO]]*tblAquisições[[#This Row],[QUANTIDADE COMPRADA]]</f>
        <v>0</v>
      </c>
      <c r="N282" s="110">
        <f>K282-tblAquisições[[#This Row],[QUANTIDADE PLANEJADA]]</f>
        <v>-10</v>
      </c>
      <c r="O282" s="106" t="str">
        <f t="shared" si="9"/>
        <v>Faltando Comprar</v>
      </c>
    </row>
    <row r="283" spans="1:15" ht="31.5">
      <c r="A283" s="16" t="s">
        <v>17</v>
      </c>
      <c r="B283" s="16" t="s">
        <v>25</v>
      </c>
      <c r="C283" s="17" t="s">
        <v>19</v>
      </c>
      <c r="D283" s="18" t="s">
        <v>215</v>
      </c>
      <c r="E283" s="18">
        <v>10</v>
      </c>
      <c r="F283" s="18" t="s">
        <v>21</v>
      </c>
      <c r="G283" s="18" t="s">
        <v>22</v>
      </c>
      <c r="H283" s="18" t="s">
        <v>23</v>
      </c>
      <c r="I283" s="19">
        <v>119.14</v>
      </c>
      <c r="J283" s="20">
        <f t="shared" si="8"/>
        <v>1191.4000000000001</v>
      </c>
      <c r="K283" s="106"/>
      <c r="L283" s="114"/>
      <c r="M283" s="114">
        <f>tblAquisições[[#This Row],[VALOR UNITARIO COMPRADO]]*tblAquisições[[#This Row],[QUANTIDADE COMPRADA]]</f>
        <v>0</v>
      </c>
      <c r="N283" s="110">
        <f>K283-tblAquisições[[#This Row],[QUANTIDADE PLANEJADA]]</f>
        <v>-10</v>
      </c>
      <c r="O283" s="106" t="str">
        <f t="shared" si="9"/>
        <v>Faltando Comprar</v>
      </c>
    </row>
    <row r="284" spans="1:15" ht="47.25">
      <c r="A284" s="16" t="s">
        <v>17</v>
      </c>
      <c r="B284" s="16" t="s">
        <v>80</v>
      </c>
      <c r="C284" s="17" t="s">
        <v>19</v>
      </c>
      <c r="D284" s="18" t="s">
        <v>216</v>
      </c>
      <c r="E284" s="18">
        <v>1</v>
      </c>
      <c r="F284" s="18" t="s">
        <v>217</v>
      </c>
      <c r="G284" s="18" t="s">
        <v>39</v>
      </c>
      <c r="H284" s="18" t="s">
        <v>23</v>
      </c>
      <c r="I284" s="19">
        <v>10.08</v>
      </c>
      <c r="J284" s="20">
        <f t="shared" si="8"/>
        <v>10.08</v>
      </c>
      <c r="K284" s="106"/>
      <c r="L284" s="114"/>
      <c r="M284" s="114">
        <f>tblAquisições[[#This Row],[VALOR UNITARIO COMPRADO]]*tblAquisições[[#This Row],[QUANTIDADE COMPRADA]]</f>
        <v>0</v>
      </c>
      <c r="N284" s="110">
        <f>K284-tblAquisições[[#This Row],[QUANTIDADE PLANEJADA]]</f>
        <v>-1</v>
      </c>
      <c r="O284" s="106" t="str">
        <f t="shared" si="9"/>
        <v>Faltando Comprar</v>
      </c>
    </row>
    <row r="285" spans="1:15" ht="47.25">
      <c r="A285" s="16" t="s">
        <v>17</v>
      </c>
      <c r="B285" s="16" t="s">
        <v>26</v>
      </c>
      <c r="C285" s="17" t="s">
        <v>19</v>
      </c>
      <c r="D285" s="18" t="s">
        <v>218</v>
      </c>
      <c r="E285" s="18">
        <v>6</v>
      </c>
      <c r="F285" s="18" t="s">
        <v>131</v>
      </c>
      <c r="G285" s="18" t="s">
        <v>22</v>
      </c>
      <c r="H285" s="18" t="s">
        <v>23</v>
      </c>
      <c r="I285" s="19">
        <v>10.08</v>
      </c>
      <c r="J285" s="20">
        <f t="shared" si="8"/>
        <v>60.480000000000004</v>
      </c>
      <c r="K285" s="106"/>
      <c r="L285" s="114"/>
      <c r="M285" s="114">
        <f>tblAquisições[[#This Row],[VALOR UNITARIO COMPRADO]]*tblAquisições[[#This Row],[QUANTIDADE COMPRADA]]</f>
        <v>0</v>
      </c>
      <c r="N285" s="110">
        <f>K285-tblAquisições[[#This Row],[QUANTIDADE PLANEJADA]]</f>
        <v>-6</v>
      </c>
      <c r="O285" s="106" t="str">
        <f t="shared" si="9"/>
        <v>Faltando Comprar</v>
      </c>
    </row>
    <row r="286" spans="1:15" ht="31.5">
      <c r="A286" s="16" t="s">
        <v>17</v>
      </c>
      <c r="B286" s="16" t="s">
        <v>18</v>
      </c>
      <c r="C286" s="17" t="s">
        <v>19</v>
      </c>
      <c r="D286" s="18" t="s">
        <v>219</v>
      </c>
      <c r="E286" s="18">
        <v>50</v>
      </c>
      <c r="F286" s="18" t="s">
        <v>21</v>
      </c>
      <c r="G286" s="18" t="s">
        <v>22</v>
      </c>
      <c r="H286" s="18" t="s">
        <v>23</v>
      </c>
      <c r="I286" s="19">
        <v>3.77</v>
      </c>
      <c r="J286" s="20">
        <f t="shared" si="8"/>
        <v>188.5</v>
      </c>
      <c r="K286" s="106"/>
      <c r="L286" s="114"/>
      <c r="M286" s="114">
        <f>tblAquisições[[#This Row],[VALOR UNITARIO COMPRADO]]*tblAquisições[[#This Row],[QUANTIDADE COMPRADA]]</f>
        <v>0</v>
      </c>
      <c r="N286" s="110">
        <f>K286-tblAquisições[[#This Row],[QUANTIDADE PLANEJADA]]</f>
        <v>-50</v>
      </c>
      <c r="O286" s="106" t="str">
        <f t="shared" si="9"/>
        <v>Faltando Comprar</v>
      </c>
    </row>
    <row r="287" spans="1:15" ht="31.5">
      <c r="A287" s="16" t="s">
        <v>17</v>
      </c>
      <c r="B287" s="16" t="s">
        <v>24</v>
      </c>
      <c r="C287" s="17" t="s">
        <v>19</v>
      </c>
      <c r="D287" s="18" t="s">
        <v>219</v>
      </c>
      <c r="E287" s="18">
        <v>50</v>
      </c>
      <c r="F287" s="18" t="s">
        <v>21</v>
      </c>
      <c r="G287" s="18" t="s">
        <v>22</v>
      </c>
      <c r="H287" s="18" t="s">
        <v>23</v>
      </c>
      <c r="I287" s="19">
        <v>3.77</v>
      </c>
      <c r="J287" s="20">
        <f t="shared" si="8"/>
        <v>188.5</v>
      </c>
      <c r="K287" s="106"/>
      <c r="L287" s="114"/>
      <c r="M287" s="114">
        <f>tblAquisições[[#This Row],[VALOR UNITARIO COMPRADO]]*tblAquisições[[#This Row],[QUANTIDADE COMPRADA]]</f>
        <v>0</v>
      </c>
      <c r="N287" s="110">
        <f>K287-tblAquisições[[#This Row],[QUANTIDADE PLANEJADA]]</f>
        <v>-50</v>
      </c>
      <c r="O287" s="106" t="str">
        <f t="shared" si="9"/>
        <v>Faltando Comprar</v>
      </c>
    </row>
    <row r="288" spans="1:15" ht="31.5">
      <c r="A288" s="16" t="s">
        <v>17</v>
      </c>
      <c r="B288" s="16" t="s">
        <v>25</v>
      </c>
      <c r="C288" s="17" t="s">
        <v>19</v>
      </c>
      <c r="D288" s="18" t="s">
        <v>219</v>
      </c>
      <c r="E288" s="18">
        <v>50</v>
      </c>
      <c r="F288" s="18" t="s">
        <v>21</v>
      </c>
      <c r="G288" s="18" t="s">
        <v>22</v>
      </c>
      <c r="H288" s="18" t="s">
        <v>23</v>
      </c>
      <c r="I288" s="19">
        <v>3.77</v>
      </c>
      <c r="J288" s="20">
        <f t="shared" si="8"/>
        <v>188.5</v>
      </c>
      <c r="K288" s="106"/>
      <c r="L288" s="114"/>
      <c r="M288" s="114">
        <f>tblAquisições[[#This Row],[VALOR UNITARIO COMPRADO]]*tblAquisições[[#This Row],[QUANTIDADE COMPRADA]]</f>
        <v>0</v>
      </c>
      <c r="N288" s="110">
        <f>K288-tblAquisições[[#This Row],[QUANTIDADE PLANEJADA]]</f>
        <v>-50</v>
      </c>
      <c r="O288" s="106" t="str">
        <f t="shared" si="9"/>
        <v>Faltando Comprar</v>
      </c>
    </row>
    <row r="289" spans="1:15" ht="47.25">
      <c r="A289" s="16" t="s">
        <v>17</v>
      </c>
      <c r="B289" s="16" t="s">
        <v>28</v>
      </c>
      <c r="C289" s="17" t="s">
        <v>19</v>
      </c>
      <c r="D289" s="18" t="s">
        <v>220</v>
      </c>
      <c r="E289" s="18">
        <v>70</v>
      </c>
      <c r="F289" s="18" t="s">
        <v>78</v>
      </c>
      <c r="G289" s="18" t="s">
        <v>22</v>
      </c>
      <c r="H289" s="18" t="s">
        <v>23</v>
      </c>
      <c r="I289" s="19">
        <v>200</v>
      </c>
      <c r="J289" s="20">
        <f t="shared" si="8"/>
        <v>14000</v>
      </c>
      <c r="K289" s="106"/>
      <c r="L289" s="114"/>
      <c r="M289" s="114">
        <f>tblAquisições[[#This Row],[VALOR UNITARIO COMPRADO]]*tblAquisições[[#This Row],[QUANTIDADE COMPRADA]]</f>
        <v>0</v>
      </c>
      <c r="N289" s="110">
        <f>K289-tblAquisições[[#This Row],[QUANTIDADE PLANEJADA]]</f>
        <v>-70</v>
      </c>
      <c r="O289" s="106" t="str">
        <f t="shared" si="9"/>
        <v>Faltando Comprar</v>
      </c>
    </row>
    <row r="290" spans="1:15" ht="47.25">
      <c r="A290" s="16" t="s">
        <v>17</v>
      </c>
      <c r="B290" s="16" t="s">
        <v>25</v>
      </c>
      <c r="C290" s="17" t="s">
        <v>19</v>
      </c>
      <c r="D290" s="18" t="s">
        <v>221</v>
      </c>
      <c r="E290" s="18">
        <v>100</v>
      </c>
      <c r="F290" s="18" t="s">
        <v>222</v>
      </c>
      <c r="G290" s="18" t="s">
        <v>127</v>
      </c>
      <c r="H290" s="18" t="s">
        <v>23</v>
      </c>
      <c r="I290" s="19">
        <v>61.02</v>
      </c>
      <c r="J290" s="20">
        <f t="shared" si="8"/>
        <v>6102</v>
      </c>
      <c r="K290" s="106"/>
      <c r="L290" s="114"/>
      <c r="M290" s="114">
        <f>tblAquisições[[#This Row],[VALOR UNITARIO COMPRADO]]*tblAquisições[[#This Row],[QUANTIDADE COMPRADA]]</f>
        <v>0</v>
      </c>
      <c r="N290" s="110">
        <f>K290-tblAquisições[[#This Row],[QUANTIDADE PLANEJADA]]</f>
        <v>-100</v>
      </c>
      <c r="O290" s="106" t="str">
        <f t="shared" si="9"/>
        <v>Faltando Comprar</v>
      </c>
    </row>
    <row r="291" spans="1:15" ht="47.25">
      <c r="A291" s="16" t="s">
        <v>17</v>
      </c>
      <c r="B291" s="16" t="s">
        <v>41</v>
      </c>
      <c r="C291" s="17" t="s">
        <v>19</v>
      </c>
      <c r="D291" s="18" t="s">
        <v>221</v>
      </c>
      <c r="E291" s="18">
        <v>50</v>
      </c>
      <c r="F291" s="18" t="s">
        <v>222</v>
      </c>
      <c r="G291" s="18" t="s">
        <v>127</v>
      </c>
      <c r="H291" s="18" t="s">
        <v>23</v>
      </c>
      <c r="I291" s="19">
        <v>61.02</v>
      </c>
      <c r="J291" s="20">
        <f t="shared" si="8"/>
        <v>3051</v>
      </c>
      <c r="K291" s="106"/>
      <c r="L291" s="114"/>
      <c r="M291" s="114">
        <f>tblAquisições[[#This Row],[VALOR UNITARIO COMPRADO]]*tblAquisições[[#This Row],[QUANTIDADE COMPRADA]]</f>
        <v>0</v>
      </c>
      <c r="N291" s="110">
        <f>K291-tblAquisições[[#This Row],[QUANTIDADE PLANEJADA]]</f>
        <v>-50</v>
      </c>
      <c r="O291" s="106" t="str">
        <f t="shared" si="9"/>
        <v>Faltando Comprar</v>
      </c>
    </row>
    <row r="292" spans="1:15" ht="47.25">
      <c r="A292" s="16" t="s">
        <v>17</v>
      </c>
      <c r="B292" s="16" t="s">
        <v>31</v>
      </c>
      <c r="C292" s="17" t="s">
        <v>19</v>
      </c>
      <c r="D292" s="18" t="s">
        <v>223</v>
      </c>
      <c r="E292" s="18">
        <v>5</v>
      </c>
      <c r="F292" s="18" t="s">
        <v>21</v>
      </c>
      <c r="G292" s="18" t="s">
        <v>22</v>
      </c>
      <c r="H292" s="18" t="s">
        <v>23</v>
      </c>
      <c r="I292" s="19">
        <v>1269.72</v>
      </c>
      <c r="J292" s="20">
        <f t="shared" si="8"/>
        <v>6348.6</v>
      </c>
      <c r="K292" s="106"/>
      <c r="L292" s="114"/>
      <c r="M292" s="114">
        <f>tblAquisições[[#This Row],[VALOR UNITARIO COMPRADO]]*tblAquisições[[#This Row],[QUANTIDADE COMPRADA]]</f>
        <v>0</v>
      </c>
      <c r="N292" s="110">
        <f>K292-tblAquisições[[#This Row],[QUANTIDADE PLANEJADA]]</f>
        <v>-5</v>
      </c>
      <c r="O292" s="106" t="str">
        <f t="shared" si="9"/>
        <v>Faltando Comprar</v>
      </c>
    </row>
    <row r="293" spans="1:15" ht="47.25">
      <c r="A293" s="16" t="s">
        <v>17</v>
      </c>
      <c r="B293" s="16" t="s">
        <v>41</v>
      </c>
      <c r="C293" s="17" t="s">
        <v>19</v>
      </c>
      <c r="D293" s="18" t="s">
        <v>223</v>
      </c>
      <c r="E293" s="18">
        <v>10</v>
      </c>
      <c r="F293" s="18" t="s">
        <v>21</v>
      </c>
      <c r="G293" s="18" t="s">
        <v>22</v>
      </c>
      <c r="H293" s="18" t="s">
        <v>23</v>
      </c>
      <c r="I293" s="19">
        <v>1269.72</v>
      </c>
      <c r="J293" s="20">
        <f t="shared" si="8"/>
        <v>12697.2</v>
      </c>
      <c r="K293" s="106"/>
      <c r="L293" s="114"/>
      <c r="M293" s="114">
        <f>tblAquisições[[#This Row],[VALOR UNITARIO COMPRADO]]*tblAquisições[[#This Row],[QUANTIDADE COMPRADA]]</f>
        <v>0</v>
      </c>
      <c r="N293" s="110">
        <f>K293-tblAquisições[[#This Row],[QUANTIDADE PLANEJADA]]</f>
        <v>-10</v>
      </c>
      <c r="O293" s="106" t="str">
        <f t="shared" si="9"/>
        <v>Faltando Comprar</v>
      </c>
    </row>
    <row r="294" spans="1:15" ht="47.25">
      <c r="A294" s="16" t="s">
        <v>17</v>
      </c>
      <c r="B294" s="16" t="s">
        <v>26</v>
      </c>
      <c r="C294" s="17" t="s">
        <v>19</v>
      </c>
      <c r="D294" s="18" t="s">
        <v>223</v>
      </c>
      <c r="E294" s="18">
        <v>10</v>
      </c>
      <c r="F294" s="18" t="s">
        <v>21</v>
      </c>
      <c r="G294" s="18" t="s">
        <v>22</v>
      </c>
      <c r="H294" s="18" t="s">
        <v>23</v>
      </c>
      <c r="I294" s="19">
        <v>1269.72</v>
      </c>
      <c r="J294" s="20">
        <f t="shared" si="8"/>
        <v>12697.2</v>
      </c>
      <c r="K294" s="106"/>
      <c r="L294" s="114"/>
      <c r="M294" s="114">
        <f>tblAquisições[[#This Row],[VALOR UNITARIO COMPRADO]]*tblAquisições[[#This Row],[QUANTIDADE COMPRADA]]</f>
        <v>0</v>
      </c>
      <c r="N294" s="110">
        <f>K294-tblAquisições[[#This Row],[QUANTIDADE PLANEJADA]]</f>
        <v>-10</v>
      </c>
      <c r="O294" s="106" t="str">
        <f t="shared" si="9"/>
        <v>Faltando Comprar</v>
      </c>
    </row>
    <row r="295" spans="1:15" ht="47.25">
      <c r="A295" s="16" t="s">
        <v>17</v>
      </c>
      <c r="B295" s="16" t="s">
        <v>28</v>
      </c>
      <c r="C295" s="17" t="s">
        <v>19</v>
      </c>
      <c r="D295" s="18" t="s">
        <v>223</v>
      </c>
      <c r="E295" s="18">
        <v>50</v>
      </c>
      <c r="F295" s="18" t="s">
        <v>21</v>
      </c>
      <c r="G295" s="18" t="s">
        <v>22</v>
      </c>
      <c r="H295" s="18" t="s">
        <v>23</v>
      </c>
      <c r="I295" s="19">
        <v>1269.72</v>
      </c>
      <c r="J295" s="20">
        <f t="shared" si="8"/>
        <v>63486</v>
      </c>
      <c r="K295" s="106"/>
      <c r="L295" s="114"/>
      <c r="M295" s="114">
        <f>tblAquisições[[#This Row],[VALOR UNITARIO COMPRADO]]*tblAquisições[[#This Row],[QUANTIDADE COMPRADA]]</f>
        <v>0</v>
      </c>
      <c r="N295" s="110">
        <f>K295-tblAquisições[[#This Row],[QUANTIDADE PLANEJADA]]</f>
        <v>-50</v>
      </c>
      <c r="O295" s="106" t="str">
        <f t="shared" si="9"/>
        <v>Faltando Comprar</v>
      </c>
    </row>
    <row r="296" spans="1:15" ht="47.25">
      <c r="A296" s="16" t="s">
        <v>17</v>
      </c>
      <c r="B296" s="16" t="s">
        <v>18</v>
      </c>
      <c r="C296" s="17" t="s">
        <v>19</v>
      </c>
      <c r="D296" s="18" t="s">
        <v>224</v>
      </c>
      <c r="E296" s="18">
        <v>120</v>
      </c>
      <c r="F296" s="18" t="s">
        <v>21</v>
      </c>
      <c r="G296" s="18" t="s">
        <v>22</v>
      </c>
      <c r="H296" s="18" t="s">
        <v>23</v>
      </c>
      <c r="I296" s="19">
        <v>225</v>
      </c>
      <c r="J296" s="20">
        <f t="shared" si="8"/>
        <v>27000</v>
      </c>
      <c r="K296" s="106"/>
      <c r="L296" s="114"/>
      <c r="M296" s="114">
        <f>tblAquisições[[#This Row],[VALOR UNITARIO COMPRADO]]*tblAquisições[[#This Row],[QUANTIDADE COMPRADA]]</f>
        <v>0</v>
      </c>
      <c r="N296" s="110">
        <f>K296-tblAquisições[[#This Row],[QUANTIDADE PLANEJADA]]</f>
        <v>-120</v>
      </c>
      <c r="O296" s="106" t="str">
        <f t="shared" si="9"/>
        <v>Faltando Comprar</v>
      </c>
    </row>
    <row r="297" spans="1:15" ht="47.25">
      <c r="A297" s="16" t="s">
        <v>17</v>
      </c>
      <c r="B297" s="16" t="s">
        <v>24</v>
      </c>
      <c r="C297" s="17" t="s">
        <v>19</v>
      </c>
      <c r="D297" s="18" t="s">
        <v>224</v>
      </c>
      <c r="E297" s="18">
        <v>120</v>
      </c>
      <c r="F297" s="18" t="s">
        <v>21</v>
      </c>
      <c r="G297" s="18" t="s">
        <v>22</v>
      </c>
      <c r="H297" s="18" t="s">
        <v>23</v>
      </c>
      <c r="I297" s="19">
        <v>225</v>
      </c>
      <c r="J297" s="20">
        <f t="shared" si="8"/>
        <v>27000</v>
      </c>
      <c r="K297" s="106"/>
      <c r="L297" s="114"/>
      <c r="M297" s="114">
        <f>tblAquisições[[#This Row],[VALOR UNITARIO COMPRADO]]*tblAquisições[[#This Row],[QUANTIDADE COMPRADA]]</f>
        <v>0</v>
      </c>
      <c r="N297" s="110">
        <f>K297-tblAquisições[[#This Row],[QUANTIDADE PLANEJADA]]</f>
        <v>-120</v>
      </c>
      <c r="O297" s="106" t="str">
        <f t="shared" si="9"/>
        <v>Faltando Comprar</v>
      </c>
    </row>
    <row r="298" spans="1:15" ht="47.25">
      <c r="A298" s="16" t="s">
        <v>17</v>
      </c>
      <c r="B298" s="16" t="s">
        <v>25</v>
      </c>
      <c r="C298" s="17" t="s">
        <v>19</v>
      </c>
      <c r="D298" s="18" t="s">
        <v>224</v>
      </c>
      <c r="E298" s="18">
        <v>120</v>
      </c>
      <c r="F298" s="18" t="s">
        <v>21</v>
      </c>
      <c r="G298" s="18" t="s">
        <v>22</v>
      </c>
      <c r="H298" s="18" t="s">
        <v>23</v>
      </c>
      <c r="I298" s="19">
        <v>225</v>
      </c>
      <c r="J298" s="20">
        <f t="shared" si="8"/>
        <v>27000</v>
      </c>
      <c r="K298" s="106"/>
      <c r="L298" s="114"/>
      <c r="M298" s="114">
        <f>tblAquisições[[#This Row],[VALOR UNITARIO COMPRADO]]*tblAquisições[[#This Row],[QUANTIDADE COMPRADA]]</f>
        <v>0</v>
      </c>
      <c r="N298" s="110">
        <f>K298-tblAquisições[[#This Row],[QUANTIDADE PLANEJADA]]</f>
        <v>-120</v>
      </c>
      <c r="O298" s="106" t="str">
        <f t="shared" si="9"/>
        <v>Faltando Comprar</v>
      </c>
    </row>
    <row r="299" spans="1:15" ht="47.25">
      <c r="A299" s="16" t="s">
        <v>17</v>
      </c>
      <c r="B299" s="16" t="s">
        <v>26</v>
      </c>
      <c r="C299" s="17" t="s">
        <v>19</v>
      </c>
      <c r="D299" s="18" t="s">
        <v>224</v>
      </c>
      <c r="E299" s="18">
        <v>100</v>
      </c>
      <c r="F299" s="18" t="s">
        <v>21</v>
      </c>
      <c r="G299" s="18" t="s">
        <v>22</v>
      </c>
      <c r="H299" s="18" t="s">
        <v>23</v>
      </c>
      <c r="I299" s="19">
        <v>225</v>
      </c>
      <c r="J299" s="20">
        <f t="shared" si="8"/>
        <v>22500</v>
      </c>
      <c r="K299" s="106"/>
      <c r="L299" s="114"/>
      <c r="M299" s="114">
        <f>tblAquisições[[#This Row],[VALOR UNITARIO COMPRADO]]*tblAquisições[[#This Row],[QUANTIDADE COMPRADA]]</f>
        <v>0</v>
      </c>
      <c r="N299" s="110">
        <f>K299-tblAquisições[[#This Row],[QUANTIDADE PLANEJADA]]</f>
        <v>-100</v>
      </c>
      <c r="O299" s="106" t="str">
        <f t="shared" si="9"/>
        <v>Faltando Comprar</v>
      </c>
    </row>
    <row r="300" spans="1:15" ht="47.25">
      <c r="A300" s="16" t="s">
        <v>17</v>
      </c>
      <c r="B300" s="16" t="s">
        <v>27</v>
      </c>
      <c r="C300" s="17" t="s">
        <v>19</v>
      </c>
      <c r="D300" s="18" t="s">
        <v>224</v>
      </c>
      <c r="E300" s="18">
        <v>30</v>
      </c>
      <c r="F300" s="18" t="s">
        <v>21</v>
      </c>
      <c r="G300" s="18" t="s">
        <v>22</v>
      </c>
      <c r="H300" s="18" t="s">
        <v>23</v>
      </c>
      <c r="I300" s="19">
        <v>225</v>
      </c>
      <c r="J300" s="20">
        <f t="shared" si="8"/>
        <v>6750</v>
      </c>
      <c r="K300" s="106"/>
      <c r="L300" s="114"/>
      <c r="M300" s="114">
        <f>tblAquisições[[#This Row],[VALOR UNITARIO COMPRADO]]*tblAquisições[[#This Row],[QUANTIDADE COMPRADA]]</f>
        <v>0</v>
      </c>
      <c r="N300" s="110">
        <f>K300-tblAquisições[[#This Row],[QUANTIDADE PLANEJADA]]</f>
        <v>-30</v>
      </c>
      <c r="O300" s="106" t="str">
        <f t="shared" si="9"/>
        <v>Faltando Comprar</v>
      </c>
    </row>
    <row r="301" spans="1:15" ht="47.25">
      <c r="A301" s="16" t="s">
        <v>17</v>
      </c>
      <c r="B301" s="16" t="s">
        <v>26</v>
      </c>
      <c r="C301" s="17" t="s">
        <v>19</v>
      </c>
      <c r="D301" s="18" t="s">
        <v>225</v>
      </c>
      <c r="E301" s="18">
        <v>150</v>
      </c>
      <c r="F301" s="18" t="s">
        <v>30</v>
      </c>
      <c r="G301" s="18" t="s">
        <v>22</v>
      </c>
      <c r="H301" s="18" t="s">
        <v>83</v>
      </c>
      <c r="I301" s="19">
        <v>70.13</v>
      </c>
      <c r="J301" s="20">
        <f t="shared" si="8"/>
        <v>10519.5</v>
      </c>
      <c r="K301" s="106"/>
      <c r="L301" s="114"/>
      <c r="M301" s="114">
        <f>tblAquisições[[#This Row],[VALOR UNITARIO COMPRADO]]*tblAquisições[[#This Row],[QUANTIDADE COMPRADA]]</f>
        <v>0</v>
      </c>
      <c r="N301" s="110">
        <f>K301-tblAquisições[[#This Row],[QUANTIDADE PLANEJADA]]</f>
        <v>-150</v>
      </c>
      <c r="O301" s="106" t="str">
        <f t="shared" si="9"/>
        <v>Faltando Comprar</v>
      </c>
    </row>
    <row r="302" spans="1:15" ht="47.25">
      <c r="A302" s="16" t="s">
        <v>17</v>
      </c>
      <c r="B302" s="16" t="s">
        <v>26</v>
      </c>
      <c r="C302" s="17" t="s">
        <v>19</v>
      </c>
      <c r="D302" s="18" t="s">
        <v>226</v>
      </c>
      <c r="E302" s="18">
        <v>80</v>
      </c>
      <c r="F302" s="18" t="s">
        <v>30</v>
      </c>
      <c r="G302" s="18" t="s">
        <v>22</v>
      </c>
      <c r="H302" s="18" t="s">
        <v>83</v>
      </c>
      <c r="I302" s="19">
        <v>107.5</v>
      </c>
      <c r="J302" s="20">
        <f t="shared" si="8"/>
        <v>8600</v>
      </c>
      <c r="K302" s="106"/>
      <c r="L302" s="114"/>
      <c r="M302" s="114">
        <f>tblAquisições[[#This Row],[VALOR UNITARIO COMPRADO]]*tblAquisições[[#This Row],[QUANTIDADE COMPRADA]]</f>
        <v>0</v>
      </c>
      <c r="N302" s="110">
        <f>K302-tblAquisições[[#This Row],[QUANTIDADE PLANEJADA]]</f>
        <v>-80</v>
      </c>
      <c r="O302" s="106" t="str">
        <f t="shared" si="9"/>
        <v>Faltando Comprar</v>
      </c>
    </row>
    <row r="303" spans="1:15" ht="47.25">
      <c r="A303" s="16" t="s">
        <v>17</v>
      </c>
      <c r="B303" s="16" t="s">
        <v>59</v>
      </c>
      <c r="C303" s="17" t="s">
        <v>19</v>
      </c>
      <c r="D303" s="18" t="s">
        <v>227</v>
      </c>
      <c r="E303" s="18">
        <v>10</v>
      </c>
      <c r="F303" s="18" t="s">
        <v>58</v>
      </c>
      <c r="G303" s="18" t="s">
        <v>22</v>
      </c>
      <c r="H303" s="18" t="s">
        <v>23</v>
      </c>
      <c r="I303" s="19">
        <v>58.19</v>
      </c>
      <c r="J303" s="20">
        <f t="shared" si="8"/>
        <v>581.9</v>
      </c>
      <c r="K303" s="106"/>
      <c r="L303" s="114"/>
      <c r="M303" s="114">
        <f>tblAquisições[[#This Row],[VALOR UNITARIO COMPRADO]]*tblAquisições[[#This Row],[QUANTIDADE COMPRADA]]</f>
        <v>0</v>
      </c>
      <c r="N303" s="110">
        <f>K303-tblAquisições[[#This Row],[QUANTIDADE PLANEJADA]]</f>
        <v>-10</v>
      </c>
      <c r="O303" s="106" t="str">
        <f t="shared" si="9"/>
        <v>Faltando Comprar</v>
      </c>
    </row>
    <row r="304" spans="1:15" ht="63">
      <c r="A304" s="16" t="s">
        <v>17</v>
      </c>
      <c r="B304" s="16" t="s">
        <v>26</v>
      </c>
      <c r="C304" s="17" t="s">
        <v>19</v>
      </c>
      <c r="D304" s="18" t="s">
        <v>228</v>
      </c>
      <c r="E304" s="18">
        <v>80</v>
      </c>
      <c r="F304" s="18" t="s">
        <v>229</v>
      </c>
      <c r="G304" s="18" t="s">
        <v>22</v>
      </c>
      <c r="H304" s="18" t="s">
        <v>23</v>
      </c>
      <c r="I304" s="19">
        <v>66.33</v>
      </c>
      <c r="J304" s="20">
        <f t="shared" si="8"/>
        <v>5306.4</v>
      </c>
      <c r="K304" s="106"/>
      <c r="L304" s="114"/>
      <c r="M304" s="114">
        <f>tblAquisições[[#This Row],[VALOR UNITARIO COMPRADO]]*tblAquisições[[#This Row],[QUANTIDADE COMPRADA]]</f>
        <v>0</v>
      </c>
      <c r="N304" s="110">
        <f>K304-tblAquisições[[#This Row],[QUANTIDADE PLANEJADA]]</f>
        <v>-80</v>
      </c>
      <c r="O304" s="106" t="str">
        <f t="shared" si="9"/>
        <v>Faltando Comprar</v>
      </c>
    </row>
    <row r="305" spans="1:15" ht="63">
      <c r="A305" s="16" t="s">
        <v>17</v>
      </c>
      <c r="B305" s="16" t="s">
        <v>26</v>
      </c>
      <c r="C305" s="17" t="s">
        <v>19</v>
      </c>
      <c r="D305" s="18" t="s">
        <v>230</v>
      </c>
      <c r="E305" s="18">
        <v>60</v>
      </c>
      <c r="F305" s="18" t="s">
        <v>229</v>
      </c>
      <c r="G305" s="18" t="s">
        <v>22</v>
      </c>
      <c r="H305" s="18" t="s">
        <v>23</v>
      </c>
      <c r="I305" s="19">
        <v>48.7</v>
      </c>
      <c r="J305" s="20">
        <f t="shared" si="8"/>
        <v>2922</v>
      </c>
      <c r="K305" s="106"/>
      <c r="L305" s="114"/>
      <c r="M305" s="114">
        <f>tblAquisições[[#This Row],[VALOR UNITARIO COMPRADO]]*tblAquisições[[#This Row],[QUANTIDADE COMPRADA]]</f>
        <v>0</v>
      </c>
      <c r="N305" s="110">
        <f>K305-tblAquisições[[#This Row],[QUANTIDADE PLANEJADA]]</f>
        <v>-60</v>
      </c>
      <c r="O305" s="106" t="str">
        <f t="shared" si="9"/>
        <v>Faltando Comprar</v>
      </c>
    </row>
    <row r="306" spans="1:15" ht="47.25">
      <c r="A306" s="16" t="s">
        <v>17</v>
      </c>
      <c r="B306" s="16" t="s">
        <v>31</v>
      </c>
      <c r="C306" s="17" t="s">
        <v>19</v>
      </c>
      <c r="D306" s="18" t="s">
        <v>231</v>
      </c>
      <c r="E306" s="18">
        <v>150</v>
      </c>
      <c r="F306" s="18" t="s">
        <v>229</v>
      </c>
      <c r="G306" s="18" t="s">
        <v>22</v>
      </c>
      <c r="H306" s="18" t="s">
        <v>23</v>
      </c>
      <c r="I306" s="19">
        <v>31.33</v>
      </c>
      <c r="J306" s="20">
        <f t="shared" si="8"/>
        <v>4699.5</v>
      </c>
      <c r="K306" s="106"/>
      <c r="L306" s="114"/>
      <c r="M306" s="114">
        <f>tblAquisições[[#This Row],[VALOR UNITARIO COMPRADO]]*tblAquisições[[#This Row],[QUANTIDADE COMPRADA]]</f>
        <v>0</v>
      </c>
      <c r="N306" s="110">
        <f>K306-tblAquisições[[#This Row],[QUANTIDADE PLANEJADA]]</f>
        <v>-150</v>
      </c>
      <c r="O306" s="106" t="str">
        <f t="shared" si="9"/>
        <v>Faltando Comprar</v>
      </c>
    </row>
    <row r="307" spans="1:15" ht="63">
      <c r="A307" s="16" t="s">
        <v>17</v>
      </c>
      <c r="B307" s="16" t="s">
        <v>26</v>
      </c>
      <c r="C307" s="17" t="s">
        <v>19</v>
      </c>
      <c r="D307" s="18" t="s">
        <v>232</v>
      </c>
      <c r="E307" s="18">
        <v>60</v>
      </c>
      <c r="F307" s="18" t="s">
        <v>229</v>
      </c>
      <c r="G307" s="18" t="s">
        <v>22</v>
      </c>
      <c r="H307" s="18" t="s">
        <v>23</v>
      </c>
      <c r="I307" s="19">
        <v>66.66</v>
      </c>
      <c r="J307" s="20">
        <f t="shared" si="8"/>
        <v>3999.6</v>
      </c>
      <c r="K307" s="106"/>
      <c r="L307" s="114"/>
      <c r="M307" s="114">
        <f>tblAquisições[[#This Row],[VALOR UNITARIO COMPRADO]]*tblAquisições[[#This Row],[QUANTIDADE COMPRADA]]</f>
        <v>0</v>
      </c>
      <c r="N307" s="110">
        <f>K307-tblAquisições[[#This Row],[QUANTIDADE PLANEJADA]]</f>
        <v>-60</v>
      </c>
      <c r="O307" s="106" t="str">
        <f t="shared" si="9"/>
        <v>Faltando Comprar</v>
      </c>
    </row>
    <row r="308" spans="1:15" ht="63">
      <c r="A308" s="16" t="s">
        <v>17</v>
      </c>
      <c r="B308" s="16" t="s">
        <v>26</v>
      </c>
      <c r="C308" s="17" t="s">
        <v>19</v>
      </c>
      <c r="D308" s="18" t="s">
        <v>233</v>
      </c>
      <c r="E308" s="18">
        <v>80</v>
      </c>
      <c r="F308" s="18" t="s">
        <v>229</v>
      </c>
      <c r="G308" s="18" t="s">
        <v>22</v>
      </c>
      <c r="H308" s="18" t="s">
        <v>23</v>
      </c>
      <c r="I308" s="19">
        <v>97.97</v>
      </c>
      <c r="J308" s="20">
        <f t="shared" si="8"/>
        <v>7837.6</v>
      </c>
      <c r="K308" s="106"/>
      <c r="L308" s="114"/>
      <c r="M308" s="114">
        <f>tblAquisições[[#This Row],[VALOR UNITARIO COMPRADO]]*tblAquisições[[#This Row],[QUANTIDADE COMPRADA]]</f>
        <v>0</v>
      </c>
      <c r="N308" s="110">
        <f>K308-tblAquisições[[#This Row],[QUANTIDADE PLANEJADA]]</f>
        <v>-80</v>
      </c>
      <c r="O308" s="106" t="str">
        <f t="shared" si="9"/>
        <v>Faltando Comprar</v>
      </c>
    </row>
    <row r="309" spans="1:15" ht="47.25">
      <c r="A309" s="16" t="s">
        <v>17</v>
      </c>
      <c r="B309" s="16" t="s">
        <v>26</v>
      </c>
      <c r="C309" s="17" t="s">
        <v>19</v>
      </c>
      <c r="D309" s="18" t="s">
        <v>234</v>
      </c>
      <c r="E309" s="18">
        <v>10</v>
      </c>
      <c r="F309" s="18" t="s">
        <v>229</v>
      </c>
      <c r="G309" s="18" t="s">
        <v>22</v>
      </c>
      <c r="H309" s="18" t="s">
        <v>23</v>
      </c>
      <c r="I309" s="19">
        <v>97.97</v>
      </c>
      <c r="J309" s="20">
        <f t="shared" si="8"/>
        <v>979.7</v>
      </c>
      <c r="K309" s="106"/>
      <c r="L309" s="114"/>
      <c r="M309" s="114">
        <f>tblAquisições[[#This Row],[VALOR UNITARIO COMPRADO]]*tblAquisições[[#This Row],[QUANTIDADE COMPRADA]]</f>
        <v>0</v>
      </c>
      <c r="N309" s="110">
        <f>K309-tblAquisições[[#This Row],[QUANTIDADE PLANEJADA]]</f>
        <v>-10</v>
      </c>
      <c r="O309" s="106" t="str">
        <f t="shared" si="9"/>
        <v>Faltando Comprar</v>
      </c>
    </row>
    <row r="310" spans="1:15" ht="31.5">
      <c r="A310" s="16" t="s">
        <v>17</v>
      </c>
      <c r="B310" s="16" t="s">
        <v>31</v>
      </c>
      <c r="C310" s="17" t="s">
        <v>19</v>
      </c>
      <c r="D310" s="18" t="s">
        <v>235</v>
      </c>
      <c r="E310" s="18">
        <v>40</v>
      </c>
      <c r="F310" s="18" t="s">
        <v>21</v>
      </c>
      <c r="G310" s="18" t="s">
        <v>22</v>
      </c>
      <c r="H310" s="18" t="s">
        <v>23</v>
      </c>
      <c r="I310" s="19">
        <v>26.95</v>
      </c>
      <c r="J310" s="20">
        <f t="shared" si="8"/>
        <v>1078</v>
      </c>
      <c r="K310" s="106"/>
      <c r="L310" s="114"/>
      <c r="M310" s="114">
        <f>tblAquisições[[#This Row],[VALOR UNITARIO COMPRADO]]*tblAquisições[[#This Row],[QUANTIDADE COMPRADA]]</f>
        <v>0</v>
      </c>
      <c r="N310" s="110">
        <f>K310-tblAquisições[[#This Row],[QUANTIDADE PLANEJADA]]</f>
        <v>-40</v>
      </c>
      <c r="O310" s="106" t="str">
        <f t="shared" si="9"/>
        <v>Faltando Comprar</v>
      </c>
    </row>
    <row r="311" spans="1:15" ht="31.5">
      <c r="A311" s="16" t="s">
        <v>17</v>
      </c>
      <c r="B311" s="16" t="s">
        <v>18</v>
      </c>
      <c r="C311" s="17" t="s">
        <v>19</v>
      </c>
      <c r="D311" s="18" t="s">
        <v>235</v>
      </c>
      <c r="E311" s="18">
        <v>30</v>
      </c>
      <c r="F311" s="18" t="s">
        <v>21</v>
      </c>
      <c r="G311" s="18" t="s">
        <v>22</v>
      </c>
      <c r="H311" s="18" t="s">
        <v>23</v>
      </c>
      <c r="I311" s="19">
        <v>26.95</v>
      </c>
      <c r="J311" s="20">
        <f t="shared" si="8"/>
        <v>808.5</v>
      </c>
      <c r="K311" s="106"/>
      <c r="L311" s="114"/>
      <c r="M311" s="114">
        <f>tblAquisições[[#This Row],[VALOR UNITARIO COMPRADO]]*tblAquisições[[#This Row],[QUANTIDADE COMPRADA]]</f>
        <v>0</v>
      </c>
      <c r="N311" s="110">
        <f>K311-tblAquisições[[#This Row],[QUANTIDADE PLANEJADA]]</f>
        <v>-30</v>
      </c>
      <c r="O311" s="106" t="str">
        <f t="shared" si="9"/>
        <v>Faltando Comprar</v>
      </c>
    </row>
    <row r="312" spans="1:15" ht="31.5">
      <c r="A312" s="16" t="s">
        <v>17</v>
      </c>
      <c r="B312" s="16" t="s">
        <v>24</v>
      </c>
      <c r="C312" s="17" t="s">
        <v>19</v>
      </c>
      <c r="D312" s="18" t="s">
        <v>235</v>
      </c>
      <c r="E312" s="18">
        <v>30</v>
      </c>
      <c r="F312" s="18" t="s">
        <v>21</v>
      </c>
      <c r="G312" s="18" t="s">
        <v>22</v>
      </c>
      <c r="H312" s="18" t="s">
        <v>23</v>
      </c>
      <c r="I312" s="19">
        <v>26.95</v>
      </c>
      <c r="J312" s="20">
        <f t="shared" si="8"/>
        <v>808.5</v>
      </c>
      <c r="K312" s="106"/>
      <c r="L312" s="114"/>
      <c r="M312" s="114">
        <f>tblAquisições[[#This Row],[VALOR UNITARIO COMPRADO]]*tblAquisições[[#This Row],[QUANTIDADE COMPRADA]]</f>
        <v>0</v>
      </c>
      <c r="N312" s="110">
        <f>K312-tblAquisições[[#This Row],[QUANTIDADE PLANEJADA]]</f>
        <v>-30</v>
      </c>
      <c r="O312" s="106" t="str">
        <f t="shared" si="9"/>
        <v>Faltando Comprar</v>
      </c>
    </row>
    <row r="313" spans="1:15" ht="31.5">
      <c r="A313" s="16" t="s">
        <v>17</v>
      </c>
      <c r="B313" s="16" t="s">
        <v>25</v>
      </c>
      <c r="C313" s="17" t="s">
        <v>19</v>
      </c>
      <c r="D313" s="18" t="s">
        <v>235</v>
      </c>
      <c r="E313" s="18">
        <v>30</v>
      </c>
      <c r="F313" s="18" t="s">
        <v>21</v>
      </c>
      <c r="G313" s="18" t="s">
        <v>22</v>
      </c>
      <c r="H313" s="18" t="s">
        <v>23</v>
      </c>
      <c r="I313" s="19">
        <v>26.95</v>
      </c>
      <c r="J313" s="20">
        <f t="shared" si="8"/>
        <v>808.5</v>
      </c>
      <c r="K313" s="106"/>
      <c r="L313" s="114"/>
      <c r="M313" s="114">
        <f>tblAquisições[[#This Row],[VALOR UNITARIO COMPRADO]]*tblAquisições[[#This Row],[QUANTIDADE COMPRADA]]</f>
        <v>0</v>
      </c>
      <c r="N313" s="110">
        <f>K313-tblAquisições[[#This Row],[QUANTIDADE PLANEJADA]]</f>
        <v>-30</v>
      </c>
      <c r="O313" s="106" t="str">
        <f t="shared" si="9"/>
        <v>Faltando Comprar</v>
      </c>
    </row>
    <row r="314" spans="1:15" ht="31.5">
      <c r="A314" s="16" t="s">
        <v>17</v>
      </c>
      <c r="B314" s="16" t="s">
        <v>41</v>
      </c>
      <c r="C314" s="17" t="s">
        <v>19</v>
      </c>
      <c r="D314" s="18" t="s">
        <v>235</v>
      </c>
      <c r="E314" s="18">
        <v>50</v>
      </c>
      <c r="F314" s="18" t="s">
        <v>21</v>
      </c>
      <c r="G314" s="18" t="s">
        <v>22</v>
      </c>
      <c r="H314" s="18" t="s">
        <v>23</v>
      </c>
      <c r="I314" s="19">
        <v>26.95</v>
      </c>
      <c r="J314" s="20">
        <f t="shared" si="8"/>
        <v>1347.5</v>
      </c>
      <c r="K314" s="106"/>
      <c r="L314" s="114"/>
      <c r="M314" s="114">
        <f>tblAquisições[[#This Row],[VALOR UNITARIO COMPRADO]]*tblAquisições[[#This Row],[QUANTIDADE COMPRADA]]</f>
        <v>0</v>
      </c>
      <c r="N314" s="110">
        <f>K314-tblAquisições[[#This Row],[QUANTIDADE PLANEJADA]]</f>
        <v>-50</v>
      </c>
      <c r="O314" s="106" t="str">
        <f t="shared" si="9"/>
        <v>Faltando Comprar</v>
      </c>
    </row>
    <row r="315" spans="1:15" ht="31.5">
      <c r="A315" s="16" t="s">
        <v>17</v>
      </c>
      <c r="B315" s="16" t="s">
        <v>28</v>
      </c>
      <c r="C315" s="17" t="s">
        <v>19</v>
      </c>
      <c r="D315" s="18" t="s">
        <v>235</v>
      </c>
      <c r="E315" s="18">
        <v>190</v>
      </c>
      <c r="F315" s="18" t="s">
        <v>21</v>
      </c>
      <c r="G315" s="18" t="s">
        <v>22</v>
      </c>
      <c r="H315" s="18" t="s">
        <v>23</v>
      </c>
      <c r="I315" s="19">
        <v>26.95</v>
      </c>
      <c r="J315" s="20">
        <f t="shared" si="8"/>
        <v>5120.5</v>
      </c>
      <c r="K315" s="106"/>
      <c r="L315" s="114"/>
      <c r="M315" s="114">
        <f>tblAquisições[[#This Row],[VALOR UNITARIO COMPRADO]]*tblAquisições[[#This Row],[QUANTIDADE COMPRADA]]</f>
        <v>0</v>
      </c>
      <c r="N315" s="110">
        <f>K315-tblAquisições[[#This Row],[QUANTIDADE PLANEJADA]]</f>
        <v>-190</v>
      </c>
      <c r="O315" s="106" t="str">
        <f t="shared" si="9"/>
        <v>Faltando Comprar</v>
      </c>
    </row>
    <row r="316" spans="1:15" ht="47.25">
      <c r="A316" s="16" t="s">
        <v>17</v>
      </c>
      <c r="B316" s="16" t="s">
        <v>18</v>
      </c>
      <c r="C316" s="17" t="s">
        <v>19</v>
      </c>
      <c r="D316" s="18" t="s">
        <v>236</v>
      </c>
      <c r="E316" s="18">
        <v>100</v>
      </c>
      <c r="F316" s="18" t="s">
        <v>78</v>
      </c>
      <c r="G316" s="18" t="s">
        <v>22</v>
      </c>
      <c r="H316" s="18" t="s">
        <v>23</v>
      </c>
      <c r="I316" s="19">
        <v>38.5</v>
      </c>
      <c r="J316" s="20">
        <f t="shared" si="8"/>
        <v>3850</v>
      </c>
      <c r="K316" s="106"/>
      <c r="L316" s="114"/>
      <c r="M316" s="114">
        <f>tblAquisições[[#This Row],[VALOR UNITARIO COMPRADO]]*tblAquisições[[#This Row],[QUANTIDADE COMPRADA]]</f>
        <v>0</v>
      </c>
      <c r="N316" s="110">
        <f>K316-tblAquisições[[#This Row],[QUANTIDADE PLANEJADA]]</f>
        <v>-100</v>
      </c>
      <c r="O316" s="106" t="str">
        <f t="shared" si="9"/>
        <v>Faltando Comprar</v>
      </c>
    </row>
    <row r="317" spans="1:15" ht="47.25">
      <c r="A317" s="16" t="s">
        <v>17</v>
      </c>
      <c r="B317" s="16" t="s">
        <v>24</v>
      </c>
      <c r="C317" s="17" t="s">
        <v>19</v>
      </c>
      <c r="D317" s="18" t="s">
        <v>236</v>
      </c>
      <c r="E317" s="18">
        <v>100</v>
      </c>
      <c r="F317" s="18" t="s">
        <v>78</v>
      </c>
      <c r="G317" s="18" t="s">
        <v>22</v>
      </c>
      <c r="H317" s="18" t="s">
        <v>23</v>
      </c>
      <c r="I317" s="19">
        <v>38.5</v>
      </c>
      <c r="J317" s="20">
        <f t="shared" si="8"/>
        <v>3850</v>
      </c>
      <c r="K317" s="106"/>
      <c r="L317" s="114"/>
      <c r="M317" s="114">
        <f>tblAquisições[[#This Row],[VALOR UNITARIO COMPRADO]]*tblAquisições[[#This Row],[QUANTIDADE COMPRADA]]</f>
        <v>0</v>
      </c>
      <c r="N317" s="110">
        <f>K317-tblAquisições[[#This Row],[QUANTIDADE PLANEJADA]]</f>
        <v>-100</v>
      </c>
      <c r="O317" s="106" t="str">
        <f t="shared" si="9"/>
        <v>Faltando Comprar</v>
      </c>
    </row>
    <row r="318" spans="1:15" ht="47.25">
      <c r="A318" s="16" t="s">
        <v>17</v>
      </c>
      <c r="B318" s="16" t="s">
        <v>25</v>
      </c>
      <c r="C318" s="17" t="s">
        <v>19</v>
      </c>
      <c r="D318" s="18" t="s">
        <v>236</v>
      </c>
      <c r="E318" s="18">
        <v>100</v>
      </c>
      <c r="F318" s="18" t="s">
        <v>78</v>
      </c>
      <c r="G318" s="18" t="s">
        <v>22</v>
      </c>
      <c r="H318" s="18" t="s">
        <v>23</v>
      </c>
      <c r="I318" s="19">
        <v>38.5</v>
      </c>
      <c r="J318" s="20">
        <f t="shared" si="8"/>
        <v>3850</v>
      </c>
      <c r="K318" s="106"/>
      <c r="L318" s="114"/>
      <c r="M318" s="114">
        <f>tblAquisições[[#This Row],[VALOR UNITARIO COMPRADO]]*tblAquisições[[#This Row],[QUANTIDADE COMPRADA]]</f>
        <v>0</v>
      </c>
      <c r="N318" s="110">
        <f>K318-tblAquisições[[#This Row],[QUANTIDADE PLANEJADA]]</f>
        <v>-100</v>
      </c>
      <c r="O318" s="106" t="str">
        <f t="shared" si="9"/>
        <v>Faltando Comprar</v>
      </c>
    </row>
    <row r="319" spans="1:15" ht="47.25">
      <c r="A319" s="16" t="s">
        <v>17</v>
      </c>
      <c r="B319" s="16" t="s">
        <v>17</v>
      </c>
      <c r="C319" s="17" t="s">
        <v>19</v>
      </c>
      <c r="D319" s="18" t="s">
        <v>237</v>
      </c>
      <c r="E319" s="18">
        <v>5</v>
      </c>
      <c r="F319" s="18" t="s">
        <v>191</v>
      </c>
      <c r="G319" s="18" t="s">
        <v>39</v>
      </c>
      <c r="H319" s="18" t="s">
        <v>65</v>
      </c>
      <c r="I319" s="24">
        <v>40.380000000000003</v>
      </c>
      <c r="J319" s="20">
        <f t="shared" si="8"/>
        <v>201.9</v>
      </c>
      <c r="K319" s="106"/>
      <c r="L319" s="114"/>
      <c r="M319" s="114">
        <f>tblAquisições[[#This Row],[VALOR UNITARIO COMPRADO]]*tblAquisições[[#This Row],[QUANTIDADE COMPRADA]]</f>
        <v>0</v>
      </c>
      <c r="N319" s="110">
        <f>K319-tblAquisições[[#This Row],[QUANTIDADE PLANEJADA]]</f>
        <v>-5</v>
      </c>
      <c r="O319" s="106" t="str">
        <f t="shared" si="9"/>
        <v>Faltando Comprar</v>
      </c>
    </row>
    <row r="320" spans="1:15" ht="47.25">
      <c r="A320" s="16" t="s">
        <v>17</v>
      </c>
      <c r="B320" s="16" t="s">
        <v>28</v>
      </c>
      <c r="C320" s="17" t="s">
        <v>19</v>
      </c>
      <c r="D320" s="18" t="s">
        <v>238</v>
      </c>
      <c r="E320" s="18">
        <v>1</v>
      </c>
      <c r="F320" s="18" t="s">
        <v>239</v>
      </c>
      <c r="G320" s="18" t="s">
        <v>22</v>
      </c>
      <c r="H320" s="18" t="s">
        <v>65</v>
      </c>
      <c r="I320" s="24">
        <v>40.380000000000003</v>
      </c>
      <c r="J320" s="20">
        <f t="shared" si="8"/>
        <v>40.380000000000003</v>
      </c>
      <c r="K320" s="106"/>
      <c r="L320" s="114"/>
      <c r="M320" s="114">
        <f>tblAquisições[[#This Row],[VALOR UNITARIO COMPRADO]]*tblAquisições[[#This Row],[QUANTIDADE COMPRADA]]</f>
        <v>0</v>
      </c>
      <c r="N320" s="110">
        <f>K320-tblAquisições[[#This Row],[QUANTIDADE PLANEJADA]]</f>
        <v>-1</v>
      </c>
      <c r="O320" s="106" t="str">
        <f t="shared" si="9"/>
        <v>Faltando Comprar</v>
      </c>
    </row>
    <row r="321" spans="1:15" ht="47.25">
      <c r="A321" s="16" t="s">
        <v>17</v>
      </c>
      <c r="B321" s="16" t="s">
        <v>26</v>
      </c>
      <c r="C321" s="17" t="s">
        <v>19</v>
      </c>
      <c r="D321" s="18" t="s">
        <v>240</v>
      </c>
      <c r="E321" s="18">
        <v>3</v>
      </c>
      <c r="F321" s="18" t="s">
        <v>239</v>
      </c>
      <c r="G321" s="18" t="s">
        <v>22</v>
      </c>
      <c r="H321" s="18" t="s">
        <v>23</v>
      </c>
      <c r="I321" s="19">
        <v>8.2799999999999994</v>
      </c>
      <c r="J321" s="20">
        <f t="shared" si="8"/>
        <v>24.839999999999996</v>
      </c>
      <c r="K321" s="106"/>
      <c r="L321" s="114"/>
      <c r="M321" s="114">
        <f>tblAquisições[[#This Row],[VALOR UNITARIO COMPRADO]]*tblAquisições[[#This Row],[QUANTIDADE COMPRADA]]</f>
        <v>0</v>
      </c>
      <c r="N321" s="110">
        <f>K321-tblAquisições[[#This Row],[QUANTIDADE PLANEJADA]]</f>
        <v>-3</v>
      </c>
      <c r="O321" s="106" t="str">
        <f t="shared" si="9"/>
        <v>Faltando Comprar</v>
      </c>
    </row>
    <row r="322" spans="1:15" ht="31.5">
      <c r="A322" s="16" t="s">
        <v>17</v>
      </c>
      <c r="B322" s="16" t="s">
        <v>17</v>
      </c>
      <c r="C322" s="17" t="s">
        <v>19</v>
      </c>
      <c r="D322" s="18" t="s">
        <v>241</v>
      </c>
      <c r="E322" s="18">
        <v>3000</v>
      </c>
      <c r="F322" s="18" t="s">
        <v>38</v>
      </c>
      <c r="G322" s="18" t="s">
        <v>39</v>
      </c>
      <c r="H322" s="18" t="s">
        <v>23</v>
      </c>
      <c r="I322" s="19">
        <v>17.079999999999998</v>
      </c>
      <c r="J322" s="20">
        <f t="shared" ref="J322:J385" si="10">E322*I322</f>
        <v>51239.999999999993</v>
      </c>
      <c r="K322" s="106"/>
      <c r="L322" s="114"/>
      <c r="M322" s="114">
        <f>tblAquisições[[#This Row],[VALOR UNITARIO COMPRADO]]*tblAquisições[[#This Row],[QUANTIDADE COMPRADA]]</f>
        <v>0</v>
      </c>
      <c r="N322" s="110">
        <f>K322-tblAquisições[[#This Row],[QUANTIDADE PLANEJADA]]</f>
        <v>-3000</v>
      </c>
      <c r="O322" s="106" t="str">
        <f t="shared" ref="O322:O385" si="11">IF(K322=E322,"OK",IF(K322&lt;E322,"Faltando Comprar","Excedente"))</f>
        <v>Faltando Comprar</v>
      </c>
    </row>
    <row r="323" spans="1:15" ht="31.5">
      <c r="A323" s="16" t="s">
        <v>17</v>
      </c>
      <c r="B323" s="16" t="s">
        <v>80</v>
      </c>
      <c r="C323" s="17" t="s">
        <v>19</v>
      </c>
      <c r="D323" s="18" t="s">
        <v>241</v>
      </c>
      <c r="E323" s="18">
        <v>3000</v>
      </c>
      <c r="F323" s="18" t="s">
        <v>38</v>
      </c>
      <c r="G323" s="18" t="s">
        <v>39</v>
      </c>
      <c r="H323" s="18" t="s">
        <v>23</v>
      </c>
      <c r="I323" s="19">
        <v>17.079999999999998</v>
      </c>
      <c r="J323" s="20">
        <f t="shared" si="10"/>
        <v>51239.999999999993</v>
      </c>
      <c r="K323" s="106"/>
      <c r="L323" s="114"/>
      <c r="M323" s="114">
        <f>tblAquisições[[#This Row],[VALOR UNITARIO COMPRADO]]*tblAquisições[[#This Row],[QUANTIDADE COMPRADA]]</f>
        <v>0</v>
      </c>
      <c r="N323" s="110">
        <f>K323-tblAquisições[[#This Row],[QUANTIDADE PLANEJADA]]</f>
        <v>-3000</v>
      </c>
      <c r="O323" s="106" t="str">
        <f t="shared" si="11"/>
        <v>Faltando Comprar</v>
      </c>
    </row>
    <row r="324" spans="1:15" ht="31.5">
      <c r="A324" s="16" t="s">
        <v>17</v>
      </c>
      <c r="B324" s="16" t="s">
        <v>28</v>
      </c>
      <c r="C324" s="17" t="s">
        <v>19</v>
      </c>
      <c r="D324" s="18" t="s">
        <v>242</v>
      </c>
      <c r="E324" s="18">
        <v>100</v>
      </c>
      <c r="F324" s="18" t="s">
        <v>21</v>
      </c>
      <c r="G324" s="18" t="s">
        <v>22</v>
      </c>
      <c r="H324" s="18" t="s">
        <v>23</v>
      </c>
      <c r="I324" s="19">
        <v>17.079999999999998</v>
      </c>
      <c r="J324" s="20">
        <f t="shared" si="10"/>
        <v>1707.9999999999998</v>
      </c>
      <c r="K324" s="106"/>
      <c r="L324" s="114"/>
      <c r="M324" s="114">
        <f>tblAquisições[[#This Row],[VALOR UNITARIO COMPRADO]]*tblAquisições[[#This Row],[QUANTIDADE COMPRADA]]</f>
        <v>0</v>
      </c>
      <c r="N324" s="110">
        <f>K324-tblAquisições[[#This Row],[QUANTIDADE PLANEJADA]]</f>
        <v>-100</v>
      </c>
      <c r="O324" s="106" t="str">
        <f t="shared" si="11"/>
        <v>Faltando Comprar</v>
      </c>
    </row>
    <row r="325" spans="1:15" ht="31.5">
      <c r="A325" s="16" t="s">
        <v>17</v>
      </c>
      <c r="B325" s="16" t="s">
        <v>17</v>
      </c>
      <c r="C325" s="17" t="s">
        <v>19</v>
      </c>
      <c r="D325" s="18" t="s">
        <v>243</v>
      </c>
      <c r="E325" s="18">
        <v>200</v>
      </c>
      <c r="F325" s="18" t="s">
        <v>38</v>
      </c>
      <c r="G325" s="18" t="s">
        <v>39</v>
      </c>
      <c r="H325" s="18" t="s">
        <v>23</v>
      </c>
      <c r="I325" s="19">
        <v>8.2200000000000006</v>
      </c>
      <c r="J325" s="20">
        <f t="shared" si="10"/>
        <v>1644.0000000000002</v>
      </c>
      <c r="K325" s="106"/>
      <c r="L325" s="114"/>
      <c r="M325" s="114">
        <f>tblAquisições[[#This Row],[VALOR UNITARIO COMPRADO]]*tblAquisições[[#This Row],[QUANTIDADE COMPRADA]]</f>
        <v>0</v>
      </c>
      <c r="N325" s="110">
        <f>K325-tblAquisições[[#This Row],[QUANTIDADE PLANEJADA]]</f>
        <v>-200</v>
      </c>
      <c r="O325" s="106" t="str">
        <f t="shared" si="11"/>
        <v>Faltando Comprar</v>
      </c>
    </row>
    <row r="326" spans="1:15" ht="31.5">
      <c r="A326" s="16" t="s">
        <v>17</v>
      </c>
      <c r="B326" s="16" t="s">
        <v>31</v>
      </c>
      <c r="C326" s="17" t="s">
        <v>19</v>
      </c>
      <c r="D326" s="18" t="s">
        <v>244</v>
      </c>
      <c r="E326" s="18">
        <v>60</v>
      </c>
      <c r="F326" s="18" t="s">
        <v>21</v>
      </c>
      <c r="G326" s="18" t="s">
        <v>22</v>
      </c>
      <c r="H326" s="18" t="s">
        <v>23</v>
      </c>
      <c r="I326" s="19">
        <v>8.2200000000000006</v>
      </c>
      <c r="J326" s="20">
        <f t="shared" si="10"/>
        <v>493.20000000000005</v>
      </c>
      <c r="K326" s="106"/>
      <c r="L326" s="114"/>
      <c r="M326" s="114">
        <f>tblAquisições[[#This Row],[VALOR UNITARIO COMPRADO]]*tblAquisições[[#This Row],[QUANTIDADE COMPRADA]]</f>
        <v>0</v>
      </c>
      <c r="N326" s="110">
        <f>K326-tblAquisições[[#This Row],[QUANTIDADE PLANEJADA]]</f>
        <v>-60</v>
      </c>
      <c r="O326" s="106" t="str">
        <f t="shared" si="11"/>
        <v>Faltando Comprar</v>
      </c>
    </row>
    <row r="327" spans="1:15" ht="31.5">
      <c r="A327" s="16" t="s">
        <v>17</v>
      </c>
      <c r="B327" s="16" t="s">
        <v>18</v>
      </c>
      <c r="C327" s="17" t="s">
        <v>19</v>
      </c>
      <c r="D327" s="18" t="s">
        <v>244</v>
      </c>
      <c r="E327" s="18">
        <v>100</v>
      </c>
      <c r="F327" s="18" t="s">
        <v>21</v>
      </c>
      <c r="G327" s="18" t="s">
        <v>22</v>
      </c>
      <c r="H327" s="18" t="s">
        <v>23</v>
      </c>
      <c r="I327" s="19">
        <v>8.2200000000000006</v>
      </c>
      <c r="J327" s="20">
        <f t="shared" si="10"/>
        <v>822.00000000000011</v>
      </c>
      <c r="K327" s="106"/>
      <c r="L327" s="114"/>
      <c r="M327" s="114">
        <f>tblAquisições[[#This Row],[VALOR UNITARIO COMPRADO]]*tblAquisições[[#This Row],[QUANTIDADE COMPRADA]]</f>
        <v>0</v>
      </c>
      <c r="N327" s="110">
        <f>K327-tblAquisições[[#This Row],[QUANTIDADE PLANEJADA]]</f>
        <v>-100</v>
      </c>
      <c r="O327" s="106" t="str">
        <f t="shared" si="11"/>
        <v>Faltando Comprar</v>
      </c>
    </row>
    <row r="328" spans="1:15" ht="31.5">
      <c r="A328" s="16" t="s">
        <v>17</v>
      </c>
      <c r="B328" s="16" t="s">
        <v>24</v>
      </c>
      <c r="C328" s="17" t="s">
        <v>19</v>
      </c>
      <c r="D328" s="18" t="s">
        <v>244</v>
      </c>
      <c r="E328" s="18">
        <v>100</v>
      </c>
      <c r="F328" s="18" t="s">
        <v>21</v>
      </c>
      <c r="G328" s="18" t="s">
        <v>22</v>
      </c>
      <c r="H328" s="18" t="s">
        <v>23</v>
      </c>
      <c r="I328" s="19">
        <v>8.2200000000000006</v>
      </c>
      <c r="J328" s="20">
        <f t="shared" si="10"/>
        <v>822.00000000000011</v>
      </c>
      <c r="K328" s="106"/>
      <c r="L328" s="114"/>
      <c r="M328" s="114">
        <f>tblAquisições[[#This Row],[VALOR UNITARIO COMPRADO]]*tblAquisições[[#This Row],[QUANTIDADE COMPRADA]]</f>
        <v>0</v>
      </c>
      <c r="N328" s="110">
        <f>K328-tblAquisições[[#This Row],[QUANTIDADE PLANEJADA]]</f>
        <v>-100</v>
      </c>
      <c r="O328" s="106" t="str">
        <f t="shared" si="11"/>
        <v>Faltando Comprar</v>
      </c>
    </row>
    <row r="329" spans="1:15" ht="31.5">
      <c r="A329" s="16" t="s">
        <v>17</v>
      </c>
      <c r="B329" s="16" t="s">
        <v>25</v>
      </c>
      <c r="C329" s="17" t="s">
        <v>19</v>
      </c>
      <c r="D329" s="18" t="s">
        <v>244</v>
      </c>
      <c r="E329" s="18">
        <v>100</v>
      </c>
      <c r="F329" s="18" t="s">
        <v>21</v>
      </c>
      <c r="G329" s="18" t="s">
        <v>22</v>
      </c>
      <c r="H329" s="18" t="s">
        <v>23</v>
      </c>
      <c r="I329" s="19">
        <v>8.2200000000000006</v>
      </c>
      <c r="J329" s="20">
        <f t="shared" si="10"/>
        <v>822.00000000000011</v>
      </c>
      <c r="K329" s="106"/>
      <c r="L329" s="114"/>
      <c r="M329" s="114">
        <f>tblAquisições[[#This Row],[VALOR UNITARIO COMPRADO]]*tblAquisições[[#This Row],[QUANTIDADE COMPRADA]]</f>
        <v>0</v>
      </c>
      <c r="N329" s="110">
        <f>K329-tblAquisições[[#This Row],[QUANTIDADE PLANEJADA]]</f>
        <v>-100</v>
      </c>
      <c r="O329" s="106" t="str">
        <f t="shared" si="11"/>
        <v>Faltando Comprar</v>
      </c>
    </row>
    <row r="330" spans="1:15" ht="31.5">
      <c r="A330" s="16" t="s">
        <v>17</v>
      </c>
      <c r="B330" s="16" t="s">
        <v>28</v>
      </c>
      <c r="C330" s="17" t="s">
        <v>19</v>
      </c>
      <c r="D330" s="18" t="s">
        <v>244</v>
      </c>
      <c r="E330" s="18">
        <v>200</v>
      </c>
      <c r="F330" s="18" t="s">
        <v>21</v>
      </c>
      <c r="G330" s="18" t="s">
        <v>22</v>
      </c>
      <c r="H330" s="18" t="s">
        <v>23</v>
      </c>
      <c r="I330" s="19">
        <v>8.2200000000000006</v>
      </c>
      <c r="J330" s="20">
        <f t="shared" si="10"/>
        <v>1644.0000000000002</v>
      </c>
      <c r="K330" s="106"/>
      <c r="L330" s="114"/>
      <c r="M330" s="114">
        <f>tblAquisições[[#This Row],[VALOR UNITARIO COMPRADO]]*tblAquisições[[#This Row],[QUANTIDADE COMPRADA]]</f>
        <v>0</v>
      </c>
      <c r="N330" s="110">
        <f>K330-tblAquisições[[#This Row],[QUANTIDADE PLANEJADA]]</f>
        <v>-200</v>
      </c>
      <c r="O330" s="106" t="str">
        <f t="shared" si="11"/>
        <v>Faltando Comprar</v>
      </c>
    </row>
    <row r="331" spans="1:15" ht="31.5">
      <c r="A331" s="16" t="s">
        <v>17</v>
      </c>
      <c r="B331" s="16" t="s">
        <v>28</v>
      </c>
      <c r="C331" s="17" t="s">
        <v>19</v>
      </c>
      <c r="D331" s="18" t="s">
        <v>245</v>
      </c>
      <c r="E331" s="18">
        <v>24</v>
      </c>
      <c r="F331" s="18" t="s">
        <v>21</v>
      </c>
      <c r="G331" s="18" t="s">
        <v>22</v>
      </c>
      <c r="H331" s="18" t="s">
        <v>23</v>
      </c>
      <c r="I331" s="19">
        <v>43.56</v>
      </c>
      <c r="J331" s="20">
        <f t="shared" si="10"/>
        <v>1045.44</v>
      </c>
      <c r="K331" s="106"/>
      <c r="L331" s="114"/>
      <c r="M331" s="114">
        <f>tblAquisições[[#This Row],[VALOR UNITARIO COMPRADO]]*tblAquisições[[#This Row],[QUANTIDADE COMPRADA]]</f>
        <v>0</v>
      </c>
      <c r="N331" s="110">
        <f>K331-tblAquisições[[#This Row],[QUANTIDADE PLANEJADA]]</f>
        <v>-24</v>
      </c>
      <c r="O331" s="106" t="str">
        <f t="shared" si="11"/>
        <v>Faltando Comprar</v>
      </c>
    </row>
    <row r="332" spans="1:15" ht="31.5">
      <c r="A332" s="16" t="s">
        <v>17</v>
      </c>
      <c r="B332" s="16" t="s">
        <v>18</v>
      </c>
      <c r="C332" s="17" t="s">
        <v>19</v>
      </c>
      <c r="D332" s="18" t="s">
        <v>246</v>
      </c>
      <c r="E332" s="18">
        <v>1000</v>
      </c>
      <c r="F332" s="18" t="s">
        <v>21</v>
      </c>
      <c r="G332" s="18" t="s">
        <v>22</v>
      </c>
      <c r="H332" s="18" t="s">
        <v>23</v>
      </c>
      <c r="I332" s="19">
        <v>1.5309999999999999</v>
      </c>
      <c r="J332" s="20">
        <f t="shared" si="10"/>
        <v>1531</v>
      </c>
      <c r="K332" s="106"/>
      <c r="L332" s="114"/>
      <c r="M332" s="114">
        <f>tblAquisições[[#This Row],[VALOR UNITARIO COMPRADO]]*tblAquisições[[#This Row],[QUANTIDADE COMPRADA]]</f>
        <v>0</v>
      </c>
      <c r="N332" s="110">
        <f>K332-tblAquisições[[#This Row],[QUANTIDADE PLANEJADA]]</f>
        <v>-1000</v>
      </c>
      <c r="O332" s="106" t="str">
        <f t="shared" si="11"/>
        <v>Faltando Comprar</v>
      </c>
    </row>
    <row r="333" spans="1:15" ht="31.5">
      <c r="A333" s="16" t="s">
        <v>17</v>
      </c>
      <c r="B333" s="16" t="s">
        <v>24</v>
      </c>
      <c r="C333" s="17" t="s">
        <v>19</v>
      </c>
      <c r="D333" s="18" t="s">
        <v>246</v>
      </c>
      <c r="E333" s="18">
        <v>1000</v>
      </c>
      <c r="F333" s="18" t="s">
        <v>21</v>
      </c>
      <c r="G333" s="18" t="s">
        <v>22</v>
      </c>
      <c r="H333" s="18" t="s">
        <v>23</v>
      </c>
      <c r="I333" s="19">
        <v>1.5309999999999999</v>
      </c>
      <c r="J333" s="20">
        <f t="shared" si="10"/>
        <v>1531</v>
      </c>
      <c r="K333" s="106"/>
      <c r="L333" s="114"/>
      <c r="M333" s="114">
        <f>tblAquisições[[#This Row],[VALOR UNITARIO COMPRADO]]*tblAquisições[[#This Row],[QUANTIDADE COMPRADA]]</f>
        <v>0</v>
      </c>
      <c r="N333" s="110">
        <f>K333-tblAquisições[[#This Row],[QUANTIDADE PLANEJADA]]</f>
        <v>-1000</v>
      </c>
      <c r="O333" s="106" t="str">
        <f t="shared" si="11"/>
        <v>Faltando Comprar</v>
      </c>
    </row>
    <row r="334" spans="1:15" ht="31.5">
      <c r="A334" s="16" t="s">
        <v>17</v>
      </c>
      <c r="B334" s="16" t="s">
        <v>25</v>
      </c>
      <c r="C334" s="17" t="s">
        <v>19</v>
      </c>
      <c r="D334" s="18" t="s">
        <v>246</v>
      </c>
      <c r="E334" s="18">
        <v>1000</v>
      </c>
      <c r="F334" s="18" t="s">
        <v>21</v>
      </c>
      <c r="G334" s="18" t="s">
        <v>22</v>
      </c>
      <c r="H334" s="18" t="s">
        <v>23</v>
      </c>
      <c r="I334" s="19">
        <v>1.5309999999999999</v>
      </c>
      <c r="J334" s="20">
        <f t="shared" si="10"/>
        <v>1531</v>
      </c>
      <c r="K334" s="106"/>
      <c r="L334" s="114"/>
      <c r="M334" s="114">
        <f>tblAquisições[[#This Row],[VALOR UNITARIO COMPRADO]]*tblAquisições[[#This Row],[QUANTIDADE COMPRADA]]</f>
        <v>0</v>
      </c>
      <c r="N334" s="110">
        <f>K334-tblAquisições[[#This Row],[QUANTIDADE PLANEJADA]]</f>
        <v>-1000</v>
      </c>
      <c r="O334" s="106" t="str">
        <f t="shared" si="11"/>
        <v>Faltando Comprar</v>
      </c>
    </row>
    <row r="335" spans="1:15" ht="31.5">
      <c r="A335" s="16" t="s">
        <v>17</v>
      </c>
      <c r="B335" s="16" t="s">
        <v>27</v>
      </c>
      <c r="C335" s="17" t="s">
        <v>19</v>
      </c>
      <c r="D335" s="18" t="s">
        <v>246</v>
      </c>
      <c r="E335" s="18">
        <v>1000</v>
      </c>
      <c r="F335" s="18" t="s">
        <v>21</v>
      </c>
      <c r="G335" s="18" t="s">
        <v>22</v>
      </c>
      <c r="H335" s="18" t="s">
        <v>23</v>
      </c>
      <c r="I335" s="19">
        <v>1.5309999999999999</v>
      </c>
      <c r="J335" s="20">
        <f t="shared" si="10"/>
        <v>1531</v>
      </c>
      <c r="K335" s="106"/>
      <c r="L335" s="114"/>
      <c r="M335" s="114">
        <f>tblAquisições[[#This Row],[VALOR UNITARIO COMPRADO]]*tblAquisições[[#This Row],[QUANTIDADE COMPRADA]]</f>
        <v>0</v>
      </c>
      <c r="N335" s="110">
        <f>K335-tblAquisições[[#This Row],[QUANTIDADE PLANEJADA]]</f>
        <v>-1000</v>
      </c>
      <c r="O335" s="106" t="str">
        <f t="shared" si="11"/>
        <v>Faltando Comprar</v>
      </c>
    </row>
    <row r="336" spans="1:15" ht="31.5">
      <c r="A336" s="16" t="s">
        <v>17</v>
      </c>
      <c r="B336" s="16" t="s">
        <v>28</v>
      </c>
      <c r="C336" s="17" t="s">
        <v>19</v>
      </c>
      <c r="D336" s="18" t="s">
        <v>246</v>
      </c>
      <c r="E336" s="18">
        <v>100</v>
      </c>
      <c r="F336" s="18" t="s">
        <v>21</v>
      </c>
      <c r="G336" s="18" t="s">
        <v>22</v>
      </c>
      <c r="H336" s="18" t="s">
        <v>23</v>
      </c>
      <c r="I336" s="19">
        <v>1.5309999999999999</v>
      </c>
      <c r="J336" s="20">
        <f t="shared" si="10"/>
        <v>153.1</v>
      </c>
      <c r="K336" s="106"/>
      <c r="L336" s="114"/>
      <c r="M336" s="114">
        <f>tblAquisições[[#This Row],[VALOR UNITARIO COMPRADO]]*tblAquisições[[#This Row],[QUANTIDADE COMPRADA]]</f>
        <v>0</v>
      </c>
      <c r="N336" s="110">
        <f>K336-tblAquisições[[#This Row],[QUANTIDADE PLANEJADA]]</f>
        <v>-100</v>
      </c>
      <c r="O336" s="106" t="str">
        <f t="shared" si="11"/>
        <v>Faltando Comprar</v>
      </c>
    </row>
    <row r="337" spans="1:15" ht="31.5">
      <c r="A337" s="16" t="s">
        <v>17</v>
      </c>
      <c r="B337" s="16" t="s">
        <v>80</v>
      </c>
      <c r="C337" s="17" t="s">
        <v>19</v>
      </c>
      <c r="D337" s="18" t="s">
        <v>247</v>
      </c>
      <c r="E337" s="18">
        <v>1</v>
      </c>
      <c r="F337" s="18" t="s">
        <v>38</v>
      </c>
      <c r="G337" s="18" t="s">
        <v>39</v>
      </c>
      <c r="H337" s="18" t="s">
        <v>23</v>
      </c>
      <c r="I337" s="19">
        <v>26.78</v>
      </c>
      <c r="J337" s="20">
        <f t="shared" si="10"/>
        <v>26.78</v>
      </c>
      <c r="K337" s="106"/>
      <c r="L337" s="114"/>
      <c r="M337" s="114">
        <f>tblAquisições[[#This Row],[VALOR UNITARIO COMPRADO]]*tblAquisições[[#This Row],[QUANTIDADE COMPRADA]]</f>
        <v>0</v>
      </c>
      <c r="N337" s="110">
        <f>K337-tblAquisições[[#This Row],[QUANTIDADE PLANEJADA]]</f>
        <v>-1</v>
      </c>
      <c r="O337" s="106" t="str">
        <f t="shared" si="11"/>
        <v>Faltando Comprar</v>
      </c>
    </row>
    <row r="338" spans="1:15" ht="31.5">
      <c r="A338" s="16" t="s">
        <v>17</v>
      </c>
      <c r="B338" s="16" t="s">
        <v>34</v>
      </c>
      <c r="C338" s="17" t="s">
        <v>19</v>
      </c>
      <c r="D338" s="18" t="s">
        <v>248</v>
      </c>
      <c r="E338" s="18">
        <v>10</v>
      </c>
      <c r="F338" s="18" t="s">
        <v>21</v>
      </c>
      <c r="G338" s="18" t="s">
        <v>22</v>
      </c>
      <c r="H338" s="18" t="s">
        <v>23</v>
      </c>
      <c r="I338" s="19">
        <v>1.1000000000000001</v>
      </c>
      <c r="J338" s="20">
        <f t="shared" si="10"/>
        <v>11</v>
      </c>
      <c r="K338" s="106"/>
      <c r="L338" s="114"/>
      <c r="M338" s="114">
        <f>tblAquisições[[#This Row],[VALOR UNITARIO COMPRADO]]*tblAquisições[[#This Row],[QUANTIDADE COMPRADA]]</f>
        <v>0</v>
      </c>
      <c r="N338" s="110">
        <f>K338-tblAquisições[[#This Row],[QUANTIDADE PLANEJADA]]</f>
        <v>-10</v>
      </c>
      <c r="O338" s="106" t="str">
        <f t="shared" si="11"/>
        <v>Faltando Comprar</v>
      </c>
    </row>
    <row r="339" spans="1:15" ht="31.5">
      <c r="A339" s="16" t="s">
        <v>17</v>
      </c>
      <c r="B339" s="16" t="s">
        <v>18</v>
      </c>
      <c r="C339" s="17" t="s">
        <v>19</v>
      </c>
      <c r="D339" s="18" t="s">
        <v>248</v>
      </c>
      <c r="E339" s="18">
        <v>200</v>
      </c>
      <c r="F339" s="18" t="s">
        <v>21</v>
      </c>
      <c r="G339" s="18" t="s">
        <v>22</v>
      </c>
      <c r="H339" s="18" t="s">
        <v>23</v>
      </c>
      <c r="I339" s="19">
        <v>1.1000000000000001</v>
      </c>
      <c r="J339" s="20">
        <f t="shared" si="10"/>
        <v>220.00000000000003</v>
      </c>
      <c r="K339" s="106"/>
      <c r="L339" s="114"/>
      <c r="M339" s="114">
        <f>tblAquisições[[#This Row],[VALOR UNITARIO COMPRADO]]*tblAquisições[[#This Row],[QUANTIDADE COMPRADA]]</f>
        <v>0</v>
      </c>
      <c r="N339" s="110">
        <f>K339-tblAquisições[[#This Row],[QUANTIDADE PLANEJADA]]</f>
        <v>-200</v>
      </c>
      <c r="O339" s="106" t="str">
        <f t="shared" si="11"/>
        <v>Faltando Comprar</v>
      </c>
    </row>
    <row r="340" spans="1:15" ht="31.5">
      <c r="A340" s="16" t="s">
        <v>17</v>
      </c>
      <c r="B340" s="16" t="s">
        <v>24</v>
      </c>
      <c r="C340" s="17" t="s">
        <v>19</v>
      </c>
      <c r="D340" s="18" t="s">
        <v>248</v>
      </c>
      <c r="E340" s="18">
        <v>200</v>
      </c>
      <c r="F340" s="18" t="s">
        <v>21</v>
      </c>
      <c r="G340" s="18" t="s">
        <v>22</v>
      </c>
      <c r="H340" s="18" t="s">
        <v>23</v>
      </c>
      <c r="I340" s="19">
        <v>1.1000000000000001</v>
      </c>
      <c r="J340" s="20">
        <f t="shared" si="10"/>
        <v>220.00000000000003</v>
      </c>
      <c r="K340" s="106"/>
      <c r="L340" s="114"/>
      <c r="M340" s="114">
        <f>tblAquisições[[#This Row],[VALOR UNITARIO COMPRADO]]*tblAquisições[[#This Row],[QUANTIDADE COMPRADA]]</f>
        <v>0</v>
      </c>
      <c r="N340" s="110">
        <f>K340-tblAquisições[[#This Row],[QUANTIDADE PLANEJADA]]</f>
        <v>-200</v>
      </c>
      <c r="O340" s="106" t="str">
        <f t="shared" si="11"/>
        <v>Faltando Comprar</v>
      </c>
    </row>
    <row r="341" spans="1:15" ht="31.5">
      <c r="A341" s="16" t="s">
        <v>17</v>
      </c>
      <c r="B341" s="16" t="s">
        <v>25</v>
      </c>
      <c r="C341" s="17" t="s">
        <v>19</v>
      </c>
      <c r="D341" s="18" t="s">
        <v>248</v>
      </c>
      <c r="E341" s="18">
        <v>200</v>
      </c>
      <c r="F341" s="18" t="s">
        <v>21</v>
      </c>
      <c r="G341" s="18" t="s">
        <v>22</v>
      </c>
      <c r="H341" s="18" t="s">
        <v>23</v>
      </c>
      <c r="I341" s="19">
        <v>1.1000000000000001</v>
      </c>
      <c r="J341" s="20">
        <f t="shared" si="10"/>
        <v>220.00000000000003</v>
      </c>
      <c r="K341" s="106"/>
      <c r="L341" s="114"/>
      <c r="M341" s="114">
        <f>tblAquisições[[#This Row],[VALOR UNITARIO COMPRADO]]*tblAquisições[[#This Row],[QUANTIDADE COMPRADA]]</f>
        <v>0</v>
      </c>
      <c r="N341" s="110">
        <f>K341-tblAquisições[[#This Row],[QUANTIDADE PLANEJADA]]</f>
        <v>-200</v>
      </c>
      <c r="O341" s="106" t="str">
        <f t="shared" si="11"/>
        <v>Faltando Comprar</v>
      </c>
    </row>
    <row r="342" spans="1:15" ht="31.5">
      <c r="A342" s="16" t="s">
        <v>17</v>
      </c>
      <c r="B342" s="16" t="s">
        <v>34</v>
      </c>
      <c r="C342" s="17" t="s">
        <v>19</v>
      </c>
      <c r="D342" s="18" t="s">
        <v>249</v>
      </c>
      <c r="E342" s="18">
        <v>2</v>
      </c>
      <c r="F342" s="18" t="s">
        <v>21</v>
      </c>
      <c r="G342" s="18" t="s">
        <v>22</v>
      </c>
      <c r="H342" s="18" t="s">
        <v>23</v>
      </c>
      <c r="I342" s="19">
        <v>33.97</v>
      </c>
      <c r="J342" s="20">
        <f t="shared" si="10"/>
        <v>67.94</v>
      </c>
      <c r="K342" s="106"/>
      <c r="L342" s="114"/>
      <c r="M342" s="114">
        <f>tblAquisições[[#This Row],[VALOR UNITARIO COMPRADO]]*tblAquisições[[#This Row],[QUANTIDADE COMPRADA]]</f>
        <v>0</v>
      </c>
      <c r="N342" s="110">
        <f>K342-tblAquisições[[#This Row],[QUANTIDADE PLANEJADA]]</f>
        <v>-2</v>
      </c>
      <c r="O342" s="106" t="str">
        <f t="shared" si="11"/>
        <v>Faltando Comprar</v>
      </c>
    </row>
    <row r="343" spans="1:15" ht="31.5">
      <c r="A343" s="16" t="s">
        <v>17</v>
      </c>
      <c r="B343" s="16" t="s">
        <v>31</v>
      </c>
      <c r="C343" s="17" t="s">
        <v>19</v>
      </c>
      <c r="D343" s="18" t="s">
        <v>250</v>
      </c>
      <c r="E343" s="18">
        <v>60</v>
      </c>
      <c r="F343" s="18" t="s">
        <v>21</v>
      </c>
      <c r="G343" s="18" t="s">
        <v>22</v>
      </c>
      <c r="H343" s="18" t="s">
        <v>23</v>
      </c>
      <c r="I343" s="19">
        <v>10.35</v>
      </c>
      <c r="J343" s="20">
        <f t="shared" si="10"/>
        <v>621</v>
      </c>
      <c r="K343" s="106"/>
      <c r="L343" s="114"/>
      <c r="M343" s="114">
        <f>tblAquisições[[#This Row],[VALOR UNITARIO COMPRADO]]*tblAquisições[[#This Row],[QUANTIDADE COMPRADA]]</f>
        <v>0</v>
      </c>
      <c r="N343" s="110">
        <f>K343-tblAquisições[[#This Row],[QUANTIDADE PLANEJADA]]</f>
        <v>-60</v>
      </c>
      <c r="O343" s="106" t="str">
        <f t="shared" si="11"/>
        <v>Faltando Comprar</v>
      </c>
    </row>
    <row r="344" spans="1:15" ht="31.5">
      <c r="A344" s="16" t="s">
        <v>17</v>
      </c>
      <c r="B344" s="16" t="s">
        <v>18</v>
      </c>
      <c r="C344" s="17" t="s">
        <v>19</v>
      </c>
      <c r="D344" s="18" t="s">
        <v>250</v>
      </c>
      <c r="E344" s="18">
        <v>30</v>
      </c>
      <c r="F344" s="18" t="s">
        <v>21</v>
      </c>
      <c r="G344" s="18" t="s">
        <v>22</v>
      </c>
      <c r="H344" s="18" t="s">
        <v>23</v>
      </c>
      <c r="I344" s="19">
        <v>10.35</v>
      </c>
      <c r="J344" s="20">
        <f t="shared" si="10"/>
        <v>310.5</v>
      </c>
      <c r="K344" s="106"/>
      <c r="L344" s="114"/>
      <c r="M344" s="114">
        <f>tblAquisições[[#This Row],[VALOR UNITARIO COMPRADO]]*tblAquisições[[#This Row],[QUANTIDADE COMPRADA]]</f>
        <v>0</v>
      </c>
      <c r="N344" s="110">
        <f>K344-tblAquisições[[#This Row],[QUANTIDADE PLANEJADA]]</f>
        <v>-30</v>
      </c>
      <c r="O344" s="106" t="str">
        <f t="shared" si="11"/>
        <v>Faltando Comprar</v>
      </c>
    </row>
    <row r="345" spans="1:15" ht="31.5">
      <c r="A345" s="16" t="s">
        <v>17</v>
      </c>
      <c r="B345" s="16" t="s">
        <v>24</v>
      </c>
      <c r="C345" s="17" t="s">
        <v>19</v>
      </c>
      <c r="D345" s="18" t="s">
        <v>250</v>
      </c>
      <c r="E345" s="18">
        <v>30</v>
      </c>
      <c r="F345" s="18" t="s">
        <v>21</v>
      </c>
      <c r="G345" s="18" t="s">
        <v>22</v>
      </c>
      <c r="H345" s="18" t="s">
        <v>23</v>
      </c>
      <c r="I345" s="19">
        <v>10.35</v>
      </c>
      <c r="J345" s="20">
        <f t="shared" si="10"/>
        <v>310.5</v>
      </c>
      <c r="K345" s="106"/>
      <c r="L345" s="114"/>
      <c r="M345" s="114">
        <f>tblAquisições[[#This Row],[VALOR UNITARIO COMPRADO]]*tblAquisições[[#This Row],[QUANTIDADE COMPRADA]]</f>
        <v>0</v>
      </c>
      <c r="N345" s="110">
        <f>K345-tblAquisições[[#This Row],[QUANTIDADE PLANEJADA]]</f>
        <v>-30</v>
      </c>
      <c r="O345" s="106" t="str">
        <f t="shared" si="11"/>
        <v>Faltando Comprar</v>
      </c>
    </row>
    <row r="346" spans="1:15" ht="31.5">
      <c r="A346" s="16" t="s">
        <v>17</v>
      </c>
      <c r="B346" s="16" t="s">
        <v>25</v>
      </c>
      <c r="C346" s="17" t="s">
        <v>19</v>
      </c>
      <c r="D346" s="18" t="s">
        <v>250</v>
      </c>
      <c r="E346" s="18">
        <v>30</v>
      </c>
      <c r="F346" s="18" t="s">
        <v>21</v>
      </c>
      <c r="G346" s="18" t="s">
        <v>22</v>
      </c>
      <c r="H346" s="18" t="s">
        <v>23</v>
      </c>
      <c r="I346" s="19">
        <v>10.35</v>
      </c>
      <c r="J346" s="20">
        <f t="shared" si="10"/>
        <v>310.5</v>
      </c>
      <c r="K346" s="106"/>
      <c r="L346" s="114"/>
      <c r="M346" s="114">
        <f>tblAquisições[[#This Row],[VALOR UNITARIO COMPRADO]]*tblAquisições[[#This Row],[QUANTIDADE COMPRADA]]</f>
        <v>0</v>
      </c>
      <c r="N346" s="110">
        <f>K346-tblAquisições[[#This Row],[QUANTIDADE PLANEJADA]]</f>
        <v>-30</v>
      </c>
      <c r="O346" s="106" t="str">
        <f t="shared" si="11"/>
        <v>Faltando Comprar</v>
      </c>
    </row>
    <row r="347" spans="1:15" ht="31.5">
      <c r="A347" s="16" t="s">
        <v>17</v>
      </c>
      <c r="B347" s="16" t="s">
        <v>26</v>
      </c>
      <c r="C347" s="17" t="s">
        <v>19</v>
      </c>
      <c r="D347" s="18" t="s">
        <v>250</v>
      </c>
      <c r="E347" s="18">
        <v>10</v>
      </c>
      <c r="F347" s="18" t="s">
        <v>21</v>
      </c>
      <c r="G347" s="18" t="s">
        <v>22</v>
      </c>
      <c r="H347" s="18" t="s">
        <v>23</v>
      </c>
      <c r="I347" s="19">
        <v>10.35</v>
      </c>
      <c r="J347" s="20">
        <f t="shared" si="10"/>
        <v>103.5</v>
      </c>
      <c r="K347" s="106"/>
      <c r="L347" s="114"/>
      <c r="M347" s="114">
        <f>tblAquisições[[#This Row],[VALOR UNITARIO COMPRADO]]*tblAquisições[[#This Row],[QUANTIDADE COMPRADA]]</f>
        <v>0</v>
      </c>
      <c r="N347" s="110">
        <f>K347-tblAquisições[[#This Row],[QUANTIDADE PLANEJADA]]</f>
        <v>-10</v>
      </c>
      <c r="O347" s="106" t="str">
        <f t="shared" si="11"/>
        <v>Faltando Comprar</v>
      </c>
    </row>
    <row r="348" spans="1:15" ht="31.5">
      <c r="A348" s="16" t="s">
        <v>17</v>
      </c>
      <c r="B348" s="16" t="s">
        <v>28</v>
      </c>
      <c r="C348" s="17" t="s">
        <v>19</v>
      </c>
      <c r="D348" s="18" t="s">
        <v>250</v>
      </c>
      <c r="E348" s="18">
        <v>120</v>
      </c>
      <c r="F348" s="18" t="s">
        <v>21</v>
      </c>
      <c r="G348" s="18" t="s">
        <v>22</v>
      </c>
      <c r="H348" s="18" t="s">
        <v>23</v>
      </c>
      <c r="I348" s="19">
        <v>10.35</v>
      </c>
      <c r="J348" s="20">
        <f t="shared" si="10"/>
        <v>1242</v>
      </c>
      <c r="K348" s="106"/>
      <c r="L348" s="114"/>
      <c r="M348" s="114">
        <f>tblAquisições[[#This Row],[VALOR UNITARIO COMPRADO]]*tblAquisições[[#This Row],[QUANTIDADE COMPRADA]]</f>
        <v>0</v>
      </c>
      <c r="N348" s="110">
        <f>K348-tblAquisições[[#This Row],[QUANTIDADE PLANEJADA]]</f>
        <v>-120</v>
      </c>
      <c r="O348" s="106" t="str">
        <f t="shared" si="11"/>
        <v>Faltando Comprar</v>
      </c>
    </row>
    <row r="349" spans="1:15" ht="31.5">
      <c r="A349" s="16" t="s">
        <v>17</v>
      </c>
      <c r="B349" s="16" t="s">
        <v>17</v>
      </c>
      <c r="C349" s="17" t="s">
        <v>19</v>
      </c>
      <c r="D349" s="18" t="s">
        <v>251</v>
      </c>
      <c r="E349" s="18">
        <v>5</v>
      </c>
      <c r="F349" s="18" t="s">
        <v>252</v>
      </c>
      <c r="G349" s="18" t="s">
        <v>39</v>
      </c>
      <c r="H349" s="18" t="s">
        <v>65</v>
      </c>
      <c r="I349" s="19">
        <v>29.97</v>
      </c>
      <c r="J349" s="20">
        <f t="shared" si="10"/>
        <v>149.85</v>
      </c>
      <c r="K349" s="106"/>
      <c r="L349" s="114"/>
      <c r="M349" s="114">
        <f>tblAquisições[[#This Row],[VALOR UNITARIO COMPRADO]]*tblAquisições[[#This Row],[QUANTIDADE COMPRADA]]</f>
        <v>0</v>
      </c>
      <c r="N349" s="110">
        <f>K349-tblAquisições[[#This Row],[QUANTIDADE PLANEJADA]]</f>
        <v>-5</v>
      </c>
      <c r="O349" s="106" t="str">
        <f t="shared" si="11"/>
        <v>Faltando Comprar</v>
      </c>
    </row>
    <row r="350" spans="1:15" ht="31.5">
      <c r="A350" s="16" t="s">
        <v>17</v>
      </c>
      <c r="B350" s="16" t="s">
        <v>28</v>
      </c>
      <c r="C350" s="17" t="s">
        <v>19</v>
      </c>
      <c r="D350" s="18" t="s">
        <v>253</v>
      </c>
      <c r="E350" s="18">
        <v>3</v>
      </c>
      <c r="F350" s="18" t="s">
        <v>254</v>
      </c>
      <c r="G350" s="18" t="s">
        <v>22</v>
      </c>
      <c r="H350" s="18" t="s">
        <v>65</v>
      </c>
      <c r="I350" s="19">
        <v>29.97</v>
      </c>
      <c r="J350" s="20">
        <f t="shared" si="10"/>
        <v>89.91</v>
      </c>
      <c r="K350" s="106"/>
      <c r="L350" s="114"/>
      <c r="M350" s="114">
        <f>tblAquisições[[#This Row],[VALOR UNITARIO COMPRADO]]*tblAquisições[[#This Row],[QUANTIDADE COMPRADA]]</f>
        <v>0</v>
      </c>
      <c r="N350" s="110">
        <f>K350-tblAquisições[[#This Row],[QUANTIDADE PLANEJADA]]</f>
        <v>-3</v>
      </c>
      <c r="O350" s="106" t="str">
        <f t="shared" si="11"/>
        <v>Faltando Comprar</v>
      </c>
    </row>
    <row r="351" spans="1:15" ht="31.5">
      <c r="A351" s="16" t="s">
        <v>17</v>
      </c>
      <c r="B351" s="16" t="s">
        <v>72</v>
      </c>
      <c r="C351" s="17" t="s">
        <v>19</v>
      </c>
      <c r="D351" s="18" t="s">
        <v>253</v>
      </c>
      <c r="E351" s="18">
        <v>12</v>
      </c>
      <c r="F351" s="18" t="s">
        <v>254</v>
      </c>
      <c r="G351" s="18" t="s">
        <v>22</v>
      </c>
      <c r="H351" s="18" t="s">
        <v>100</v>
      </c>
      <c r="I351" s="19">
        <v>4.5199999999999996</v>
      </c>
      <c r="J351" s="20">
        <f t="shared" si="10"/>
        <v>54.239999999999995</v>
      </c>
      <c r="K351" s="106"/>
      <c r="L351" s="114"/>
      <c r="M351" s="114">
        <f>tblAquisições[[#This Row],[VALOR UNITARIO COMPRADO]]*tblAquisições[[#This Row],[QUANTIDADE COMPRADA]]</f>
        <v>0</v>
      </c>
      <c r="N351" s="110">
        <f>K351-tblAquisições[[#This Row],[QUANTIDADE PLANEJADA]]</f>
        <v>-12</v>
      </c>
      <c r="O351" s="106" t="str">
        <f t="shared" si="11"/>
        <v>Faltando Comprar</v>
      </c>
    </row>
    <row r="352" spans="1:15" ht="47.25">
      <c r="A352" s="16" t="s">
        <v>17</v>
      </c>
      <c r="B352" s="16" t="s">
        <v>80</v>
      </c>
      <c r="C352" s="17" t="s">
        <v>19</v>
      </c>
      <c r="D352" s="18" t="s">
        <v>255</v>
      </c>
      <c r="E352" s="18">
        <v>2</v>
      </c>
      <c r="F352" s="18" t="s">
        <v>147</v>
      </c>
      <c r="G352" s="18" t="s">
        <v>39</v>
      </c>
      <c r="H352" s="21"/>
      <c r="I352" s="19">
        <v>29.96</v>
      </c>
      <c r="J352" s="20">
        <f t="shared" si="10"/>
        <v>59.92</v>
      </c>
      <c r="K352" s="106"/>
      <c r="L352" s="114"/>
      <c r="M352" s="114">
        <f>tblAquisições[[#This Row],[VALOR UNITARIO COMPRADO]]*tblAquisições[[#This Row],[QUANTIDADE COMPRADA]]</f>
        <v>0</v>
      </c>
      <c r="N352" s="110">
        <f>K352-tblAquisições[[#This Row],[QUANTIDADE PLANEJADA]]</f>
        <v>-2</v>
      </c>
      <c r="O352" s="106" t="str">
        <f t="shared" si="11"/>
        <v>Faltando Comprar</v>
      </c>
    </row>
    <row r="353" spans="1:15" ht="31.5">
      <c r="A353" s="16" t="s">
        <v>17</v>
      </c>
      <c r="B353" s="16" t="s">
        <v>80</v>
      </c>
      <c r="C353" s="17" t="s">
        <v>19</v>
      </c>
      <c r="D353" s="18" t="s">
        <v>256</v>
      </c>
      <c r="E353" s="18">
        <v>60</v>
      </c>
      <c r="F353" s="18" t="s">
        <v>38</v>
      </c>
      <c r="G353" s="18" t="s">
        <v>39</v>
      </c>
      <c r="H353" s="18" t="s">
        <v>23</v>
      </c>
      <c r="I353" s="19">
        <v>25.23</v>
      </c>
      <c r="J353" s="20">
        <f t="shared" si="10"/>
        <v>1513.8</v>
      </c>
      <c r="K353" s="106"/>
      <c r="L353" s="114"/>
      <c r="M353" s="114">
        <f>tblAquisições[[#This Row],[VALOR UNITARIO COMPRADO]]*tblAquisições[[#This Row],[QUANTIDADE COMPRADA]]</f>
        <v>0</v>
      </c>
      <c r="N353" s="110">
        <f>K353-tblAquisições[[#This Row],[QUANTIDADE PLANEJADA]]</f>
        <v>-60</v>
      </c>
      <c r="O353" s="106" t="str">
        <f t="shared" si="11"/>
        <v>Faltando Comprar</v>
      </c>
    </row>
    <row r="354" spans="1:15" ht="31.5">
      <c r="A354" s="16" t="s">
        <v>17</v>
      </c>
      <c r="B354" s="16" t="s">
        <v>26</v>
      </c>
      <c r="C354" s="17" t="s">
        <v>19</v>
      </c>
      <c r="D354" s="18" t="s">
        <v>257</v>
      </c>
      <c r="E354" s="18">
        <v>10</v>
      </c>
      <c r="F354" s="18" t="s">
        <v>21</v>
      </c>
      <c r="G354" s="18" t="s">
        <v>22</v>
      </c>
      <c r="H354" s="18" t="s">
        <v>23</v>
      </c>
      <c r="I354" s="19">
        <v>25.23</v>
      </c>
      <c r="J354" s="20">
        <f t="shared" si="10"/>
        <v>252.3</v>
      </c>
      <c r="K354" s="106"/>
      <c r="L354" s="114"/>
      <c r="M354" s="114">
        <f>tblAquisições[[#This Row],[VALOR UNITARIO COMPRADO]]*tblAquisições[[#This Row],[QUANTIDADE COMPRADA]]</f>
        <v>0</v>
      </c>
      <c r="N354" s="110">
        <f>K354-tblAquisições[[#This Row],[QUANTIDADE PLANEJADA]]</f>
        <v>-10</v>
      </c>
      <c r="O354" s="106" t="str">
        <f t="shared" si="11"/>
        <v>Faltando Comprar</v>
      </c>
    </row>
    <row r="355" spans="1:15" ht="31.5">
      <c r="A355" s="16" t="s">
        <v>17</v>
      </c>
      <c r="B355" s="16" t="s">
        <v>27</v>
      </c>
      <c r="C355" s="17" t="s">
        <v>19</v>
      </c>
      <c r="D355" s="18" t="s">
        <v>257</v>
      </c>
      <c r="E355" s="18">
        <v>20</v>
      </c>
      <c r="F355" s="18" t="s">
        <v>21</v>
      </c>
      <c r="G355" s="18" t="s">
        <v>22</v>
      </c>
      <c r="H355" s="18" t="s">
        <v>23</v>
      </c>
      <c r="I355" s="19">
        <v>25.23</v>
      </c>
      <c r="J355" s="20">
        <f t="shared" si="10"/>
        <v>504.6</v>
      </c>
      <c r="K355" s="106"/>
      <c r="L355" s="114"/>
      <c r="M355" s="114">
        <f>tblAquisições[[#This Row],[VALOR UNITARIO COMPRADO]]*tblAquisições[[#This Row],[QUANTIDADE COMPRADA]]</f>
        <v>0</v>
      </c>
      <c r="N355" s="110">
        <f>K355-tblAquisições[[#This Row],[QUANTIDADE PLANEJADA]]</f>
        <v>-20</v>
      </c>
      <c r="O355" s="106" t="str">
        <f t="shared" si="11"/>
        <v>Faltando Comprar</v>
      </c>
    </row>
    <row r="356" spans="1:15" ht="31.5">
      <c r="A356" s="16" t="s">
        <v>17</v>
      </c>
      <c r="B356" s="16" t="s">
        <v>28</v>
      </c>
      <c r="C356" s="17" t="s">
        <v>19</v>
      </c>
      <c r="D356" s="18" t="s">
        <v>257</v>
      </c>
      <c r="E356" s="18">
        <v>200</v>
      </c>
      <c r="F356" s="18" t="s">
        <v>21</v>
      </c>
      <c r="G356" s="18" t="s">
        <v>22</v>
      </c>
      <c r="H356" s="18" t="s">
        <v>23</v>
      </c>
      <c r="I356" s="19">
        <v>25.23</v>
      </c>
      <c r="J356" s="20">
        <f t="shared" si="10"/>
        <v>5046</v>
      </c>
      <c r="K356" s="106"/>
      <c r="L356" s="114"/>
      <c r="M356" s="114">
        <f>tblAquisições[[#This Row],[VALOR UNITARIO COMPRADO]]*tblAquisições[[#This Row],[QUANTIDADE COMPRADA]]</f>
        <v>0</v>
      </c>
      <c r="N356" s="110">
        <f>K356-tblAquisições[[#This Row],[QUANTIDADE PLANEJADA]]</f>
        <v>-200</v>
      </c>
      <c r="O356" s="106" t="str">
        <f t="shared" si="11"/>
        <v>Faltando Comprar</v>
      </c>
    </row>
    <row r="357" spans="1:15" ht="31.5">
      <c r="A357" s="16" t="s">
        <v>17</v>
      </c>
      <c r="B357" s="16" t="s">
        <v>31</v>
      </c>
      <c r="C357" s="17" t="s">
        <v>19</v>
      </c>
      <c r="D357" s="18" t="s">
        <v>258</v>
      </c>
      <c r="E357" s="18">
        <v>80</v>
      </c>
      <c r="F357" s="18" t="s">
        <v>21</v>
      </c>
      <c r="G357" s="18" t="s">
        <v>22</v>
      </c>
      <c r="H357" s="18" t="s">
        <v>23</v>
      </c>
      <c r="I357" s="19">
        <v>0.87</v>
      </c>
      <c r="J357" s="20">
        <f t="shared" si="10"/>
        <v>69.599999999999994</v>
      </c>
      <c r="K357" s="106"/>
      <c r="L357" s="114"/>
      <c r="M357" s="114">
        <f>tblAquisições[[#This Row],[VALOR UNITARIO COMPRADO]]*tblAquisições[[#This Row],[QUANTIDADE COMPRADA]]</f>
        <v>0</v>
      </c>
      <c r="N357" s="110">
        <f>K357-tblAquisições[[#This Row],[QUANTIDADE PLANEJADA]]</f>
        <v>-80</v>
      </c>
      <c r="O357" s="106" t="str">
        <f t="shared" si="11"/>
        <v>Faltando Comprar</v>
      </c>
    </row>
    <row r="358" spans="1:15" ht="31.5">
      <c r="A358" s="16" t="s">
        <v>17</v>
      </c>
      <c r="B358" s="16" t="s">
        <v>26</v>
      </c>
      <c r="C358" s="17" t="s">
        <v>19</v>
      </c>
      <c r="D358" s="18" t="s">
        <v>259</v>
      </c>
      <c r="E358" s="18">
        <v>20</v>
      </c>
      <c r="F358" s="18" t="s">
        <v>21</v>
      </c>
      <c r="G358" s="18" t="s">
        <v>22</v>
      </c>
      <c r="H358" s="18" t="s">
        <v>23</v>
      </c>
      <c r="I358" s="19">
        <v>1.63</v>
      </c>
      <c r="J358" s="20">
        <f t="shared" si="10"/>
        <v>32.599999999999994</v>
      </c>
      <c r="K358" s="106"/>
      <c r="L358" s="114"/>
      <c r="M358" s="114">
        <f>tblAquisições[[#This Row],[VALOR UNITARIO COMPRADO]]*tblAquisições[[#This Row],[QUANTIDADE COMPRADA]]</f>
        <v>0</v>
      </c>
      <c r="N358" s="110">
        <f>K358-tblAquisições[[#This Row],[QUANTIDADE PLANEJADA]]</f>
        <v>-20</v>
      </c>
      <c r="O358" s="106" t="str">
        <f t="shared" si="11"/>
        <v>Faltando Comprar</v>
      </c>
    </row>
    <row r="359" spans="1:15" ht="31.5">
      <c r="A359" s="16" t="s">
        <v>17</v>
      </c>
      <c r="B359" s="16" t="s">
        <v>17</v>
      </c>
      <c r="C359" s="17" t="s">
        <v>19</v>
      </c>
      <c r="D359" s="18" t="s">
        <v>260</v>
      </c>
      <c r="E359" s="18">
        <v>2500</v>
      </c>
      <c r="F359" s="18" t="s">
        <v>38</v>
      </c>
      <c r="G359" s="18" t="s">
        <v>39</v>
      </c>
      <c r="H359" s="18" t="s">
        <v>23</v>
      </c>
      <c r="I359" s="19">
        <v>0.83</v>
      </c>
      <c r="J359" s="20">
        <f t="shared" si="10"/>
        <v>2075</v>
      </c>
      <c r="K359" s="106"/>
      <c r="L359" s="114"/>
      <c r="M359" s="114">
        <f>tblAquisições[[#This Row],[VALOR UNITARIO COMPRADO]]*tblAquisições[[#This Row],[QUANTIDADE COMPRADA]]</f>
        <v>0</v>
      </c>
      <c r="N359" s="110">
        <f>K359-tblAquisições[[#This Row],[QUANTIDADE PLANEJADA]]</f>
        <v>-2500</v>
      </c>
      <c r="O359" s="106" t="str">
        <f t="shared" si="11"/>
        <v>Faltando Comprar</v>
      </c>
    </row>
    <row r="360" spans="1:15" ht="31.5">
      <c r="A360" s="16" t="s">
        <v>17</v>
      </c>
      <c r="B360" s="16" t="s">
        <v>80</v>
      </c>
      <c r="C360" s="17" t="s">
        <v>19</v>
      </c>
      <c r="D360" s="18" t="s">
        <v>260</v>
      </c>
      <c r="E360" s="18">
        <v>2500</v>
      </c>
      <c r="F360" s="18" t="s">
        <v>38</v>
      </c>
      <c r="G360" s="18" t="s">
        <v>39</v>
      </c>
      <c r="H360" s="18" t="s">
        <v>23</v>
      </c>
      <c r="I360" s="19">
        <v>0.83</v>
      </c>
      <c r="J360" s="20">
        <f t="shared" si="10"/>
        <v>2075</v>
      </c>
      <c r="K360" s="106"/>
      <c r="L360" s="114"/>
      <c r="M360" s="114">
        <f>tblAquisições[[#This Row],[VALOR UNITARIO COMPRADO]]*tblAquisições[[#This Row],[QUANTIDADE COMPRADA]]</f>
        <v>0</v>
      </c>
      <c r="N360" s="110">
        <f>K360-tblAquisições[[#This Row],[QUANTIDADE PLANEJADA]]</f>
        <v>-2500</v>
      </c>
      <c r="O360" s="106" t="str">
        <f t="shared" si="11"/>
        <v>Faltando Comprar</v>
      </c>
    </row>
    <row r="361" spans="1:15" ht="47.25">
      <c r="A361" s="16" t="s">
        <v>17</v>
      </c>
      <c r="B361" s="16" t="s">
        <v>34</v>
      </c>
      <c r="C361" s="17" t="s">
        <v>19</v>
      </c>
      <c r="D361" s="18" t="s">
        <v>261</v>
      </c>
      <c r="E361" s="18">
        <v>50</v>
      </c>
      <c r="F361" s="18" t="s">
        <v>131</v>
      </c>
      <c r="G361" s="18" t="s">
        <v>22</v>
      </c>
      <c r="H361" s="18" t="s">
        <v>23</v>
      </c>
      <c r="I361" s="19">
        <v>36.01</v>
      </c>
      <c r="J361" s="20">
        <f t="shared" si="10"/>
        <v>1800.5</v>
      </c>
      <c r="K361" s="106"/>
      <c r="L361" s="114"/>
      <c r="M361" s="114">
        <f>tblAquisições[[#This Row],[VALOR UNITARIO COMPRADO]]*tblAquisições[[#This Row],[QUANTIDADE COMPRADA]]</f>
        <v>0</v>
      </c>
      <c r="N361" s="110">
        <f>K361-tblAquisições[[#This Row],[QUANTIDADE PLANEJADA]]</f>
        <v>-50</v>
      </c>
      <c r="O361" s="106" t="str">
        <f t="shared" si="11"/>
        <v>Faltando Comprar</v>
      </c>
    </row>
    <row r="362" spans="1:15" ht="47.25">
      <c r="A362" s="16" t="s">
        <v>17</v>
      </c>
      <c r="B362" s="16" t="s">
        <v>18</v>
      </c>
      <c r="C362" s="17" t="s">
        <v>19</v>
      </c>
      <c r="D362" s="18" t="s">
        <v>261</v>
      </c>
      <c r="E362" s="18">
        <v>5</v>
      </c>
      <c r="F362" s="18" t="s">
        <v>131</v>
      </c>
      <c r="G362" s="18" t="s">
        <v>22</v>
      </c>
      <c r="H362" s="18" t="s">
        <v>23</v>
      </c>
      <c r="I362" s="19">
        <v>36.01</v>
      </c>
      <c r="J362" s="20">
        <f t="shared" si="10"/>
        <v>180.04999999999998</v>
      </c>
      <c r="K362" s="106"/>
      <c r="L362" s="114"/>
      <c r="M362" s="114">
        <f>tblAquisições[[#This Row],[VALOR UNITARIO COMPRADO]]*tblAquisições[[#This Row],[QUANTIDADE COMPRADA]]</f>
        <v>0</v>
      </c>
      <c r="N362" s="110">
        <f>K362-tblAquisições[[#This Row],[QUANTIDADE PLANEJADA]]</f>
        <v>-5</v>
      </c>
      <c r="O362" s="106" t="str">
        <f t="shared" si="11"/>
        <v>Faltando Comprar</v>
      </c>
    </row>
    <row r="363" spans="1:15" ht="47.25">
      <c r="A363" s="16" t="s">
        <v>17</v>
      </c>
      <c r="B363" s="16" t="s">
        <v>24</v>
      </c>
      <c r="C363" s="17" t="s">
        <v>19</v>
      </c>
      <c r="D363" s="18" t="s">
        <v>261</v>
      </c>
      <c r="E363" s="18">
        <v>5</v>
      </c>
      <c r="F363" s="18" t="s">
        <v>131</v>
      </c>
      <c r="G363" s="18" t="s">
        <v>22</v>
      </c>
      <c r="H363" s="18" t="s">
        <v>23</v>
      </c>
      <c r="I363" s="19">
        <v>36.01</v>
      </c>
      <c r="J363" s="20">
        <f t="shared" si="10"/>
        <v>180.04999999999998</v>
      </c>
      <c r="K363" s="106"/>
      <c r="L363" s="114"/>
      <c r="M363" s="114">
        <f>tblAquisições[[#This Row],[VALOR UNITARIO COMPRADO]]*tblAquisições[[#This Row],[QUANTIDADE COMPRADA]]</f>
        <v>0</v>
      </c>
      <c r="N363" s="110">
        <f>K363-tblAquisições[[#This Row],[QUANTIDADE PLANEJADA]]</f>
        <v>-5</v>
      </c>
      <c r="O363" s="106" t="str">
        <f t="shared" si="11"/>
        <v>Faltando Comprar</v>
      </c>
    </row>
    <row r="364" spans="1:15" ht="47.25">
      <c r="A364" s="16" t="s">
        <v>17</v>
      </c>
      <c r="B364" s="16" t="s">
        <v>25</v>
      </c>
      <c r="C364" s="17" t="s">
        <v>19</v>
      </c>
      <c r="D364" s="18" t="s">
        <v>261</v>
      </c>
      <c r="E364" s="18">
        <v>5</v>
      </c>
      <c r="F364" s="18" t="s">
        <v>131</v>
      </c>
      <c r="G364" s="18" t="s">
        <v>22</v>
      </c>
      <c r="H364" s="18" t="s">
        <v>23</v>
      </c>
      <c r="I364" s="19">
        <v>36.01</v>
      </c>
      <c r="J364" s="20">
        <f t="shared" si="10"/>
        <v>180.04999999999998</v>
      </c>
      <c r="K364" s="106"/>
      <c r="L364" s="114"/>
      <c r="M364" s="114">
        <f>tblAquisições[[#This Row],[VALOR UNITARIO COMPRADO]]*tblAquisições[[#This Row],[QUANTIDADE COMPRADA]]</f>
        <v>0</v>
      </c>
      <c r="N364" s="110">
        <f>K364-tblAquisições[[#This Row],[QUANTIDADE PLANEJADA]]</f>
        <v>-5</v>
      </c>
      <c r="O364" s="106" t="str">
        <f t="shared" si="11"/>
        <v>Faltando Comprar</v>
      </c>
    </row>
    <row r="365" spans="1:15" ht="47.25">
      <c r="A365" s="16" t="s">
        <v>17</v>
      </c>
      <c r="B365" s="16" t="s">
        <v>26</v>
      </c>
      <c r="C365" s="17" t="s">
        <v>19</v>
      </c>
      <c r="D365" s="18" t="s">
        <v>261</v>
      </c>
      <c r="E365" s="18">
        <v>5</v>
      </c>
      <c r="F365" s="18" t="s">
        <v>131</v>
      </c>
      <c r="G365" s="18" t="s">
        <v>22</v>
      </c>
      <c r="H365" s="18" t="s">
        <v>23</v>
      </c>
      <c r="I365" s="19">
        <v>36.01</v>
      </c>
      <c r="J365" s="20">
        <f t="shared" si="10"/>
        <v>180.04999999999998</v>
      </c>
      <c r="K365" s="106"/>
      <c r="L365" s="114"/>
      <c r="M365" s="114">
        <f>tblAquisições[[#This Row],[VALOR UNITARIO COMPRADO]]*tblAquisições[[#This Row],[QUANTIDADE COMPRADA]]</f>
        <v>0</v>
      </c>
      <c r="N365" s="110">
        <f>K365-tblAquisições[[#This Row],[QUANTIDADE PLANEJADA]]</f>
        <v>-5</v>
      </c>
      <c r="O365" s="106" t="str">
        <f t="shared" si="11"/>
        <v>Faltando Comprar</v>
      </c>
    </row>
    <row r="366" spans="1:15" ht="47.25">
      <c r="A366" s="16" t="s">
        <v>17</v>
      </c>
      <c r="B366" s="16" t="s">
        <v>28</v>
      </c>
      <c r="C366" s="17" t="s">
        <v>19</v>
      </c>
      <c r="D366" s="18" t="s">
        <v>262</v>
      </c>
      <c r="E366" s="18">
        <v>12</v>
      </c>
      <c r="F366" s="18" t="s">
        <v>78</v>
      </c>
      <c r="G366" s="18" t="s">
        <v>22</v>
      </c>
      <c r="H366" s="18" t="s">
        <v>23</v>
      </c>
      <c r="I366" s="19">
        <v>293.49</v>
      </c>
      <c r="J366" s="20">
        <f t="shared" si="10"/>
        <v>3521.88</v>
      </c>
      <c r="K366" s="106"/>
      <c r="L366" s="114"/>
      <c r="M366" s="114">
        <f>tblAquisições[[#This Row],[VALOR UNITARIO COMPRADO]]*tblAquisições[[#This Row],[QUANTIDADE COMPRADA]]</f>
        <v>0</v>
      </c>
      <c r="N366" s="110">
        <f>K366-tblAquisições[[#This Row],[QUANTIDADE PLANEJADA]]</f>
        <v>-12</v>
      </c>
      <c r="O366" s="106" t="str">
        <f t="shared" si="11"/>
        <v>Faltando Comprar</v>
      </c>
    </row>
    <row r="367" spans="1:15" ht="31.5">
      <c r="A367" s="16" t="s">
        <v>17</v>
      </c>
      <c r="B367" s="16" t="s">
        <v>34</v>
      </c>
      <c r="C367" s="17" t="s">
        <v>19</v>
      </c>
      <c r="D367" s="18" t="s">
        <v>263</v>
      </c>
      <c r="E367" s="18">
        <v>50</v>
      </c>
      <c r="F367" s="18" t="s">
        <v>21</v>
      </c>
      <c r="G367" s="18" t="s">
        <v>22</v>
      </c>
      <c r="H367" s="18" t="s">
        <v>23</v>
      </c>
      <c r="I367" s="19">
        <v>25.21</v>
      </c>
      <c r="J367" s="20">
        <f t="shared" si="10"/>
        <v>1260.5</v>
      </c>
      <c r="K367" s="106"/>
      <c r="L367" s="114"/>
      <c r="M367" s="114">
        <f>tblAquisições[[#This Row],[VALOR UNITARIO COMPRADO]]*tblAquisições[[#This Row],[QUANTIDADE COMPRADA]]</f>
        <v>0</v>
      </c>
      <c r="N367" s="110">
        <f>K367-tblAquisições[[#This Row],[QUANTIDADE PLANEJADA]]</f>
        <v>-50</v>
      </c>
      <c r="O367" s="106" t="str">
        <f t="shared" si="11"/>
        <v>Faltando Comprar</v>
      </c>
    </row>
    <row r="368" spans="1:15" ht="31.5">
      <c r="A368" s="16" t="s">
        <v>17</v>
      </c>
      <c r="B368" s="16" t="s">
        <v>18</v>
      </c>
      <c r="C368" s="17" t="s">
        <v>19</v>
      </c>
      <c r="D368" s="18" t="s">
        <v>263</v>
      </c>
      <c r="E368" s="18">
        <v>10</v>
      </c>
      <c r="F368" s="18" t="s">
        <v>21</v>
      </c>
      <c r="G368" s="18" t="s">
        <v>22</v>
      </c>
      <c r="H368" s="18" t="s">
        <v>23</v>
      </c>
      <c r="I368" s="19">
        <v>25.21</v>
      </c>
      <c r="J368" s="20">
        <f t="shared" si="10"/>
        <v>252.10000000000002</v>
      </c>
      <c r="K368" s="106"/>
      <c r="L368" s="114"/>
      <c r="M368" s="114">
        <f>tblAquisições[[#This Row],[VALOR UNITARIO COMPRADO]]*tblAquisições[[#This Row],[QUANTIDADE COMPRADA]]</f>
        <v>0</v>
      </c>
      <c r="N368" s="110">
        <f>K368-tblAquisições[[#This Row],[QUANTIDADE PLANEJADA]]</f>
        <v>-10</v>
      </c>
      <c r="O368" s="106" t="str">
        <f t="shared" si="11"/>
        <v>Faltando Comprar</v>
      </c>
    </row>
    <row r="369" spans="1:15" ht="31.5">
      <c r="A369" s="16" t="s">
        <v>17</v>
      </c>
      <c r="B369" s="16" t="s">
        <v>24</v>
      </c>
      <c r="C369" s="17" t="s">
        <v>19</v>
      </c>
      <c r="D369" s="18" t="s">
        <v>263</v>
      </c>
      <c r="E369" s="18">
        <v>10</v>
      </c>
      <c r="F369" s="18" t="s">
        <v>21</v>
      </c>
      <c r="G369" s="18" t="s">
        <v>22</v>
      </c>
      <c r="H369" s="18" t="s">
        <v>23</v>
      </c>
      <c r="I369" s="19">
        <v>25.21</v>
      </c>
      <c r="J369" s="20">
        <f t="shared" si="10"/>
        <v>252.10000000000002</v>
      </c>
      <c r="K369" s="106"/>
      <c r="L369" s="114"/>
      <c r="M369" s="114">
        <f>tblAquisições[[#This Row],[VALOR UNITARIO COMPRADO]]*tblAquisições[[#This Row],[QUANTIDADE COMPRADA]]</f>
        <v>0</v>
      </c>
      <c r="N369" s="110">
        <f>K369-tblAquisições[[#This Row],[QUANTIDADE PLANEJADA]]</f>
        <v>-10</v>
      </c>
      <c r="O369" s="106" t="str">
        <f t="shared" si="11"/>
        <v>Faltando Comprar</v>
      </c>
    </row>
    <row r="370" spans="1:15" ht="31.5">
      <c r="A370" s="16" t="s">
        <v>17</v>
      </c>
      <c r="B370" s="16" t="s">
        <v>25</v>
      </c>
      <c r="C370" s="17" t="s">
        <v>19</v>
      </c>
      <c r="D370" s="18" t="s">
        <v>263</v>
      </c>
      <c r="E370" s="18">
        <v>10</v>
      </c>
      <c r="F370" s="18" t="s">
        <v>21</v>
      </c>
      <c r="G370" s="18" t="s">
        <v>22</v>
      </c>
      <c r="H370" s="18" t="s">
        <v>23</v>
      </c>
      <c r="I370" s="19">
        <v>25.21</v>
      </c>
      <c r="J370" s="20">
        <f t="shared" si="10"/>
        <v>252.10000000000002</v>
      </c>
      <c r="K370" s="106"/>
      <c r="L370" s="114"/>
      <c r="M370" s="114">
        <f>tblAquisições[[#This Row],[VALOR UNITARIO COMPRADO]]*tblAquisições[[#This Row],[QUANTIDADE COMPRADA]]</f>
        <v>0</v>
      </c>
      <c r="N370" s="110">
        <f>K370-tblAquisições[[#This Row],[QUANTIDADE PLANEJADA]]</f>
        <v>-10</v>
      </c>
      <c r="O370" s="106" t="str">
        <f t="shared" si="11"/>
        <v>Faltando Comprar</v>
      </c>
    </row>
    <row r="371" spans="1:15" ht="47.25">
      <c r="A371" s="16" t="s">
        <v>17</v>
      </c>
      <c r="B371" s="16" t="s">
        <v>26</v>
      </c>
      <c r="C371" s="17" t="s">
        <v>19</v>
      </c>
      <c r="D371" s="18" t="s">
        <v>264</v>
      </c>
      <c r="E371" s="18">
        <v>200</v>
      </c>
      <c r="F371" s="18" t="s">
        <v>78</v>
      </c>
      <c r="G371" s="18" t="s">
        <v>22</v>
      </c>
      <c r="H371" s="18" t="s">
        <v>23</v>
      </c>
      <c r="I371" s="19">
        <v>68.069999999999993</v>
      </c>
      <c r="J371" s="20">
        <f t="shared" si="10"/>
        <v>13613.999999999998</v>
      </c>
      <c r="K371" s="106"/>
      <c r="L371" s="114"/>
      <c r="M371" s="114">
        <f>tblAquisições[[#This Row],[VALOR UNITARIO COMPRADO]]*tblAquisições[[#This Row],[QUANTIDADE COMPRADA]]</f>
        <v>0</v>
      </c>
      <c r="N371" s="110">
        <f>K371-tblAquisições[[#This Row],[QUANTIDADE PLANEJADA]]</f>
        <v>-200</v>
      </c>
      <c r="O371" s="106" t="str">
        <f t="shared" si="11"/>
        <v>Faltando Comprar</v>
      </c>
    </row>
    <row r="372" spans="1:15" ht="31.5">
      <c r="A372" s="16" t="s">
        <v>17</v>
      </c>
      <c r="B372" s="16" t="s">
        <v>28</v>
      </c>
      <c r="C372" s="17" t="s">
        <v>19</v>
      </c>
      <c r="D372" s="18" t="s">
        <v>265</v>
      </c>
      <c r="E372" s="18">
        <v>8</v>
      </c>
      <c r="F372" s="18" t="s">
        <v>21</v>
      </c>
      <c r="G372" s="18" t="s">
        <v>22</v>
      </c>
      <c r="H372" s="18" t="s">
        <v>23</v>
      </c>
      <c r="I372" s="19">
        <v>118.25</v>
      </c>
      <c r="J372" s="20">
        <f t="shared" si="10"/>
        <v>946</v>
      </c>
      <c r="K372" s="106"/>
      <c r="L372" s="114"/>
      <c r="M372" s="114">
        <f>tblAquisições[[#This Row],[VALOR UNITARIO COMPRADO]]*tblAquisições[[#This Row],[QUANTIDADE COMPRADA]]</f>
        <v>0</v>
      </c>
      <c r="N372" s="110">
        <f>K372-tblAquisições[[#This Row],[QUANTIDADE PLANEJADA]]</f>
        <v>-8</v>
      </c>
      <c r="O372" s="106" t="str">
        <f t="shared" si="11"/>
        <v>Faltando Comprar</v>
      </c>
    </row>
    <row r="373" spans="1:15" ht="31.5">
      <c r="A373" s="16" t="s">
        <v>17</v>
      </c>
      <c r="B373" s="16" t="s">
        <v>28</v>
      </c>
      <c r="C373" s="17" t="s">
        <v>19</v>
      </c>
      <c r="D373" s="18" t="s">
        <v>266</v>
      </c>
      <c r="E373" s="18">
        <v>30</v>
      </c>
      <c r="F373" s="18" t="s">
        <v>21</v>
      </c>
      <c r="G373" s="18" t="s">
        <v>22</v>
      </c>
      <c r="H373" s="18" t="s">
        <v>53</v>
      </c>
      <c r="I373" s="19">
        <v>10.29</v>
      </c>
      <c r="J373" s="20">
        <f t="shared" si="10"/>
        <v>308.7</v>
      </c>
      <c r="K373" s="106"/>
      <c r="L373" s="114"/>
      <c r="M373" s="114">
        <f>tblAquisições[[#This Row],[VALOR UNITARIO COMPRADO]]*tblAquisições[[#This Row],[QUANTIDADE COMPRADA]]</f>
        <v>0</v>
      </c>
      <c r="N373" s="110">
        <f>K373-tblAquisições[[#This Row],[QUANTIDADE PLANEJADA]]</f>
        <v>-30</v>
      </c>
      <c r="O373" s="106" t="str">
        <f t="shared" si="11"/>
        <v>Faltando Comprar</v>
      </c>
    </row>
    <row r="374" spans="1:15" ht="47.25">
      <c r="A374" s="16" t="s">
        <v>17</v>
      </c>
      <c r="B374" s="16" t="s">
        <v>41</v>
      </c>
      <c r="C374" s="17" t="s">
        <v>19</v>
      </c>
      <c r="D374" s="18" t="s">
        <v>267</v>
      </c>
      <c r="E374" s="18">
        <v>60</v>
      </c>
      <c r="F374" s="18" t="s">
        <v>239</v>
      </c>
      <c r="G374" s="18" t="s">
        <v>22</v>
      </c>
      <c r="H374" s="18" t="s">
        <v>23</v>
      </c>
      <c r="I374" s="19">
        <v>18.260000000000002</v>
      </c>
      <c r="J374" s="20">
        <f t="shared" si="10"/>
        <v>1095.6000000000001</v>
      </c>
      <c r="K374" s="106"/>
      <c r="L374" s="114"/>
      <c r="M374" s="114">
        <f>tblAquisições[[#This Row],[VALOR UNITARIO COMPRADO]]*tblAquisições[[#This Row],[QUANTIDADE COMPRADA]]</f>
        <v>0</v>
      </c>
      <c r="N374" s="110">
        <f>K374-tblAquisições[[#This Row],[QUANTIDADE PLANEJADA]]</f>
        <v>-60</v>
      </c>
      <c r="O374" s="106" t="str">
        <f t="shared" si="11"/>
        <v>Faltando Comprar</v>
      </c>
    </row>
    <row r="375" spans="1:15" ht="47.25">
      <c r="A375" s="16" t="s">
        <v>17</v>
      </c>
      <c r="B375" s="16" t="s">
        <v>26</v>
      </c>
      <c r="C375" s="17" t="s">
        <v>19</v>
      </c>
      <c r="D375" s="18" t="s">
        <v>268</v>
      </c>
      <c r="E375" s="18">
        <v>24</v>
      </c>
      <c r="F375" s="18" t="s">
        <v>239</v>
      </c>
      <c r="G375" s="18" t="s">
        <v>22</v>
      </c>
      <c r="H375" s="18" t="s">
        <v>23</v>
      </c>
      <c r="I375" s="19">
        <v>4.55</v>
      </c>
      <c r="J375" s="20">
        <f t="shared" si="10"/>
        <v>109.19999999999999</v>
      </c>
      <c r="K375" s="106"/>
      <c r="L375" s="114"/>
      <c r="M375" s="114">
        <f>tblAquisições[[#This Row],[VALOR UNITARIO COMPRADO]]*tblAquisições[[#This Row],[QUANTIDADE COMPRADA]]</f>
        <v>0</v>
      </c>
      <c r="N375" s="110">
        <f>K375-tblAquisições[[#This Row],[QUANTIDADE PLANEJADA]]</f>
        <v>-24</v>
      </c>
      <c r="O375" s="106" t="str">
        <f t="shared" si="11"/>
        <v>Faltando Comprar</v>
      </c>
    </row>
    <row r="376" spans="1:15" ht="47.25">
      <c r="A376" s="16" t="s">
        <v>17</v>
      </c>
      <c r="B376" s="16" t="s">
        <v>28</v>
      </c>
      <c r="C376" s="17" t="s">
        <v>19</v>
      </c>
      <c r="D376" s="18" t="s">
        <v>269</v>
      </c>
      <c r="E376" s="18">
        <v>60</v>
      </c>
      <c r="F376" s="18" t="s">
        <v>239</v>
      </c>
      <c r="G376" s="18" t="s">
        <v>22</v>
      </c>
      <c r="H376" s="18" t="s">
        <v>23</v>
      </c>
      <c r="I376" s="19">
        <v>37.049999999999997</v>
      </c>
      <c r="J376" s="20">
        <f t="shared" si="10"/>
        <v>2223</v>
      </c>
      <c r="K376" s="106"/>
      <c r="L376" s="114"/>
      <c r="M376" s="114">
        <f>tblAquisições[[#This Row],[VALOR UNITARIO COMPRADO]]*tblAquisições[[#This Row],[QUANTIDADE COMPRADA]]</f>
        <v>0</v>
      </c>
      <c r="N376" s="110">
        <f>K376-tblAquisições[[#This Row],[QUANTIDADE PLANEJADA]]</f>
        <v>-60</v>
      </c>
      <c r="O376" s="106" t="str">
        <f t="shared" si="11"/>
        <v>Faltando Comprar</v>
      </c>
    </row>
    <row r="377" spans="1:15" ht="47.25">
      <c r="A377" s="16" t="s">
        <v>17</v>
      </c>
      <c r="B377" s="16" t="s">
        <v>72</v>
      </c>
      <c r="C377" s="17" t="s">
        <v>19</v>
      </c>
      <c r="D377" s="18" t="s">
        <v>269</v>
      </c>
      <c r="E377" s="18">
        <v>6</v>
      </c>
      <c r="F377" s="18" t="s">
        <v>239</v>
      </c>
      <c r="G377" s="18" t="s">
        <v>22</v>
      </c>
      <c r="H377" s="18" t="s">
        <v>100</v>
      </c>
      <c r="I377" s="19">
        <v>37.049999999999997</v>
      </c>
      <c r="J377" s="20">
        <f t="shared" si="10"/>
        <v>222.29999999999998</v>
      </c>
      <c r="K377" s="106"/>
      <c r="L377" s="114"/>
      <c r="M377" s="114">
        <f>tblAquisições[[#This Row],[VALOR UNITARIO COMPRADO]]*tblAquisições[[#This Row],[QUANTIDADE COMPRADA]]</f>
        <v>0</v>
      </c>
      <c r="N377" s="110">
        <f>K377-tblAquisições[[#This Row],[QUANTIDADE PLANEJADA]]</f>
        <v>-6</v>
      </c>
      <c r="O377" s="106" t="str">
        <f t="shared" si="11"/>
        <v>Faltando Comprar</v>
      </c>
    </row>
    <row r="378" spans="1:15" ht="47.25">
      <c r="A378" s="16" t="s">
        <v>17</v>
      </c>
      <c r="B378" s="16" t="s">
        <v>28</v>
      </c>
      <c r="C378" s="17" t="s">
        <v>19</v>
      </c>
      <c r="D378" s="18" t="s">
        <v>270</v>
      </c>
      <c r="E378" s="18">
        <v>10</v>
      </c>
      <c r="F378" s="18" t="s">
        <v>239</v>
      </c>
      <c r="G378" s="18" t="s">
        <v>22</v>
      </c>
      <c r="H378" s="18" t="s">
        <v>23</v>
      </c>
      <c r="I378" s="19">
        <v>13.28</v>
      </c>
      <c r="J378" s="20">
        <f t="shared" si="10"/>
        <v>132.79999999999998</v>
      </c>
      <c r="K378" s="106"/>
      <c r="L378" s="114"/>
      <c r="M378" s="114">
        <f>tblAquisições[[#This Row],[VALOR UNITARIO COMPRADO]]*tblAquisições[[#This Row],[QUANTIDADE COMPRADA]]</f>
        <v>0</v>
      </c>
      <c r="N378" s="110">
        <f>K378-tblAquisições[[#This Row],[QUANTIDADE PLANEJADA]]</f>
        <v>-10</v>
      </c>
      <c r="O378" s="106" t="str">
        <f t="shared" si="11"/>
        <v>Faltando Comprar</v>
      </c>
    </row>
    <row r="379" spans="1:15" ht="31.5">
      <c r="A379" s="16" t="s">
        <v>17</v>
      </c>
      <c r="B379" s="16" t="s">
        <v>80</v>
      </c>
      <c r="C379" s="17" t="s">
        <v>19</v>
      </c>
      <c r="D379" s="18" t="s">
        <v>271</v>
      </c>
      <c r="E379" s="18">
        <v>4</v>
      </c>
      <c r="F379" s="18" t="s">
        <v>272</v>
      </c>
      <c r="G379" s="18" t="s">
        <v>39</v>
      </c>
      <c r="H379" s="21"/>
      <c r="I379" s="19">
        <v>27.77</v>
      </c>
      <c r="J379" s="20">
        <f t="shared" si="10"/>
        <v>111.08</v>
      </c>
      <c r="K379" s="106"/>
      <c r="L379" s="114"/>
      <c r="M379" s="114">
        <f>tblAquisições[[#This Row],[VALOR UNITARIO COMPRADO]]*tblAquisições[[#This Row],[QUANTIDADE COMPRADA]]</f>
        <v>0</v>
      </c>
      <c r="N379" s="110">
        <f>K379-tblAquisições[[#This Row],[QUANTIDADE PLANEJADA]]</f>
        <v>-4</v>
      </c>
      <c r="O379" s="106" t="str">
        <f t="shared" si="11"/>
        <v>Faltando Comprar</v>
      </c>
    </row>
    <row r="380" spans="1:15" ht="31.5">
      <c r="A380" s="16" t="s">
        <v>17</v>
      </c>
      <c r="B380" s="16" t="s">
        <v>80</v>
      </c>
      <c r="C380" s="17" t="s">
        <v>19</v>
      </c>
      <c r="D380" s="18" t="s">
        <v>273</v>
      </c>
      <c r="E380" s="18">
        <v>10</v>
      </c>
      <c r="F380" s="18" t="s">
        <v>82</v>
      </c>
      <c r="G380" s="18" t="s">
        <v>39</v>
      </c>
      <c r="H380" s="21"/>
      <c r="I380" s="19">
        <v>153.29</v>
      </c>
      <c r="J380" s="20">
        <f t="shared" si="10"/>
        <v>1532.8999999999999</v>
      </c>
      <c r="K380" s="106"/>
      <c r="L380" s="114"/>
      <c r="M380" s="114">
        <f>tblAquisições[[#This Row],[VALOR UNITARIO COMPRADO]]*tblAquisições[[#This Row],[QUANTIDADE COMPRADA]]</f>
        <v>0</v>
      </c>
      <c r="N380" s="110">
        <f>K380-tblAquisições[[#This Row],[QUANTIDADE PLANEJADA]]</f>
        <v>-10</v>
      </c>
      <c r="O380" s="106" t="str">
        <f t="shared" si="11"/>
        <v>Faltando Comprar</v>
      </c>
    </row>
    <row r="381" spans="1:15" ht="47.25">
      <c r="A381" s="16" t="s">
        <v>17</v>
      </c>
      <c r="B381" s="16" t="s">
        <v>28</v>
      </c>
      <c r="C381" s="17" t="s">
        <v>19</v>
      </c>
      <c r="D381" s="18" t="s">
        <v>274</v>
      </c>
      <c r="E381" s="18">
        <v>5</v>
      </c>
      <c r="F381" s="18" t="s">
        <v>78</v>
      </c>
      <c r="G381" s="18" t="s">
        <v>22</v>
      </c>
      <c r="H381" s="18" t="s">
        <v>275</v>
      </c>
      <c r="I381" s="24">
        <v>97.9</v>
      </c>
      <c r="J381" s="20">
        <f t="shared" si="10"/>
        <v>489.5</v>
      </c>
      <c r="K381" s="106"/>
      <c r="L381" s="114"/>
      <c r="M381" s="114">
        <f>tblAquisições[[#This Row],[VALOR UNITARIO COMPRADO]]*tblAquisições[[#This Row],[QUANTIDADE COMPRADA]]</f>
        <v>0</v>
      </c>
      <c r="N381" s="110">
        <f>K381-tblAquisições[[#This Row],[QUANTIDADE PLANEJADA]]</f>
        <v>-5</v>
      </c>
      <c r="O381" s="106" t="str">
        <f t="shared" si="11"/>
        <v>Faltando Comprar</v>
      </c>
    </row>
    <row r="382" spans="1:15" ht="47.25">
      <c r="A382" s="16" t="s">
        <v>17</v>
      </c>
      <c r="B382" s="16" t="s">
        <v>31</v>
      </c>
      <c r="C382" s="17" t="s">
        <v>19</v>
      </c>
      <c r="D382" s="18" t="s">
        <v>276</v>
      </c>
      <c r="E382" s="18">
        <v>10</v>
      </c>
      <c r="F382" s="18" t="s">
        <v>78</v>
      </c>
      <c r="G382" s="18" t="s">
        <v>22</v>
      </c>
      <c r="H382" s="18" t="s">
        <v>23</v>
      </c>
      <c r="I382" s="19">
        <v>113.5</v>
      </c>
      <c r="J382" s="20">
        <f t="shared" si="10"/>
        <v>1135</v>
      </c>
      <c r="K382" s="106"/>
      <c r="L382" s="114"/>
      <c r="M382" s="114">
        <f>tblAquisições[[#This Row],[VALOR UNITARIO COMPRADO]]*tblAquisições[[#This Row],[QUANTIDADE COMPRADA]]</f>
        <v>0</v>
      </c>
      <c r="N382" s="110">
        <f>K382-tblAquisições[[#This Row],[QUANTIDADE PLANEJADA]]</f>
        <v>-10</v>
      </c>
      <c r="O382" s="106" t="str">
        <f t="shared" si="11"/>
        <v>Faltando Comprar</v>
      </c>
    </row>
    <row r="383" spans="1:15" ht="31.5">
      <c r="A383" s="16" t="s">
        <v>17</v>
      </c>
      <c r="B383" s="16" t="s">
        <v>18</v>
      </c>
      <c r="C383" s="17" t="s">
        <v>19</v>
      </c>
      <c r="D383" s="18" t="s">
        <v>277</v>
      </c>
      <c r="E383" s="18">
        <v>150</v>
      </c>
      <c r="F383" s="18" t="s">
        <v>30</v>
      </c>
      <c r="G383" s="18" t="s">
        <v>22</v>
      </c>
      <c r="H383" s="18" t="s">
        <v>23</v>
      </c>
      <c r="I383" s="19">
        <v>15.5</v>
      </c>
      <c r="J383" s="20">
        <f t="shared" si="10"/>
        <v>2325</v>
      </c>
      <c r="K383" s="106"/>
      <c r="L383" s="114"/>
      <c r="M383" s="114">
        <f>tblAquisições[[#This Row],[VALOR UNITARIO COMPRADO]]*tblAquisições[[#This Row],[QUANTIDADE COMPRADA]]</f>
        <v>0</v>
      </c>
      <c r="N383" s="110">
        <f>K383-tblAquisições[[#This Row],[QUANTIDADE PLANEJADA]]</f>
        <v>-150</v>
      </c>
      <c r="O383" s="106" t="str">
        <f t="shared" si="11"/>
        <v>Faltando Comprar</v>
      </c>
    </row>
    <row r="384" spans="1:15" ht="31.5">
      <c r="A384" s="16" t="s">
        <v>17</v>
      </c>
      <c r="B384" s="16" t="s">
        <v>24</v>
      </c>
      <c r="C384" s="17" t="s">
        <v>19</v>
      </c>
      <c r="D384" s="18" t="s">
        <v>277</v>
      </c>
      <c r="E384" s="18">
        <v>150</v>
      </c>
      <c r="F384" s="18" t="s">
        <v>30</v>
      </c>
      <c r="G384" s="18" t="s">
        <v>22</v>
      </c>
      <c r="H384" s="18" t="s">
        <v>23</v>
      </c>
      <c r="I384" s="19">
        <v>15.5</v>
      </c>
      <c r="J384" s="20">
        <f t="shared" si="10"/>
        <v>2325</v>
      </c>
      <c r="K384" s="106"/>
      <c r="L384" s="114"/>
      <c r="M384" s="114">
        <f>tblAquisições[[#This Row],[VALOR UNITARIO COMPRADO]]*tblAquisições[[#This Row],[QUANTIDADE COMPRADA]]</f>
        <v>0</v>
      </c>
      <c r="N384" s="110">
        <f>K384-tblAquisições[[#This Row],[QUANTIDADE PLANEJADA]]</f>
        <v>-150</v>
      </c>
      <c r="O384" s="106" t="str">
        <f t="shared" si="11"/>
        <v>Faltando Comprar</v>
      </c>
    </row>
    <row r="385" spans="1:15" ht="31.5">
      <c r="A385" s="16" t="s">
        <v>17</v>
      </c>
      <c r="B385" s="16" t="s">
        <v>25</v>
      </c>
      <c r="C385" s="17" t="s">
        <v>19</v>
      </c>
      <c r="D385" s="18" t="s">
        <v>277</v>
      </c>
      <c r="E385" s="18">
        <v>150</v>
      </c>
      <c r="F385" s="18" t="s">
        <v>30</v>
      </c>
      <c r="G385" s="18" t="s">
        <v>22</v>
      </c>
      <c r="H385" s="18" t="s">
        <v>23</v>
      </c>
      <c r="I385" s="19">
        <v>15.5</v>
      </c>
      <c r="J385" s="20">
        <f t="shared" si="10"/>
        <v>2325</v>
      </c>
      <c r="K385" s="106"/>
      <c r="L385" s="114"/>
      <c r="M385" s="114">
        <f>tblAquisições[[#This Row],[VALOR UNITARIO COMPRADO]]*tblAquisições[[#This Row],[QUANTIDADE COMPRADA]]</f>
        <v>0</v>
      </c>
      <c r="N385" s="110">
        <f>K385-tblAquisições[[#This Row],[QUANTIDADE PLANEJADA]]</f>
        <v>-150</v>
      </c>
      <c r="O385" s="106" t="str">
        <f t="shared" si="11"/>
        <v>Faltando Comprar</v>
      </c>
    </row>
    <row r="386" spans="1:15" ht="31.5">
      <c r="A386" s="16" t="s">
        <v>17</v>
      </c>
      <c r="B386" s="16" t="s">
        <v>27</v>
      </c>
      <c r="C386" s="17" t="s">
        <v>19</v>
      </c>
      <c r="D386" s="18" t="s">
        <v>277</v>
      </c>
      <c r="E386" s="18">
        <v>200</v>
      </c>
      <c r="F386" s="18" t="s">
        <v>30</v>
      </c>
      <c r="G386" s="18" t="s">
        <v>22</v>
      </c>
      <c r="H386" s="18" t="s">
        <v>23</v>
      </c>
      <c r="I386" s="19">
        <v>15.5</v>
      </c>
      <c r="J386" s="20">
        <f t="shared" ref="J386:J449" si="12">E386*I386</f>
        <v>3100</v>
      </c>
      <c r="K386" s="106"/>
      <c r="L386" s="114"/>
      <c r="M386" s="114">
        <f>tblAquisições[[#This Row],[VALOR UNITARIO COMPRADO]]*tblAquisições[[#This Row],[QUANTIDADE COMPRADA]]</f>
        <v>0</v>
      </c>
      <c r="N386" s="110">
        <f>K386-tblAquisições[[#This Row],[QUANTIDADE PLANEJADA]]</f>
        <v>-200</v>
      </c>
      <c r="O386" s="106" t="str">
        <f t="shared" ref="O386:O449" si="13">IF(K386=E386,"OK",IF(K386&lt;E386,"Faltando Comprar","Excedente"))</f>
        <v>Faltando Comprar</v>
      </c>
    </row>
    <row r="387" spans="1:15" ht="31.5">
      <c r="A387" s="16" t="s">
        <v>17</v>
      </c>
      <c r="B387" s="16" t="s">
        <v>18</v>
      </c>
      <c r="C387" s="17" t="s">
        <v>19</v>
      </c>
      <c r="D387" s="18" t="s">
        <v>278</v>
      </c>
      <c r="E387" s="18">
        <v>150</v>
      </c>
      <c r="F387" s="18" t="s">
        <v>30</v>
      </c>
      <c r="G387" s="18" t="s">
        <v>22</v>
      </c>
      <c r="H387" s="18" t="s">
        <v>23</v>
      </c>
      <c r="I387" s="19">
        <v>9.4</v>
      </c>
      <c r="J387" s="20">
        <f t="shared" si="12"/>
        <v>1410</v>
      </c>
      <c r="K387" s="106"/>
      <c r="L387" s="114"/>
      <c r="M387" s="114">
        <f>tblAquisições[[#This Row],[VALOR UNITARIO COMPRADO]]*tblAquisições[[#This Row],[QUANTIDADE COMPRADA]]</f>
        <v>0</v>
      </c>
      <c r="N387" s="110">
        <f>K387-tblAquisições[[#This Row],[QUANTIDADE PLANEJADA]]</f>
        <v>-150</v>
      </c>
      <c r="O387" s="106" t="str">
        <f t="shared" si="13"/>
        <v>Faltando Comprar</v>
      </c>
    </row>
    <row r="388" spans="1:15" ht="31.5">
      <c r="A388" s="16" t="s">
        <v>17</v>
      </c>
      <c r="B388" s="16" t="s">
        <v>24</v>
      </c>
      <c r="C388" s="17" t="s">
        <v>19</v>
      </c>
      <c r="D388" s="18" t="s">
        <v>278</v>
      </c>
      <c r="E388" s="18">
        <v>150</v>
      </c>
      <c r="F388" s="18" t="s">
        <v>30</v>
      </c>
      <c r="G388" s="18" t="s">
        <v>22</v>
      </c>
      <c r="H388" s="18" t="s">
        <v>23</v>
      </c>
      <c r="I388" s="19">
        <v>9.4</v>
      </c>
      <c r="J388" s="20">
        <f t="shared" si="12"/>
        <v>1410</v>
      </c>
      <c r="K388" s="106"/>
      <c r="L388" s="114"/>
      <c r="M388" s="114">
        <f>tblAquisições[[#This Row],[VALOR UNITARIO COMPRADO]]*tblAquisições[[#This Row],[QUANTIDADE COMPRADA]]</f>
        <v>0</v>
      </c>
      <c r="N388" s="110">
        <f>K388-tblAquisições[[#This Row],[QUANTIDADE PLANEJADA]]</f>
        <v>-150</v>
      </c>
      <c r="O388" s="106" t="str">
        <f t="shared" si="13"/>
        <v>Faltando Comprar</v>
      </c>
    </row>
    <row r="389" spans="1:15" ht="31.5">
      <c r="A389" s="16" t="s">
        <v>17</v>
      </c>
      <c r="B389" s="16" t="s">
        <v>25</v>
      </c>
      <c r="C389" s="17" t="s">
        <v>19</v>
      </c>
      <c r="D389" s="18" t="s">
        <v>278</v>
      </c>
      <c r="E389" s="18">
        <v>150</v>
      </c>
      <c r="F389" s="18" t="s">
        <v>30</v>
      </c>
      <c r="G389" s="18" t="s">
        <v>22</v>
      </c>
      <c r="H389" s="18" t="s">
        <v>23</v>
      </c>
      <c r="I389" s="19">
        <v>9.4</v>
      </c>
      <c r="J389" s="20">
        <f t="shared" si="12"/>
        <v>1410</v>
      </c>
      <c r="K389" s="106"/>
      <c r="L389" s="114"/>
      <c r="M389" s="114">
        <f>tblAquisições[[#This Row],[VALOR UNITARIO COMPRADO]]*tblAquisições[[#This Row],[QUANTIDADE COMPRADA]]</f>
        <v>0</v>
      </c>
      <c r="N389" s="110">
        <f>K389-tblAquisições[[#This Row],[QUANTIDADE PLANEJADA]]</f>
        <v>-150</v>
      </c>
      <c r="O389" s="106" t="str">
        <f t="shared" si="13"/>
        <v>Faltando Comprar</v>
      </c>
    </row>
    <row r="390" spans="1:15" ht="31.5">
      <c r="A390" s="16" t="s">
        <v>17</v>
      </c>
      <c r="B390" s="16" t="s">
        <v>27</v>
      </c>
      <c r="C390" s="17" t="s">
        <v>19</v>
      </c>
      <c r="D390" s="18" t="s">
        <v>278</v>
      </c>
      <c r="E390" s="18">
        <v>200</v>
      </c>
      <c r="F390" s="18" t="s">
        <v>30</v>
      </c>
      <c r="G390" s="18" t="s">
        <v>22</v>
      </c>
      <c r="H390" s="18" t="s">
        <v>23</v>
      </c>
      <c r="I390" s="19">
        <v>9.4</v>
      </c>
      <c r="J390" s="20">
        <f t="shared" si="12"/>
        <v>1880</v>
      </c>
      <c r="K390" s="106"/>
      <c r="L390" s="114"/>
      <c r="M390" s="114">
        <f>tblAquisições[[#This Row],[VALOR UNITARIO COMPRADO]]*tblAquisições[[#This Row],[QUANTIDADE COMPRADA]]</f>
        <v>0</v>
      </c>
      <c r="N390" s="110">
        <f>K390-tblAquisições[[#This Row],[QUANTIDADE PLANEJADA]]</f>
        <v>-200</v>
      </c>
      <c r="O390" s="106" t="str">
        <f t="shared" si="13"/>
        <v>Faltando Comprar</v>
      </c>
    </row>
    <row r="391" spans="1:15" ht="31.5">
      <c r="A391" s="16" t="s">
        <v>17</v>
      </c>
      <c r="B391" s="16" t="s">
        <v>26</v>
      </c>
      <c r="C391" s="17" t="s">
        <v>19</v>
      </c>
      <c r="D391" s="18" t="s">
        <v>279</v>
      </c>
      <c r="E391" s="18">
        <v>200</v>
      </c>
      <c r="F391" s="18" t="s">
        <v>21</v>
      </c>
      <c r="G391" s="18" t="s">
        <v>22</v>
      </c>
      <c r="H391" s="18" t="s">
        <v>23</v>
      </c>
      <c r="I391" s="19">
        <v>21.57</v>
      </c>
      <c r="J391" s="20">
        <f t="shared" si="12"/>
        <v>4314</v>
      </c>
      <c r="K391" s="106"/>
      <c r="L391" s="114"/>
      <c r="M391" s="114">
        <f>tblAquisições[[#This Row],[VALOR UNITARIO COMPRADO]]*tblAquisições[[#This Row],[QUANTIDADE COMPRADA]]</f>
        <v>0</v>
      </c>
      <c r="N391" s="110">
        <f>K391-tblAquisições[[#This Row],[QUANTIDADE PLANEJADA]]</f>
        <v>-200</v>
      </c>
      <c r="O391" s="106" t="str">
        <f t="shared" si="13"/>
        <v>Faltando Comprar</v>
      </c>
    </row>
    <row r="392" spans="1:15" ht="31.5">
      <c r="A392" s="16" t="s">
        <v>17</v>
      </c>
      <c r="B392" s="16" t="s">
        <v>26</v>
      </c>
      <c r="C392" s="17" t="s">
        <v>19</v>
      </c>
      <c r="D392" s="18" t="s">
        <v>280</v>
      </c>
      <c r="E392" s="18">
        <v>50</v>
      </c>
      <c r="F392" s="18" t="s">
        <v>21</v>
      </c>
      <c r="G392" s="18" t="s">
        <v>22</v>
      </c>
      <c r="H392" s="18" t="s">
        <v>23</v>
      </c>
      <c r="I392" s="19">
        <v>44.06</v>
      </c>
      <c r="J392" s="20">
        <f t="shared" si="12"/>
        <v>2203</v>
      </c>
      <c r="K392" s="106"/>
      <c r="L392" s="114"/>
      <c r="M392" s="114">
        <f>tblAquisições[[#This Row],[VALOR UNITARIO COMPRADO]]*tblAquisições[[#This Row],[QUANTIDADE COMPRADA]]</f>
        <v>0</v>
      </c>
      <c r="N392" s="110">
        <f>K392-tblAquisições[[#This Row],[QUANTIDADE PLANEJADA]]</f>
        <v>-50</v>
      </c>
      <c r="O392" s="106" t="str">
        <f t="shared" si="13"/>
        <v>Faltando Comprar</v>
      </c>
    </row>
    <row r="393" spans="1:15" ht="31.5">
      <c r="A393" s="16" t="s">
        <v>17</v>
      </c>
      <c r="B393" s="16" t="s">
        <v>17</v>
      </c>
      <c r="C393" s="17" t="s">
        <v>19</v>
      </c>
      <c r="D393" s="18" t="s">
        <v>281</v>
      </c>
      <c r="E393" s="18">
        <v>200</v>
      </c>
      <c r="F393" s="18" t="s">
        <v>38</v>
      </c>
      <c r="G393" s="18" t="s">
        <v>39</v>
      </c>
      <c r="H393" s="18" t="s">
        <v>23</v>
      </c>
      <c r="I393" s="19">
        <v>0.8</v>
      </c>
      <c r="J393" s="20">
        <f t="shared" si="12"/>
        <v>160</v>
      </c>
      <c r="K393" s="106"/>
      <c r="L393" s="114"/>
      <c r="M393" s="114">
        <f>tblAquisições[[#This Row],[VALOR UNITARIO COMPRADO]]*tblAquisições[[#This Row],[QUANTIDADE COMPRADA]]</f>
        <v>0</v>
      </c>
      <c r="N393" s="110">
        <f>K393-tblAquisições[[#This Row],[QUANTIDADE PLANEJADA]]</f>
        <v>-200</v>
      </c>
      <c r="O393" s="106" t="str">
        <f t="shared" si="13"/>
        <v>Faltando Comprar</v>
      </c>
    </row>
    <row r="394" spans="1:15" ht="31.5">
      <c r="A394" s="16" t="s">
        <v>17</v>
      </c>
      <c r="B394" s="16" t="s">
        <v>31</v>
      </c>
      <c r="C394" s="17" t="s">
        <v>19</v>
      </c>
      <c r="D394" s="18" t="s">
        <v>282</v>
      </c>
      <c r="E394" s="18">
        <v>120</v>
      </c>
      <c r="F394" s="18" t="s">
        <v>21</v>
      </c>
      <c r="G394" s="18" t="s">
        <v>22</v>
      </c>
      <c r="H394" s="18" t="s">
        <v>23</v>
      </c>
      <c r="I394" s="19">
        <v>0.8</v>
      </c>
      <c r="J394" s="20">
        <f t="shared" si="12"/>
        <v>96</v>
      </c>
      <c r="K394" s="106"/>
      <c r="L394" s="114"/>
      <c r="M394" s="114">
        <f>tblAquisições[[#This Row],[VALOR UNITARIO COMPRADO]]*tblAquisições[[#This Row],[QUANTIDADE COMPRADA]]</f>
        <v>0</v>
      </c>
      <c r="N394" s="110">
        <f>K394-tblAquisições[[#This Row],[QUANTIDADE PLANEJADA]]</f>
        <v>-120</v>
      </c>
      <c r="O394" s="106" t="str">
        <f t="shared" si="13"/>
        <v>Faltando Comprar</v>
      </c>
    </row>
    <row r="395" spans="1:15" ht="31.5">
      <c r="A395" s="16" t="s">
        <v>17</v>
      </c>
      <c r="B395" s="16" t="s">
        <v>41</v>
      </c>
      <c r="C395" s="17" t="s">
        <v>19</v>
      </c>
      <c r="D395" s="18" t="s">
        <v>282</v>
      </c>
      <c r="E395" s="18">
        <v>1000</v>
      </c>
      <c r="F395" s="18" t="s">
        <v>21</v>
      </c>
      <c r="G395" s="18" t="s">
        <v>22</v>
      </c>
      <c r="H395" s="18" t="s">
        <v>23</v>
      </c>
      <c r="I395" s="19">
        <v>0.8</v>
      </c>
      <c r="J395" s="20">
        <f t="shared" si="12"/>
        <v>800</v>
      </c>
      <c r="K395" s="106"/>
      <c r="L395" s="114"/>
      <c r="M395" s="114">
        <f>tblAquisições[[#This Row],[VALOR UNITARIO COMPRADO]]*tblAquisições[[#This Row],[QUANTIDADE COMPRADA]]</f>
        <v>0</v>
      </c>
      <c r="N395" s="110">
        <f>K395-tblAquisições[[#This Row],[QUANTIDADE PLANEJADA]]</f>
        <v>-1000</v>
      </c>
      <c r="O395" s="106" t="str">
        <f t="shared" si="13"/>
        <v>Faltando Comprar</v>
      </c>
    </row>
    <row r="396" spans="1:15" ht="31.5">
      <c r="A396" s="16" t="s">
        <v>17</v>
      </c>
      <c r="B396" s="16" t="s">
        <v>26</v>
      </c>
      <c r="C396" s="17" t="s">
        <v>19</v>
      </c>
      <c r="D396" s="18" t="s">
        <v>282</v>
      </c>
      <c r="E396" s="18">
        <v>200</v>
      </c>
      <c r="F396" s="18" t="s">
        <v>21</v>
      </c>
      <c r="G396" s="18" t="s">
        <v>22</v>
      </c>
      <c r="H396" s="18" t="s">
        <v>23</v>
      </c>
      <c r="I396" s="19">
        <v>0.8</v>
      </c>
      <c r="J396" s="20">
        <f t="shared" si="12"/>
        <v>160</v>
      </c>
      <c r="K396" s="106"/>
      <c r="L396" s="114"/>
      <c r="M396" s="114">
        <f>tblAquisições[[#This Row],[VALOR UNITARIO COMPRADO]]*tblAquisições[[#This Row],[QUANTIDADE COMPRADA]]</f>
        <v>0</v>
      </c>
      <c r="N396" s="110">
        <f>K396-tblAquisições[[#This Row],[QUANTIDADE PLANEJADA]]</f>
        <v>-200</v>
      </c>
      <c r="O396" s="106" t="str">
        <f t="shared" si="13"/>
        <v>Faltando Comprar</v>
      </c>
    </row>
    <row r="397" spans="1:15" ht="31.5">
      <c r="A397" s="16" t="s">
        <v>17</v>
      </c>
      <c r="B397" s="16" t="s">
        <v>28</v>
      </c>
      <c r="C397" s="17" t="s">
        <v>19</v>
      </c>
      <c r="D397" s="18" t="s">
        <v>282</v>
      </c>
      <c r="E397" s="18">
        <v>200</v>
      </c>
      <c r="F397" s="18" t="s">
        <v>21</v>
      </c>
      <c r="G397" s="18" t="s">
        <v>22</v>
      </c>
      <c r="H397" s="18" t="s">
        <v>23</v>
      </c>
      <c r="I397" s="19">
        <v>0.8</v>
      </c>
      <c r="J397" s="20">
        <f t="shared" si="12"/>
        <v>160</v>
      </c>
      <c r="K397" s="106"/>
      <c r="L397" s="114"/>
      <c r="M397" s="114">
        <f>tblAquisições[[#This Row],[VALOR UNITARIO COMPRADO]]*tblAquisições[[#This Row],[QUANTIDADE COMPRADA]]</f>
        <v>0</v>
      </c>
      <c r="N397" s="110">
        <f>K397-tblAquisições[[#This Row],[QUANTIDADE PLANEJADA]]</f>
        <v>-200</v>
      </c>
      <c r="O397" s="106" t="str">
        <f t="shared" si="13"/>
        <v>Faltando Comprar</v>
      </c>
    </row>
    <row r="398" spans="1:15" ht="31.5">
      <c r="A398" s="16" t="s">
        <v>17</v>
      </c>
      <c r="B398" s="16" t="s">
        <v>17</v>
      </c>
      <c r="C398" s="17" t="s">
        <v>19</v>
      </c>
      <c r="D398" s="18" t="s">
        <v>283</v>
      </c>
      <c r="E398" s="18">
        <v>2000</v>
      </c>
      <c r="F398" s="18" t="s">
        <v>38</v>
      </c>
      <c r="G398" s="18" t="s">
        <v>39</v>
      </c>
      <c r="H398" s="18" t="s">
        <v>23</v>
      </c>
      <c r="I398" s="19">
        <v>17.510000000000002</v>
      </c>
      <c r="J398" s="20">
        <f t="shared" si="12"/>
        <v>35020</v>
      </c>
      <c r="K398" s="106"/>
      <c r="L398" s="114"/>
      <c r="M398" s="114">
        <f>tblAquisições[[#This Row],[VALOR UNITARIO COMPRADO]]*tblAquisições[[#This Row],[QUANTIDADE COMPRADA]]</f>
        <v>0</v>
      </c>
      <c r="N398" s="110">
        <f>K398-tblAquisições[[#This Row],[QUANTIDADE PLANEJADA]]</f>
        <v>-2000</v>
      </c>
      <c r="O398" s="106" t="str">
        <f t="shared" si="13"/>
        <v>Faltando Comprar</v>
      </c>
    </row>
    <row r="399" spans="1:15" ht="31.5">
      <c r="A399" s="16" t="s">
        <v>17</v>
      </c>
      <c r="B399" s="16" t="s">
        <v>31</v>
      </c>
      <c r="C399" s="17" t="s">
        <v>19</v>
      </c>
      <c r="D399" s="18" t="s">
        <v>284</v>
      </c>
      <c r="E399" s="18">
        <v>120</v>
      </c>
      <c r="F399" s="18" t="s">
        <v>21</v>
      </c>
      <c r="G399" s="18" t="s">
        <v>22</v>
      </c>
      <c r="H399" s="18" t="s">
        <v>23</v>
      </c>
      <c r="I399" s="19">
        <v>17.510000000000002</v>
      </c>
      <c r="J399" s="20">
        <f t="shared" si="12"/>
        <v>2101.2000000000003</v>
      </c>
      <c r="K399" s="106"/>
      <c r="L399" s="114"/>
      <c r="M399" s="114">
        <f>tblAquisições[[#This Row],[VALOR UNITARIO COMPRADO]]*tblAquisições[[#This Row],[QUANTIDADE COMPRADA]]</f>
        <v>0</v>
      </c>
      <c r="N399" s="110">
        <f>K399-tblAquisições[[#This Row],[QUANTIDADE PLANEJADA]]</f>
        <v>-120</v>
      </c>
      <c r="O399" s="106" t="str">
        <f t="shared" si="13"/>
        <v>Faltando Comprar</v>
      </c>
    </row>
    <row r="400" spans="1:15" ht="31.5">
      <c r="A400" s="16" t="s">
        <v>17</v>
      </c>
      <c r="B400" s="16" t="s">
        <v>18</v>
      </c>
      <c r="C400" s="17" t="s">
        <v>19</v>
      </c>
      <c r="D400" s="18" t="s">
        <v>285</v>
      </c>
      <c r="E400" s="18">
        <v>50</v>
      </c>
      <c r="F400" s="18" t="s">
        <v>21</v>
      </c>
      <c r="G400" s="18" t="s">
        <v>22</v>
      </c>
      <c r="H400" s="18" t="s">
        <v>23</v>
      </c>
      <c r="I400" s="19">
        <v>365.56</v>
      </c>
      <c r="J400" s="20">
        <f t="shared" si="12"/>
        <v>18278</v>
      </c>
      <c r="K400" s="106"/>
      <c r="L400" s="114"/>
      <c r="M400" s="114">
        <f>tblAquisições[[#This Row],[VALOR UNITARIO COMPRADO]]*tblAquisições[[#This Row],[QUANTIDADE COMPRADA]]</f>
        <v>0</v>
      </c>
      <c r="N400" s="110">
        <f>K400-tblAquisições[[#This Row],[QUANTIDADE PLANEJADA]]</f>
        <v>-50</v>
      </c>
      <c r="O400" s="106" t="str">
        <f t="shared" si="13"/>
        <v>Faltando Comprar</v>
      </c>
    </row>
    <row r="401" spans="1:15" ht="31.5">
      <c r="A401" s="16" t="s">
        <v>17</v>
      </c>
      <c r="B401" s="16" t="s">
        <v>24</v>
      </c>
      <c r="C401" s="17" t="s">
        <v>19</v>
      </c>
      <c r="D401" s="18" t="s">
        <v>285</v>
      </c>
      <c r="E401" s="18">
        <v>50</v>
      </c>
      <c r="F401" s="18" t="s">
        <v>21</v>
      </c>
      <c r="G401" s="18" t="s">
        <v>22</v>
      </c>
      <c r="H401" s="18" t="s">
        <v>23</v>
      </c>
      <c r="I401" s="19">
        <v>365.56</v>
      </c>
      <c r="J401" s="20">
        <f t="shared" si="12"/>
        <v>18278</v>
      </c>
      <c r="K401" s="106"/>
      <c r="L401" s="114"/>
      <c r="M401" s="114">
        <f>tblAquisições[[#This Row],[VALOR UNITARIO COMPRADO]]*tblAquisições[[#This Row],[QUANTIDADE COMPRADA]]</f>
        <v>0</v>
      </c>
      <c r="N401" s="110">
        <f>K401-tblAquisições[[#This Row],[QUANTIDADE PLANEJADA]]</f>
        <v>-50</v>
      </c>
      <c r="O401" s="106" t="str">
        <f t="shared" si="13"/>
        <v>Faltando Comprar</v>
      </c>
    </row>
    <row r="402" spans="1:15" ht="31.5">
      <c r="A402" s="16" t="s">
        <v>17</v>
      </c>
      <c r="B402" s="16" t="s">
        <v>25</v>
      </c>
      <c r="C402" s="17" t="s">
        <v>19</v>
      </c>
      <c r="D402" s="18" t="s">
        <v>285</v>
      </c>
      <c r="E402" s="18">
        <v>50</v>
      </c>
      <c r="F402" s="18" t="s">
        <v>21</v>
      </c>
      <c r="G402" s="18" t="s">
        <v>22</v>
      </c>
      <c r="H402" s="18" t="s">
        <v>23</v>
      </c>
      <c r="I402" s="19">
        <v>365.56</v>
      </c>
      <c r="J402" s="20">
        <f t="shared" si="12"/>
        <v>18278</v>
      </c>
      <c r="K402" s="106"/>
      <c r="L402" s="114"/>
      <c r="M402" s="114">
        <f>tblAquisições[[#This Row],[VALOR UNITARIO COMPRADO]]*tblAquisições[[#This Row],[QUANTIDADE COMPRADA]]</f>
        <v>0</v>
      </c>
      <c r="N402" s="110">
        <f>K402-tblAquisições[[#This Row],[QUANTIDADE PLANEJADA]]</f>
        <v>-50</v>
      </c>
      <c r="O402" s="106" t="str">
        <f t="shared" si="13"/>
        <v>Faltando Comprar</v>
      </c>
    </row>
    <row r="403" spans="1:15" ht="31.5">
      <c r="A403" s="16" t="s">
        <v>17</v>
      </c>
      <c r="B403" s="16" t="s">
        <v>27</v>
      </c>
      <c r="C403" s="17" t="s">
        <v>19</v>
      </c>
      <c r="D403" s="18" t="s">
        <v>285</v>
      </c>
      <c r="E403" s="18">
        <v>20</v>
      </c>
      <c r="F403" s="18" t="s">
        <v>21</v>
      </c>
      <c r="G403" s="18" t="s">
        <v>22</v>
      </c>
      <c r="H403" s="18" t="s">
        <v>23</v>
      </c>
      <c r="I403" s="19">
        <v>365.56</v>
      </c>
      <c r="J403" s="20">
        <f t="shared" si="12"/>
        <v>7311.2</v>
      </c>
      <c r="K403" s="106"/>
      <c r="L403" s="114"/>
      <c r="M403" s="114">
        <f>tblAquisições[[#This Row],[VALOR UNITARIO COMPRADO]]*tblAquisições[[#This Row],[QUANTIDADE COMPRADA]]</f>
        <v>0</v>
      </c>
      <c r="N403" s="110">
        <f>K403-tblAquisições[[#This Row],[QUANTIDADE PLANEJADA]]</f>
        <v>-20</v>
      </c>
      <c r="O403" s="106" t="str">
        <f t="shared" si="13"/>
        <v>Faltando Comprar</v>
      </c>
    </row>
    <row r="404" spans="1:15" ht="31.5">
      <c r="A404" s="16" t="s">
        <v>17</v>
      </c>
      <c r="B404" s="16" t="s">
        <v>41</v>
      </c>
      <c r="C404" s="17" t="s">
        <v>19</v>
      </c>
      <c r="D404" s="18" t="s">
        <v>286</v>
      </c>
      <c r="E404" s="18">
        <v>10</v>
      </c>
      <c r="F404" s="18" t="s">
        <v>21</v>
      </c>
      <c r="G404" s="18" t="s">
        <v>22</v>
      </c>
      <c r="H404" s="18" t="s">
        <v>23</v>
      </c>
      <c r="I404" s="19">
        <v>770.62</v>
      </c>
      <c r="J404" s="20">
        <f t="shared" si="12"/>
        <v>7706.2</v>
      </c>
      <c r="K404" s="106"/>
      <c r="L404" s="114"/>
      <c r="M404" s="114">
        <f>tblAquisições[[#This Row],[VALOR UNITARIO COMPRADO]]*tblAquisições[[#This Row],[QUANTIDADE COMPRADA]]</f>
        <v>0</v>
      </c>
      <c r="N404" s="110">
        <f>K404-tblAquisições[[#This Row],[QUANTIDADE PLANEJADA]]</f>
        <v>-10</v>
      </c>
      <c r="O404" s="106" t="str">
        <f t="shared" si="13"/>
        <v>Faltando Comprar</v>
      </c>
    </row>
    <row r="405" spans="1:15" ht="31.5">
      <c r="A405" s="16" t="s">
        <v>17</v>
      </c>
      <c r="B405" s="16" t="s">
        <v>26</v>
      </c>
      <c r="C405" s="17" t="s">
        <v>19</v>
      </c>
      <c r="D405" s="18" t="s">
        <v>286</v>
      </c>
      <c r="E405" s="18">
        <v>8</v>
      </c>
      <c r="F405" s="18" t="s">
        <v>21</v>
      </c>
      <c r="G405" s="18" t="s">
        <v>22</v>
      </c>
      <c r="H405" s="18" t="s">
        <v>23</v>
      </c>
      <c r="I405" s="19">
        <v>770.62</v>
      </c>
      <c r="J405" s="20">
        <f t="shared" si="12"/>
        <v>6164.96</v>
      </c>
      <c r="K405" s="106"/>
      <c r="L405" s="114"/>
      <c r="M405" s="114">
        <f>tblAquisições[[#This Row],[VALOR UNITARIO COMPRADO]]*tblAquisições[[#This Row],[QUANTIDADE COMPRADA]]</f>
        <v>0</v>
      </c>
      <c r="N405" s="110">
        <f>K405-tblAquisições[[#This Row],[QUANTIDADE PLANEJADA]]</f>
        <v>-8</v>
      </c>
      <c r="O405" s="106" t="str">
        <f t="shared" si="13"/>
        <v>Faltando Comprar</v>
      </c>
    </row>
    <row r="406" spans="1:15" ht="31.5">
      <c r="A406" s="16" t="s">
        <v>17</v>
      </c>
      <c r="B406" s="16" t="s">
        <v>28</v>
      </c>
      <c r="C406" s="17" t="s">
        <v>19</v>
      </c>
      <c r="D406" s="18" t="s">
        <v>286</v>
      </c>
      <c r="E406" s="18">
        <v>10</v>
      </c>
      <c r="F406" s="18" t="s">
        <v>21</v>
      </c>
      <c r="G406" s="18" t="s">
        <v>22</v>
      </c>
      <c r="H406" s="18" t="s">
        <v>23</v>
      </c>
      <c r="I406" s="19">
        <v>770.62</v>
      </c>
      <c r="J406" s="20">
        <f t="shared" si="12"/>
        <v>7706.2</v>
      </c>
      <c r="K406" s="106"/>
      <c r="L406" s="114"/>
      <c r="M406" s="114">
        <f>tblAquisições[[#This Row],[VALOR UNITARIO COMPRADO]]*tblAquisições[[#This Row],[QUANTIDADE COMPRADA]]</f>
        <v>0</v>
      </c>
      <c r="N406" s="110">
        <f>K406-tblAquisições[[#This Row],[QUANTIDADE PLANEJADA]]</f>
        <v>-10</v>
      </c>
      <c r="O406" s="106" t="str">
        <f t="shared" si="13"/>
        <v>Faltando Comprar</v>
      </c>
    </row>
    <row r="407" spans="1:15" ht="31.5">
      <c r="A407" s="16" t="s">
        <v>17</v>
      </c>
      <c r="B407" s="16" t="s">
        <v>18</v>
      </c>
      <c r="C407" s="17" t="s">
        <v>19</v>
      </c>
      <c r="D407" s="18" t="s">
        <v>287</v>
      </c>
      <c r="E407" s="18">
        <v>50</v>
      </c>
      <c r="F407" s="18" t="s">
        <v>21</v>
      </c>
      <c r="G407" s="18" t="s">
        <v>22</v>
      </c>
      <c r="H407" s="18" t="s">
        <v>23</v>
      </c>
      <c r="I407" s="19">
        <v>246.15</v>
      </c>
      <c r="J407" s="20">
        <f t="shared" si="12"/>
        <v>12307.5</v>
      </c>
      <c r="K407" s="106"/>
      <c r="L407" s="114"/>
      <c r="M407" s="114">
        <f>tblAquisições[[#This Row],[VALOR UNITARIO COMPRADO]]*tblAquisições[[#This Row],[QUANTIDADE COMPRADA]]</f>
        <v>0</v>
      </c>
      <c r="N407" s="110">
        <f>K407-tblAquisições[[#This Row],[QUANTIDADE PLANEJADA]]</f>
        <v>-50</v>
      </c>
      <c r="O407" s="106" t="str">
        <f t="shared" si="13"/>
        <v>Faltando Comprar</v>
      </c>
    </row>
    <row r="408" spans="1:15" ht="31.5">
      <c r="A408" s="16" t="s">
        <v>17</v>
      </c>
      <c r="B408" s="16" t="s">
        <v>24</v>
      </c>
      <c r="C408" s="17" t="s">
        <v>19</v>
      </c>
      <c r="D408" s="18" t="s">
        <v>287</v>
      </c>
      <c r="E408" s="18">
        <v>50</v>
      </c>
      <c r="F408" s="18" t="s">
        <v>21</v>
      </c>
      <c r="G408" s="18" t="s">
        <v>22</v>
      </c>
      <c r="H408" s="18" t="s">
        <v>23</v>
      </c>
      <c r="I408" s="19">
        <v>246.15</v>
      </c>
      <c r="J408" s="20">
        <f t="shared" si="12"/>
        <v>12307.5</v>
      </c>
      <c r="K408" s="106"/>
      <c r="L408" s="114"/>
      <c r="M408" s="114">
        <f>tblAquisições[[#This Row],[VALOR UNITARIO COMPRADO]]*tblAquisições[[#This Row],[QUANTIDADE COMPRADA]]</f>
        <v>0</v>
      </c>
      <c r="N408" s="110">
        <f>K408-tblAquisições[[#This Row],[QUANTIDADE PLANEJADA]]</f>
        <v>-50</v>
      </c>
      <c r="O408" s="106" t="str">
        <f t="shared" si="13"/>
        <v>Faltando Comprar</v>
      </c>
    </row>
    <row r="409" spans="1:15" ht="31.5">
      <c r="A409" s="16" t="s">
        <v>17</v>
      </c>
      <c r="B409" s="16" t="s">
        <v>25</v>
      </c>
      <c r="C409" s="17" t="s">
        <v>19</v>
      </c>
      <c r="D409" s="18" t="s">
        <v>287</v>
      </c>
      <c r="E409" s="18">
        <v>50</v>
      </c>
      <c r="F409" s="18" t="s">
        <v>21</v>
      </c>
      <c r="G409" s="18" t="s">
        <v>22</v>
      </c>
      <c r="H409" s="18" t="s">
        <v>23</v>
      </c>
      <c r="I409" s="19">
        <v>246.15</v>
      </c>
      <c r="J409" s="20">
        <f t="shared" si="12"/>
        <v>12307.5</v>
      </c>
      <c r="K409" s="106"/>
      <c r="L409" s="114"/>
      <c r="M409" s="114">
        <f>tblAquisições[[#This Row],[VALOR UNITARIO COMPRADO]]*tblAquisições[[#This Row],[QUANTIDADE COMPRADA]]</f>
        <v>0</v>
      </c>
      <c r="N409" s="110">
        <f>K409-tblAquisições[[#This Row],[QUANTIDADE PLANEJADA]]</f>
        <v>-50</v>
      </c>
      <c r="O409" s="106" t="str">
        <f t="shared" si="13"/>
        <v>Faltando Comprar</v>
      </c>
    </row>
    <row r="410" spans="1:15" ht="31.5">
      <c r="A410" s="16" t="s">
        <v>17</v>
      </c>
      <c r="B410" s="16" t="s">
        <v>27</v>
      </c>
      <c r="C410" s="17" t="s">
        <v>19</v>
      </c>
      <c r="D410" s="18" t="s">
        <v>287</v>
      </c>
      <c r="E410" s="18">
        <v>20</v>
      </c>
      <c r="F410" s="18" t="s">
        <v>21</v>
      </c>
      <c r="G410" s="18" t="s">
        <v>22</v>
      </c>
      <c r="H410" s="18" t="s">
        <v>23</v>
      </c>
      <c r="I410" s="19">
        <v>246.15</v>
      </c>
      <c r="J410" s="20">
        <f t="shared" si="12"/>
        <v>4923</v>
      </c>
      <c r="K410" s="106"/>
      <c r="L410" s="114"/>
      <c r="M410" s="114">
        <f>tblAquisições[[#This Row],[VALOR UNITARIO COMPRADO]]*tblAquisições[[#This Row],[QUANTIDADE COMPRADA]]</f>
        <v>0</v>
      </c>
      <c r="N410" s="110">
        <f>K410-tblAquisições[[#This Row],[QUANTIDADE PLANEJADA]]</f>
        <v>-20</v>
      </c>
      <c r="O410" s="106" t="str">
        <f t="shared" si="13"/>
        <v>Faltando Comprar</v>
      </c>
    </row>
    <row r="411" spans="1:15" ht="31.5">
      <c r="A411" s="16" t="s">
        <v>17</v>
      </c>
      <c r="B411" s="16" t="s">
        <v>28</v>
      </c>
      <c r="C411" s="17" t="s">
        <v>19</v>
      </c>
      <c r="D411" s="18" t="s">
        <v>287</v>
      </c>
      <c r="E411" s="18">
        <v>30</v>
      </c>
      <c r="F411" s="18" t="s">
        <v>21</v>
      </c>
      <c r="G411" s="18" t="s">
        <v>22</v>
      </c>
      <c r="H411" s="18" t="s">
        <v>23</v>
      </c>
      <c r="I411" s="19">
        <v>246.15</v>
      </c>
      <c r="J411" s="20">
        <f t="shared" si="12"/>
        <v>7384.5</v>
      </c>
      <c r="K411" s="106"/>
      <c r="L411" s="114"/>
      <c r="M411" s="114">
        <f>tblAquisições[[#This Row],[VALOR UNITARIO COMPRADO]]*tblAquisições[[#This Row],[QUANTIDADE COMPRADA]]</f>
        <v>0</v>
      </c>
      <c r="N411" s="110">
        <f>K411-tblAquisições[[#This Row],[QUANTIDADE PLANEJADA]]</f>
        <v>-30</v>
      </c>
      <c r="O411" s="106" t="str">
        <f t="shared" si="13"/>
        <v>Faltando Comprar</v>
      </c>
    </row>
    <row r="412" spans="1:15" ht="31.5">
      <c r="A412" s="16" t="s">
        <v>17</v>
      </c>
      <c r="B412" s="16" t="s">
        <v>26</v>
      </c>
      <c r="C412" s="17" t="s">
        <v>19</v>
      </c>
      <c r="D412" s="18" t="s">
        <v>288</v>
      </c>
      <c r="E412" s="18">
        <v>30</v>
      </c>
      <c r="F412" s="18" t="s">
        <v>21</v>
      </c>
      <c r="G412" s="18" t="s">
        <v>22</v>
      </c>
      <c r="H412" s="18" t="s">
        <v>23</v>
      </c>
      <c r="I412" s="19">
        <v>25.47</v>
      </c>
      <c r="J412" s="20">
        <f t="shared" si="12"/>
        <v>764.09999999999991</v>
      </c>
      <c r="K412" s="106"/>
      <c r="L412" s="114"/>
      <c r="M412" s="114">
        <f>tblAquisições[[#This Row],[VALOR UNITARIO COMPRADO]]*tblAquisições[[#This Row],[QUANTIDADE COMPRADA]]</f>
        <v>0</v>
      </c>
      <c r="N412" s="110">
        <f>K412-tblAquisições[[#This Row],[QUANTIDADE PLANEJADA]]</f>
        <v>-30</v>
      </c>
      <c r="O412" s="106" t="str">
        <f t="shared" si="13"/>
        <v>Faltando Comprar</v>
      </c>
    </row>
    <row r="413" spans="1:15" ht="31.5">
      <c r="A413" s="16" t="s">
        <v>17</v>
      </c>
      <c r="B413" s="16" t="s">
        <v>28</v>
      </c>
      <c r="C413" s="17" t="s">
        <v>19</v>
      </c>
      <c r="D413" s="18" t="s">
        <v>288</v>
      </c>
      <c r="E413" s="18">
        <v>30</v>
      </c>
      <c r="F413" s="18" t="s">
        <v>21</v>
      </c>
      <c r="G413" s="18" t="s">
        <v>22</v>
      </c>
      <c r="H413" s="18" t="s">
        <v>23</v>
      </c>
      <c r="I413" s="19">
        <v>25.47</v>
      </c>
      <c r="J413" s="20">
        <f t="shared" si="12"/>
        <v>764.09999999999991</v>
      </c>
      <c r="K413" s="106"/>
      <c r="L413" s="114"/>
      <c r="M413" s="114">
        <f>tblAquisições[[#This Row],[VALOR UNITARIO COMPRADO]]*tblAquisições[[#This Row],[QUANTIDADE COMPRADA]]</f>
        <v>0</v>
      </c>
      <c r="N413" s="110">
        <f>K413-tblAquisições[[#This Row],[QUANTIDADE PLANEJADA]]</f>
        <v>-30</v>
      </c>
      <c r="O413" s="106" t="str">
        <f t="shared" si="13"/>
        <v>Faltando Comprar</v>
      </c>
    </row>
    <row r="414" spans="1:15" ht="31.5">
      <c r="A414" s="16" t="s">
        <v>17</v>
      </c>
      <c r="B414" s="16" t="s">
        <v>31</v>
      </c>
      <c r="C414" s="17" t="s">
        <v>19</v>
      </c>
      <c r="D414" s="18" t="s">
        <v>289</v>
      </c>
      <c r="E414" s="18">
        <v>90</v>
      </c>
      <c r="F414" s="18" t="s">
        <v>21</v>
      </c>
      <c r="G414" s="18" t="s">
        <v>22</v>
      </c>
      <c r="H414" s="18" t="s">
        <v>23</v>
      </c>
      <c r="I414" s="19">
        <v>93.66</v>
      </c>
      <c r="J414" s="20">
        <f t="shared" si="12"/>
        <v>8429.4</v>
      </c>
      <c r="K414" s="106"/>
      <c r="L414" s="114"/>
      <c r="M414" s="114">
        <f>tblAquisições[[#This Row],[VALOR UNITARIO COMPRADO]]*tblAquisições[[#This Row],[QUANTIDADE COMPRADA]]</f>
        <v>0</v>
      </c>
      <c r="N414" s="110">
        <f>K414-tblAquisições[[#This Row],[QUANTIDADE PLANEJADA]]</f>
        <v>-90</v>
      </c>
      <c r="O414" s="106" t="str">
        <f t="shared" si="13"/>
        <v>Faltando Comprar</v>
      </c>
    </row>
    <row r="415" spans="1:15" ht="31.5">
      <c r="A415" s="16" t="s">
        <v>17</v>
      </c>
      <c r="B415" s="16" t="s">
        <v>26</v>
      </c>
      <c r="C415" s="17" t="s">
        <v>19</v>
      </c>
      <c r="D415" s="18" t="s">
        <v>290</v>
      </c>
      <c r="E415" s="18">
        <v>500</v>
      </c>
      <c r="F415" s="18" t="s">
        <v>21</v>
      </c>
      <c r="G415" s="18" t="s">
        <v>22</v>
      </c>
      <c r="H415" s="18" t="s">
        <v>23</v>
      </c>
      <c r="I415" s="19">
        <v>36.33</v>
      </c>
      <c r="J415" s="20">
        <f t="shared" si="12"/>
        <v>18165</v>
      </c>
      <c r="K415" s="106"/>
      <c r="L415" s="114"/>
      <c r="M415" s="114">
        <f>tblAquisições[[#This Row],[VALOR UNITARIO COMPRADO]]*tblAquisições[[#This Row],[QUANTIDADE COMPRADA]]</f>
        <v>0</v>
      </c>
      <c r="N415" s="110">
        <f>K415-tblAquisições[[#This Row],[QUANTIDADE PLANEJADA]]</f>
        <v>-500</v>
      </c>
      <c r="O415" s="106" t="str">
        <f t="shared" si="13"/>
        <v>Faltando Comprar</v>
      </c>
    </row>
    <row r="416" spans="1:15" ht="47.25">
      <c r="A416" s="16" t="s">
        <v>17</v>
      </c>
      <c r="B416" s="16" t="s">
        <v>18</v>
      </c>
      <c r="C416" s="17" t="s">
        <v>19</v>
      </c>
      <c r="D416" s="18" t="s">
        <v>291</v>
      </c>
      <c r="E416" s="18">
        <v>10</v>
      </c>
      <c r="F416" s="18" t="s">
        <v>78</v>
      </c>
      <c r="G416" s="18" t="s">
        <v>22</v>
      </c>
      <c r="H416" s="18" t="s">
        <v>23</v>
      </c>
      <c r="I416" s="19">
        <v>24.08</v>
      </c>
      <c r="J416" s="20">
        <f t="shared" si="12"/>
        <v>240.79999999999998</v>
      </c>
      <c r="K416" s="106"/>
      <c r="L416" s="114"/>
      <c r="M416" s="114">
        <f>tblAquisições[[#This Row],[VALOR UNITARIO COMPRADO]]*tblAquisições[[#This Row],[QUANTIDADE COMPRADA]]</f>
        <v>0</v>
      </c>
      <c r="N416" s="110">
        <f>K416-tblAquisições[[#This Row],[QUANTIDADE PLANEJADA]]</f>
        <v>-10</v>
      </c>
      <c r="O416" s="106" t="str">
        <f t="shared" si="13"/>
        <v>Faltando Comprar</v>
      </c>
    </row>
    <row r="417" spans="1:15" ht="47.25">
      <c r="A417" s="16" t="s">
        <v>17</v>
      </c>
      <c r="B417" s="16" t="s">
        <v>24</v>
      </c>
      <c r="C417" s="17" t="s">
        <v>19</v>
      </c>
      <c r="D417" s="18" t="s">
        <v>291</v>
      </c>
      <c r="E417" s="18">
        <v>10</v>
      </c>
      <c r="F417" s="18" t="s">
        <v>78</v>
      </c>
      <c r="G417" s="18" t="s">
        <v>22</v>
      </c>
      <c r="H417" s="18" t="s">
        <v>23</v>
      </c>
      <c r="I417" s="19">
        <v>24.08</v>
      </c>
      <c r="J417" s="20">
        <f t="shared" si="12"/>
        <v>240.79999999999998</v>
      </c>
      <c r="K417" s="106"/>
      <c r="L417" s="114"/>
      <c r="M417" s="114">
        <f>tblAquisições[[#This Row],[VALOR UNITARIO COMPRADO]]*tblAquisições[[#This Row],[QUANTIDADE COMPRADA]]</f>
        <v>0</v>
      </c>
      <c r="N417" s="110">
        <f>K417-tblAquisições[[#This Row],[QUANTIDADE PLANEJADA]]</f>
        <v>-10</v>
      </c>
      <c r="O417" s="106" t="str">
        <f t="shared" si="13"/>
        <v>Faltando Comprar</v>
      </c>
    </row>
    <row r="418" spans="1:15" ht="47.25">
      <c r="A418" s="16" t="s">
        <v>17</v>
      </c>
      <c r="B418" s="16" t="s">
        <v>25</v>
      </c>
      <c r="C418" s="17" t="s">
        <v>19</v>
      </c>
      <c r="D418" s="18" t="s">
        <v>291</v>
      </c>
      <c r="E418" s="18">
        <v>10</v>
      </c>
      <c r="F418" s="18" t="s">
        <v>78</v>
      </c>
      <c r="G418" s="18" t="s">
        <v>22</v>
      </c>
      <c r="H418" s="18" t="s">
        <v>23</v>
      </c>
      <c r="I418" s="19">
        <v>24.08</v>
      </c>
      <c r="J418" s="20">
        <f t="shared" si="12"/>
        <v>240.79999999999998</v>
      </c>
      <c r="K418" s="106"/>
      <c r="L418" s="114"/>
      <c r="M418" s="114">
        <f>tblAquisições[[#This Row],[VALOR UNITARIO COMPRADO]]*tblAquisições[[#This Row],[QUANTIDADE COMPRADA]]</f>
        <v>0</v>
      </c>
      <c r="N418" s="110">
        <f>K418-tblAquisições[[#This Row],[QUANTIDADE PLANEJADA]]</f>
        <v>-10</v>
      </c>
      <c r="O418" s="106" t="str">
        <f t="shared" si="13"/>
        <v>Faltando Comprar</v>
      </c>
    </row>
    <row r="419" spans="1:15" ht="47.25">
      <c r="A419" s="16" t="s">
        <v>17</v>
      </c>
      <c r="B419" s="16" t="s">
        <v>80</v>
      </c>
      <c r="C419" s="17" t="s">
        <v>19</v>
      </c>
      <c r="D419" s="18" t="s">
        <v>292</v>
      </c>
      <c r="E419" s="18">
        <v>1</v>
      </c>
      <c r="F419" s="18" t="s">
        <v>147</v>
      </c>
      <c r="G419" s="18" t="s">
        <v>39</v>
      </c>
      <c r="H419" s="18" t="s">
        <v>23</v>
      </c>
      <c r="I419" s="19">
        <v>176.3</v>
      </c>
      <c r="J419" s="20">
        <f t="shared" si="12"/>
        <v>176.3</v>
      </c>
      <c r="K419" s="106"/>
      <c r="L419" s="114"/>
      <c r="M419" s="114">
        <f>tblAquisições[[#This Row],[VALOR UNITARIO COMPRADO]]*tblAquisições[[#This Row],[QUANTIDADE COMPRADA]]</f>
        <v>0</v>
      </c>
      <c r="N419" s="110">
        <f>K419-tblAquisições[[#This Row],[QUANTIDADE PLANEJADA]]</f>
        <v>-1</v>
      </c>
      <c r="O419" s="106" t="str">
        <f t="shared" si="13"/>
        <v>Faltando Comprar</v>
      </c>
    </row>
    <row r="420" spans="1:15" ht="47.25">
      <c r="A420" s="16" t="s">
        <v>17</v>
      </c>
      <c r="B420" s="16" t="s">
        <v>34</v>
      </c>
      <c r="C420" s="17" t="s">
        <v>19</v>
      </c>
      <c r="D420" s="18" t="s">
        <v>293</v>
      </c>
      <c r="E420" s="18">
        <v>1</v>
      </c>
      <c r="F420" s="18" t="s">
        <v>78</v>
      </c>
      <c r="G420" s="18" t="s">
        <v>22</v>
      </c>
      <c r="H420" s="18" t="s">
        <v>23</v>
      </c>
      <c r="I420" s="19">
        <v>176.3</v>
      </c>
      <c r="J420" s="20">
        <f t="shared" si="12"/>
        <v>176.3</v>
      </c>
      <c r="K420" s="106"/>
      <c r="L420" s="114"/>
      <c r="M420" s="114">
        <f>tblAquisições[[#This Row],[VALOR UNITARIO COMPRADO]]*tblAquisições[[#This Row],[QUANTIDADE COMPRADA]]</f>
        <v>0</v>
      </c>
      <c r="N420" s="110">
        <f>K420-tblAquisições[[#This Row],[QUANTIDADE PLANEJADA]]</f>
        <v>-1</v>
      </c>
      <c r="O420" s="106" t="str">
        <f t="shared" si="13"/>
        <v>Faltando Comprar</v>
      </c>
    </row>
    <row r="421" spans="1:15" ht="47.25">
      <c r="A421" s="16" t="s">
        <v>17</v>
      </c>
      <c r="B421" s="16" t="s">
        <v>18</v>
      </c>
      <c r="C421" s="17" t="s">
        <v>19</v>
      </c>
      <c r="D421" s="18" t="s">
        <v>293</v>
      </c>
      <c r="E421" s="18">
        <v>10</v>
      </c>
      <c r="F421" s="18" t="s">
        <v>78</v>
      </c>
      <c r="G421" s="18" t="s">
        <v>22</v>
      </c>
      <c r="H421" s="18" t="s">
        <v>23</v>
      </c>
      <c r="I421" s="19">
        <v>176.3</v>
      </c>
      <c r="J421" s="20">
        <f t="shared" si="12"/>
        <v>1763</v>
      </c>
      <c r="K421" s="106"/>
      <c r="L421" s="114"/>
      <c r="M421" s="114">
        <f>tblAquisições[[#This Row],[VALOR UNITARIO COMPRADO]]*tblAquisições[[#This Row],[QUANTIDADE COMPRADA]]</f>
        <v>0</v>
      </c>
      <c r="N421" s="110">
        <f>K421-tblAquisições[[#This Row],[QUANTIDADE PLANEJADA]]</f>
        <v>-10</v>
      </c>
      <c r="O421" s="106" t="str">
        <f t="shared" si="13"/>
        <v>Faltando Comprar</v>
      </c>
    </row>
    <row r="422" spans="1:15" ht="47.25">
      <c r="A422" s="16" t="s">
        <v>17</v>
      </c>
      <c r="B422" s="16" t="s">
        <v>24</v>
      </c>
      <c r="C422" s="17" t="s">
        <v>19</v>
      </c>
      <c r="D422" s="18" t="s">
        <v>293</v>
      </c>
      <c r="E422" s="18">
        <v>10</v>
      </c>
      <c r="F422" s="18" t="s">
        <v>78</v>
      </c>
      <c r="G422" s="18" t="s">
        <v>22</v>
      </c>
      <c r="H422" s="18" t="s">
        <v>23</v>
      </c>
      <c r="I422" s="19">
        <v>176.3</v>
      </c>
      <c r="J422" s="20">
        <f t="shared" si="12"/>
        <v>1763</v>
      </c>
      <c r="K422" s="106"/>
      <c r="L422" s="114"/>
      <c r="M422" s="114">
        <f>tblAquisições[[#This Row],[VALOR UNITARIO COMPRADO]]*tblAquisições[[#This Row],[QUANTIDADE COMPRADA]]</f>
        <v>0</v>
      </c>
      <c r="N422" s="110">
        <f>K422-tblAquisições[[#This Row],[QUANTIDADE PLANEJADA]]</f>
        <v>-10</v>
      </c>
      <c r="O422" s="106" t="str">
        <f t="shared" si="13"/>
        <v>Faltando Comprar</v>
      </c>
    </row>
    <row r="423" spans="1:15" ht="47.25">
      <c r="A423" s="16" t="s">
        <v>17</v>
      </c>
      <c r="B423" s="16" t="s">
        <v>25</v>
      </c>
      <c r="C423" s="17" t="s">
        <v>19</v>
      </c>
      <c r="D423" s="18" t="s">
        <v>293</v>
      </c>
      <c r="E423" s="18">
        <v>10</v>
      </c>
      <c r="F423" s="18" t="s">
        <v>78</v>
      </c>
      <c r="G423" s="18" t="s">
        <v>22</v>
      </c>
      <c r="H423" s="18" t="s">
        <v>23</v>
      </c>
      <c r="I423" s="19">
        <v>176.3</v>
      </c>
      <c r="J423" s="20">
        <f t="shared" si="12"/>
        <v>1763</v>
      </c>
      <c r="K423" s="106"/>
      <c r="L423" s="114"/>
      <c r="M423" s="114">
        <f>tblAquisições[[#This Row],[VALOR UNITARIO COMPRADO]]*tblAquisições[[#This Row],[QUANTIDADE COMPRADA]]</f>
        <v>0</v>
      </c>
      <c r="N423" s="110">
        <f>K423-tblAquisições[[#This Row],[QUANTIDADE PLANEJADA]]</f>
        <v>-10</v>
      </c>
      <c r="O423" s="106" t="str">
        <f t="shared" si="13"/>
        <v>Faltando Comprar</v>
      </c>
    </row>
    <row r="424" spans="1:15" ht="47.25">
      <c r="A424" s="16" t="s">
        <v>17</v>
      </c>
      <c r="B424" s="16" t="s">
        <v>27</v>
      </c>
      <c r="C424" s="17" t="s">
        <v>19</v>
      </c>
      <c r="D424" s="18" t="s">
        <v>293</v>
      </c>
      <c r="E424" s="18">
        <v>5</v>
      </c>
      <c r="F424" s="18" t="s">
        <v>78</v>
      </c>
      <c r="G424" s="18" t="s">
        <v>22</v>
      </c>
      <c r="H424" s="18" t="s">
        <v>23</v>
      </c>
      <c r="I424" s="19">
        <v>176.3</v>
      </c>
      <c r="J424" s="20">
        <f t="shared" si="12"/>
        <v>881.5</v>
      </c>
      <c r="K424" s="106"/>
      <c r="L424" s="114"/>
      <c r="M424" s="114">
        <f>tblAquisições[[#This Row],[VALOR UNITARIO COMPRADO]]*tblAquisições[[#This Row],[QUANTIDADE COMPRADA]]</f>
        <v>0</v>
      </c>
      <c r="N424" s="110">
        <f>K424-tblAquisições[[#This Row],[QUANTIDADE PLANEJADA]]</f>
        <v>-5</v>
      </c>
      <c r="O424" s="106" t="str">
        <f t="shared" si="13"/>
        <v>Faltando Comprar</v>
      </c>
    </row>
    <row r="425" spans="1:15" ht="47.25">
      <c r="A425" s="16" t="s">
        <v>17</v>
      </c>
      <c r="B425" s="16" t="s">
        <v>28</v>
      </c>
      <c r="C425" s="17" t="s">
        <v>19</v>
      </c>
      <c r="D425" s="18" t="s">
        <v>293</v>
      </c>
      <c r="E425" s="18">
        <v>8</v>
      </c>
      <c r="F425" s="18" t="s">
        <v>78</v>
      </c>
      <c r="G425" s="18" t="s">
        <v>22</v>
      </c>
      <c r="H425" s="18" t="s">
        <v>23</v>
      </c>
      <c r="I425" s="19">
        <v>176.3</v>
      </c>
      <c r="J425" s="20">
        <f t="shared" si="12"/>
        <v>1410.4</v>
      </c>
      <c r="K425" s="106"/>
      <c r="L425" s="114"/>
      <c r="M425" s="114">
        <f>tblAquisições[[#This Row],[VALOR UNITARIO COMPRADO]]*tblAquisições[[#This Row],[QUANTIDADE COMPRADA]]</f>
        <v>0</v>
      </c>
      <c r="N425" s="110">
        <f>K425-tblAquisições[[#This Row],[QUANTIDADE PLANEJADA]]</f>
        <v>-8</v>
      </c>
      <c r="O425" s="106" t="str">
        <f t="shared" si="13"/>
        <v>Faltando Comprar</v>
      </c>
    </row>
    <row r="426" spans="1:15" ht="47.25">
      <c r="A426" s="16" t="s">
        <v>17</v>
      </c>
      <c r="B426" s="16" t="s">
        <v>34</v>
      </c>
      <c r="C426" s="17" t="s">
        <v>19</v>
      </c>
      <c r="D426" s="18" t="s">
        <v>294</v>
      </c>
      <c r="E426" s="18">
        <v>10</v>
      </c>
      <c r="F426" s="18" t="s">
        <v>131</v>
      </c>
      <c r="G426" s="18" t="s">
        <v>22</v>
      </c>
      <c r="H426" s="18" t="s">
        <v>23</v>
      </c>
      <c r="I426" s="19">
        <v>35.83</v>
      </c>
      <c r="J426" s="20">
        <f t="shared" si="12"/>
        <v>358.29999999999995</v>
      </c>
      <c r="K426" s="106"/>
      <c r="L426" s="114"/>
      <c r="M426" s="114">
        <f>tblAquisições[[#This Row],[VALOR UNITARIO COMPRADO]]*tblAquisições[[#This Row],[QUANTIDADE COMPRADA]]</f>
        <v>0</v>
      </c>
      <c r="N426" s="110">
        <f>K426-tblAquisições[[#This Row],[QUANTIDADE PLANEJADA]]</f>
        <v>-10</v>
      </c>
      <c r="O426" s="106" t="str">
        <f t="shared" si="13"/>
        <v>Faltando Comprar</v>
      </c>
    </row>
    <row r="427" spans="1:15" ht="47.25">
      <c r="A427" s="16" t="s">
        <v>17</v>
      </c>
      <c r="B427" s="16" t="s">
        <v>18</v>
      </c>
      <c r="C427" s="17" t="s">
        <v>19</v>
      </c>
      <c r="D427" s="18" t="s">
        <v>294</v>
      </c>
      <c r="E427" s="18">
        <v>5</v>
      </c>
      <c r="F427" s="18" t="s">
        <v>131</v>
      </c>
      <c r="G427" s="18" t="s">
        <v>22</v>
      </c>
      <c r="H427" s="18" t="s">
        <v>23</v>
      </c>
      <c r="I427" s="19">
        <v>35.83</v>
      </c>
      <c r="J427" s="20">
        <f t="shared" si="12"/>
        <v>179.14999999999998</v>
      </c>
      <c r="K427" s="106"/>
      <c r="L427" s="114"/>
      <c r="M427" s="114">
        <f>tblAquisições[[#This Row],[VALOR UNITARIO COMPRADO]]*tblAquisições[[#This Row],[QUANTIDADE COMPRADA]]</f>
        <v>0</v>
      </c>
      <c r="N427" s="110">
        <f>K427-tblAquisições[[#This Row],[QUANTIDADE PLANEJADA]]</f>
        <v>-5</v>
      </c>
      <c r="O427" s="106" t="str">
        <f t="shared" si="13"/>
        <v>Faltando Comprar</v>
      </c>
    </row>
    <row r="428" spans="1:15" ht="47.25">
      <c r="A428" s="16" t="s">
        <v>17</v>
      </c>
      <c r="B428" s="16" t="s">
        <v>24</v>
      </c>
      <c r="C428" s="17" t="s">
        <v>19</v>
      </c>
      <c r="D428" s="18" t="s">
        <v>294</v>
      </c>
      <c r="E428" s="18">
        <v>5</v>
      </c>
      <c r="F428" s="18" t="s">
        <v>131</v>
      </c>
      <c r="G428" s="18" t="s">
        <v>22</v>
      </c>
      <c r="H428" s="18" t="s">
        <v>23</v>
      </c>
      <c r="I428" s="19">
        <v>35.83</v>
      </c>
      <c r="J428" s="20">
        <f t="shared" si="12"/>
        <v>179.14999999999998</v>
      </c>
      <c r="K428" s="106"/>
      <c r="L428" s="114"/>
      <c r="M428" s="114">
        <f>tblAquisições[[#This Row],[VALOR UNITARIO COMPRADO]]*tblAquisições[[#This Row],[QUANTIDADE COMPRADA]]</f>
        <v>0</v>
      </c>
      <c r="N428" s="110">
        <f>K428-tblAquisições[[#This Row],[QUANTIDADE PLANEJADA]]</f>
        <v>-5</v>
      </c>
      <c r="O428" s="106" t="str">
        <f t="shared" si="13"/>
        <v>Faltando Comprar</v>
      </c>
    </row>
    <row r="429" spans="1:15" ht="47.25">
      <c r="A429" s="16" t="s">
        <v>17</v>
      </c>
      <c r="B429" s="16" t="s">
        <v>25</v>
      </c>
      <c r="C429" s="17" t="s">
        <v>19</v>
      </c>
      <c r="D429" s="18" t="s">
        <v>294</v>
      </c>
      <c r="E429" s="18">
        <v>5</v>
      </c>
      <c r="F429" s="18" t="s">
        <v>131</v>
      </c>
      <c r="G429" s="18" t="s">
        <v>22</v>
      </c>
      <c r="H429" s="18" t="s">
        <v>23</v>
      </c>
      <c r="I429" s="19">
        <v>35.83</v>
      </c>
      <c r="J429" s="20">
        <f t="shared" si="12"/>
        <v>179.14999999999998</v>
      </c>
      <c r="K429" s="106"/>
      <c r="L429" s="114"/>
      <c r="M429" s="114">
        <f>tblAquisições[[#This Row],[VALOR UNITARIO COMPRADO]]*tblAquisições[[#This Row],[QUANTIDADE COMPRADA]]</f>
        <v>0</v>
      </c>
      <c r="N429" s="110">
        <f>K429-tblAquisições[[#This Row],[QUANTIDADE PLANEJADA]]</f>
        <v>-5</v>
      </c>
      <c r="O429" s="106" t="str">
        <f t="shared" si="13"/>
        <v>Faltando Comprar</v>
      </c>
    </row>
    <row r="430" spans="1:15" ht="47.25">
      <c r="A430" s="16" t="s">
        <v>17</v>
      </c>
      <c r="B430" s="16" t="s">
        <v>26</v>
      </c>
      <c r="C430" s="17" t="s">
        <v>19</v>
      </c>
      <c r="D430" s="18" t="s">
        <v>294</v>
      </c>
      <c r="E430" s="18">
        <v>6</v>
      </c>
      <c r="F430" s="18" t="s">
        <v>131</v>
      </c>
      <c r="G430" s="18" t="s">
        <v>22</v>
      </c>
      <c r="H430" s="18" t="s">
        <v>23</v>
      </c>
      <c r="I430" s="19">
        <v>35.83</v>
      </c>
      <c r="J430" s="20">
        <f t="shared" si="12"/>
        <v>214.98</v>
      </c>
      <c r="K430" s="106"/>
      <c r="L430" s="114"/>
      <c r="M430" s="114">
        <f>tblAquisições[[#This Row],[VALOR UNITARIO COMPRADO]]*tblAquisições[[#This Row],[QUANTIDADE COMPRADA]]</f>
        <v>0</v>
      </c>
      <c r="N430" s="110">
        <f>K430-tblAquisições[[#This Row],[QUANTIDADE PLANEJADA]]</f>
        <v>-6</v>
      </c>
      <c r="O430" s="106" t="str">
        <f t="shared" si="13"/>
        <v>Faltando Comprar</v>
      </c>
    </row>
    <row r="431" spans="1:15" ht="47.25">
      <c r="A431" s="16" t="s">
        <v>17</v>
      </c>
      <c r="B431" s="16" t="s">
        <v>28</v>
      </c>
      <c r="C431" s="17" t="s">
        <v>19</v>
      </c>
      <c r="D431" s="18" t="s">
        <v>294</v>
      </c>
      <c r="E431" s="18">
        <v>12</v>
      </c>
      <c r="F431" s="18" t="s">
        <v>131</v>
      </c>
      <c r="G431" s="18" t="s">
        <v>22</v>
      </c>
      <c r="H431" s="18" t="s">
        <v>23</v>
      </c>
      <c r="I431" s="19">
        <v>35.83</v>
      </c>
      <c r="J431" s="20">
        <f t="shared" si="12"/>
        <v>429.96</v>
      </c>
      <c r="K431" s="106"/>
      <c r="L431" s="114"/>
      <c r="M431" s="114">
        <f>tblAquisições[[#This Row],[VALOR UNITARIO COMPRADO]]*tblAquisições[[#This Row],[QUANTIDADE COMPRADA]]</f>
        <v>0</v>
      </c>
      <c r="N431" s="110">
        <f>K431-tblAquisições[[#This Row],[QUANTIDADE PLANEJADA]]</f>
        <v>-12</v>
      </c>
      <c r="O431" s="106" t="str">
        <f t="shared" si="13"/>
        <v>Faltando Comprar</v>
      </c>
    </row>
    <row r="432" spans="1:15" ht="31.5">
      <c r="A432" s="16" t="s">
        <v>17</v>
      </c>
      <c r="B432" s="16" t="s">
        <v>18</v>
      </c>
      <c r="C432" s="17" t="s">
        <v>19</v>
      </c>
      <c r="D432" s="18" t="s">
        <v>295</v>
      </c>
      <c r="E432" s="18">
        <v>15</v>
      </c>
      <c r="F432" s="18" t="s">
        <v>21</v>
      </c>
      <c r="G432" s="18" t="s">
        <v>22</v>
      </c>
      <c r="H432" s="18" t="s">
        <v>23</v>
      </c>
      <c r="I432" s="19">
        <v>68.33</v>
      </c>
      <c r="J432" s="20">
        <f t="shared" si="12"/>
        <v>1024.95</v>
      </c>
      <c r="K432" s="106"/>
      <c r="L432" s="114"/>
      <c r="M432" s="114">
        <f>tblAquisições[[#This Row],[VALOR UNITARIO COMPRADO]]*tblAquisições[[#This Row],[QUANTIDADE COMPRADA]]</f>
        <v>0</v>
      </c>
      <c r="N432" s="110">
        <f>K432-tblAquisições[[#This Row],[QUANTIDADE PLANEJADA]]</f>
        <v>-15</v>
      </c>
      <c r="O432" s="106" t="str">
        <f t="shared" si="13"/>
        <v>Faltando Comprar</v>
      </c>
    </row>
    <row r="433" spans="1:15" ht="31.5">
      <c r="A433" s="16" t="s">
        <v>17</v>
      </c>
      <c r="B433" s="16" t="s">
        <v>24</v>
      </c>
      <c r="C433" s="17" t="s">
        <v>19</v>
      </c>
      <c r="D433" s="18" t="s">
        <v>295</v>
      </c>
      <c r="E433" s="18">
        <v>15</v>
      </c>
      <c r="F433" s="18" t="s">
        <v>21</v>
      </c>
      <c r="G433" s="18" t="s">
        <v>22</v>
      </c>
      <c r="H433" s="18" t="s">
        <v>23</v>
      </c>
      <c r="I433" s="19">
        <v>68.33</v>
      </c>
      <c r="J433" s="20">
        <f t="shared" si="12"/>
        <v>1024.95</v>
      </c>
      <c r="K433" s="106"/>
      <c r="L433" s="114"/>
      <c r="M433" s="114">
        <f>tblAquisições[[#This Row],[VALOR UNITARIO COMPRADO]]*tblAquisições[[#This Row],[QUANTIDADE COMPRADA]]</f>
        <v>0</v>
      </c>
      <c r="N433" s="110">
        <f>K433-tblAquisições[[#This Row],[QUANTIDADE PLANEJADA]]</f>
        <v>-15</v>
      </c>
      <c r="O433" s="106" t="str">
        <f t="shared" si="13"/>
        <v>Faltando Comprar</v>
      </c>
    </row>
    <row r="434" spans="1:15" ht="31.5">
      <c r="A434" s="16" t="s">
        <v>17</v>
      </c>
      <c r="B434" s="16" t="s">
        <v>25</v>
      </c>
      <c r="C434" s="17" t="s">
        <v>19</v>
      </c>
      <c r="D434" s="18" t="s">
        <v>295</v>
      </c>
      <c r="E434" s="18">
        <v>15</v>
      </c>
      <c r="F434" s="18" t="s">
        <v>21</v>
      </c>
      <c r="G434" s="18" t="s">
        <v>22</v>
      </c>
      <c r="H434" s="18" t="s">
        <v>23</v>
      </c>
      <c r="I434" s="19">
        <v>68.33</v>
      </c>
      <c r="J434" s="20">
        <f t="shared" si="12"/>
        <v>1024.95</v>
      </c>
      <c r="K434" s="106"/>
      <c r="L434" s="114"/>
      <c r="M434" s="114">
        <f>tblAquisições[[#This Row],[VALOR UNITARIO COMPRADO]]*tblAquisições[[#This Row],[QUANTIDADE COMPRADA]]</f>
        <v>0</v>
      </c>
      <c r="N434" s="110">
        <f>K434-tblAquisições[[#This Row],[QUANTIDADE PLANEJADA]]</f>
        <v>-15</v>
      </c>
      <c r="O434" s="106" t="str">
        <f t="shared" si="13"/>
        <v>Faltando Comprar</v>
      </c>
    </row>
    <row r="435" spans="1:15" ht="31.5">
      <c r="A435" s="16" t="s">
        <v>17</v>
      </c>
      <c r="B435" s="16" t="s">
        <v>18</v>
      </c>
      <c r="C435" s="17" t="s">
        <v>19</v>
      </c>
      <c r="D435" s="18" t="s">
        <v>296</v>
      </c>
      <c r="E435" s="18">
        <v>200</v>
      </c>
      <c r="F435" s="18" t="s">
        <v>21</v>
      </c>
      <c r="G435" s="18" t="s">
        <v>22</v>
      </c>
      <c r="H435" s="18" t="s">
        <v>23</v>
      </c>
      <c r="I435" s="19">
        <v>1.73</v>
      </c>
      <c r="J435" s="20">
        <f t="shared" si="12"/>
        <v>346</v>
      </c>
      <c r="K435" s="106"/>
      <c r="L435" s="114"/>
      <c r="M435" s="114">
        <f>tblAquisições[[#This Row],[VALOR UNITARIO COMPRADO]]*tblAquisições[[#This Row],[QUANTIDADE COMPRADA]]</f>
        <v>0</v>
      </c>
      <c r="N435" s="110">
        <f>K435-tblAquisições[[#This Row],[QUANTIDADE PLANEJADA]]</f>
        <v>-200</v>
      </c>
      <c r="O435" s="106" t="str">
        <f t="shared" si="13"/>
        <v>Faltando Comprar</v>
      </c>
    </row>
    <row r="436" spans="1:15" ht="31.5">
      <c r="A436" s="16" t="s">
        <v>17</v>
      </c>
      <c r="B436" s="16" t="s">
        <v>24</v>
      </c>
      <c r="C436" s="17" t="s">
        <v>19</v>
      </c>
      <c r="D436" s="18" t="s">
        <v>296</v>
      </c>
      <c r="E436" s="18">
        <v>200</v>
      </c>
      <c r="F436" s="18" t="s">
        <v>21</v>
      </c>
      <c r="G436" s="18" t="s">
        <v>22</v>
      </c>
      <c r="H436" s="18" t="s">
        <v>23</v>
      </c>
      <c r="I436" s="19">
        <v>1.73</v>
      </c>
      <c r="J436" s="20">
        <f t="shared" si="12"/>
        <v>346</v>
      </c>
      <c r="K436" s="106"/>
      <c r="L436" s="114"/>
      <c r="M436" s="114">
        <f>tblAquisições[[#This Row],[VALOR UNITARIO COMPRADO]]*tblAquisições[[#This Row],[QUANTIDADE COMPRADA]]</f>
        <v>0</v>
      </c>
      <c r="N436" s="110">
        <f>K436-tblAquisições[[#This Row],[QUANTIDADE PLANEJADA]]</f>
        <v>-200</v>
      </c>
      <c r="O436" s="106" t="str">
        <f t="shared" si="13"/>
        <v>Faltando Comprar</v>
      </c>
    </row>
    <row r="437" spans="1:15" ht="31.5">
      <c r="A437" s="16" t="s">
        <v>17</v>
      </c>
      <c r="B437" s="16" t="s">
        <v>25</v>
      </c>
      <c r="C437" s="17" t="s">
        <v>19</v>
      </c>
      <c r="D437" s="18" t="s">
        <v>296</v>
      </c>
      <c r="E437" s="18">
        <v>200</v>
      </c>
      <c r="F437" s="18" t="s">
        <v>21</v>
      </c>
      <c r="G437" s="18" t="s">
        <v>22</v>
      </c>
      <c r="H437" s="18" t="s">
        <v>23</v>
      </c>
      <c r="I437" s="19">
        <v>1.73</v>
      </c>
      <c r="J437" s="20">
        <f t="shared" si="12"/>
        <v>346</v>
      </c>
      <c r="K437" s="106"/>
      <c r="L437" s="114"/>
      <c r="M437" s="114">
        <f>tblAquisições[[#This Row],[VALOR UNITARIO COMPRADO]]*tblAquisições[[#This Row],[QUANTIDADE COMPRADA]]</f>
        <v>0</v>
      </c>
      <c r="N437" s="110">
        <f>K437-tblAquisições[[#This Row],[QUANTIDADE PLANEJADA]]</f>
        <v>-200</v>
      </c>
      <c r="O437" s="106" t="str">
        <f t="shared" si="13"/>
        <v>Faltando Comprar</v>
      </c>
    </row>
    <row r="438" spans="1:15" ht="31.5">
      <c r="A438" s="16" t="s">
        <v>17</v>
      </c>
      <c r="B438" s="16" t="s">
        <v>26</v>
      </c>
      <c r="C438" s="17" t="s">
        <v>19</v>
      </c>
      <c r="D438" s="18" t="s">
        <v>297</v>
      </c>
      <c r="E438" s="18">
        <v>30</v>
      </c>
      <c r="F438" s="18" t="s">
        <v>21</v>
      </c>
      <c r="G438" s="18" t="s">
        <v>22</v>
      </c>
      <c r="H438" s="18" t="s">
        <v>23</v>
      </c>
      <c r="I438" s="19">
        <v>167.72</v>
      </c>
      <c r="J438" s="20">
        <f t="shared" si="12"/>
        <v>5031.6000000000004</v>
      </c>
      <c r="K438" s="106"/>
      <c r="L438" s="114"/>
      <c r="M438" s="114">
        <f>tblAquisições[[#This Row],[VALOR UNITARIO COMPRADO]]*tblAquisições[[#This Row],[QUANTIDADE COMPRADA]]</f>
        <v>0</v>
      </c>
      <c r="N438" s="110">
        <f>K438-tblAquisições[[#This Row],[QUANTIDADE PLANEJADA]]</f>
        <v>-30</v>
      </c>
      <c r="O438" s="106" t="str">
        <f t="shared" si="13"/>
        <v>Faltando Comprar</v>
      </c>
    </row>
    <row r="439" spans="1:15" ht="47.25">
      <c r="A439" s="16" t="s">
        <v>17</v>
      </c>
      <c r="B439" s="16" t="s">
        <v>18</v>
      </c>
      <c r="C439" s="17" t="s">
        <v>19</v>
      </c>
      <c r="D439" s="18" t="s">
        <v>298</v>
      </c>
      <c r="E439" s="18">
        <v>10</v>
      </c>
      <c r="F439" s="18" t="s">
        <v>78</v>
      </c>
      <c r="G439" s="18" t="s">
        <v>22</v>
      </c>
      <c r="H439" s="18" t="s">
        <v>23</v>
      </c>
      <c r="I439" s="19">
        <v>92.57</v>
      </c>
      <c r="J439" s="20">
        <f t="shared" si="12"/>
        <v>925.69999999999993</v>
      </c>
      <c r="K439" s="106"/>
      <c r="L439" s="114"/>
      <c r="M439" s="114">
        <f>tblAquisições[[#This Row],[VALOR UNITARIO COMPRADO]]*tblAquisições[[#This Row],[QUANTIDADE COMPRADA]]</f>
        <v>0</v>
      </c>
      <c r="N439" s="110">
        <f>K439-tblAquisições[[#This Row],[QUANTIDADE PLANEJADA]]</f>
        <v>-10</v>
      </c>
      <c r="O439" s="106" t="str">
        <f t="shared" si="13"/>
        <v>Faltando Comprar</v>
      </c>
    </row>
    <row r="440" spans="1:15" ht="47.25">
      <c r="A440" s="16" t="s">
        <v>17</v>
      </c>
      <c r="B440" s="16" t="s">
        <v>24</v>
      </c>
      <c r="C440" s="17" t="s">
        <v>19</v>
      </c>
      <c r="D440" s="18" t="s">
        <v>298</v>
      </c>
      <c r="E440" s="18">
        <v>10</v>
      </c>
      <c r="F440" s="18" t="s">
        <v>78</v>
      </c>
      <c r="G440" s="18" t="s">
        <v>22</v>
      </c>
      <c r="H440" s="18" t="s">
        <v>23</v>
      </c>
      <c r="I440" s="19">
        <v>92.57</v>
      </c>
      <c r="J440" s="20">
        <f t="shared" si="12"/>
        <v>925.69999999999993</v>
      </c>
      <c r="K440" s="106"/>
      <c r="L440" s="114"/>
      <c r="M440" s="114">
        <f>tblAquisições[[#This Row],[VALOR UNITARIO COMPRADO]]*tblAquisições[[#This Row],[QUANTIDADE COMPRADA]]</f>
        <v>0</v>
      </c>
      <c r="N440" s="110">
        <f>K440-tblAquisições[[#This Row],[QUANTIDADE PLANEJADA]]</f>
        <v>-10</v>
      </c>
      <c r="O440" s="106" t="str">
        <f t="shared" si="13"/>
        <v>Faltando Comprar</v>
      </c>
    </row>
    <row r="441" spans="1:15" ht="47.25">
      <c r="A441" s="16" t="s">
        <v>17</v>
      </c>
      <c r="B441" s="16" t="s">
        <v>80</v>
      </c>
      <c r="C441" s="17" t="s">
        <v>19</v>
      </c>
      <c r="D441" s="18" t="s">
        <v>299</v>
      </c>
      <c r="E441" s="18">
        <v>2</v>
      </c>
      <c r="F441" s="18" t="s">
        <v>147</v>
      </c>
      <c r="G441" s="18" t="s">
        <v>39</v>
      </c>
      <c r="H441" s="18" t="s">
        <v>23</v>
      </c>
      <c r="I441" s="19">
        <v>274.61</v>
      </c>
      <c r="J441" s="20">
        <f t="shared" si="12"/>
        <v>549.22</v>
      </c>
      <c r="K441" s="106"/>
      <c r="L441" s="114"/>
      <c r="M441" s="114">
        <f>tblAquisições[[#This Row],[VALOR UNITARIO COMPRADO]]*tblAquisições[[#This Row],[QUANTIDADE COMPRADA]]</f>
        <v>0</v>
      </c>
      <c r="N441" s="110">
        <f>K441-tblAquisições[[#This Row],[QUANTIDADE PLANEJADA]]</f>
        <v>-2</v>
      </c>
      <c r="O441" s="106" t="str">
        <f t="shared" si="13"/>
        <v>Faltando Comprar</v>
      </c>
    </row>
    <row r="442" spans="1:15" ht="47.25">
      <c r="A442" s="16" t="s">
        <v>17</v>
      </c>
      <c r="B442" s="16" t="s">
        <v>28</v>
      </c>
      <c r="C442" s="17" t="s">
        <v>19</v>
      </c>
      <c r="D442" s="18" t="s">
        <v>300</v>
      </c>
      <c r="E442" s="18">
        <v>10</v>
      </c>
      <c r="F442" s="18" t="s">
        <v>78</v>
      </c>
      <c r="G442" s="18" t="s">
        <v>22</v>
      </c>
      <c r="H442" s="18" t="s">
        <v>23</v>
      </c>
      <c r="I442" s="19">
        <v>61.26</v>
      </c>
      <c r="J442" s="20">
        <f t="shared" si="12"/>
        <v>612.6</v>
      </c>
      <c r="K442" s="106"/>
      <c r="L442" s="114"/>
      <c r="M442" s="114">
        <f>tblAquisições[[#This Row],[VALOR UNITARIO COMPRADO]]*tblAquisições[[#This Row],[QUANTIDADE COMPRADA]]</f>
        <v>0</v>
      </c>
      <c r="N442" s="110">
        <f>K442-tblAquisições[[#This Row],[QUANTIDADE PLANEJADA]]</f>
        <v>-10</v>
      </c>
      <c r="O442" s="106" t="str">
        <f t="shared" si="13"/>
        <v>Faltando Comprar</v>
      </c>
    </row>
    <row r="443" spans="1:15" ht="47.25">
      <c r="A443" s="16" t="s">
        <v>17</v>
      </c>
      <c r="B443" s="16" t="s">
        <v>80</v>
      </c>
      <c r="C443" s="17" t="s">
        <v>19</v>
      </c>
      <c r="D443" s="18" t="s">
        <v>301</v>
      </c>
      <c r="E443" s="18">
        <v>2</v>
      </c>
      <c r="F443" s="18" t="s">
        <v>147</v>
      </c>
      <c r="G443" s="18" t="s">
        <v>39</v>
      </c>
      <c r="H443" s="18" t="s">
        <v>23</v>
      </c>
      <c r="I443" s="19">
        <v>19.98</v>
      </c>
      <c r="J443" s="20">
        <f t="shared" si="12"/>
        <v>39.96</v>
      </c>
      <c r="K443" s="106"/>
      <c r="L443" s="114"/>
      <c r="M443" s="114">
        <f>tblAquisições[[#This Row],[VALOR UNITARIO COMPRADO]]*tblAquisições[[#This Row],[QUANTIDADE COMPRADA]]</f>
        <v>0</v>
      </c>
      <c r="N443" s="110">
        <f>K443-tblAquisições[[#This Row],[QUANTIDADE PLANEJADA]]</f>
        <v>-2</v>
      </c>
      <c r="O443" s="106" t="str">
        <f t="shared" si="13"/>
        <v>Faltando Comprar</v>
      </c>
    </row>
    <row r="444" spans="1:15" ht="47.25">
      <c r="A444" s="16" t="s">
        <v>17</v>
      </c>
      <c r="B444" s="16" t="s">
        <v>31</v>
      </c>
      <c r="C444" s="17" t="s">
        <v>19</v>
      </c>
      <c r="D444" s="18" t="s">
        <v>302</v>
      </c>
      <c r="E444" s="18">
        <v>10</v>
      </c>
      <c r="F444" s="18" t="s">
        <v>78</v>
      </c>
      <c r="G444" s="18" t="s">
        <v>22</v>
      </c>
      <c r="H444" s="18" t="s">
        <v>23</v>
      </c>
      <c r="I444" s="19">
        <v>19.98</v>
      </c>
      <c r="J444" s="20">
        <f t="shared" si="12"/>
        <v>199.8</v>
      </c>
      <c r="K444" s="106"/>
      <c r="L444" s="114"/>
      <c r="M444" s="114">
        <f>tblAquisições[[#This Row],[VALOR UNITARIO COMPRADO]]*tblAquisições[[#This Row],[QUANTIDADE COMPRADA]]</f>
        <v>0</v>
      </c>
      <c r="N444" s="110">
        <f>K444-tblAquisições[[#This Row],[QUANTIDADE PLANEJADA]]</f>
        <v>-10</v>
      </c>
      <c r="O444" s="106" t="str">
        <f t="shared" si="13"/>
        <v>Faltando Comprar</v>
      </c>
    </row>
    <row r="445" spans="1:15" ht="47.25">
      <c r="A445" s="16" t="s">
        <v>17</v>
      </c>
      <c r="B445" s="16" t="s">
        <v>18</v>
      </c>
      <c r="C445" s="17" t="s">
        <v>19</v>
      </c>
      <c r="D445" s="18" t="s">
        <v>302</v>
      </c>
      <c r="E445" s="18">
        <v>10</v>
      </c>
      <c r="F445" s="18" t="s">
        <v>78</v>
      </c>
      <c r="G445" s="18" t="s">
        <v>22</v>
      </c>
      <c r="H445" s="18" t="s">
        <v>23</v>
      </c>
      <c r="I445" s="19">
        <v>19.98</v>
      </c>
      <c r="J445" s="20">
        <f t="shared" si="12"/>
        <v>199.8</v>
      </c>
      <c r="K445" s="106"/>
      <c r="L445" s="114"/>
      <c r="M445" s="114">
        <f>tblAquisições[[#This Row],[VALOR UNITARIO COMPRADO]]*tblAquisições[[#This Row],[QUANTIDADE COMPRADA]]</f>
        <v>0</v>
      </c>
      <c r="N445" s="110">
        <f>K445-tblAquisições[[#This Row],[QUANTIDADE PLANEJADA]]</f>
        <v>-10</v>
      </c>
      <c r="O445" s="106" t="str">
        <f t="shared" si="13"/>
        <v>Faltando Comprar</v>
      </c>
    </row>
    <row r="446" spans="1:15" ht="47.25">
      <c r="A446" s="16" t="s">
        <v>17</v>
      </c>
      <c r="B446" s="16" t="s">
        <v>24</v>
      </c>
      <c r="C446" s="17" t="s">
        <v>19</v>
      </c>
      <c r="D446" s="18" t="s">
        <v>302</v>
      </c>
      <c r="E446" s="18">
        <v>10</v>
      </c>
      <c r="F446" s="18" t="s">
        <v>78</v>
      </c>
      <c r="G446" s="18" t="s">
        <v>22</v>
      </c>
      <c r="H446" s="18" t="s">
        <v>23</v>
      </c>
      <c r="I446" s="19">
        <v>19.98</v>
      </c>
      <c r="J446" s="20">
        <f t="shared" si="12"/>
        <v>199.8</v>
      </c>
      <c r="K446" s="106"/>
      <c r="L446" s="114"/>
      <c r="M446" s="114">
        <f>tblAquisições[[#This Row],[VALOR UNITARIO COMPRADO]]*tblAquisições[[#This Row],[QUANTIDADE COMPRADA]]</f>
        <v>0</v>
      </c>
      <c r="N446" s="110">
        <f>K446-tblAquisições[[#This Row],[QUANTIDADE PLANEJADA]]</f>
        <v>-10</v>
      </c>
      <c r="O446" s="106" t="str">
        <f t="shared" si="13"/>
        <v>Faltando Comprar</v>
      </c>
    </row>
    <row r="447" spans="1:15" ht="47.25">
      <c r="A447" s="16" t="s">
        <v>17</v>
      </c>
      <c r="B447" s="16" t="s">
        <v>25</v>
      </c>
      <c r="C447" s="17" t="s">
        <v>19</v>
      </c>
      <c r="D447" s="18" t="s">
        <v>302</v>
      </c>
      <c r="E447" s="18">
        <v>10</v>
      </c>
      <c r="F447" s="18" t="s">
        <v>78</v>
      </c>
      <c r="G447" s="18" t="s">
        <v>22</v>
      </c>
      <c r="H447" s="18" t="s">
        <v>23</v>
      </c>
      <c r="I447" s="19">
        <v>19.98</v>
      </c>
      <c r="J447" s="20">
        <f t="shared" si="12"/>
        <v>199.8</v>
      </c>
      <c r="K447" s="106"/>
      <c r="L447" s="114"/>
      <c r="M447" s="114">
        <f>tblAquisições[[#This Row],[VALOR UNITARIO COMPRADO]]*tblAquisições[[#This Row],[QUANTIDADE COMPRADA]]</f>
        <v>0</v>
      </c>
      <c r="N447" s="110">
        <f>K447-tblAquisições[[#This Row],[QUANTIDADE PLANEJADA]]</f>
        <v>-10</v>
      </c>
      <c r="O447" s="106" t="str">
        <f t="shared" si="13"/>
        <v>Faltando Comprar</v>
      </c>
    </row>
    <row r="448" spans="1:15" ht="47.25">
      <c r="A448" s="16" t="s">
        <v>17</v>
      </c>
      <c r="B448" s="16" t="s">
        <v>28</v>
      </c>
      <c r="C448" s="17" t="s">
        <v>19</v>
      </c>
      <c r="D448" s="18" t="s">
        <v>302</v>
      </c>
      <c r="E448" s="18">
        <v>15</v>
      </c>
      <c r="F448" s="18" t="s">
        <v>78</v>
      </c>
      <c r="G448" s="18" t="s">
        <v>22</v>
      </c>
      <c r="H448" s="18" t="s">
        <v>23</v>
      </c>
      <c r="I448" s="19">
        <v>19.98</v>
      </c>
      <c r="J448" s="20">
        <f t="shared" si="12"/>
        <v>299.7</v>
      </c>
      <c r="K448" s="106"/>
      <c r="L448" s="114"/>
      <c r="M448" s="114">
        <f>tblAquisições[[#This Row],[VALOR UNITARIO COMPRADO]]*tblAquisições[[#This Row],[QUANTIDADE COMPRADA]]</f>
        <v>0</v>
      </c>
      <c r="N448" s="110">
        <f>K448-tblAquisições[[#This Row],[QUANTIDADE PLANEJADA]]</f>
        <v>-15</v>
      </c>
      <c r="O448" s="106" t="str">
        <f t="shared" si="13"/>
        <v>Faltando Comprar</v>
      </c>
    </row>
    <row r="449" spans="1:15" ht="47.25">
      <c r="A449" s="16" t="s">
        <v>17</v>
      </c>
      <c r="B449" s="16" t="s">
        <v>80</v>
      </c>
      <c r="C449" s="17" t="s">
        <v>19</v>
      </c>
      <c r="D449" s="18" t="s">
        <v>303</v>
      </c>
      <c r="E449" s="18">
        <v>2</v>
      </c>
      <c r="F449" s="18" t="s">
        <v>147</v>
      </c>
      <c r="G449" s="18" t="s">
        <v>39</v>
      </c>
      <c r="H449" s="18" t="s">
        <v>23</v>
      </c>
      <c r="I449" s="19">
        <v>14.5</v>
      </c>
      <c r="J449" s="20">
        <f t="shared" si="12"/>
        <v>29</v>
      </c>
      <c r="K449" s="106"/>
      <c r="L449" s="114"/>
      <c r="M449" s="114">
        <f>tblAquisições[[#This Row],[VALOR UNITARIO COMPRADO]]*tblAquisições[[#This Row],[QUANTIDADE COMPRADA]]</f>
        <v>0</v>
      </c>
      <c r="N449" s="110">
        <f>K449-tblAquisições[[#This Row],[QUANTIDADE PLANEJADA]]</f>
        <v>-2</v>
      </c>
      <c r="O449" s="106" t="str">
        <f t="shared" si="13"/>
        <v>Faltando Comprar</v>
      </c>
    </row>
    <row r="450" spans="1:15" ht="47.25">
      <c r="A450" s="16" t="s">
        <v>17</v>
      </c>
      <c r="B450" s="16" t="s">
        <v>31</v>
      </c>
      <c r="C450" s="17" t="s">
        <v>19</v>
      </c>
      <c r="D450" s="18" t="s">
        <v>304</v>
      </c>
      <c r="E450" s="18">
        <v>10</v>
      </c>
      <c r="F450" s="18" t="s">
        <v>78</v>
      </c>
      <c r="G450" s="18" t="s">
        <v>22</v>
      </c>
      <c r="H450" s="18" t="s">
        <v>23</v>
      </c>
      <c r="I450" s="19">
        <v>14.5</v>
      </c>
      <c r="J450" s="20">
        <f t="shared" ref="J450:J513" si="14">E450*I450</f>
        <v>145</v>
      </c>
      <c r="K450" s="106"/>
      <c r="L450" s="114"/>
      <c r="M450" s="114">
        <f>tblAquisições[[#This Row],[VALOR UNITARIO COMPRADO]]*tblAquisições[[#This Row],[QUANTIDADE COMPRADA]]</f>
        <v>0</v>
      </c>
      <c r="N450" s="110">
        <f>K450-tblAquisições[[#This Row],[QUANTIDADE PLANEJADA]]</f>
        <v>-10</v>
      </c>
      <c r="O450" s="106" t="str">
        <f t="shared" ref="O450:O513" si="15">IF(K450=E450,"OK",IF(K450&lt;E450,"Faltando Comprar","Excedente"))</f>
        <v>Faltando Comprar</v>
      </c>
    </row>
    <row r="451" spans="1:15" ht="47.25">
      <c r="A451" s="16" t="s">
        <v>17</v>
      </c>
      <c r="B451" s="16" t="s">
        <v>18</v>
      </c>
      <c r="C451" s="17" t="s">
        <v>19</v>
      </c>
      <c r="D451" s="18" t="s">
        <v>304</v>
      </c>
      <c r="E451" s="18">
        <v>10</v>
      </c>
      <c r="F451" s="18" t="s">
        <v>78</v>
      </c>
      <c r="G451" s="18" t="s">
        <v>22</v>
      </c>
      <c r="H451" s="18" t="s">
        <v>23</v>
      </c>
      <c r="I451" s="19">
        <v>14.5</v>
      </c>
      <c r="J451" s="20">
        <f t="shared" si="14"/>
        <v>145</v>
      </c>
      <c r="K451" s="106"/>
      <c r="L451" s="114"/>
      <c r="M451" s="114">
        <f>tblAquisições[[#This Row],[VALOR UNITARIO COMPRADO]]*tblAquisições[[#This Row],[QUANTIDADE COMPRADA]]</f>
        <v>0</v>
      </c>
      <c r="N451" s="110">
        <f>K451-tblAquisições[[#This Row],[QUANTIDADE PLANEJADA]]</f>
        <v>-10</v>
      </c>
      <c r="O451" s="106" t="str">
        <f t="shared" si="15"/>
        <v>Faltando Comprar</v>
      </c>
    </row>
    <row r="452" spans="1:15" ht="47.25">
      <c r="A452" s="16" t="s">
        <v>17</v>
      </c>
      <c r="B452" s="16" t="s">
        <v>24</v>
      </c>
      <c r="C452" s="17" t="s">
        <v>19</v>
      </c>
      <c r="D452" s="18" t="s">
        <v>304</v>
      </c>
      <c r="E452" s="18">
        <v>10</v>
      </c>
      <c r="F452" s="18" t="s">
        <v>78</v>
      </c>
      <c r="G452" s="18" t="s">
        <v>22</v>
      </c>
      <c r="H452" s="18" t="s">
        <v>23</v>
      </c>
      <c r="I452" s="19">
        <v>14.5</v>
      </c>
      <c r="J452" s="20">
        <f t="shared" si="14"/>
        <v>145</v>
      </c>
      <c r="K452" s="106"/>
      <c r="L452" s="114"/>
      <c r="M452" s="114">
        <f>tblAquisições[[#This Row],[VALOR UNITARIO COMPRADO]]*tblAquisições[[#This Row],[QUANTIDADE COMPRADA]]</f>
        <v>0</v>
      </c>
      <c r="N452" s="110">
        <f>K452-tblAquisições[[#This Row],[QUANTIDADE PLANEJADA]]</f>
        <v>-10</v>
      </c>
      <c r="O452" s="106" t="str">
        <f t="shared" si="15"/>
        <v>Faltando Comprar</v>
      </c>
    </row>
    <row r="453" spans="1:15" ht="47.25">
      <c r="A453" s="16" t="s">
        <v>17</v>
      </c>
      <c r="B453" s="16" t="s">
        <v>25</v>
      </c>
      <c r="C453" s="17" t="s">
        <v>19</v>
      </c>
      <c r="D453" s="18" t="s">
        <v>304</v>
      </c>
      <c r="E453" s="18">
        <v>10</v>
      </c>
      <c r="F453" s="18" t="s">
        <v>78</v>
      </c>
      <c r="G453" s="18" t="s">
        <v>22</v>
      </c>
      <c r="H453" s="18" t="s">
        <v>23</v>
      </c>
      <c r="I453" s="19">
        <v>14.5</v>
      </c>
      <c r="J453" s="20">
        <f t="shared" si="14"/>
        <v>145</v>
      </c>
      <c r="K453" s="106"/>
      <c r="L453" s="114"/>
      <c r="M453" s="114">
        <f>tblAquisições[[#This Row],[VALOR UNITARIO COMPRADO]]*tblAquisições[[#This Row],[QUANTIDADE COMPRADA]]</f>
        <v>0</v>
      </c>
      <c r="N453" s="110">
        <f>K453-tblAquisições[[#This Row],[QUANTIDADE PLANEJADA]]</f>
        <v>-10</v>
      </c>
      <c r="O453" s="106" t="str">
        <f t="shared" si="15"/>
        <v>Faltando Comprar</v>
      </c>
    </row>
    <row r="454" spans="1:15" ht="47.25">
      <c r="A454" s="16" t="s">
        <v>17</v>
      </c>
      <c r="B454" s="16" t="s">
        <v>28</v>
      </c>
      <c r="C454" s="17" t="s">
        <v>19</v>
      </c>
      <c r="D454" s="18" t="s">
        <v>304</v>
      </c>
      <c r="E454" s="18">
        <v>15</v>
      </c>
      <c r="F454" s="18" t="s">
        <v>78</v>
      </c>
      <c r="G454" s="18" t="s">
        <v>22</v>
      </c>
      <c r="H454" s="18" t="s">
        <v>23</v>
      </c>
      <c r="I454" s="19">
        <v>14.5</v>
      </c>
      <c r="J454" s="20">
        <f t="shared" si="14"/>
        <v>217.5</v>
      </c>
      <c r="K454" s="106"/>
      <c r="L454" s="114"/>
      <c r="M454" s="114">
        <f>tblAquisições[[#This Row],[VALOR UNITARIO COMPRADO]]*tblAquisições[[#This Row],[QUANTIDADE COMPRADA]]</f>
        <v>0</v>
      </c>
      <c r="N454" s="110">
        <f>K454-tblAquisições[[#This Row],[QUANTIDADE PLANEJADA]]</f>
        <v>-15</v>
      </c>
      <c r="O454" s="106" t="str">
        <f t="shared" si="15"/>
        <v>Faltando Comprar</v>
      </c>
    </row>
    <row r="455" spans="1:15" ht="47.25">
      <c r="A455" s="16" t="s">
        <v>17</v>
      </c>
      <c r="B455" s="16" t="s">
        <v>80</v>
      </c>
      <c r="C455" s="17" t="s">
        <v>19</v>
      </c>
      <c r="D455" s="18" t="s">
        <v>305</v>
      </c>
      <c r="E455" s="18">
        <v>2</v>
      </c>
      <c r="F455" s="18" t="s">
        <v>147</v>
      </c>
      <c r="G455" s="18" t="s">
        <v>39</v>
      </c>
      <c r="H455" s="18" t="s">
        <v>23</v>
      </c>
      <c r="I455" s="19">
        <v>5.74</v>
      </c>
      <c r="J455" s="20">
        <f t="shared" si="14"/>
        <v>11.48</v>
      </c>
      <c r="K455" s="106"/>
      <c r="L455" s="114"/>
      <c r="M455" s="114">
        <f>tblAquisições[[#This Row],[VALOR UNITARIO COMPRADO]]*tblAquisições[[#This Row],[QUANTIDADE COMPRADA]]</f>
        <v>0</v>
      </c>
      <c r="N455" s="110">
        <f>K455-tblAquisições[[#This Row],[QUANTIDADE PLANEJADA]]</f>
        <v>-2</v>
      </c>
      <c r="O455" s="106" t="str">
        <f t="shared" si="15"/>
        <v>Faltando Comprar</v>
      </c>
    </row>
    <row r="456" spans="1:15" ht="47.25">
      <c r="A456" s="16" t="s">
        <v>17</v>
      </c>
      <c r="B456" s="16" t="s">
        <v>31</v>
      </c>
      <c r="C456" s="17" t="s">
        <v>19</v>
      </c>
      <c r="D456" s="18" t="s">
        <v>306</v>
      </c>
      <c r="E456" s="18">
        <v>10</v>
      </c>
      <c r="F456" s="18" t="s">
        <v>78</v>
      </c>
      <c r="G456" s="18" t="s">
        <v>22</v>
      </c>
      <c r="H456" s="18" t="s">
        <v>23</v>
      </c>
      <c r="I456" s="19">
        <v>5.74</v>
      </c>
      <c r="J456" s="20">
        <f t="shared" si="14"/>
        <v>57.400000000000006</v>
      </c>
      <c r="K456" s="106"/>
      <c r="L456" s="114"/>
      <c r="M456" s="114">
        <f>tblAquisições[[#This Row],[VALOR UNITARIO COMPRADO]]*tblAquisições[[#This Row],[QUANTIDADE COMPRADA]]</f>
        <v>0</v>
      </c>
      <c r="N456" s="110">
        <f>K456-tblAquisições[[#This Row],[QUANTIDADE PLANEJADA]]</f>
        <v>-10</v>
      </c>
      <c r="O456" s="106" t="str">
        <f t="shared" si="15"/>
        <v>Faltando Comprar</v>
      </c>
    </row>
    <row r="457" spans="1:15" ht="47.25">
      <c r="A457" s="16" t="s">
        <v>17</v>
      </c>
      <c r="B457" s="16" t="s">
        <v>18</v>
      </c>
      <c r="C457" s="17" t="s">
        <v>19</v>
      </c>
      <c r="D457" s="18" t="s">
        <v>306</v>
      </c>
      <c r="E457" s="18">
        <v>10</v>
      </c>
      <c r="F457" s="18" t="s">
        <v>78</v>
      </c>
      <c r="G457" s="18" t="s">
        <v>22</v>
      </c>
      <c r="H457" s="18" t="s">
        <v>23</v>
      </c>
      <c r="I457" s="19">
        <v>5.74</v>
      </c>
      <c r="J457" s="20">
        <f t="shared" si="14"/>
        <v>57.400000000000006</v>
      </c>
      <c r="K457" s="106"/>
      <c r="L457" s="114"/>
      <c r="M457" s="114">
        <f>tblAquisições[[#This Row],[VALOR UNITARIO COMPRADO]]*tblAquisições[[#This Row],[QUANTIDADE COMPRADA]]</f>
        <v>0</v>
      </c>
      <c r="N457" s="110">
        <f>K457-tblAquisições[[#This Row],[QUANTIDADE PLANEJADA]]</f>
        <v>-10</v>
      </c>
      <c r="O457" s="106" t="str">
        <f t="shared" si="15"/>
        <v>Faltando Comprar</v>
      </c>
    </row>
    <row r="458" spans="1:15" ht="47.25">
      <c r="A458" s="16" t="s">
        <v>17</v>
      </c>
      <c r="B458" s="16" t="s">
        <v>24</v>
      </c>
      <c r="C458" s="17" t="s">
        <v>19</v>
      </c>
      <c r="D458" s="18" t="s">
        <v>306</v>
      </c>
      <c r="E458" s="18">
        <v>10</v>
      </c>
      <c r="F458" s="18" t="s">
        <v>78</v>
      </c>
      <c r="G458" s="18" t="s">
        <v>22</v>
      </c>
      <c r="H458" s="18" t="s">
        <v>23</v>
      </c>
      <c r="I458" s="19">
        <v>5.74</v>
      </c>
      <c r="J458" s="20">
        <f t="shared" si="14"/>
        <v>57.400000000000006</v>
      </c>
      <c r="K458" s="106"/>
      <c r="L458" s="114"/>
      <c r="M458" s="114">
        <f>tblAquisições[[#This Row],[VALOR UNITARIO COMPRADO]]*tblAquisições[[#This Row],[QUANTIDADE COMPRADA]]</f>
        <v>0</v>
      </c>
      <c r="N458" s="110">
        <f>K458-tblAquisições[[#This Row],[QUANTIDADE PLANEJADA]]</f>
        <v>-10</v>
      </c>
      <c r="O458" s="106" t="str">
        <f t="shared" si="15"/>
        <v>Faltando Comprar</v>
      </c>
    </row>
    <row r="459" spans="1:15" ht="47.25">
      <c r="A459" s="16" t="s">
        <v>17</v>
      </c>
      <c r="B459" s="16" t="s">
        <v>25</v>
      </c>
      <c r="C459" s="17" t="s">
        <v>19</v>
      </c>
      <c r="D459" s="18" t="s">
        <v>306</v>
      </c>
      <c r="E459" s="18">
        <v>10</v>
      </c>
      <c r="F459" s="18" t="s">
        <v>78</v>
      </c>
      <c r="G459" s="18" t="s">
        <v>22</v>
      </c>
      <c r="H459" s="18" t="s">
        <v>23</v>
      </c>
      <c r="I459" s="19">
        <v>5.74</v>
      </c>
      <c r="J459" s="20">
        <f t="shared" si="14"/>
        <v>57.400000000000006</v>
      </c>
      <c r="K459" s="106"/>
      <c r="L459" s="114"/>
      <c r="M459" s="114">
        <f>tblAquisições[[#This Row],[VALOR UNITARIO COMPRADO]]*tblAquisições[[#This Row],[QUANTIDADE COMPRADA]]</f>
        <v>0</v>
      </c>
      <c r="N459" s="110">
        <f>K459-tblAquisições[[#This Row],[QUANTIDADE PLANEJADA]]</f>
        <v>-10</v>
      </c>
      <c r="O459" s="106" t="str">
        <f t="shared" si="15"/>
        <v>Faltando Comprar</v>
      </c>
    </row>
    <row r="460" spans="1:15" ht="47.25">
      <c r="A460" s="16" t="s">
        <v>17</v>
      </c>
      <c r="B460" s="16" t="s">
        <v>28</v>
      </c>
      <c r="C460" s="17" t="s">
        <v>19</v>
      </c>
      <c r="D460" s="18" t="s">
        <v>306</v>
      </c>
      <c r="E460" s="18">
        <v>15</v>
      </c>
      <c r="F460" s="18" t="s">
        <v>78</v>
      </c>
      <c r="G460" s="18" t="s">
        <v>22</v>
      </c>
      <c r="H460" s="18" t="s">
        <v>23</v>
      </c>
      <c r="I460" s="19">
        <v>5.74</v>
      </c>
      <c r="J460" s="20">
        <f t="shared" si="14"/>
        <v>86.100000000000009</v>
      </c>
      <c r="K460" s="106"/>
      <c r="L460" s="114"/>
      <c r="M460" s="114">
        <f>tblAquisições[[#This Row],[VALOR UNITARIO COMPRADO]]*tblAquisições[[#This Row],[QUANTIDADE COMPRADA]]</f>
        <v>0</v>
      </c>
      <c r="N460" s="110">
        <f>K460-tblAquisições[[#This Row],[QUANTIDADE PLANEJADA]]</f>
        <v>-15</v>
      </c>
      <c r="O460" s="106" t="str">
        <f t="shared" si="15"/>
        <v>Faltando Comprar</v>
      </c>
    </row>
    <row r="461" spans="1:15" ht="47.25">
      <c r="A461" s="16" t="s">
        <v>17</v>
      </c>
      <c r="B461" s="16" t="s">
        <v>80</v>
      </c>
      <c r="C461" s="17" t="s">
        <v>19</v>
      </c>
      <c r="D461" s="18" t="s">
        <v>307</v>
      </c>
      <c r="E461" s="18">
        <v>2</v>
      </c>
      <c r="F461" s="18" t="s">
        <v>147</v>
      </c>
      <c r="G461" s="18" t="s">
        <v>39</v>
      </c>
      <c r="H461" s="18" t="s">
        <v>23</v>
      </c>
      <c r="I461" s="19">
        <v>28.64</v>
      </c>
      <c r="J461" s="20">
        <f t="shared" si="14"/>
        <v>57.28</v>
      </c>
      <c r="K461" s="106"/>
      <c r="L461" s="114"/>
      <c r="M461" s="114">
        <f>tblAquisições[[#This Row],[VALOR UNITARIO COMPRADO]]*tblAquisições[[#This Row],[QUANTIDADE COMPRADA]]</f>
        <v>0</v>
      </c>
      <c r="N461" s="110">
        <f>K461-tblAquisições[[#This Row],[QUANTIDADE PLANEJADA]]</f>
        <v>-2</v>
      </c>
      <c r="O461" s="106" t="str">
        <f t="shared" si="15"/>
        <v>Faltando Comprar</v>
      </c>
    </row>
    <row r="462" spans="1:15" ht="47.25">
      <c r="A462" s="16" t="s">
        <v>17</v>
      </c>
      <c r="B462" s="16" t="s">
        <v>31</v>
      </c>
      <c r="C462" s="17" t="s">
        <v>19</v>
      </c>
      <c r="D462" s="18" t="s">
        <v>308</v>
      </c>
      <c r="E462" s="18">
        <v>10</v>
      </c>
      <c r="F462" s="18" t="s">
        <v>78</v>
      </c>
      <c r="G462" s="18" t="s">
        <v>22</v>
      </c>
      <c r="H462" s="18" t="s">
        <v>23</v>
      </c>
      <c r="I462" s="19">
        <v>28.64</v>
      </c>
      <c r="J462" s="20">
        <f t="shared" si="14"/>
        <v>286.39999999999998</v>
      </c>
      <c r="K462" s="106"/>
      <c r="L462" s="114"/>
      <c r="M462" s="114">
        <f>tblAquisições[[#This Row],[VALOR UNITARIO COMPRADO]]*tblAquisições[[#This Row],[QUANTIDADE COMPRADA]]</f>
        <v>0</v>
      </c>
      <c r="N462" s="110">
        <f>K462-tblAquisições[[#This Row],[QUANTIDADE PLANEJADA]]</f>
        <v>-10</v>
      </c>
      <c r="O462" s="106" t="str">
        <f t="shared" si="15"/>
        <v>Faltando Comprar</v>
      </c>
    </row>
    <row r="463" spans="1:15" ht="47.25">
      <c r="A463" s="16" t="s">
        <v>17</v>
      </c>
      <c r="B463" s="16" t="s">
        <v>18</v>
      </c>
      <c r="C463" s="17" t="s">
        <v>19</v>
      </c>
      <c r="D463" s="18" t="s">
        <v>308</v>
      </c>
      <c r="E463" s="18">
        <v>10</v>
      </c>
      <c r="F463" s="18" t="s">
        <v>78</v>
      </c>
      <c r="G463" s="18" t="s">
        <v>22</v>
      </c>
      <c r="H463" s="18" t="s">
        <v>23</v>
      </c>
      <c r="I463" s="19">
        <v>28.64</v>
      </c>
      <c r="J463" s="20">
        <f t="shared" si="14"/>
        <v>286.39999999999998</v>
      </c>
      <c r="K463" s="106"/>
      <c r="L463" s="114"/>
      <c r="M463" s="114">
        <f>tblAquisições[[#This Row],[VALOR UNITARIO COMPRADO]]*tblAquisições[[#This Row],[QUANTIDADE COMPRADA]]</f>
        <v>0</v>
      </c>
      <c r="N463" s="110">
        <f>K463-tblAquisições[[#This Row],[QUANTIDADE PLANEJADA]]</f>
        <v>-10</v>
      </c>
      <c r="O463" s="106" t="str">
        <f t="shared" si="15"/>
        <v>Faltando Comprar</v>
      </c>
    </row>
    <row r="464" spans="1:15" ht="47.25">
      <c r="A464" s="16" t="s">
        <v>17</v>
      </c>
      <c r="B464" s="16" t="s">
        <v>24</v>
      </c>
      <c r="C464" s="17" t="s">
        <v>19</v>
      </c>
      <c r="D464" s="18" t="s">
        <v>308</v>
      </c>
      <c r="E464" s="18">
        <v>10</v>
      </c>
      <c r="F464" s="18" t="s">
        <v>78</v>
      </c>
      <c r="G464" s="18" t="s">
        <v>22</v>
      </c>
      <c r="H464" s="18" t="s">
        <v>23</v>
      </c>
      <c r="I464" s="19">
        <v>28.64</v>
      </c>
      <c r="J464" s="20">
        <f t="shared" si="14"/>
        <v>286.39999999999998</v>
      </c>
      <c r="K464" s="106"/>
      <c r="L464" s="114"/>
      <c r="M464" s="114">
        <f>tblAquisições[[#This Row],[VALOR UNITARIO COMPRADO]]*tblAquisições[[#This Row],[QUANTIDADE COMPRADA]]</f>
        <v>0</v>
      </c>
      <c r="N464" s="110">
        <f>K464-tblAquisições[[#This Row],[QUANTIDADE PLANEJADA]]</f>
        <v>-10</v>
      </c>
      <c r="O464" s="106" t="str">
        <f t="shared" si="15"/>
        <v>Faltando Comprar</v>
      </c>
    </row>
    <row r="465" spans="1:15" ht="47.25">
      <c r="A465" s="16" t="s">
        <v>17</v>
      </c>
      <c r="B465" s="16" t="s">
        <v>25</v>
      </c>
      <c r="C465" s="17" t="s">
        <v>19</v>
      </c>
      <c r="D465" s="18" t="s">
        <v>308</v>
      </c>
      <c r="E465" s="18">
        <v>10</v>
      </c>
      <c r="F465" s="18" t="s">
        <v>78</v>
      </c>
      <c r="G465" s="18" t="s">
        <v>22</v>
      </c>
      <c r="H465" s="18" t="s">
        <v>23</v>
      </c>
      <c r="I465" s="19">
        <v>28.64</v>
      </c>
      <c r="J465" s="20">
        <f t="shared" si="14"/>
        <v>286.39999999999998</v>
      </c>
      <c r="K465" s="106"/>
      <c r="L465" s="114"/>
      <c r="M465" s="114">
        <f>tblAquisições[[#This Row],[VALOR UNITARIO COMPRADO]]*tblAquisições[[#This Row],[QUANTIDADE COMPRADA]]</f>
        <v>0</v>
      </c>
      <c r="N465" s="110">
        <f>K465-tblAquisições[[#This Row],[QUANTIDADE PLANEJADA]]</f>
        <v>-10</v>
      </c>
      <c r="O465" s="106" t="str">
        <f t="shared" si="15"/>
        <v>Faltando Comprar</v>
      </c>
    </row>
    <row r="466" spans="1:15" ht="47.25">
      <c r="A466" s="16" t="s">
        <v>17</v>
      </c>
      <c r="B466" s="16" t="s">
        <v>28</v>
      </c>
      <c r="C466" s="17" t="s">
        <v>19</v>
      </c>
      <c r="D466" s="18" t="s">
        <v>308</v>
      </c>
      <c r="E466" s="18">
        <v>15</v>
      </c>
      <c r="F466" s="18" t="s">
        <v>78</v>
      </c>
      <c r="G466" s="18" t="s">
        <v>22</v>
      </c>
      <c r="H466" s="18" t="s">
        <v>23</v>
      </c>
      <c r="I466" s="19">
        <v>28.64</v>
      </c>
      <c r="J466" s="20">
        <f t="shared" si="14"/>
        <v>429.6</v>
      </c>
      <c r="K466" s="106"/>
      <c r="L466" s="114"/>
      <c r="M466" s="114">
        <f>tblAquisições[[#This Row],[VALOR UNITARIO COMPRADO]]*tblAquisições[[#This Row],[QUANTIDADE COMPRADA]]</f>
        <v>0</v>
      </c>
      <c r="N466" s="110">
        <f>K466-tblAquisições[[#This Row],[QUANTIDADE PLANEJADA]]</f>
        <v>-15</v>
      </c>
      <c r="O466" s="106" t="str">
        <f t="shared" si="15"/>
        <v>Faltando Comprar</v>
      </c>
    </row>
    <row r="467" spans="1:15" ht="47.25">
      <c r="A467" s="16" t="s">
        <v>17</v>
      </c>
      <c r="B467" s="16" t="s">
        <v>80</v>
      </c>
      <c r="C467" s="17" t="s">
        <v>19</v>
      </c>
      <c r="D467" s="18" t="s">
        <v>309</v>
      </c>
      <c r="E467" s="18">
        <v>2</v>
      </c>
      <c r="F467" s="18" t="s">
        <v>147</v>
      </c>
      <c r="G467" s="18" t="s">
        <v>39</v>
      </c>
      <c r="H467" s="18" t="s">
        <v>23</v>
      </c>
      <c r="I467" s="19">
        <v>27.21</v>
      </c>
      <c r="J467" s="20">
        <f t="shared" si="14"/>
        <v>54.42</v>
      </c>
      <c r="K467" s="106"/>
      <c r="L467" s="114"/>
      <c r="M467" s="114">
        <f>tblAquisições[[#This Row],[VALOR UNITARIO COMPRADO]]*tblAquisições[[#This Row],[QUANTIDADE COMPRADA]]</f>
        <v>0</v>
      </c>
      <c r="N467" s="110">
        <f>K467-tblAquisições[[#This Row],[QUANTIDADE PLANEJADA]]</f>
        <v>-2</v>
      </c>
      <c r="O467" s="106" t="str">
        <f t="shared" si="15"/>
        <v>Faltando Comprar</v>
      </c>
    </row>
    <row r="468" spans="1:15" ht="47.25">
      <c r="A468" s="16" t="s">
        <v>17</v>
      </c>
      <c r="B468" s="16" t="s">
        <v>31</v>
      </c>
      <c r="C468" s="17" t="s">
        <v>19</v>
      </c>
      <c r="D468" s="18" t="s">
        <v>310</v>
      </c>
      <c r="E468" s="18">
        <v>10</v>
      </c>
      <c r="F468" s="18" t="s">
        <v>78</v>
      </c>
      <c r="G468" s="18" t="s">
        <v>22</v>
      </c>
      <c r="H468" s="18" t="s">
        <v>23</v>
      </c>
      <c r="I468" s="19">
        <v>27.21</v>
      </c>
      <c r="J468" s="20">
        <f t="shared" si="14"/>
        <v>272.10000000000002</v>
      </c>
      <c r="K468" s="106"/>
      <c r="L468" s="114"/>
      <c r="M468" s="114">
        <f>tblAquisições[[#This Row],[VALOR UNITARIO COMPRADO]]*tblAquisições[[#This Row],[QUANTIDADE COMPRADA]]</f>
        <v>0</v>
      </c>
      <c r="N468" s="110">
        <f>K468-tblAquisições[[#This Row],[QUANTIDADE PLANEJADA]]</f>
        <v>-10</v>
      </c>
      <c r="O468" s="106" t="str">
        <f t="shared" si="15"/>
        <v>Faltando Comprar</v>
      </c>
    </row>
    <row r="469" spans="1:15" ht="47.25">
      <c r="A469" s="16" t="s">
        <v>17</v>
      </c>
      <c r="B469" s="16" t="s">
        <v>18</v>
      </c>
      <c r="C469" s="17" t="s">
        <v>19</v>
      </c>
      <c r="D469" s="18" t="s">
        <v>310</v>
      </c>
      <c r="E469" s="18">
        <v>10</v>
      </c>
      <c r="F469" s="18" t="s">
        <v>78</v>
      </c>
      <c r="G469" s="18" t="s">
        <v>22</v>
      </c>
      <c r="H469" s="18" t="s">
        <v>23</v>
      </c>
      <c r="I469" s="19">
        <v>27.21</v>
      </c>
      <c r="J469" s="20">
        <f t="shared" si="14"/>
        <v>272.10000000000002</v>
      </c>
      <c r="K469" s="106"/>
      <c r="L469" s="114"/>
      <c r="M469" s="114">
        <f>tblAquisições[[#This Row],[VALOR UNITARIO COMPRADO]]*tblAquisições[[#This Row],[QUANTIDADE COMPRADA]]</f>
        <v>0</v>
      </c>
      <c r="N469" s="110">
        <f>K469-tblAquisições[[#This Row],[QUANTIDADE PLANEJADA]]</f>
        <v>-10</v>
      </c>
      <c r="O469" s="106" t="str">
        <f t="shared" si="15"/>
        <v>Faltando Comprar</v>
      </c>
    </row>
    <row r="470" spans="1:15" ht="47.25">
      <c r="A470" s="16" t="s">
        <v>17</v>
      </c>
      <c r="B470" s="16" t="s">
        <v>24</v>
      </c>
      <c r="C470" s="17" t="s">
        <v>19</v>
      </c>
      <c r="D470" s="18" t="s">
        <v>310</v>
      </c>
      <c r="E470" s="18">
        <v>10</v>
      </c>
      <c r="F470" s="18" t="s">
        <v>78</v>
      </c>
      <c r="G470" s="18" t="s">
        <v>22</v>
      </c>
      <c r="H470" s="18" t="s">
        <v>23</v>
      </c>
      <c r="I470" s="19">
        <v>27.21</v>
      </c>
      <c r="J470" s="20">
        <f t="shared" si="14"/>
        <v>272.10000000000002</v>
      </c>
      <c r="K470" s="106"/>
      <c r="L470" s="114"/>
      <c r="M470" s="114">
        <f>tblAquisições[[#This Row],[VALOR UNITARIO COMPRADO]]*tblAquisições[[#This Row],[QUANTIDADE COMPRADA]]</f>
        <v>0</v>
      </c>
      <c r="N470" s="110">
        <f>K470-tblAquisições[[#This Row],[QUANTIDADE PLANEJADA]]</f>
        <v>-10</v>
      </c>
      <c r="O470" s="106" t="str">
        <f t="shared" si="15"/>
        <v>Faltando Comprar</v>
      </c>
    </row>
    <row r="471" spans="1:15" ht="47.25">
      <c r="A471" s="16" t="s">
        <v>17</v>
      </c>
      <c r="B471" s="16" t="s">
        <v>25</v>
      </c>
      <c r="C471" s="17" t="s">
        <v>19</v>
      </c>
      <c r="D471" s="18" t="s">
        <v>310</v>
      </c>
      <c r="E471" s="18">
        <v>10</v>
      </c>
      <c r="F471" s="18" t="s">
        <v>78</v>
      </c>
      <c r="G471" s="18" t="s">
        <v>22</v>
      </c>
      <c r="H471" s="18" t="s">
        <v>23</v>
      </c>
      <c r="I471" s="19">
        <v>27.21</v>
      </c>
      <c r="J471" s="20">
        <f t="shared" si="14"/>
        <v>272.10000000000002</v>
      </c>
      <c r="K471" s="106"/>
      <c r="L471" s="114"/>
      <c r="M471" s="114">
        <f>tblAquisições[[#This Row],[VALOR UNITARIO COMPRADO]]*tblAquisições[[#This Row],[QUANTIDADE COMPRADA]]</f>
        <v>0</v>
      </c>
      <c r="N471" s="110">
        <f>K471-tblAquisições[[#This Row],[QUANTIDADE PLANEJADA]]</f>
        <v>-10</v>
      </c>
      <c r="O471" s="106" t="str">
        <f t="shared" si="15"/>
        <v>Faltando Comprar</v>
      </c>
    </row>
    <row r="472" spans="1:15" ht="47.25">
      <c r="A472" s="16" t="s">
        <v>17</v>
      </c>
      <c r="B472" s="16" t="s">
        <v>28</v>
      </c>
      <c r="C472" s="17" t="s">
        <v>19</v>
      </c>
      <c r="D472" s="18" t="s">
        <v>310</v>
      </c>
      <c r="E472" s="18">
        <v>15</v>
      </c>
      <c r="F472" s="18" t="s">
        <v>78</v>
      </c>
      <c r="G472" s="18" t="s">
        <v>22</v>
      </c>
      <c r="H472" s="18" t="s">
        <v>23</v>
      </c>
      <c r="I472" s="19">
        <v>27.21</v>
      </c>
      <c r="J472" s="20">
        <f t="shared" si="14"/>
        <v>408.15000000000003</v>
      </c>
      <c r="K472" s="106"/>
      <c r="L472" s="114"/>
      <c r="M472" s="114">
        <f>tblAquisições[[#This Row],[VALOR UNITARIO COMPRADO]]*tblAquisições[[#This Row],[QUANTIDADE COMPRADA]]</f>
        <v>0</v>
      </c>
      <c r="N472" s="110">
        <f>K472-tblAquisições[[#This Row],[QUANTIDADE PLANEJADA]]</f>
        <v>-15</v>
      </c>
      <c r="O472" s="106" t="str">
        <f t="shared" si="15"/>
        <v>Faltando Comprar</v>
      </c>
    </row>
    <row r="473" spans="1:15" ht="47.25">
      <c r="A473" s="16" t="s">
        <v>17</v>
      </c>
      <c r="B473" s="16" t="s">
        <v>80</v>
      </c>
      <c r="C473" s="17" t="s">
        <v>19</v>
      </c>
      <c r="D473" s="18" t="s">
        <v>311</v>
      </c>
      <c r="E473" s="18">
        <v>2</v>
      </c>
      <c r="F473" s="18" t="s">
        <v>147</v>
      </c>
      <c r="G473" s="18" t="s">
        <v>39</v>
      </c>
      <c r="H473" s="18" t="s">
        <v>23</v>
      </c>
      <c r="I473" s="19">
        <v>22.75</v>
      </c>
      <c r="J473" s="20">
        <f t="shared" si="14"/>
        <v>45.5</v>
      </c>
      <c r="K473" s="106"/>
      <c r="L473" s="114"/>
      <c r="M473" s="114">
        <f>tblAquisições[[#This Row],[VALOR UNITARIO COMPRADO]]*tblAquisições[[#This Row],[QUANTIDADE COMPRADA]]</f>
        <v>0</v>
      </c>
      <c r="N473" s="110">
        <f>K473-tblAquisições[[#This Row],[QUANTIDADE PLANEJADA]]</f>
        <v>-2</v>
      </c>
      <c r="O473" s="106" t="str">
        <f t="shared" si="15"/>
        <v>Faltando Comprar</v>
      </c>
    </row>
    <row r="474" spans="1:15" ht="47.25">
      <c r="A474" s="16" t="s">
        <v>17</v>
      </c>
      <c r="B474" s="16" t="s">
        <v>28</v>
      </c>
      <c r="C474" s="17" t="s">
        <v>19</v>
      </c>
      <c r="D474" s="18" t="s">
        <v>312</v>
      </c>
      <c r="E474" s="18">
        <v>250</v>
      </c>
      <c r="F474" s="18" t="s">
        <v>313</v>
      </c>
      <c r="G474" s="18" t="s">
        <v>22</v>
      </c>
      <c r="H474" s="18" t="s">
        <v>83</v>
      </c>
      <c r="I474" s="19">
        <v>18.32</v>
      </c>
      <c r="J474" s="20">
        <f t="shared" si="14"/>
        <v>4580</v>
      </c>
      <c r="K474" s="106"/>
      <c r="L474" s="114"/>
      <c r="M474" s="114">
        <f>tblAquisições[[#This Row],[VALOR UNITARIO COMPRADO]]*tblAquisições[[#This Row],[QUANTIDADE COMPRADA]]</f>
        <v>0</v>
      </c>
      <c r="N474" s="110">
        <f>K474-tblAquisições[[#This Row],[QUANTIDADE PLANEJADA]]</f>
        <v>-250</v>
      </c>
      <c r="O474" s="106" t="str">
        <f t="shared" si="15"/>
        <v>Faltando Comprar</v>
      </c>
    </row>
    <row r="475" spans="1:15" ht="47.25">
      <c r="A475" s="16" t="s">
        <v>17</v>
      </c>
      <c r="B475" s="16" t="s">
        <v>28</v>
      </c>
      <c r="C475" s="17" t="s">
        <v>19</v>
      </c>
      <c r="D475" s="18" t="s">
        <v>314</v>
      </c>
      <c r="E475" s="18">
        <v>2</v>
      </c>
      <c r="F475" s="18" t="s">
        <v>78</v>
      </c>
      <c r="G475" s="18" t="s">
        <v>22</v>
      </c>
      <c r="H475" s="18" t="s">
        <v>23</v>
      </c>
      <c r="I475" s="19">
        <v>86.97</v>
      </c>
      <c r="J475" s="20">
        <f t="shared" si="14"/>
        <v>173.94</v>
      </c>
      <c r="K475" s="106"/>
      <c r="L475" s="114"/>
      <c r="M475" s="114">
        <f>tblAquisições[[#This Row],[VALOR UNITARIO COMPRADO]]*tblAquisições[[#This Row],[QUANTIDADE COMPRADA]]</f>
        <v>0</v>
      </c>
      <c r="N475" s="110">
        <f>K475-tblAquisições[[#This Row],[QUANTIDADE PLANEJADA]]</f>
        <v>-2</v>
      </c>
      <c r="O475" s="106" t="str">
        <f t="shared" si="15"/>
        <v>Faltando Comprar</v>
      </c>
    </row>
    <row r="476" spans="1:15" ht="31.5">
      <c r="A476" s="16" t="s">
        <v>17</v>
      </c>
      <c r="B476" s="16" t="s">
        <v>18</v>
      </c>
      <c r="C476" s="17" t="s">
        <v>19</v>
      </c>
      <c r="D476" s="18" t="s">
        <v>315</v>
      </c>
      <c r="E476" s="18">
        <v>2500</v>
      </c>
      <c r="F476" s="18" t="s">
        <v>21</v>
      </c>
      <c r="G476" s="18" t="s">
        <v>22</v>
      </c>
      <c r="H476" s="18" t="s">
        <v>23</v>
      </c>
      <c r="I476" s="19">
        <v>0.9</v>
      </c>
      <c r="J476" s="20">
        <f t="shared" si="14"/>
        <v>2250</v>
      </c>
      <c r="K476" s="106"/>
      <c r="L476" s="114"/>
      <c r="M476" s="114">
        <f>tblAquisições[[#This Row],[VALOR UNITARIO COMPRADO]]*tblAquisições[[#This Row],[QUANTIDADE COMPRADA]]</f>
        <v>0</v>
      </c>
      <c r="N476" s="110">
        <f>K476-tblAquisições[[#This Row],[QUANTIDADE PLANEJADA]]</f>
        <v>-2500</v>
      </c>
      <c r="O476" s="106" t="str">
        <f t="shared" si="15"/>
        <v>Faltando Comprar</v>
      </c>
    </row>
    <row r="477" spans="1:15" ht="31.5">
      <c r="A477" s="16" t="s">
        <v>17</v>
      </c>
      <c r="B477" s="16" t="s">
        <v>24</v>
      </c>
      <c r="C477" s="17" t="s">
        <v>19</v>
      </c>
      <c r="D477" s="18" t="s">
        <v>315</v>
      </c>
      <c r="E477" s="18">
        <v>2500</v>
      </c>
      <c r="F477" s="18" t="s">
        <v>21</v>
      </c>
      <c r="G477" s="18" t="s">
        <v>22</v>
      </c>
      <c r="H477" s="18" t="s">
        <v>23</v>
      </c>
      <c r="I477" s="19">
        <v>0.9</v>
      </c>
      <c r="J477" s="20">
        <f t="shared" si="14"/>
        <v>2250</v>
      </c>
      <c r="K477" s="106"/>
      <c r="L477" s="114"/>
      <c r="M477" s="114">
        <f>tblAquisições[[#This Row],[VALOR UNITARIO COMPRADO]]*tblAquisições[[#This Row],[QUANTIDADE COMPRADA]]</f>
        <v>0</v>
      </c>
      <c r="N477" s="110">
        <f>K477-tblAquisições[[#This Row],[QUANTIDADE PLANEJADA]]</f>
        <v>-2500</v>
      </c>
      <c r="O477" s="106" t="str">
        <f t="shared" si="15"/>
        <v>Faltando Comprar</v>
      </c>
    </row>
    <row r="478" spans="1:15" ht="31.5">
      <c r="A478" s="16" t="s">
        <v>17</v>
      </c>
      <c r="B478" s="16" t="s">
        <v>25</v>
      </c>
      <c r="C478" s="17" t="s">
        <v>19</v>
      </c>
      <c r="D478" s="18" t="s">
        <v>315</v>
      </c>
      <c r="E478" s="18">
        <v>2500</v>
      </c>
      <c r="F478" s="18" t="s">
        <v>21</v>
      </c>
      <c r="G478" s="18" t="s">
        <v>22</v>
      </c>
      <c r="H478" s="18" t="s">
        <v>23</v>
      </c>
      <c r="I478" s="19">
        <v>0.9</v>
      </c>
      <c r="J478" s="20">
        <f t="shared" si="14"/>
        <v>2250</v>
      </c>
      <c r="K478" s="106"/>
      <c r="L478" s="114"/>
      <c r="M478" s="114">
        <f>tblAquisições[[#This Row],[VALOR UNITARIO COMPRADO]]*tblAquisições[[#This Row],[QUANTIDADE COMPRADA]]</f>
        <v>0</v>
      </c>
      <c r="N478" s="110">
        <f>K478-tblAquisições[[#This Row],[QUANTIDADE PLANEJADA]]</f>
        <v>-2500</v>
      </c>
      <c r="O478" s="106" t="str">
        <f t="shared" si="15"/>
        <v>Faltando Comprar</v>
      </c>
    </row>
    <row r="479" spans="1:15" ht="31.5">
      <c r="A479" s="16" t="s">
        <v>17</v>
      </c>
      <c r="B479" s="16" t="s">
        <v>26</v>
      </c>
      <c r="C479" s="17" t="s">
        <v>19</v>
      </c>
      <c r="D479" s="18" t="s">
        <v>315</v>
      </c>
      <c r="E479" s="18">
        <v>300</v>
      </c>
      <c r="F479" s="18" t="s">
        <v>21</v>
      </c>
      <c r="G479" s="18" t="s">
        <v>22</v>
      </c>
      <c r="H479" s="18" t="s">
        <v>23</v>
      </c>
      <c r="I479" s="19">
        <v>0.9</v>
      </c>
      <c r="J479" s="20">
        <f t="shared" si="14"/>
        <v>270</v>
      </c>
      <c r="K479" s="106"/>
      <c r="L479" s="114"/>
      <c r="M479" s="114">
        <f>tblAquisições[[#This Row],[VALOR UNITARIO COMPRADO]]*tblAquisições[[#This Row],[QUANTIDADE COMPRADA]]</f>
        <v>0</v>
      </c>
      <c r="N479" s="110">
        <f>K479-tblAquisições[[#This Row],[QUANTIDADE PLANEJADA]]</f>
        <v>-300</v>
      </c>
      <c r="O479" s="106" t="str">
        <f t="shared" si="15"/>
        <v>Faltando Comprar</v>
      </c>
    </row>
    <row r="480" spans="1:15" ht="31.5">
      <c r="A480" s="16" t="s">
        <v>17</v>
      </c>
      <c r="B480" s="16" t="s">
        <v>28</v>
      </c>
      <c r="C480" s="17" t="s">
        <v>19</v>
      </c>
      <c r="D480" s="18" t="s">
        <v>315</v>
      </c>
      <c r="E480" s="18">
        <v>50</v>
      </c>
      <c r="F480" s="18" t="s">
        <v>21</v>
      </c>
      <c r="G480" s="18" t="s">
        <v>22</v>
      </c>
      <c r="H480" s="18" t="s">
        <v>65</v>
      </c>
      <c r="I480" s="24">
        <v>50</v>
      </c>
      <c r="J480" s="20">
        <f t="shared" si="14"/>
        <v>2500</v>
      </c>
      <c r="K480" s="106"/>
      <c r="L480" s="114"/>
      <c r="M480" s="114">
        <f>tblAquisições[[#This Row],[VALOR UNITARIO COMPRADO]]*tblAquisições[[#This Row],[QUANTIDADE COMPRADA]]</f>
        <v>0</v>
      </c>
      <c r="N480" s="110">
        <f>K480-tblAquisições[[#This Row],[QUANTIDADE PLANEJADA]]</f>
        <v>-50</v>
      </c>
      <c r="O480" s="106" t="str">
        <f t="shared" si="15"/>
        <v>Faltando Comprar</v>
      </c>
    </row>
    <row r="481" spans="1:15" ht="47.25">
      <c r="A481" s="16" t="s">
        <v>17</v>
      </c>
      <c r="B481" s="16" t="s">
        <v>26</v>
      </c>
      <c r="C481" s="17" t="s">
        <v>19</v>
      </c>
      <c r="D481" s="18" t="s">
        <v>316</v>
      </c>
      <c r="E481" s="18">
        <v>25</v>
      </c>
      <c r="F481" s="18" t="s">
        <v>107</v>
      </c>
      <c r="G481" s="18" t="s">
        <v>22</v>
      </c>
      <c r="H481" s="18" t="s">
        <v>23</v>
      </c>
      <c r="I481" s="19">
        <v>22.26</v>
      </c>
      <c r="J481" s="20">
        <f t="shared" si="14"/>
        <v>556.5</v>
      </c>
      <c r="K481" s="106"/>
      <c r="L481" s="114"/>
      <c r="M481" s="114">
        <f>tblAquisições[[#This Row],[VALOR UNITARIO COMPRADO]]*tblAquisições[[#This Row],[QUANTIDADE COMPRADA]]</f>
        <v>0</v>
      </c>
      <c r="N481" s="110">
        <f>K481-tblAquisições[[#This Row],[QUANTIDADE PLANEJADA]]</f>
        <v>-25</v>
      </c>
      <c r="O481" s="106" t="str">
        <f t="shared" si="15"/>
        <v>Faltando Comprar</v>
      </c>
    </row>
    <row r="482" spans="1:15" ht="31.5">
      <c r="A482" s="16" t="s">
        <v>17</v>
      </c>
      <c r="B482" s="16" t="s">
        <v>80</v>
      </c>
      <c r="C482" s="17" t="s">
        <v>19</v>
      </c>
      <c r="D482" s="18" t="s">
        <v>317</v>
      </c>
      <c r="E482" s="18">
        <v>60</v>
      </c>
      <c r="F482" s="18" t="s">
        <v>38</v>
      </c>
      <c r="G482" s="18" t="s">
        <v>39</v>
      </c>
      <c r="H482" s="18" t="s">
        <v>23</v>
      </c>
      <c r="I482" s="19">
        <v>247.67</v>
      </c>
      <c r="J482" s="20">
        <f t="shared" si="14"/>
        <v>14860.199999999999</v>
      </c>
      <c r="K482" s="106"/>
      <c r="L482" s="114"/>
      <c r="M482" s="114">
        <f>tblAquisições[[#This Row],[VALOR UNITARIO COMPRADO]]*tblAquisições[[#This Row],[QUANTIDADE COMPRADA]]</f>
        <v>0</v>
      </c>
      <c r="N482" s="110">
        <f>K482-tblAquisições[[#This Row],[QUANTIDADE PLANEJADA]]</f>
        <v>-60</v>
      </c>
      <c r="O482" s="106" t="str">
        <f t="shared" si="15"/>
        <v>Faltando Comprar</v>
      </c>
    </row>
    <row r="483" spans="1:15" ht="31.5">
      <c r="A483" s="16" t="s">
        <v>17</v>
      </c>
      <c r="B483" s="16" t="s">
        <v>31</v>
      </c>
      <c r="C483" s="17" t="s">
        <v>19</v>
      </c>
      <c r="D483" s="18" t="s">
        <v>318</v>
      </c>
      <c r="E483" s="18">
        <v>22</v>
      </c>
      <c r="F483" s="18" t="s">
        <v>21</v>
      </c>
      <c r="G483" s="18" t="s">
        <v>22</v>
      </c>
      <c r="H483" s="18" t="s">
        <v>23</v>
      </c>
      <c r="I483" s="19">
        <v>247.67</v>
      </c>
      <c r="J483" s="20">
        <f t="shared" si="14"/>
        <v>5448.74</v>
      </c>
      <c r="K483" s="106"/>
      <c r="L483" s="114"/>
      <c r="M483" s="114">
        <f>tblAquisições[[#This Row],[VALOR UNITARIO COMPRADO]]*tblAquisições[[#This Row],[QUANTIDADE COMPRADA]]</f>
        <v>0</v>
      </c>
      <c r="N483" s="110">
        <f>K483-tblAquisições[[#This Row],[QUANTIDADE PLANEJADA]]</f>
        <v>-22</v>
      </c>
      <c r="O483" s="106" t="str">
        <f t="shared" si="15"/>
        <v>Faltando Comprar</v>
      </c>
    </row>
    <row r="484" spans="1:15" ht="31.5">
      <c r="A484" s="16" t="s">
        <v>17</v>
      </c>
      <c r="B484" s="16" t="s">
        <v>41</v>
      </c>
      <c r="C484" s="17" t="s">
        <v>19</v>
      </c>
      <c r="D484" s="18" t="s">
        <v>318</v>
      </c>
      <c r="E484" s="18">
        <v>180</v>
      </c>
      <c r="F484" s="18" t="s">
        <v>21</v>
      </c>
      <c r="G484" s="18" t="s">
        <v>22</v>
      </c>
      <c r="H484" s="18" t="s">
        <v>83</v>
      </c>
      <c r="I484" s="19">
        <v>247.67</v>
      </c>
      <c r="J484" s="20">
        <f t="shared" si="14"/>
        <v>44580.6</v>
      </c>
      <c r="K484" s="106"/>
      <c r="L484" s="114"/>
      <c r="M484" s="114">
        <f>tblAquisições[[#This Row],[VALOR UNITARIO COMPRADO]]*tblAquisições[[#This Row],[QUANTIDADE COMPRADA]]</f>
        <v>0</v>
      </c>
      <c r="N484" s="110">
        <f>K484-tblAquisições[[#This Row],[QUANTIDADE PLANEJADA]]</f>
        <v>-180</v>
      </c>
      <c r="O484" s="106" t="str">
        <f t="shared" si="15"/>
        <v>Faltando Comprar</v>
      </c>
    </row>
    <row r="485" spans="1:15" ht="31.5">
      <c r="A485" s="16" t="s">
        <v>17</v>
      </c>
      <c r="B485" s="16" t="s">
        <v>26</v>
      </c>
      <c r="C485" s="17" t="s">
        <v>19</v>
      </c>
      <c r="D485" s="18" t="s">
        <v>319</v>
      </c>
      <c r="E485" s="18">
        <v>100</v>
      </c>
      <c r="F485" s="18" t="s">
        <v>21</v>
      </c>
      <c r="G485" s="18" t="s">
        <v>22</v>
      </c>
      <c r="H485" s="18" t="s">
        <v>23</v>
      </c>
      <c r="I485" s="19">
        <v>16.329999999999998</v>
      </c>
      <c r="J485" s="20">
        <f t="shared" si="14"/>
        <v>1632.9999999999998</v>
      </c>
      <c r="K485" s="106"/>
      <c r="L485" s="114"/>
      <c r="M485" s="114">
        <f>tblAquisições[[#This Row],[VALOR UNITARIO COMPRADO]]*tblAquisições[[#This Row],[QUANTIDADE COMPRADA]]</f>
        <v>0</v>
      </c>
      <c r="N485" s="110">
        <f>K485-tblAquisições[[#This Row],[QUANTIDADE PLANEJADA]]</f>
        <v>-100</v>
      </c>
      <c r="O485" s="106" t="str">
        <f t="shared" si="15"/>
        <v>Faltando Comprar</v>
      </c>
    </row>
    <row r="486" spans="1:15" ht="31.5">
      <c r="A486" s="16" t="s">
        <v>17</v>
      </c>
      <c r="B486" s="16" t="s">
        <v>28</v>
      </c>
      <c r="C486" s="17" t="s">
        <v>19</v>
      </c>
      <c r="D486" s="18" t="s">
        <v>319</v>
      </c>
      <c r="E486" s="18">
        <v>200</v>
      </c>
      <c r="F486" s="18" t="s">
        <v>21</v>
      </c>
      <c r="G486" s="18" t="s">
        <v>22</v>
      </c>
      <c r="H486" s="18" t="s">
        <v>23</v>
      </c>
      <c r="I486" s="19">
        <v>16.329999999999998</v>
      </c>
      <c r="J486" s="20">
        <f t="shared" si="14"/>
        <v>3265.9999999999995</v>
      </c>
      <c r="K486" s="106"/>
      <c r="L486" s="114"/>
      <c r="M486" s="114">
        <f>tblAquisições[[#This Row],[VALOR UNITARIO COMPRADO]]*tblAquisições[[#This Row],[QUANTIDADE COMPRADA]]</f>
        <v>0</v>
      </c>
      <c r="N486" s="110">
        <f>K486-tblAquisições[[#This Row],[QUANTIDADE PLANEJADA]]</f>
        <v>-200</v>
      </c>
      <c r="O486" s="106" t="str">
        <f t="shared" si="15"/>
        <v>Faltando Comprar</v>
      </c>
    </row>
    <row r="487" spans="1:15" ht="31.5">
      <c r="A487" s="16" t="s">
        <v>17</v>
      </c>
      <c r="B487" s="16" t="s">
        <v>28</v>
      </c>
      <c r="C487" s="17" t="s">
        <v>19</v>
      </c>
      <c r="D487" s="18" t="s">
        <v>320</v>
      </c>
      <c r="E487" s="18">
        <v>60</v>
      </c>
      <c r="F487" s="18" t="s">
        <v>21</v>
      </c>
      <c r="G487" s="18" t="s">
        <v>22</v>
      </c>
      <c r="H487" s="18" t="s">
        <v>23</v>
      </c>
      <c r="I487" s="19">
        <v>19.96</v>
      </c>
      <c r="J487" s="20">
        <f t="shared" si="14"/>
        <v>1197.6000000000001</v>
      </c>
      <c r="K487" s="106"/>
      <c r="L487" s="114"/>
      <c r="M487" s="114">
        <f>tblAquisições[[#This Row],[VALOR UNITARIO COMPRADO]]*tblAquisições[[#This Row],[QUANTIDADE COMPRADA]]</f>
        <v>0</v>
      </c>
      <c r="N487" s="110">
        <f>K487-tblAquisições[[#This Row],[QUANTIDADE PLANEJADA]]</f>
        <v>-60</v>
      </c>
      <c r="O487" s="106" t="str">
        <f t="shared" si="15"/>
        <v>Faltando Comprar</v>
      </c>
    </row>
    <row r="488" spans="1:15" ht="31.5">
      <c r="A488" s="16" t="s">
        <v>17</v>
      </c>
      <c r="B488" s="16" t="s">
        <v>80</v>
      </c>
      <c r="C488" s="17" t="s">
        <v>19</v>
      </c>
      <c r="D488" s="18" t="s">
        <v>321</v>
      </c>
      <c r="E488" s="18">
        <v>10</v>
      </c>
      <c r="F488" s="18" t="s">
        <v>38</v>
      </c>
      <c r="G488" s="18" t="s">
        <v>39</v>
      </c>
      <c r="H488" s="18" t="s">
        <v>23</v>
      </c>
      <c r="I488" s="19">
        <v>607.29999999999995</v>
      </c>
      <c r="J488" s="20">
        <f t="shared" si="14"/>
        <v>6073</v>
      </c>
      <c r="K488" s="106"/>
      <c r="L488" s="114"/>
      <c r="M488" s="114">
        <f>tblAquisições[[#This Row],[VALOR UNITARIO COMPRADO]]*tblAquisições[[#This Row],[QUANTIDADE COMPRADA]]</f>
        <v>0</v>
      </c>
      <c r="N488" s="110">
        <f>K488-tblAquisições[[#This Row],[QUANTIDADE PLANEJADA]]</f>
        <v>-10</v>
      </c>
      <c r="O488" s="106" t="str">
        <f t="shared" si="15"/>
        <v>Faltando Comprar</v>
      </c>
    </row>
    <row r="489" spans="1:15" ht="31.5">
      <c r="A489" s="16" t="s">
        <v>17</v>
      </c>
      <c r="B489" s="16" t="s">
        <v>26</v>
      </c>
      <c r="C489" s="17" t="s">
        <v>19</v>
      </c>
      <c r="D489" s="18" t="s">
        <v>322</v>
      </c>
      <c r="E489" s="18">
        <v>20</v>
      </c>
      <c r="F489" s="18" t="s">
        <v>21</v>
      </c>
      <c r="G489" s="18" t="s">
        <v>22</v>
      </c>
      <c r="H489" s="18" t="s">
        <v>23</v>
      </c>
      <c r="I489" s="19">
        <v>607.29999999999995</v>
      </c>
      <c r="J489" s="20">
        <f t="shared" si="14"/>
        <v>12146</v>
      </c>
      <c r="K489" s="106"/>
      <c r="L489" s="114"/>
      <c r="M489" s="114">
        <f>tblAquisições[[#This Row],[VALOR UNITARIO COMPRADO]]*tblAquisições[[#This Row],[QUANTIDADE COMPRADA]]</f>
        <v>0</v>
      </c>
      <c r="N489" s="110">
        <f>K489-tblAquisições[[#This Row],[QUANTIDADE PLANEJADA]]</f>
        <v>-20</v>
      </c>
      <c r="O489" s="106" t="str">
        <f t="shared" si="15"/>
        <v>Faltando Comprar</v>
      </c>
    </row>
    <row r="490" spans="1:15" ht="31.5">
      <c r="A490" s="16" t="s">
        <v>17</v>
      </c>
      <c r="B490" s="16" t="s">
        <v>28</v>
      </c>
      <c r="C490" s="17" t="s">
        <v>19</v>
      </c>
      <c r="D490" s="18" t="s">
        <v>323</v>
      </c>
      <c r="E490" s="18">
        <v>10</v>
      </c>
      <c r="F490" s="18" t="s">
        <v>324</v>
      </c>
      <c r="G490" s="18" t="s">
        <v>22</v>
      </c>
      <c r="H490" s="18" t="s">
        <v>23</v>
      </c>
      <c r="I490" s="19">
        <v>99.97</v>
      </c>
      <c r="J490" s="20">
        <f t="shared" si="14"/>
        <v>999.7</v>
      </c>
      <c r="K490" s="106"/>
      <c r="L490" s="114"/>
      <c r="M490" s="114">
        <f>tblAquisições[[#This Row],[VALOR UNITARIO COMPRADO]]*tblAquisições[[#This Row],[QUANTIDADE COMPRADA]]</f>
        <v>0</v>
      </c>
      <c r="N490" s="110">
        <f>K490-tblAquisições[[#This Row],[QUANTIDADE PLANEJADA]]</f>
        <v>-10</v>
      </c>
      <c r="O490" s="106" t="str">
        <f t="shared" si="15"/>
        <v>Faltando Comprar</v>
      </c>
    </row>
    <row r="491" spans="1:15" ht="47.25">
      <c r="A491" s="16" t="s">
        <v>17</v>
      </c>
      <c r="B491" s="16" t="s">
        <v>31</v>
      </c>
      <c r="C491" s="17" t="s">
        <v>19</v>
      </c>
      <c r="D491" s="18" t="s">
        <v>325</v>
      </c>
      <c r="E491" s="18">
        <v>500</v>
      </c>
      <c r="F491" s="18" t="s">
        <v>78</v>
      </c>
      <c r="G491" s="18" t="s">
        <v>22</v>
      </c>
      <c r="H491" s="18" t="s">
        <v>23</v>
      </c>
      <c r="I491" s="19">
        <v>39.53</v>
      </c>
      <c r="J491" s="20">
        <f t="shared" si="14"/>
        <v>19765</v>
      </c>
      <c r="K491" s="106"/>
      <c r="L491" s="114"/>
      <c r="M491" s="114">
        <f>tblAquisições[[#This Row],[VALOR UNITARIO COMPRADO]]*tblAquisições[[#This Row],[QUANTIDADE COMPRADA]]</f>
        <v>0</v>
      </c>
      <c r="N491" s="110">
        <f>K491-tblAquisições[[#This Row],[QUANTIDADE PLANEJADA]]</f>
        <v>-500</v>
      </c>
      <c r="O491" s="106" t="str">
        <f t="shared" si="15"/>
        <v>Faltando Comprar</v>
      </c>
    </row>
    <row r="492" spans="1:15" ht="47.25">
      <c r="A492" s="16" t="s">
        <v>17</v>
      </c>
      <c r="B492" s="16" t="s">
        <v>28</v>
      </c>
      <c r="C492" s="17" t="s">
        <v>19</v>
      </c>
      <c r="D492" s="18" t="s">
        <v>325</v>
      </c>
      <c r="E492" s="18">
        <v>25</v>
      </c>
      <c r="F492" s="18" t="s">
        <v>78</v>
      </c>
      <c r="G492" s="18" t="s">
        <v>22</v>
      </c>
      <c r="H492" s="18" t="s">
        <v>53</v>
      </c>
      <c r="I492" s="19">
        <v>39.53</v>
      </c>
      <c r="J492" s="20">
        <f t="shared" si="14"/>
        <v>988.25</v>
      </c>
      <c r="K492" s="106"/>
      <c r="L492" s="114"/>
      <c r="M492" s="114">
        <f>tblAquisições[[#This Row],[VALOR UNITARIO COMPRADO]]*tblAquisições[[#This Row],[QUANTIDADE COMPRADA]]</f>
        <v>0</v>
      </c>
      <c r="N492" s="110">
        <f>K492-tblAquisições[[#This Row],[QUANTIDADE PLANEJADA]]</f>
        <v>-25</v>
      </c>
      <c r="O492" s="106" t="str">
        <f t="shared" si="15"/>
        <v>Faltando Comprar</v>
      </c>
    </row>
    <row r="493" spans="1:15" ht="31.5">
      <c r="A493" s="16" t="s">
        <v>17</v>
      </c>
      <c r="B493" s="16" t="s">
        <v>31</v>
      </c>
      <c r="C493" s="17" t="s">
        <v>19</v>
      </c>
      <c r="D493" s="18" t="s">
        <v>326</v>
      </c>
      <c r="E493" s="18">
        <v>900</v>
      </c>
      <c r="F493" s="18" t="s">
        <v>21</v>
      </c>
      <c r="G493" s="18" t="s">
        <v>22</v>
      </c>
      <c r="H493" s="18" t="s">
        <v>83</v>
      </c>
      <c r="I493" s="19">
        <v>13.05</v>
      </c>
      <c r="J493" s="20">
        <f t="shared" si="14"/>
        <v>11745</v>
      </c>
      <c r="K493" s="106"/>
      <c r="L493" s="114"/>
      <c r="M493" s="114">
        <f>tblAquisições[[#This Row],[VALOR UNITARIO COMPRADO]]*tblAquisições[[#This Row],[QUANTIDADE COMPRADA]]</f>
        <v>0</v>
      </c>
      <c r="N493" s="110">
        <f>K493-tblAquisições[[#This Row],[QUANTIDADE PLANEJADA]]</f>
        <v>-900</v>
      </c>
      <c r="O493" s="106" t="str">
        <f t="shared" si="15"/>
        <v>Faltando Comprar</v>
      </c>
    </row>
    <row r="494" spans="1:15" ht="31.5">
      <c r="A494" s="16" t="s">
        <v>17</v>
      </c>
      <c r="B494" s="16" t="s">
        <v>18</v>
      </c>
      <c r="C494" s="17" t="s">
        <v>19</v>
      </c>
      <c r="D494" s="18" t="s">
        <v>326</v>
      </c>
      <c r="E494" s="18">
        <v>200</v>
      </c>
      <c r="F494" s="18" t="s">
        <v>21</v>
      </c>
      <c r="G494" s="18" t="s">
        <v>22</v>
      </c>
      <c r="H494" s="18" t="s">
        <v>83</v>
      </c>
      <c r="I494" s="19">
        <v>13.05</v>
      </c>
      <c r="J494" s="20">
        <f t="shared" si="14"/>
        <v>2610</v>
      </c>
      <c r="K494" s="106"/>
      <c r="L494" s="114"/>
      <c r="M494" s="114">
        <f>tblAquisições[[#This Row],[VALOR UNITARIO COMPRADO]]*tblAquisições[[#This Row],[QUANTIDADE COMPRADA]]</f>
        <v>0</v>
      </c>
      <c r="N494" s="110">
        <f>K494-tblAquisições[[#This Row],[QUANTIDADE PLANEJADA]]</f>
        <v>-200</v>
      </c>
      <c r="O494" s="106" t="str">
        <f t="shared" si="15"/>
        <v>Faltando Comprar</v>
      </c>
    </row>
    <row r="495" spans="1:15" ht="31.5">
      <c r="A495" s="16" t="s">
        <v>17</v>
      </c>
      <c r="B495" s="16" t="s">
        <v>24</v>
      </c>
      <c r="C495" s="17" t="s">
        <v>19</v>
      </c>
      <c r="D495" s="18" t="s">
        <v>326</v>
      </c>
      <c r="E495" s="18">
        <v>200</v>
      </c>
      <c r="F495" s="18" t="s">
        <v>21</v>
      </c>
      <c r="G495" s="18" t="s">
        <v>22</v>
      </c>
      <c r="H495" s="18" t="s">
        <v>83</v>
      </c>
      <c r="I495" s="19">
        <v>13.05</v>
      </c>
      <c r="J495" s="20">
        <f t="shared" si="14"/>
        <v>2610</v>
      </c>
      <c r="K495" s="106"/>
      <c r="L495" s="114"/>
      <c r="M495" s="114">
        <f>tblAquisições[[#This Row],[VALOR UNITARIO COMPRADO]]*tblAquisições[[#This Row],[QUANTIDADE COMPRADA]]</f>
        <v>0</v>
      </c>
      <c r="N495" s="110">
        <f>K495-tblAquisições[[#This Row],[QUANTIDADE PLANEJADA]]</f>
        <v>-200</v>
      </c>
      <c r="O495" s="106" t="str">
        <f t="shared" si="15"/>
        <v>Faltando Comprar</v>
      </c>
    </row>
    <row r="496" spans="1:15" ht="31.5">
      <c r="A496" s="16" t="s">
        <v>17</v>
      </c>
      <c r="B496" s="16" t="s">
        <v>25</v>
      </c>
      <c r="C496" s="17" t="s">
        <v>19</v>
      </c>
      <c r="D496" s="18" t="s">
        <v>326</v>
      </c>
      <c r="E496" s="18">
        <v>200</v>
      </c>
      <c r="F496" s="18" t="s">
        <v>21</v>
      </c>
      <c r="G496" s="18" t="s">
        <v>22</v>
      </c>
      <c r="H496" s="18" t="s">
        <v>83</v>
      </c>
      <c r="I496" s="19">
        <v>13.05</v>
      </c>
      <c r="J496" s="20">
        <f t="shared" si="14"/>
        <v>2610</v>
      </c>
      <c r="K496" s="106"/>
      <c r="L496" s="114"/>
      <c r="M496" s="114">
        <f>tblAquisições[[#This Row],[VALOR UNITARIO COMPRADO]]*tblAquisições[[#This Row],[QUANTIDADE COMPRADA]]</f>
        <v>0</v>
      </c>
      <c r="N496" s="110">
        <f>K496-tblAquisições[[#This Row],[QUANTIDADE PLANEJADA]]</f>
        <v>-200</v>
      </c>
      <c r="O496" s="106" t="str">
        <f t="shared" si="15"/>
        <v>Faltando Comprar</v>
      </c>
    </row>
    <row r="497" spans="1:15" ht="31.5">
      <c r="A497" s="16" t="s">
        <v>17</v>
      </c>
      <c r="B497" s="16" t="s">
        <v>26</v>
      </c>
      <c r="C497" s="17" t="s">
        <v>19</v>
      </c>
      <c r="D497" s="18" t="s">
        <v>327</v>
      </c>
      <c r="E497" s="18">
        <v>5</v>
      </c>
      <c r="F497" s="18" t="s">
        <v>328</v>
      </c>
      <c r="G497" s="18" t="s">
        <v>22</v>
      </c>
      <c r="H497" s="18" t="s">
        <v>23</v>
      </c>
      <c r="I497" s="19">
        <v>24.06</v>
      </c>
      <c r="J497" s="20">
        <f t="shared" si="14"/>
        <v>120.3</v>
      </c>
      <c r="K497" s="106"/>
      <c r="L497" s="114"/>
      <c r="M497" s="114">
        <f>tblAquisições[[#This Row],[VALOR UNITARIO COMPRADO]]*tblAquisições[[#This Row],[QUANTIDADE COMPRADA]]</f>
        <v>0</v>
      </c>
      <c r="N497" s="110">
        <f>K497-tblAquisições[[#This Row],[QUANTIDADE PLANEJADA]]</f>
        <v>-5</v>
      </c>
      <c r="O497" s="106" t="str">
        <f t="shared" si="15"/>
        <v>Faltando Comprar</v>
      </c>
    </row>
    <row r="498" spans="1:15" ht="31.5">
      <c r="A498" s="16" t="s">
        <v>17</v>
      </c>
      <c r="B498" s="16" t="s">
        <v>28</v>
      </c>
      <c r="C498" s="17" t="s">
        <v>19</v>
      </c>
      <c r="D498" s="18" t="s">
        <v>327</v>
      </c>
      <c r="E498" s="18">
        <v>20</v>
      </c>
      <c r="F498" s="18" t="s">
        <v>328</v>
      </c>
      <c r="G498" s="18" t="s">
        <v>22</v>
      </c>
      <c r="H498" s="18" t="s">
        <v>23</v>
      </c>
      <c r="I498" s="19">
        <v>24.06</v>
      </c>
      <c r="J498" s="20">
        <f t="shared" si="14"/>
        <v>481.2</v>
      </c>
      <c r="K498" s="106"/>
      <c r="L498" s="114"/>
      <c r="M498" s="114">
        <f>tblAquisições[[#This Row],[VALOR UNITARIO COMPRADO]]*tblAquisições[[#This Row],[QUANTIDADE COMPRADA]]</f>
        <v>0</v>
      </c>
      <c r="N498" s="110">
        <f>K498-tblAquisições[[#This Row],[QUANTIDADE PLANEJADA]]</f>
        <v>-20</v>
      </c>
      <c r="O498" s="106" t="str">
        <f t="shared" si="15"/>
        <v>Faltando Comprar</v>
      </c>
    </row>
    <row r="499" spans="1:15" ht="31.5">
      <c r="A499" s="16" t="s">
        <v>17</v>
      </c>
      <c r="B499" s="16" t="s">
        <v>17</v>
      </c>
      <c r="C499" s="17" t="s">
        <v>19</v>
      </c>
      <c r="D499" s="18" t="s">
        <v>329</v>
      </c>
      <c r="E499" s="18">
        <v>20</v>
      </c>
      <c r="F499" s="18" t="s">
        <v>38</v>
      </c>
      <c r="G499" s="18" t="s">
        <v>39</v>
      </c>
      <c r="H499" s="18" t="s">
        <v>23</v>
      </c>
      <c r="I499" s="19">
        <v>41.29</v>
      </c>
      <c r="J499" s="20">
        <f t="shared" si="14"/>
        <v>825.8</v>
      </c>
      <c r="K499" s="106"/>
      <c r="L499" s="114"/>
      <c r="M499" s="114">
        <f>tblAquisições[[#This Row],[VALOR UNITARIO COMPRADO]]*tblAquisições[[#This Row],[QUANTIDADE COMPRADA]]</f>
        <v>0</v>
      </c>
      <c r="N499" s="110">
        <f>K499-tblAquisições[[#This Row],[QUANTIDADE PLANEJADA]]</f>
        <v>-20</v>
      </c>
      <c r="O499" s="106" t="str">
        <f t="shared" si="15"/>
        <v>Faltando Comprar</v>
      </c>
    </row>
    <row r="500" spans="1:15" ht="31.5">
      <c r="A500" s="16" t="s">
        <v>17</v>
      </c>
      <c r="B500" s="16" t="s">
        <v>34</v>
      </c>
      <c r="C500" s="17" t="s">
        <v>19</v>
      </c>
      <c r="D500" s="18" t="s">
        <v>330</v>
      </c>
      <c r="E500" s="18">
        <v>2</v>
      </c>
      <c r="F500" s="18" t="s">
        <v>21</v>
      </c>
      <c r="G500" s="18" t="s">
        <v>22</v>
      </c>
      <c r="H500" s="18" t="s">
        <v>23</v>
      </c>
      <c r="I500" s="19">
        <v>41.29</v>
      </c>
      <c r="J500" s="20">
        <f t="shared" si="14"/>
        <v>82.58</v>
      </c>
      <c r="K500" s="106"/>
      <c r="L500" s="114"/>
      <c r="M500" s="114">
        <f>tblAquisições[[#This Row],[VALOR UNITARIO COMPRADO]]*tblAquisições[[#This Row],[QUANTIDADE COMPRADA]]</f>
        <v>0</v>
      </c>
      <c r="N500" s="110">
        <f>K500-tblAquisições[[#This Row],[QUANTIDADE PLANEJADA]]</f>
        <v>-2</v>
      </c>
      <c r="O500" s="106" t="str">
        <f t="shared" si="15"/>
        <v>Faltando Comprar</v>
      </c>
    </row>
    <row r="501" spans="1:15" ht="31.5">
      <c r="A501" s="16" t="s">
        <v>17</v>
      </c>
      <c r="B501" s="16" t="s">
        <v>41</v>
      </c>
      <c r="C501" s="17" t="s">
        <v>19</v>
      </c>
      <c r="D501" s="18" t="s">
        <v>330</v>
      </c>
      <c r="E501" s="18">
        <v>10</v>
      </c>
      <c r="F501" s="18" t="s">
        <v>21</v>
      </c>
      <c r="G501" s="18" t="s">
        <v>22</v>
      </c>
      <c r="H501" s="18" t="s">
        <v>23</v>
      </c>
      <c r="I501" s="19">
        <v>41.29</v>
      </c>
      <c r="J501" s="20">
        <f t="shared" si="14"/>
        <v>412.9</v>
      </c>
      <c r="K501" s="106"/>
      <c r="L501" s="114"/>
      <c r="M501" s="114">
        <f>tblAquisições[[#This Row],[VALOR UNITARIO COMPRADO]]*tblAquisições[[#This Row],[QUANTIDADE COMPRADA]]</f>
        <v>0</v>
      </c>
      <c r="N501" s="110">
        <f>K501-tblAquisições[[#This Row],[QUANTIDADE PLANEJADA]]</f>
        <v>-10</v>
      </c>
      <c r="O501" s="106" t="str">
        <f t="shared" si="15"/>
        <v>Faltando Comprar</v>
      </c>
    </row>
    <row r="502" spans="1:15" ht="31.5">
      <c r="A502" s="16" t="s">
        <v>17</v>
      </c>
      <c r="B502" s="16" t="s">
        <v>27</v>
      </c>
      <c r="C502" s="17" t="s">
        <v>19</v>
      </c>
      <c r="D502" s="18" t="s">
        <v>330</v>
      </c>
      <c r="E502" s="18">
        <v>5</v>
      </c>
      <c r="F502" s="18" t="s">
        <v>21</v>
      </c>
      <c r="G502" s="18" t="s">
        <v>22</v>
      </c>
      <c r="H502" s="18" t="s">
        <v>23</v>
      </c>
      <c r="I502" s="19">
        <v>41.29</v>
      </c>
      <c r="J502" s="20">
        <f t="shared" si="14"/>
        <v>206.45</v>
      </c>
      <c r="K502" s="106"/>
      <c r="L502" s="114"/>
      <c r="M502" s="114">
        <f>tblAquisições[[#This Row],[VALOR UNITARIO COMPRADO]]*tblAquisições[[#This Row],[QUANTIDADE COMPRADA]]</f>
        <v>0</v>
      </c>
      <c r="N502" s="110">
        <f>K502-tblAquisições[[#This Row],[QUANTIDADE PLANEJADA]]</f>
        <v>-5</v>
      </c>
      <c r="O502" s="106" t="str">
        <f t="shared" si="15"/>
        <v>Faltando Comprar</v>
      </c>
    </row>
    <row r="503" spans="1:15" ht="31.5">
      <c r="A503" s="16" t="s">
        <v>17</v>
      </c>
      <c r="B503" s="16" t="s">
        <v>28</v>
      </c>
      <c r="C503" s="17" t="s">
        <v>19</v>
      </c>
      <c r="D503" s="18" t="s">
        <v>330</v>
      </c>
      <c r="E503" s="18">
        <v>10</v>
      </c>
      <c r="F503" s="18" t="s">
        <v>21</v>
      </c>
      <c r="G503" s="18" t="s">
        <v>22</v>
      </c>
      <c r="H503" s="18" t="s">
        <v>23</v>
      </c>
      <c r="I503" s="19">
        <v>41.29</v>
      </c>
      <c r="J503" s="20">
        <f t="shared" si="14"/>
        <v>412.9</v>
      </c>
      <c r="K503" s="106"/>
      <c r="L503" s="114"/>
      <c r="M503" s="114">
        <f>tblAquisições[[#This Row],[VALOR UNITARIO COMPRADO]]*tblAquisições[[#This Row],[QUANTIDADE COMPRADA]]</f>
        <v>0</v>
      </c>
      <c r="N503" s="110">
        <f>K503-tblAquisições[[#This Row],[QUANTIDADE PLANEJADA]]</f>
        <v>-10</v>
      </c>
      <c r="O503" s="106" t="str">
        <f t="shared" si="15"/>
        <v>Faltando Comprar</v>
      </c>
    </row>
    <row r="504" spans="1:15" ht="47.25">
      <c r="A504" s="16" t="s">
        <v>17</v>
      </c>
      <c r="B504" s="16" t="s">
        <v>80</v>
      </c>
      <c r="C504" s="17" t="s">
        <v>19</v>
      </c>
      <c r="D504" s="18" t="s">
        <v>331</v>
      </c>
      <c r="E504" s="18">
        <v>3</v>
      </c>
      <c r="F504" s="18" t="s">
        <v>147</v>
      </c>
      <c r="G504" s="18" t="s">
        <v>39</v>
      </c>
      <c r="H504" s="18" t="s">
        <v>23</v>
      </c>
      <c r="I504" s="19">
        <v>9.5</v>
      </c>
      <c r="J504" s="20">
        <f t="shared" si="14"/>
        <v>28.5</v>
      </c>
      <c r="K504" s="106"/>
      <c r="L504" s="114"/>
      <c r="M504" s="114">
        <f>tblAquisições[[#This Row],[VALOR UNITARIO COMPRADO]]*tblAquisições[[#This Row],[QUANTIDADE COMPRADA]]</f>
        <v>0</v>
      </c>
      <c r="N504" s="110">
        <f>K504-tblAquisições[[#This Row],[QUANTIDADE PLANEJADA]]</f>
        <v>-3</v>
      </c>
      <c r="O504" s="106" t="str">
        <f t="shared" si="15"/>
        <v>Faltando Comprar</v>
      </c>
    </row>
    <row r="505" spans="1:15" ht="47.25">
      <c r="A505" s="16" t="s">
        <v>17</v>
      </c>
      <c r="B505" s="16" t="s">
        <v>28</v>
      </c>
      <c r="C505" s="17" t="s">
        <v>19</v>
      </c>
      <c r="D505" s="18" t="s">
        <v>332</v>
      </c>
      <c r="E505" s="18">
        <v>30</v>
      </c>
      <c r="F505" s="18" t="s">
        <v>78</v>
      </c>
      <c r="G505" s="18" t="s">
        <v>22</v>
      </c>
      <c r="H505" s="18" t="s">
        <v>23</v>
      </c>
      <c r="I505" s="19">
        <v>9.5</v>
      </c>
      <c r="J505" s="20">
        <f t="shared" si="14"/>
        <v>285</v>
      </c>
      <c r="K505" s="106"/>
      <c r="L505" s="114"/>
      <c r="M505" s="114">
        <f>tblAquisições[[#This Row],[VALOR UNITARIO COMPRADO]]*tblAquisições[[#This Row],[QUANTIDADE COMPRADA]]</f>
        <v>0</v>
      </c>
      <c r="N505" s="110">
        <f>K505-tblAquisições[[#This Row],[QUANTIDADE PLANEJADA]]</f>
        <v>-30</v>
      </c>
      <c r="O505" s="106" t="str">
        <f t="shared" si="15"/>
        <v>Faltando Comprar</v>
      </c>
    </row>
    <row r="506" spans="1:15" ht="47.25">
      <c r="A506" s="16" t="s">
        <v>17</v>
      </c>
      <c r="B506" s="16" t="s">
        <v>80</v>
      </c>
      <c r="C506" s="17" t="s">
        <v>19</v>
      </c>
      <c r="D506" s="18" t="s">
        <v>333</v>
      </c>
      <c r="E506" s="18">
        <v>3</v>
      </c>
      <c r="F506" s="18" t="s">
        <v>191</v>
      </c>
      <c r="G506" s="18" t="s">
        <v>39</v>
      </c>
      <c r="H506" s="18" t="s">
        <v>23</v>
      </c>
      <c r="I506" s="19">
        <v>72.3</v>
      </c>
      <c r="J506" s="20">
        <f t="shared" si="14"/>
        <v>216.89999999999998</v>
      </c>
      <c r="K506" s="106"/>
      <c r="L506" s="114"/>
      <c r="M506" s="114">
        <f>tblAquisições[[#This Row],[VALOR UNITARIO COMPRADO]]*tblAquisições[[#This Row],[QUANTIDADE COMPRADA]]</f>
        <v>0</v>
      </c>
      <c r="N506" s="110">
        <f>K506-tblAquisições[[#This Row],[QUANTIDADE PLANEJADA]]</f>
        <v>-3</v>
      </c>
      <c r="O506" s="106" t="str">
        <f t="shared" si="15"/>
        <v>Faltando Comprar</v>
      </c>
    </row>
    <row r="507" spans="1:15" ht="47.25">
      <c r="A507" s="16" t="s">
        <v>17</v>
      </c>
      <c r="B507" s="16" t="s">
        <v>28</v>
      </c>
      <c r="C507" s="17" t="s">
        <v>19</v>
      </c>
      <c r="D507" s="18" t="s">
        <v>334</v>
      </c>
      <c r="E507" s="18">
        <v>3</v>
      </c>
      <c r="F507" s="18" t="s">
        <v>239</v>
      </c>
      <c r="G507" s="18" t="s">
        <v>22</v>
      </c>
      <c r="H507" s="18" t="s">
        <v>23</v>
      </c>
      <c r="I507" s="19">
        <v>72.3</v>
      </c>
      <c r="J507" s="20">
        <f t="shared" si="14"/>
        <v>216.89999999999998</v>
      </c>
      <c r="K507" s="106"/>
      <c r="L507" s="114"/>
      <c r="M507" s="114">
        <f>tblAquisições[[#This Row],[VALOR UNITARIO COMPRADO]]*tblAquisições[[#This Row],[QUANTIDADE COMPRADA]]</f>
        <v>0</v>
      </c>
      <c r="N507" s="110">
        <f>K507-tblAquisições[[#This Row],[QUANTIDADE PLANEJADA]]</f>
        <v>-3</v>
      </c>
      <c r="O507" s="106" t="str">
        <f t="shared" si="15"/>
        <v>Faltando Comprar</v>
      </c>
    </row>
    <row r="508" spans="1:15" ht="47.25">
      <c r="A508" s="16" t="s">
        <v>17</v>
      </c>
      <c r="B508" s="16" t="s">
        <v>26</v>
      </c>
      <c r="C508" s="17" t="s">
        <v>19</v>
      </c>
      <c r="D508" s="18" t="s">
        <v>335</v>
      </c>
      <c r="E508" s="18">
        <v>2</v>
      </c>
      <c r="F508" s="18" t="s">
        <v>78</v>
      </c>
      <c r="G508" s="18" t="s">
        <v>22</v>
      </c>
      <c r="H508" s="18" t="s">
        <v>53</v>
      </c>
      <c r="I508" s="19">
        <v>16.329999999999998</v>
      </c>
      <c r="J508" s="20">
        <f t="shared" si="14"/>
        <v>32.659999999999997</v>
      </c>
      <c r="K508" s="106"/>
      <c r="L508" s="114"/>
      <c r="M508" s="114">
        <f>tblAquisições[[#This Row],[VALOR UNITARIO COMPRADO]]*tblAquisições[[#This Row],[QUANTIDADE COMPRADA]]</f>
        <v>0</v>
      </c>
      <c r="N508" s="110">
        <f>K508-tblAquisições[[#This Row],[QUANTIDADE PLANEJADA]]</f>
        <v>-2</v>
      </c>
      <c r="O508" s="106" t="str">
        <f t="shared" si="15"/>
        <v>Faltando Comprar</v>
      </c>
    </row>
    <row r="509" spans="1:15" ht="47.25">
      <c r="A509" s="16" t="s">
        <v>17</v>
      </c>
      <c r="B509" s="16" t="s">
        <v>31</v>
      </c>
      <c r="C509" s="17" t="s">
        <v>19</v>
      </c>
      <c r="D509" s="18" t="s">
        <v>336</v>
      </c>
      <c r="E509" s="18">
        <v>12</v>
      </c>
      <c r="F509" s="18" t="s">
        <v>78</v>
      </c>
      <c r="G509" s="18" t="s">
        <v>22</v>
      </c>
      <c r="H509" s="18" t="s">
        <v>23</v>
      </c>
      <c r="I509" s="19">
        <v>13.07</v>
      </c>
      <c r="J509" s="20">
        <f t="shared" si="14"/>
        <v>156.84</v>
      </c>
      <c r="K509" s="106"/>
      <c r="L509" s="114"/>
      <c r="M509" s="114">
        <f>tblAquisições[[#This Row],[VALOR UNITARIO COMPRADO]]*tblAquisições[[#This Row],[QUANTIDADE COMPRADA]]</f>
        <v>0</v>
      </c>
      <c r="N509" s="110">
        <f>K509-tblAquisições[[#This Row],[QUANTIDADE PLANEJADA]]</f>
        <v>-12</v>
      </c>
      <c r="O509" s="106" t="str">
        <f t="shared" si="15"/>
        <v>Faltando Comprar</v>
      </c>
    </row>
    <row r="510" spans="1:15" ht="47.25">
      <c r="A510" s="16" t="s">
        <v>17</v>
      </c>
      <c r="B510" s="16" t="s">
        <v>18</v>
      </c>
      <c r="C510" s="17" t="s">
        <v>19</v>
      </c>
      <c r="D510" s="18" t="s">
        <v>336</v>
      </c>
      <c r="E510" s="18">
        <v>5</v>
      </c>
      <c r="F510" s="18" t="s">
        <v>78</v>
      </c>
      <c r="G510" s="18" t="s">
        <v>22</v>
      </c>
      <c r="H510" s="18" t="s">
        <v>23</v>
      </c>
      <c r="I510" s="19">
        <v>13.07</v>
      </c>
      <c r="J510" s="20">
        <f t="shared" si="14"/>
        <v>65.349999999999994</v>
      </c>
      <c r="K510" s="106"/>
      <c r="L510" s="114"/>
      <c r="M510" s="114">
        <f>tblAquisições[[#This Row],[VALOR UNITARIO COMPRADO]]*tblAquisições[[#This Row],[QUANTIDADE COMPRADA]]</f>
        <v>0</v>
      </c>
      <c r="N510" s="110">
        <f>K510-tblAquisições[[#This Row],[QUANTIDADE PLANEJADA]]</f>
        <v>-5</v>
      </c>
      <c r="O510" s="106" t="str">
        <f t="shared" si="15"/>
        <v>Faltando Comprar</v>
      </c>
    </row>
    <row r="511" spans="1:15" ht="47.25">
      <c r="A511" s="16" t="s">
        <v>17</v>
      </c>
      <c r="B511" s="16" t="s">
        <v>24</v>
      </c>
      <c r="C511" s="17" t="s">
        <v>19</v>
      </c>
      <c r="D511" s="18" t="s">
        <v>336</v>
      </c>
      <c r="E511" s="18">
        <v>5</v>
      </c>
      <c r="F511" s="18" t="s">
        <v>78</v>
      </c>
      <c r="G511" s="18" t="s">
        <v>22</v>
      </c>
      <c r="H511" s="18" t="s">
        <v>23</v>
      </c>
      <c r="I511" s="19">
        <v>13.07</v>
      </c>
      <c r="J511" s="20">
        <f t="shared" si="14"/>
        <v>65.349999999999994</v>
      </c>
      <c r="K511" s="106"/>
      <c r="L511" s="114"/>
      <c r="M511" s="114">
        <f>tblAquisições[[#This Row],[VALOR UNITARIO COMPRADO]]*tblAquisições[[#This Row],[QUANTIDADE COMPRADA]]</f>
        <v>0</v>
      </c>
      <c r="N511" s="110">
        <f>K511-tblAquisições[[#This Row],[QUANTIDADE PLANEJADA]]</f>
        <v>-5</v>
      </c>
      <c r="O511" s="106" t="str">
        <f t="shared" si="15"/>
        <v>Faltando Comprar</v>
      </c>
    </row>
    <row r="512" spans="1:15" ht="47.25">
      <c r="A512" s="16" t="s">
        <v>17</v>
      </c>
      <c r="B512" s="16" t="s">
        <v>25</v>
      </c>
      <c r="C512" s="17" t="s">
        <v>19</v>
      </c>
      <c r="D512" s="18" t="s">
        <v>336</v>
      </c>
      <c r="E512" s="18">
        <v>5</v>
      </c>
      <c r="F512" s="18" t="s">
        <v>78</v>
      </c>
      <c r="G512" s="18" t="s">
        <v>22</v>
      </c>
      <c r="H512" s="18" t="s">
        <v>23</v>
      </c>
      <c r="I512" s="19">
        <v>13.07</v>
      </c>
      <c r="J512" s="20">
        <f t="shared" si="14"/>
        <v>65.349999999999994</v>
      </c>
      <c r="K512" s="106"/>
      <c r="L512" s="114"/>
      <c r="M512" s="114">
        <f>tblAquisições[[#This Row],[VALOR UNITARIO COMPRADO]]*tblAquisições[[#This Row],[QUANTIDADE COMPRADA]]</f>
        <v>0</v>
      </c>
      <c r="N512" s="110">
        <f>K512-tblAquisições[[#This Row],[QUANTIDADE PLANEJADA]]</f>
        <v>-5</v>
      </c>
      <c r="O512" s="106" t="str">
        <f t="shared" si="15"/>
        <v>Faltando Comprar</v>
      </c>
    </row>
    <row r="513" spans="1:15" ht="47.25">
      <c r="A513" s="16" t="s">
        <v>17</v>
      </c>
      <c r="B513" s="16" t="s">
        <v>41</v>
      </c>
      <c r="C513" s="17" t="s">
        <v>19</v>
      </c>
      <c r="D513" s="18" t="s">
        <v>336</v>
      </c>
      <c r="E513" s="18">
        <v>5</v>
      </c>
      <c r="F513" s="18" t="s">
        <v>78</v>
      </c>
      <c r="G513" s="18" t="s">
        <v>22</v>
      </c>
      <c r="H513" s="18" t="s">
        <v>23</v>
      </c>
      <c r="I513" s="19">
        <v>13.07</v>
      </c>
      <c r="J513" s="20">
        <f t="shared" si="14"/>
        <v>65.349999999999994</v>
      </c>
      <c r="K513" s="106"/>
      <c r="L513" s="114"/>
      <c r="M513" s="114">
        <f>tblAquisições[[#This Row],[VALOR UNITARIO COMPRADO]]*tblAquisições[[#This Row],[QUANTIDADE COMPRADA]]</f>
        <v>0</v>
      </c>
      <c r="N513" s="110">
        <f>K513-tblAquisições[[#This Row],[QUANTIDADE PLANEJADA]]</f>
        <v>-5</v>
      </c>
      <c r="O513" s="106" t="str">
        <f t="shared" si="15"/>
        <v>Faltando Comprar</v>
      </c>
    </row>
    <row r="514" spans="1:15" ht="47.25">
      <c r="A514" s="16" t="s">
        <v>17</v>
      </c>
      <c r="B514" s="16" t="s">
        <v>26</v>
      </c>
      <c r="C514" s="17" t="s">
        <v>19</v>
      </c>
      <c r="D514" s="18" t="s">
        <v>336</v>
      </c>
      <c r="E514" s="18">
        <v>4</v>
      </c>
      <c r="F514" s="18" t="s">
        <v>78</v>
      </c>
      <c r="G514" s="18" t="s">
        <v>22</v>
      </c>
      <c r="H514" s="18" t="s">
        <v>23</v>
      </c>
      <c r="I514" s="19">
        <v>13.07</v>
      </c>
      <c r="J514" s="20">
        <f t="shared" ref="J514:J577" si="16">E514*I514</f>
        <v>52.28</v>
      </c>
      <c r="K514" s="106"/>
      <c r="L514" s="114"/>
      <c r="M514" s="114">
        <f>tblAquisições[[#This Row],[VALOR UNITARIO COMPRADO]]*tblAquisições[[#This Row],[QUANTIDADE COMPRADA]]</f>
        <v>0</v>
      </c>
      <c r="N514" s="110">
        <f>K514-tblAquisições[[#This Row],[QUANTIDADE PLANEJADA]]</f>
        <v>-4</v>
      </c>
      <c r="O514" s="106" t="str">
        <f t="shared" ref="O514:O577" si="17">IF(K514=E514,"OK",IF(K514&lt;E514,"Faltando Comprar","Excedente"))</f>
        <v>Faltando Comprar</v>
      </c>
    </row>
    <row r="515" spans="1:15" ht="47.25">
      <c r="A515" s="16" t="s">
        <v>17</v>
      </c>
      <c r="B515" s="16" t="s">
        <v>27</v>
      </c>
      <c r="C515" s="17" t="s">
        <v>19</v>
      </c>
      <c r="D515" s="18" t="s">
        <v>336</v>
      </c>
      <c r="E515" s="18">
        <v>4</v>
      </c>
      <c r="F515" s="18" t="s">
        <v>78</v>
      </c>
      <c r="G515" s="18" t="s">
        <v>22</v>
      </c>
      <c r="H515" s="18" t="s">
        <v>23</v>
      </c>
      <c r="I515" s="19">
        <v>13.07</v>
      </c>
      <c r="J515" s="20">
        <f t="shared" si="16"/>
        <v>52.28</v>
      </c>
      <c r="K515" s="106"/>
      <c r="L515" s="114"/>
      <c r="M515" s="114">
        <f>tblAquisições[[#This Row],[VALOR UNITARIO COMPRADO]]*tblAquisições[[#This Row],[QUANTIDADE COMPRADA]]</f>
        <v>0</v>
      </c>
      <c r="N515" s="110">
        <f>K515-tblAquisições[[#This Row],[QUANTIDADE PLANEJADA]]</f>
        <v>-4</v>
      </c>
      <c r="O515" s="106" t="str">
        <f t="shared" si="17"/>
        <v>Faltando Comprar</v>
      </c>
    </row>
    <row r="516" spans="1:15" ht="47.25">
      <c r="A516" s="16" t="s">
        <v>17</v>
      </c>
      <c r="B516" s="16" t="s">
        <v>28</v>
      </c>
      <c r="C516" s="17" t="s">
        <v>19</v>
      </c>
      <c r="D516" s="18" t="s">
        <v>336</v>
      </c>
      <c r="E516" s="18">
        <v>19</v>
      </c>
      <c r="F516" s="18" t="s">
        <v>78</v>
      </c>
      <c r="G516" s="18" t="s">
        <v>22</v>
      </c>
      <c r="H516" s="18" t="s">
        <v>23</v>
      </c>
      <c r="I516" s="19">
        <v>13.07</v>
      </c>
      <c r="J516" s="20">
        <f t="shared" si="16"/>
        <v>248.33</v>
      </c>
      <c r="K516" s="106"/>
      <c r="L516" s="114"/>
      <c r="M516" s="114">
        <f>tblAquisições[[#This Row],[VALOR UNITARIO COMPRADO]]*tblAquisições[[#This Row],[QUANTIDADE COMPRADA]]</f>
        <v>0</v>
      </c>
      <c r="N516" s="110">
        <f>K516-tblAquisições[[#This Row],[QUANTIDADE PLANEJADA]]</f>
        <v>-19</v>
      </c>
      <c r="O516" s="106" t="str">
        <f t="shared" si="17"/>
        <v>Faltando Comprar</v>
      </c>
    </row>
    <row r="517" spans="1:15" ht="31.5">
      <c r="A517" s="16" t="s">
        <v>17</v>
      </c>
      <c r="B517" s="16" t="s">
        <v>17</v>
      </c>
      <c r="C517" s="17" t="s">
        <v>19</v>
      </c>
      <c r="D517" s="18" t="s">
        <v>337</v>
      </c>
      <c r="E517" s="18">
        <v>20</v>
      </c>
      <c r="F517" s="18" t="s">
        <v>82</v>
      </c>
      <c r="G517" s="18" t="s">
        <v>39</v>
      </c>
      <c r="H517" s="18" t="s">
        <v>23</v>
      </c>
      <c r="I517" s="19">
        <v>64.73</v>
      </c>
      <c r="J517" s="20">
        <f t="shared" si="16"/>
        <v>1294.6000000000001</v>
      </c>
      <c r="K517" s="106"/>
      <c r="L517" s="114"/>
      <c r="M517" s="114">
        <f>tblAquisições[[#This Row],[VALOR UNITARIO COMPRADO]]*tblAquisições[[#This Row],[QUANTIDADE COMPRADA]]</f>
        <v>0</v>
      </c>
      <c r="N517" s="110">
        <f>K517-tblAquisições[[#This Row],[QUANTIDADE PLANEJADA]]</f>
        <v>-20</v>
      </c>
      <c r="O517" s="106" t="str">
        <f t="shared" si="17"/>
        <v>Faltando Comprar</v>
      </c>
    </row>
    <row r="518" spans="1:15" ht="31.5">
      <c r="A518" s="16" t="s">
        <v>17</v>
      </c>
      <c r="B518" s="16" t="s">
        <v>31</v>
      </c>
      <c r="C518" s="17" t="s">
        <v>19</v>
      </c>
      <c r="D518" s="18" t="s">
        <v>338</v>
      </c>
      <c r="E518" s="18">
        <v>12</v>
      </c>
      <c r="F518" s="18" t="s">
        <v>30</v>
      </c>
      <c r="G518" s="18" t="s">
        <v>22</v>
      </c>
      <c r="H518" s="18" t="s">
        <v>23</v>
      </c>
      <c r="I518" s="19">
        <v>64.73</v>
      </c>
      <c r="J518" s="20">
        <f t="shared" si="16"/>
        <v>776.76</v>
      </c>
      <c r="K518" s="106"/>
      <c r="L518" s="114"/>
      <c r="M518" s="114">
        <f>tblAquisições[[#This Row],[VALOR UNITARIO COMPRADO]]*tblAquisições[[#This Row],[QUANTIDADE COMPRADA]]</f>
        <v>0</v>
      </c>
      <c r="N518" s="110">
        <f>K518-tblAquisições[[#This Row],[QUANTIDADE PLANEJADA]]</f>
        <v>-12</v>
      </c>
      <c r="O518" s="106" t="str">
        <f t="shared" si="17"/>
        <v>Faltando Comprar</v>
      </c>
    </row>
    <row r="519" spans="1:15" ht="31.5">
      <c r="A519" s="16" t="s">
        <v>17</v>
      </c>
      <c r="B519" s="16" t="s">
        <v>18</v>
      </c>
      <c r="C519" s="17" t="s">
        <v>19</v>
      </c>
      <c r="D519" s="18" t="s">
        <v>338</v>
      </c>
      <c r="E519" s="18">
        <v>4</v>
      </c>
      <c r="F519" s="18" t="s">
        <v>30</v>
      </c>
      <c r="G519" s="18" t="s">
        <v>22</v>
      </c>
      <c r="H519" s="18" t="s">
        <v>23</v>
      </c>
      <c r="I519" s="19">
        <v>64.73</v>
      </c>
      <c r="J519" s="20">
        <f t="shared" si="16"/>
        <v>258.92</v>
      </c>
      <c r="K519" s="106"/>
      <c r="L519" s="114"/>
      <c r="M519" s="114">
        <f>tblAquisições[[#This Row],[VALOR UNITARIO COMPRADO]]*tblAquisições[[#This Row],[QUANTIDADE COMPRADA]]</f>
        <v>0</v>
      </c>
      <c r="N519" s="110">
        <f>K519-tblAquisições[[#This Row],[QUANTIDADE PLANEJADA]]</f>
        <v>-4</v>
      </c>
      <c r="O519" s="106" t="str">
        <f t="shared" si="17"/>
        <v>Faltando Comprar</v>
      </c>
    </row>
    <row r="520" spans="1:15" ht="31.5">
      <c r="A520" s="16" t="s">
        <v>17</v>
      </c>
      <c r="B520" s="16" t="s">
        <v>24</v>
      </c>
      <c r="C520" s="17" t="s">
        <v>19</v>
      </c>
      <c r="D520" s="18" t="s">
        <v>338</v>
      </c>
      <c r="E520" s="18">
        <v>4</v>
      </c>
      <c r="F520" s="18" t="s">
        <v>30</v>
      </c>
      <c r="G520" s="18" t="s">
        <v>22</v>
      </c>
      <c r="H520" s="18" t="s">
        <v>23</v>
      </c>
      <c r="I520" s="19">
        <v>64.73</v>
      </c>
      <c r="J520" s="20">
        <f t="shared" si="16"/>
        <v>258.92</v>
      </c>
      <c r="K520" s="106"/>
      <c r="L520" s="114"/>
      <c r="M520" s="114">
        <f>tblAquisições[[#This Row],[VALOR UNITARIO COMPRADO]]*tblAquisições[[#This Row],[QUANTIDADE COMPRADA]]</f>
        <v>0</v>
      </c>
      <c r="N520" s="110">
        <f>K520-tblAquisições[[#This Row],[QUANTIDADE PLANEJADA]]</f>
        <v>-4</v>
      </c>
      <c r="O520" s="106" t="str">
        <f t="shared" si="17"/>
        <v>Faltando Comprar</v>
      </c>
    </row>
    <row r="521" spans="1:15" ht="31.5">
      <c r="A521" s="16" t="s">
        <v>17</v>
      </c>
      <c r="B521" s="16" t="s">
        <v>25</v>
      </c>
      <c r="C521" s="17" t="s">
        <v>19</v>
      </c>
      <c r="D521" s="18" t="s">
        <v>338</v>
      </c>
      <c r="E521" s="18">
        <v>4</v>
      </c>
      <c r="F521" s="18" t="s">
        <v>30</v>
      </c>
      <c r="G521" s="18" t="s">
        <v>22</v>
      </c>
      <c r="H521" s="18" t="s">
        <v>23</v>
      </c>
      <c r="I521" s="19">
        <v>64.73</v>
      </c>
      <c r="J521" s="20">
        <f t="shared" si="16"/>
        <v>258.92</v>
      </c>
      <c r="K521" s="106"/>
      <c r="L521" s="114"/>
      <c r="M521" s="114">
        <f>tblAquisições[[#This Row],[VALOR UNITARIO COMPRADO]]*tblAquisições[[#This Row],[QUANTIDADE COMPRADA]]</f>
        <v>0</v>
      </c>
      <c r="N521" s="110">
        <f>K521-tblAquisições[[#This Row],[QUANTIDADE PLANEJADA]]</f>
        <v>-4</v>
      </c>
      <c r="O521" s="106" t="str">
        <f t="shared" si="17"/>
        <v>Faltando Comprar</v>
      </c>
    </row>
    <row r="522" spans="1:15" ht="31.5">
      <c r="A522" s="16" t="s">
        <v>17</v>
      </c>
      <c r="B522" s="16" t="s">
        <v>26</v>
      </c>
      <c r="C522" s="17" t="s">
        <v>19</v>
      </c>
      <c r="D522" s="18" t="s">
        <v>338</v>
      </c>
      <c r="E522" s="18">
        <v>4</v>
      </c>
      <c r="F522" s="18" t="s">
        <v>30</v>
      </c>
      <c r="G522" s="18" t="s">
        <v>22</v>
      </c>
      <c r="H522" s="18" t="s">
        <v>23</v>
      </c>
      <c r="I522" s="19">
        <v>64.73</v>
      </c>
      <c r="J522" s="20">
        <f t="shared" si="16"/>
        <v>258.92</v>
      </c>
      <c r="K522" s="106"/>
      <c r="L522" s="114"/>
      <c r="M522" s="114">
        <f>tblAquisições[[#This Row],[VALOR UNITARIO COMPRADO]]*tblAquisições[[#This Row],[QUANTIDADE COMPRADA]]</f>
        <v>0</v>
      </c>
      <c r="N522" s="110">
        <f>K522-tblAquisições[[#This Row],[QUANTIDADE PLANEJADA]]</f>
        <v>-4</v>
      </c>
      <c r="O522" s="106" t="str">
        <f t="shared" si="17"/>
        <v>Faltando Comprar</v>
      </c>
    </row>
    <row r="523" spans="1:15" ht="31.5">
      <c r="A523" s="16" t="s">
        <v>17</v>
      </c>
      <c r="B523" s="16" t="s">
        <v>27</v>
      </c>
      <c r="C523" s="17" t="s">
        <v>19</v>
      </c>
      <c r="D523" s="18" t="s">
        <v>338</v>
      </c>
      <c r="E523" s="18">
        <v>2</v>
      </c>
      <c r="F523" s="18" t="s">
        <v>30</v>
      </c>
      <c r="G523" s="18" t="s">
        <v>22</v>
      </c>
      <c r="H523" s="18" t="s">
        <v>23</v>
      </c>
      <c r="I523" s="19">
        <v>64.73</v>
      </c>
      <c r="J523" s="20">
        <f t="shared" si="16"/>
        <v>129.46</v>
      </c>
      <c r="K523" s="106"/>
      <c r="L523" s="114"/>
      <c r="M523" s="114">
        <f>tblAquisições[[#This Row],[VALOR UNITARIO COMPRADO]]*tblAquisições[[#This Row],[QUANTIDADE COMPRADA]]</f>
        <v>0</v>
      </c>
      <c r="N523" s="110">
        <f>K523-tblAquisições[[#This Row],[QUANTIDADE PLANEJADA]]</f>
        <v>-2</v>
      </c>
      <c r="O523" s="106" t="str">
        <f t="shared" si="17"/>
        <v>Faltando Comprar</v>
      </c>
    </row>
    <row r="524" spans="1:15" ht="31.5">
      <c r="A524" s="16" t="s">
        <v>17</v>
      </c>
      <c r="B524" s="16" t="s">
        <v>28</v>
      </c>
      <c r="C524" s="17" t="s">
        <v>19</v>
      </c>
      <c r="D524" s="18" t="s">
        <v>338</v>
      </c>
      <c r="E524" s="18">
        <v>3</v>
      </c>
      <c r="F524" s="18" t="s">
        <v>30</v>
      </c>
      <c r="G524" s="18" t="s">
        <v>22</v>
      </c>
      <c r="H524" s="18" t="s">
        <v>23</v>
      </c>
      <c r="I524" s="19">
        <v>64.73</v>
      </c>
      <c r="J524" s="20">
        <f t="shared" si="16"/>
        <v>194.19</v>
      </c>
      <c r="K524" s="106"/>
      <c r="L524" s="114"/>
      <c r="M524" s="114">
        <f>tblAquisições[[#This Row],[VALOR UNITARIO COMPRADO]]*tblAquisições[[#This Row],[QUANTIDADE COMPRADA]]</f>
        <v>0</v>
      </c>
      <c r="N524" s="110">
        <f>K524-tblAquisições[[#This Row],[QUANTIDADE PLANEJADA]]</f>
        <v>-3</v>
      </c>
      <c r="O524" s="106" t="str">
        <f t="shared" si="17"/>
        <v>Faltando Comprar</v>
      </c>
    </row>
    <row r="525" spans="1:15" ht="31.5">
      <c r="A525" s="16" t="s">
        <v>17</v>
      </c>
      <c r="B525" s="16" t="s">
        <v>31</v>
      </c>
      <c r="C525" s="17" t="s">
        <v>19</v>
      </c>
      <c r="D525" s="18" t="s">
        <v>339</v>
      </c>
      <c r="E525" s="18">
        <v>50</v>
      </c>
      <c r="F525" s="18" t="s">
        <v>21</v>
      </c>
      <c r="G525" s="18" t="s">
        <v>22</v>
      </c>
      <c r="H525" s="18" t="s">
        <v>23</v>
      </c>
      <c r="I525" s="19">
        <v>3.29</v>
      </c>
      <c r="J525" s="20">
        <f t="shared" si="16"/>
        <v>164.5</v>
      </c>
      <c r="K525" s="106"/>
      <c r="L525" s="114"/>
      <c r="M525" s="114">
        <f>tblAquisições[[#This Row],[VALOR UNITARIO COMPRADO]]*tblAquisições[[#This Row],[QUANTIDADE COMPRADA]]</f>
        <v>0</v>
      </c>
      <c r="N525" s="110">
        <f>K525-tblAquisições[[#This Row],[QUANTIDADE PLANEJADA]]</f>
        <v>-50</v>
      </c>
      <c r="O525" s="106" t="str">
        <f t="shared" si="17"/>
        <v>Faltando Comprar</v>
      </c>
    </row>
    <row r="526" spans="1:15" ht="31.5">
      <c r="A526" s="16" t="s">
        <v>17</v>
      </c>
      <c r="B526" s="16" t="s">
        <v>41</v>
      </c>
      <c r="C526" s="17" t="s">
        <v>19</v>
      </c>
      <c r="D526" s="18" t="s">
        <v>339</v>
      </c>
      <c r="E526" s="18">
        <v>500</v>
      </c>
      <c r="F526" s="18" t="s">
        <v>21</v>
      </c>
      <c r="G526" s="18" t="s">
        <v>22</v>
      </c>
      <c r="H526" s="18" t="s">
        <v>23</v>
      </c>
      <c r="I526" s="19">
        <v>3.29</v>
      </c>
      <c r="J526" s="20">
        <f t="shared" si="16"/>
        <v>1645</v>
      </c>
      <c r="K526" s="106"/>
      <c r="L526" s="114"/>
      <c r="M526" s="114">
        <f>tblAquisições[[#This Row],[VALOR UNITARIO COMPRADO]]*tblAquisições[[#This Row],[QUANTIDADE COMPRADA]]</f>
        <v>0</v>
      </c>
      <c r="N526" s="110">
        <f>K526-tblAquisições[[#This Row],[QUANTIDADE PLANEJADA]]</f>
        <v>-500</v>
      </c>
      <c r="O526" s="106" t="str">
        <f t="shared" si="17"/>
        <v>Faltando Comprar</v>
      </c>
    </row>
    <row r="527" spans="1:15" ht="31.5">
      <c r="A527" s="16" t="s">
        <v>17</v>
      </c>
      <c r="B527" s="16" t="s">
        <v>28</v>
      </c>
      <c r="C527" s="17" t="s">
        <v>19</v>
      </c>
      <c r="D527" s="18" t="s">
        <v>339</v>
      </c>
      <c r="E527" s="18">
        <v>24</v>
      </c>
      <c r="F527" s="18" t="s">
        <v>21</v>
      </c>
      <c r="G527" s="18" t="s">
        <v>22</v>
      </c>
      <c r="H527" s="18" t="s">
        <v>23</v>
      </c>
      <c r="I527" s="19">
        <v>3.29</v>
      </c>
      <c r="J527" s="20">
        <f t="shared" si="16"/>
        <v>78.960000000000008</v>
      </c>
      <c r="K527" s="106"/>
      <c r="L527" s="114"/>
      <c r="M527" s="114">
        <f>tblAquisições[[#This Row],[VALOR UNITARIO COMPRADO]]*tblAquisições[[#This Row],[QUANTIDADE COMPRADA]]</f>
        <v>0</v>
      </c>
      <c r="N527" s="110">
        <f>K527-tblAquisições[[#This Row],[QUANTIDADE PLANEJADA]]</f>
        <v>-24</v>
      </c>
      <c r="O527" s="106" t="str">
        <f t="shared" si="17"/>
        <v>Faltando Comprar</v>
      </c>
    </row>
    <row r="528" spans="1:15" ht="31.5">
      <c r="A528" s="16" t="s">
        <v>17</v>
      </c>
      <c r="B528" s="16" t="s">
        <v>17</v>
      </c>
      <c r="C528" s="17" t="s">
        <v>19</v>
      </c>
      <c r="D528" s="18" t="s">
        <v>340</v>
      </c>
      <c r="E528" s="18">
        <v>1000</v>
      </c>
      <c r="F528" s="18" t="s">
        <v>38</v>
      </c>
      <c r="G528" s="18" t="s">
        <v>39</v>
      </c>
      <c r="H528" s="18" t="s">
        <v>23</v>
      </c>
      <c r="I528" s="19">
        <v>6.83</v>
      </c>
      <c r="J528" s="20">
        <f t="shared" si="16"/>
        <v>6830</v>
      </c>
      <c r="K528" s="106"/>
      <c r="L528" s="114"/>
      <c r="M528" s="114">
        <f>tblAquisições[[#This Row],[VALOR UNITARIO COMPRADO]]*tblAquisições[[#This Row],[QUANTIDADE COMPRADA]]</f>
        <v>0</v>
      </c>
      <c r="N528" s="110">
        <f>K528-tblAquisições[[#This Row],[QUANTIDADE PLANEJADA]]</f>
        <v>-1000</v>
      </c>
      <c r="O528" s="106" t="str">
        <f t="shared" si="17"/>
        <v>Faltando Comprar</v>
      </c>
    </row>
    <row r="529" spans="1:15" ht="31.5">
      <c r="A529" s="16" t="s">
        <v>17</v>
      </c>
      <c r="B529" s="16" t="s">
        <v>34</v>
      </c>
      <c r="C529" s="17" t="s">
        <v>19</v>
      </c>
      <c r="D529" s="18" t="s">
        <v>341</v>
      </c>
      <c r="E529" s="18">
        <v>48</v>
      </c>
      <c r="F529" s="18" t="s">
        <v>21</v>
      </c>
      <c r="G529" s="18" t="s">
        <v>22</v>
      </c>
      <c r="H529" s="18" t="s">
        <v>23</v>
      </c>
      <c r="I529" s="19">
        <v>6.83</v>
      </c>
      <c r="J529" s="20">
        <f t="shared" si="16"/>
        <v>327.84000000000003</v>
      </c>
      <c r="K529" s="106"/>
      <c r="L529" s="114"/>
      <c r="M529" s="114">
        <f>tblAquisições[[#This Row],[VALOR UNITARIO COMPRADO]]*tblAquisições[[#This Row],[QUANTIDADE COMPRADA]]</f>
        <v>0</v>
      </c>
      <c r="N529" s="110">
        <f>K529-tblAquisições[[#This Row],[QUANTIDADE PLANEJADA]]</f>
        <v>-48</v>
      </c>
      <c r="O529" s="106" t="str">
        <f t="shared" si="17"/>
        <v>Faltando Comprar</v>
      </c>
    </row>
    <row r="530" spans="1:15" ht="31.5">
      <c r="A530" s="16" t="s">
        <v>17</v>
      </c>
      <c r="B530" s="16" t="s">
        <v>31</v>
      </c>
      <c r="C530" s="17" t="s">
        <v>19</v>
      </c>
      <c r="D530" s="18" t="s">
        <v>341</v>
      </c>
      <c r="E530" s="18">
        <v>50</v>
      </c>
      <c r="F530" s="18" t="s">
        <v>21</v>
      </c>
      <c r="G530" s="18" t="s">
        <v>22</v>
      </c>
      <c r="H530" s="18" t="s">
        <v>23</v>
      </c>
      <c r="I530" s="19">
        <v>6.83</v>
      </c>
      <c r="J530" s="20">
        <f t="shared" si="16"/>
        <v>341.5</v>
      </c>
      <c r="K530" s="106"/>
      <c r="L530" s="114"/>
      <c r="M530" s="114">
        <f>tblAquisições[[#This Row],[VALOR UNITARIO COMPRADO]]*tblAquisições[[#This Row],[QUANTIDADE COMPRADA]]</f>
        <v>0</v>
      </c>
      <c r="N530" s="110">
        <f>K530-tblAquisições[[#This Row],[QUANTIDADE PLANEJADA]]</f>
        <v>-50</v>
      </c>
      <c r="O530" s="106" t="str">
        <f t="shared" si="17"/>
        <v>Faltando Comprar</v>
      </c>
    </row>
    <row r="531" spans="1:15" ht="31.5">
      <c r="A531" s="16" t="s">
        <v>17</v>
      </c>
      <c r="B531" s="16" t="s">
        <v>18</v>
      </c>
      <c r="C531" s="17" t="s">
        <v>19</v>
      </c>
      <c r="D531" s="18" t="s">
        <v>341</v>
      </c>
      <c r="E531" s="18">
        <v>300</v>
      </c>
      <c r="F531" s="18" t="s">
        <v>21</v>
      </c>
      <c r="G531" s="18" t="s">
        <v>22</v>
      </c>
      <c r="H531" s="18" t="s">
        <v>23</v>
      </c>
      <c r="I531" s="19">
        <v>6.83</v>
      </c>
      <c r="J531" s="20">
        <f t="shared" si="16"/>
        <v>2049</v>
      </c>
      <c r="K531" s="106"/>
      <c r="L531" s="114"/>
      <c r="M531" s="114">
        <f>tblAquisições[[#This Row],[VALOR UNITARIO COMPRADO]]*tblAquisições[[#This Row],[QUANTIDADE COMPRADA]]</f>
        <v>0</v>
      </c>
      <c r="N531" s="110">
        <f>K531-tblAquisições[[#This Row],[QUANTIDADE PLANEJADA]]</f>
        <v>-300</v>
      </c>
      <c r="O531" s="106" t="str">
        <f t="shared" si="17"/>
        <v>Faltando Comprar</v>
      </c>
    </row>
    <row r="532" spans="1:15" ht="31.5">
      <c r="A532" s="16" t="s">
        <v>17</v>
      </c>
      <c r="B532" s="16" t="s">
        <v>24</v>
      </c>
      <c r="C532" s="17" t="s">
        <v>19</v>
      </c>
      <c r="D532" s="18" t="s">
        <v>341</v>
      </c>
      <c r="E532" s="18">
        <v>300</v>
      </c>
      <c r="F532" s="18" t="s">
        <v>21</v>
      </c>
      <c r="G532" s="18" t="s">
        <v>22</v>
      </c>
      <c r="H532" s="18" t="s">
        <v>23</v>
      </c>
      <c r="I532" s="19">
        <v>6.83</v>
      </c>
      <c r="J532" s="20">
        <f t="shared" si="16"/>
        <v>2049</v>
      </c>
      <c r="K532" s="106"/>
      <c r="L532" s="114"/>
      <c r="M532" s="114">
        <f>tblAquisições[[#This Row],[VALOR UNITARIO COMPRADO]]*tblAquisições[[#This Row],[QUANTIDADE COMPRADA]]</f>
        <v>0</v>
      </c>
      <c r="N532" s="110">
        <f>K532-tblAquisições[[#This Row],[QUANTIDADE PLANEJADA]]</f>
        <v>-300</v>
      </c>
      <c r="O532" s="106" t="str">
        <f t="shared" si="17"/>
        <v>Faltando Comprar</v>
      </c>
    </row>
    <row r="533" spans="1:15" ht="31.5">
      <c r="A533" s="16" t="s">
        <v>17</v>
      </c>
      <c r="B533" s="16" t="s">
        <v>25</v>
      </c>
      <c r="C533" s="17" t="s">
        <v>19</v>
      </c>
      <c r="D533" s="18" t="s">
        <v>341</v>
      </c>
      <c r="E533" s="18">
        <v>300</v>
      </c>
      <c r="F533" s="18" t="s">
        <v>21</v>
      </c>
      <c r="G533" s="18" t="s">
        <v>22</v>
      </c>
      <c r="H533" s="18" t="s">
        <v>23</v>
      </c>
      <c r="I533" s="19">
        <v>6.83</v>
      </c>
      <c r="J533" s="20">
        <f t="shared" si="16"/>
        <v>2049</v>
      </c>
      <c r="K533" s="106"/>
      <c r="L533" s="114"/>
      <c r="M533" s="114">
        <f>tblAquisições[[#This Row],[VALOR UNITARIO COMPRADO]]*tblAquisições[[#This Row],[QUANTIDADE COMPRADA]]</f>
        <v>0</v>
      </c>
      <c r="N533" s="110">
        <f>K533-tblAquisições[[#This Row],[QUANTIDADE PLANEJADA]]</f>
        <v>-300</v>
      </c>
      <c r="O533" s="106" t="str">
        <f t="shared" si="17"/>
        <v>Faltando Comprar</v>
      </c>
    </row>
    <row r="534" spans="1:15" ht="31.5">
      <c r="A534" s="16" t="s">
        <v>17</v>
      </c>
      <c r="B534" s="16" t="s">
        <v>41</v>
      </c>
      <c r="C534" s="17" t="s">
        <v>19</v>
      </c>
      <c r="D534" s="18" t="s">
        <v>341</v>
      </c>
      <c r="E534" s="18">
        <v>1000</v>
      </c>
      <c r="F534" s="18" t="s">
        <v>21</v>
      </c>
      <c r="G534" s="18" t="s">
        <v>22</v>
      </c>
      <c r="H534" s="18" t="s">
        <v>23</v>
      </c>
      <c r="I534" s="19">
        <v>6.83</v>
      </c>
      <c r="J534" s="20">
        <f t="shared" si="16"/>
        <v>6830</v>
      </c>
      <c r="K534" s="106"/>
      <c r="L534" s="114"/>
      <c r="M534" s="114">
        <f>tblAquisições[[#This Row],[VALOR UNITARIO COMPRADO]]*tblAquisições[[#This Row],[QUANTIDADE COMPRADA]]</f>
        <v>0</v>
      </c>
      <c r="N534" s="110">
        <f>K534-tblAquisições[[#This Row],[QUANTIDADE PLANEJADA]]</f>
        <v>-1000</v>
      </c>
      <c r="O534" s="106" t="str">
        <f t="shared" si="17"/>
        <v>Faltando Comprar</v>
      </c>
    </row>
    <row r="535" spans="1:15" ht="31.5">
      <c r="A535" s="16" t="s">
        <v>17</v>
      </c>
      <c r="B535" s="16" t="s">
        <v>27</v>
      </c>
      <c r="C535" s="17" t="s">
        <v>19</v>
      </c>
      <c r="D535" s="18" t="s">
        <v>341</v>
      </c>
      <c r="E535" s="18">
        <v>250</v>
      </c>
      <c r="F535" s="18" t="s">
        <v>21</v>
      </c>
      <c r="G535" s="18" t="s">
        <v>22</v>
      </c>
      <c r="H535" s="18" t="s">
        <v>23</v>
      </c>
      <c r="I535" s="19">
        <v>6.83</v>
      </c>
      <c r="J535" s="20">
        <f t="shared" si="16"/>
        <v>1707.5</v>
      </c>
      <c r="K535" s="106"/>
      <c r="L535" s="114"/>
      <c r="M535" s="114">
        <f>tblAquisições[[#This Row],[VALOR UNITARIO COMPRADO]]*tblAquisições[[#This Row],[QUANTIDADE COMPRADA]]</f>
        <v>0</v>
      </c>
      <c r="N535" s="110">
        <f>K535-tblAquisições[[#This Row],[QUANTIDADE PLANEJADA]]</f>
        <v>-250</v>
      </c>
      <c r="O535" s="106" t="str">
        <f t="shared" si="17"/>
        <v>Faltando Comprar</v>
      </c>
    </row>
    <row r="536" spans="1:15" ht="31.5">
      <c r="A536" s="16" t="s">
        <v>17</v>
      </c>
      <c r="B536" s="16" t="s">
        <v>28</v>
      </c>
      <c r="C536" s="17" t="s">
        <v>19</v>
      </c>
      <c r="D536" s="18" t="s">
        <v>341</v>
      </c>
      <c r="E536" s="18">
        <v>1000</v>
      </c>
      <c r="F536" s="18" t="s">
        <v>21</v>
      </c>
      <c r="G536" s="18" t="s">
        <v>22</v>
      </c>
      <c r="H536" s="18" t="s">
        <v>23</v>
      </c>
      <c r="I536" s="19">
        <v>6.83</v>
      </c>
      <c r="J536" s="20">
        <f t="shared" si="16"/>
        <v>6830</v>
      </c>
      <c r="K536" s="106"/>
      <c r="L536" s="114"/>
      <c r="M536" s="114">
        <f>tblAquisições[[#This Row],[VALOR UNITARIO COMPRADO]]*tblAquisições[[#This Row],[QUANTIDADE COMPRADA]]</f>
        <v>0</v>
      </c>
      <c r="N536" s="110">
        <f>K536-tblAquisições[[#This Row],[QUANTIDADE PLANEJADA]]</f>
        <v>-1000</v>
      </c>
      <c r="O536" s="106" t="str">
        <f t="shared" si="17"/>
        <v>Faltando Comprar</v>
      </c>
    </row>
    <row r="537" spans="1:15" ht="47.25">
      <c r="A537" s="16" t="s">
        <v>17</v>
      </c>
      <c r="B537" s="16" t="s">
        <v>26</v>
      </c>
      <c r="C537" s="17" t="s">
        <v>19</v>
      </c>
      <c r="D537" s="18" t="s">
        <v>342</v>
      </c>
      <c r="E537" s="18">
        <v>4</v>
      </c>
      <c r="F537" s="18" t="s">
        <v>71</v>
      </c>
      <c r="G537" s="18" t="s">
        <v>22</v>
      </c>
      <c r="H537" s="18" t="s">
        <v>65</v>
      </c>
      <c r="I537" s="24">
        <v>59.9</v>
      </c>
      <c r="J537" s="20">
        <f t="shared" si="16"/>
        <v>239.6</v>
      </c>
      <c r="K537" s="106"/>
      <c r="L537" s="114"/>
      <c r="M537" s="114">
        <f>tblAquisições[[#This Row],[VALOR UNITARIO COMPRADO]]*tblAquisições[[#This Row],[QUANTIDADE COMPRADA]]</f>
        <v>0</v>
      </c>
      <c r="N537" s="110">
        <f>K537-tblAquisições[[#This Row],[QUANTIDADE PLANEJADA]]</f>
        <v>-4</v>
      </c>
      <c r="O537" s="106" t="str">
        <f t="shared" si="17"/>
        <v>Faltando Comprar</v>
      </c>
    </row>
    <row r="538" spans="1:15" ht="47.25">
      <c r="A538" s="16" t="s">
        <v>17</v>
      </c>
      <c r="B538" s="16" t="s">
        <v>28</v>
      </c>
      <c r="C538" s="17" t="s">
        <v>19</v>
      </c>
      <c r="D538" s="18" t="s">
        <v>342</v>
      </c>
      <c r="E538" s="18">
        <v>10</v>
      </c>
      <c r="F538" s="18" t="s">
        <v>71</v>
      </c>
      <c r="G538" s="18" t="s">
        <v>22</v>
      </c>
      <c r="H538" s="18" t="s">
        <v>65</v>
      </c>
      <c r="I538" s="24">
        <v>59.9</v>
      </c>
      <c r="J538" s="20">
        <f t="shared" si="16"/>
        <v>599</v>
      </c>
      <c r="K538" s="106"/>
      <c r="L538" s="114"/>
      <c r="M538" s="114">
        <f>tblAquisições[[#This Row],[VALOR UNITARIO COMPRADO]]*tblAquisições[[#This Row],[QUANTIDADE COMPRADA]]</f>
        <v>0</v>
      </c>
      <c r="N538" s="110">
        <f>K538-tblAquisições[[#This Row],[QUANTIDADE PLANEJADA]]</f>
        <v>-10</v>
      </c>
      <c r="O538" s="106" t="str">
        <f t="shared" si="17"/>
        <v>Faltando Comprar</v>
      </c>
    </row>
    <row r="539" spans="1:15" ht="31.5">
      <c r="A539" s="16" t="s">
        <v>17</v>
      </c>
      <c r="B539" s="16" t="s">
        <v>28</v>
      </c>
      <c r="C539" s="17" t="s">
        <v>19</v>
      </c>
      <c r="D539" s="18" t="s">
        <v>343</v>
      </c>
      <c r="E539" s="18">
        <v>10</v>
      </c>
      <c r="F539" s="18" t="s">
        <v>21</v>
      </c>
      <c r="G539" s="18" t="s">
        <v>22</v>
      </c>
      <c r="H539" s="18" t="s">
        <v>23</v>
      </c>
      <c r="I539" s="19">
        <v>24.63</v>
      </c>
      <c r="J539" s="20">
        <f t="shared" si="16"/>
        <v>246.29999999999998</v>
      </c>
      <c r="K539" s="106"/>
      <c r="L539" s="114"/>
      <c r="M539" s="114">
        <f>tblAquisições[[#This Row],[VALOR UNITARIO COMPRADO]]*tblAquisições[[#This Row],[QUANTIDADE COMPRADA]]</f>
        <v>0</v>
      </c>
      <c r="N539" s="110">
        <f>K539-tblAquisições[[#This Row],[QUANTIDADE PLANEJADA]]</f>
        <v>-10</v>
      </c>
      <c r="O539" s="106" t="str">
        <f t="shared" si="17"/>
        <v>Faltando Comprar</v>
      </c>
    </row>
    <row r="540" spans="1:15" ht="47.25">
      <c r="A540" s="16" t="s">
        <v>17</v>
      </c>
      <c r="B540" s="16" t="s">
        <v>34</v>
      </c>
      <c r="C540" s="17" t="s">
        <v>19</v>
      </c>
      <c r="D540" s="18" t="s">
        <v>344</v>
      </c>
      <c r="E540" s="18">
        <v>2</v>
      </c>
      <c r="F540" s="18" t="s">
        <v>313</v>
      </c>
      <c r="G540" s="18" t="s">
        <v>22</v>
      </c>
      <c r="H540" s="18" t="s">
        <v>65</v>
      </c>
      <c r="I540" s="19">
        <v>21.63</v>
      </c>
      <c r="J540" s="20">
        <f t="shared" si="16"/>
        <v>43.26</v>
      </c>
      <c r="K540" s="106"/>
      <c r="L540" s="114"/>
      <c r="M540" s="114">
        <f>tblAquisições[[#This Row],[VALOR UNITARIO COMPRADO]]*tblAquisições[[#This Row],[QUANTIDADE COMPRADA]]</f>
        <v>0</v>
      </c>
      <c r="N540" s="110">
        <f>K540-tblAquisições[[#This Row],[QUANTIDADE PLANEJADA]]</f>
        <v>-2</v>
      </c>
      <c r="O540" s="106" t="str">
        <f t="shared" si="17"/>
        <v>Faltando Comprar</v>
      </c>
    </row>
    <row r="541" spans="1:15" ht="47.25">
      <c r="A541" s="16" t="s">
        <v>17</v>
      </c>
      <c r="B541" s="16" t="s">
        <v>28</v>
      </c>
      <c r="C541" s="17" t="s">
        <v>19</v>
      </c>
      <c r="D541" s="18" t="s">
        <v>344</v>
      </c>
      <c r="E541" s="18">
        <v>20</v>
      </c>
      <c r="F541" s="18" t="s">
        <v>313</v>
      </c>
      <c r="G541" s="18" t="s">
        <v>22</v>
      </c>
      <c r="H541" s="18" t="s">
        <v>23</v>
      </c>
      <c r="I541" s="19">
        <v>1.57</v>
      </c>
      <c r="J541" s="20">
        <f t="shared" si="16"/>
        <v>31.400000000000002</v>
      </c>
      <c r="K541" s="106"/>
      <c r="L541" s="114"/>
      <c r="M541" s="114">
        <f>tblAquisições[[#This Row],[VALOR UNITARIO COMPRADO]]*tblAquisições[[#This Row],[QUANTIDADE COMPRADA]]</f>
        <v>0</v>
      </c>
      <c r="N541" s="110">
        <f>K541-tblAquisições[[#This Row],[QUANTIDADE PLANEJADA]]</f>
        <v>-20</v>
      </c>
      <c r="O541" s="106" t="str">
        <f t="shared" si="17"/>
        <v>Faltando Comprar</v>
      </c>
    </row>
    <row r="542" spans="1:15" ht="47.25">
      <c r="A542" s="16" t="s">
        <v>17</v>
      </c>
      <c r="B542" s="16" t="s">
        <v>28</v>
      </c>
      <c r="C542" s="17" t="s">
        <v>19</v>
      </c>
      <c r="D542" s="18" t="s">
        <v>345</v>
      </c>
      <c r="E542" s="18">
        <v>2</v>
      </c>
      <c r="F542" s="18" t="s">
        <v>58</v>
      </c>
      <c r="G542" s="18" t="s">
        <v>22</v>
      </c>
      <c r="H542" s="18" t="s">
        <v>23</v>
      </c>
      <c r="I542" s="19">
        <v>39.549999999999997</v>
      </c>
      <c r="J542" s="20">
        <f t="shared" si="16"/>
        <v>79.099999999999994</v>
      </c>
      <c r="K542" s="106"/>
      <c r="L542" s="114"/>
      <c r="M542" s="114">
        <f>tblAquisições[[#This Row],[VALOR UNITARIO COMPRADO]]*tblAquisições[[#This Row],[QUANTIDADE COMPRADA]]</f>
        <v>0</v>
      </c>
      <c r="N542" s="110">
        <f>K542-tblAquisições[[#This Row],[QUANTIDADE PLANEJADA]]</f>
        <v>-2</v>
      </c>
      <c r="O542" s="106" t="str">
        <f t="shared" si="17"/>
        <v>Faltando Comprar</v>
      </c>
    </row>
    <row r="543" spans="1:15" ht="47.25">
      <c r="A543" s="16" t="s">
        <v>17</v>
      </c>
      <c r="B543" s="16" t="s">
        <v>72</v>
      </c>
      <c r="C543" s="17" t="s">
        <v>19</v>
      </c>
      <c r="D543" s="18" t="s">
        <v>346</v>
      </c>
      <c r="E543" s="18">
        <v>12</v>
      </c>
      <c r="F543" s="18" t="s">
        <v>78</v>
      </c>
      <c r="G543" s="18" t="s">
        <v>22</v>
      </c>
      <c r="H543" s="18" t="s">
        <v>23</v>
      </c>
      <c r="I543" s="19">
        <v>16.559999999999999</v>
      </c>
      <c r="J543" s="20">
        <f t="shared" si="16"/>
        <v>198.71999999999997</v>
      </c>
      <c r="K543" s="106"/>
      <c r="L543" s="114"/>
      <c r="M543" s="114">
        <f>tblAquisições[[#This Row],[VALOR UNITARIO COMPRADO]]*tblAquisições[[#This Row],[QUANTIDADE COMPRADA]]</f>
        <v>0</v>
      </c>
      <c r="N543" s="110">
        <f>K543-tblAquisições[[#This Row],[QUANTIDADE PLANEJADA]]</f>
        <v>-12</v>
      </c>
      <c r="O543" s="106" t="str">
        <f t="shared" si="17"/>
        <v>Faltando Comprar</v>
      </c>
    </row>
    <row r="544" spans="1:15" ht="31.5">
      <c r="A544" s="16" t="s">
        <v>17</v>
      </c>
      <c r="B544" s="16" t="s">
        <v>28</v>
      </c>
      <c r="C544" s="17" t="s">
        <v>19</v>
      </c>
      <c r="D544" s="18" t="s">
        <v>347</v>
      </c>
      <c r="E544" s="18">
        <v>24</v>
      </c>
      <c r="F544" s="18" t="s">
        <v>21</v>
      </c>
      <c r="G544" s="18" t="s">
        <v>22</v>
      </c>
      <c r="H544" s="18" t="s">
        <v>23</v>
      </c>
      <c r="I544" s="19">
        <v>441.75</v>
      </c>
      <c r="J544" s="20">
        <f t="shared" si="16"/>
        <v>10602</v>
      </c>
      <c r="K544" s="106"/>
      <c r="L544" s="114"/>
      <c r="M544" s="114">
        <f>tblAquisições[[#This Row],[VALOR UNITARIO COMPRADO]]*tblAquisições[[#This Row],[QUANTIDADE COMPRADA]]</f>
        <v>0</v>
      </c>
      <c r="N544" s="110">
        <f>K544-tblAquisições[[#This Row],[QUANTIDADE PLANEJADA]]</f>
        <v>-24</v>
      </c>
      <c r="O544" s="106" t="str">
        <f t="shared" si="17"/>
        <v>Faltando Comprar</v>
      </c>
    </row>
    <row r="545" spans="1:15" ht="47.25">
      <c r="A545" s="16" t="s">
        <v>17</v>
      </c>
      <c r="B545" s="16" t="s">
        <v>31</v>
      </c>
      <c r="C545" s="17" t="s">
        <v>19</v>
      </c>
      <c r="D545" s="18" t="s">
        <v>348</v>
      </c>
      <c r="E545" s="18">
        <v>5</v>
      </c>
      <c r="F545" s="18" t="s">
        <v>107</v>
      </c>
      <c r="G545" s="18" t="s">
        <v>22</v>
      </c>
      <c r="H545" s="18" t="s">
        <v>23</v>
      </c>
      <c r="I545" s="19">
        <v>46.85</v>
      </c>
      <c r="J545" s="20">
        <f t="shared" si="16"/>
        <v>234.25</v>
      </c>
      <c r="K545" s="106"/>
      <c r="L545" s="114"/>
      <c r="M545" s="114">
        <f>tblAquisições[[#This Row],[VALOR UNITARIO COMPRADO]]*tblAquisições[[#This Row],[QUANTIDADE COMPRADA]]</f>
        <v>0</v>
      </c>
      <c r="N545" s="110">
        <f>K545-tblAquisições[[#This Row],[QUANTIDADE PLANEJADA]]</f>
        <v>-5</v>
      </c>
      <c r="O545" s="106" t="str">
        <f t="shared" si="17"/>
        <v>Faltando Comprar</v>
      </c>
    </row>
    <row r="546" spans="1:15" ht="47.25">
      <c r="A546" s="16" t="s">
        <v>17</v>
      </c>
      <c r="B546" s="16" t="s">
        <v>26</v>
      </c>
      <c r="C546" s="17" t="s">
        <v>19</v>
      </c>
      <c r="D546" s="18" t="s">
        <v>348</v>
      </c>
      <c r="E546" s="18">
        <v>5</v>
      </c>
      <c r="F546" s="18" t="s">
        <v>107</v>
      </c>
      <c r="G546" s="18" t="s">
        <v>22</v>
      </c>
      <c r="H546" s="18" t="s">
        <v>23</v>
      </c>
      <c r="I546" s="19">
        <v>46.85</v>
      </c>
      <c r="J546" s="20">
        <f t="shared" si="16"/>
        <v>234.25</v>
      </c>
      <c r="K546" s="106"/>
      <c r="L546" s="114"/>
      <c r="M546" s="114">
        <f>tblAquisições[[#This Row],[VALOR UNITARIO COMPRADO]]*tblAquisições[[#This Row],[QUANTIDADE COMPRADA]]</f>
        <v>0</v>
      </c>
      <c r="N546" s="110">
        <f>K546-tblAquisições[[#This Row],[QUANTIDADE PLANEJADA]]</f>
        <v>-5</v>
      </c>
      <c r="O546" s="106" t="str">
        <f t="shared" si="17"/>
        <v>Faltando Comprar</v>
      </c>
    </row>
    <row r="547" spans="1:15" ht="31.5">
      <c r="A547" s="16" t="s">
        <v>17</v>
      </c>
      <c r="B547" s="16" t="s">
        <v>26</v>
      </c>
      <c r="C547" s="17" t="s">
        <v>19</v>
      </c>
      <c r="D547" s="18" t="s">
        <v>349</v>
      </c>
      <c r="E547" s="18">
        <v>40</v>
      </c>
      <c r="F547" s="18" t="s">
        <v>21</v>
      </c>
      <c r="G547" s="18" t="s">
        <v>22</v>
      </c>
      <c r="H547" s="18" t="s">
        <v>23</v>
      </c>
      <c r="I547" s="19">
        <v>519.97</v>
      </c>
      <c r="J547" s="20">
        <f t="shared" si="16"/>
        <v>20798.800000000003</v>
      </c>
      <c r="K547" s="106"/>
      <c r="L547" s="114"/>
      <c r="M547" s="114">
        <f>tblAquisições[[#This Row],[VALOR UNITARIO COMPRADO]]*tblAquisições[[#This Row],[QUANTIDADE COMPRADA]]</f>
        <v>0</v>
      </c>
      <c r="N547" s="110">
        <f>K547-tblAquisições[[#This Row],[QUANTIDADE PLANEJADA]]</f>
        <v>-40</v>
      </c>
      <c r="O547" s="106" t="str">
        <f t="shared" si="17"/>
        <v>Faltando Comprar</v>
      </c>
    </row>
    <row r="548" spans="1:15" ht="31.5">
      <c r="A548" s="16" t="s">
        <v>17</v>
      </c>
      <c r="B548" s="16" t="s">
        <v>26</v>
      </c>
      <c r="C548" s="17" t="s">
        <v>19</v>
      </c>
      <c r="D548" s="18" t="s">
        <v>350</v>
      </c>
      <c r="E548" s="18">
        <v>180</v>
      </c>
      <c r="F548" s="18" t="s">
        <v>21</v>
      </c>
      <c r="G548" s="18" t="s">
        <v>22</v>
      </c>
      <c r="H548" s="18" t="s">
        <v>83</v>
      </c>
      <c r="I548" s="19">
        <v>41.26</v>
      </c>
      <c r="J548" s="20">
        <f t="shared" si="16"/>
        <v>7426.7999999999993</v>
      </c>
      <c r="K548" s="106"/>
      <c r="L548" s="114"/>
      <c r="M548" s="114">
        <f>tblAquisições[[#This Row],[VALOR UNITARIO COMPRADO]]*tblAquisições[[#This Row],[QUANTIDADE COMPRADA]]</f>
        <v>0</v>
      </c>
      <c r="N548" s="110">
        <f>K548-tblAquisições[[#This Row],[QUANTIDADE PLANEJADA]]</f>
        <v>-180</v>
      </c>
      <c r="O548" s="106" t="str">
        <f t="shared" si="17"/>
        <v>Faltando Comprar</v>
      </c>
    </row>
    <row r="549" spans="1:15" ht="47.25">
      <c r="A549" s="16" t="s">
        <v>17</v>
      </c>
      <c r="B549" s="16" t="s">
        <v>28</v>
      </c>
      <c r="C549" s="17" t="s">
        <v>19</v>
      </c>
      <c r="D549" s="18" t="s">
        <v>351</v>
      </c>
      <c r="E549" s="18">
        <v>10</v>
      </c>
      <c r="F549" s="18" t="s">
        <v>78</v>
      </c>
      <c r="G549" s="18" t="s">
        <v>22</v>
      </c>
      <c r="H549" s="18" t="s">
        <v>23</v>
      </c>
      <c r="I549" s="19">
        <v>17.260000000000002</v>
      </c>
      <c r="J549" s="20">
        <f t="shared" si="16"/>
        <v>172.60000000000002</v>
      </c>
      <c r="K549" s="106"/>
      <c r="L549" s="114"/>
      <c r="M549" s="114">
        <f>tblAquisições[[#This Row],[VALOR UNITARIO COMPRADO]]*tblAquisições[[#This Row],[QUANTIDADE COMPRADA]]</f>
        <v>0</v>
      </c>
      <c r="N549" s="110">
        <f>K549-tblAquisições[[#This Row],[QUANTIDADE PLANEJADA]]</f>
        <v>-10</v>
      </c>
      <c r="O549" s="106" t="str">
        <f t="shared" si="17"/>
        <v>Faltando Comprar</v>
      </c>
    </row>
    <row r="550" spans="1:15" ht="31.5">
      <c r="A550" s="16" t="s">
        <v>17</v>
      </c>
      <c r="B550" s="16" t="s">
        <v>28</v>
      </c>
      <c r="C550" s="17" t="s">
        <v>19</v>
      </c>
      <c r="D550" s="18" t="s">
        <v>352</v>
      </c>
      <c r="E550" s="18">
        <v>20</v>
      </c>
      <c r="F550" s="18" t="s">
        <v>21</v>
      </c>
      <c r="G550" s="18" t="s">
        <v>22</v>
      </c>
      <c r="H550" s="18" t="s">
        <v>23</v>
      </c>
      <c r="I550" s="19">
        <v>18.32</v>
      </c>
      <c r="J550" s="20">
        <f t="shared" si="16"/>
        <v>366.4</v>
      </c>
      <c r="K550" s="106"/>
      <c r="L550" s="114"/>
      <c r="M550" s="114">
        <f>tblAquisições[[#This Row],[VALOR UNITARIO COMPRADO]]*tblAquisições[[#This Row],[QUANTIDADE COMPRADA]]</f>
        <v>0</v>
      </c>
      <c r="N550" s="110">
        <f>K550-tblAquisições[[#This Row],[QUANTIDADE PLANEJADA]]</f>
        <v>-20</v>
      </c>
      <c r="O550" s="106" t="str">
        <f t="shared" si="17"/>
        <v>Faltando Comprar</v>
      </c>
    </row>
    <row r="551" spans="1:15" ht="31.5">
      <c r="A551" s="16" t="s">
        <v>17</v>
      </c>
      <c r="B551" s="16" t="s">
        <v>34</v>
      </c>
      <c r="C551" s="17" t="s">
        <v>19</v>
      </c>
      <c r="D551" s="18" t="s">
        <v>353</v>
      </c>
      <c r="E551" s="18">
        <v>12</v>
      </c>
      <c r="F551" s="18" t="s">
        <v>21</v>
      </c>
      <c r="G551" s="18" t="s">
        <v>22</v>
      </c>
      <c r="H551" s="18" t="s">
        <v>23</v>
      </c>
      <c r="I551" s="19">
        <v>29.28</v>
      </c>
      <c r="J551" s="20">
        <f t="shared" si="16"/>
        <v>351.36</v>
      </c>
      <c r="K551" s="106"/>
      <c r="L551" s="114"/>
      <c r="M551" s="114">
        <f>tblAquisições[[#This Row],[VALOR UNITARIO COMPRADO]]*tblAquisições[[#This Row],[QUANTIDADE COMPRADA]]</f>
        <v>0</v>
      </c>
      <c r="N551" s="110">
        <f>K551-tblAquisições[[#This Row],[QUANTIDADE PLANEJADA]]</f>
        <v>-12</v>
      </c>
      <c r="O551" s="106" t="str">
        <f t="shared" si="17"/>
        <v>Faltando Comprar</v>
      </c>
    </row>
    <row r="552" spans="1:15" ht="31.5">
      <c r="A552" s="16" t="s">
        <v>17</v>
      </c>
      <c r="B552" s="16" t="s">
        <v>27</v>
      </c>
      <c r="C552" s="17" t="s">
        <v>19</v>
      </c>
      <c r="D552" s="18" t="s">
        <v>353</v>
      </c>
      <c r="E552" s="18">
        <v>10</v>
      </c>
      <c r="F552" s="18" t="s">
        <v>21</v>
      </c>
      <c r="G552" s="18" t="s">
        <v>22</v>
      </c>
      <c r="H552" s="18" t="s">
        <v>23</v>
      </c>
      <c r="I552" s="19">
        <v>29.28</v>
      </c>
      <c r="J552" s="20">
        <f t="shared" si="16"/>
        <v>292.8</v>
      </c>
      <c r="K552" s="106"/>
      <c r="L552" s="114"/>
      <c r="M552" s="114">
        <f>tblAquisições[[#This Row],[VALOR UNITARIO COMPRADO]]*tblAquisições[[#This Row],[QUANTIDADE COMPRADA]]</f>
        <v>0</v>
      </c>
      <c r="N552" s="110">
        <f>K552-tblAquisições[[#This Row],[QUANTIDADE PLANEJADA]]</f>
        <v>-10</v>
      </c>
      <c r="O552" s="106" t="str">
        <f t="shared" si="17"/>
        <v>Faltando Comprar</v>
      </c>
    </row>
    <row r="553" spans="1:15" ht="47.25">
      <c r="A553" s="16" t="s">
        <v>17</v>
      </c>
      <c r="B553" s="16" t="s">
        <v>18</v>
      </c>
      <c r="C553" s="17" t="s">
        <v>19</v>
      </c>
      <c r="D553" s="18" t="s">
        <v>354</v>
      </c>
      <c r="E553" s="18">
        <v>200</v>
      </c>
      <c r="F553" s="18" t="s">
        <v>78</v>
      </c>
      <c r="G553" s="18" t="s">
        <v>22</v>
      </c>
      <c r="H553" s="18" t="s">
        <v>23</v>
      </c>
      <c r="I553" s="19">
        <v>5.91</v>
      </c>
      <c r="J553" s="20">
        <f t="shared" si="16"/>
        <v>1182</v>
      </c>
      <c r="K553" s="106"/>
      <c r="L553" s="114"/>
      <c r="M553" s="114">
        <f>tblAquisições[[#This Row],[VALOR UNITARIO COMPRADO]]*tblAquisições[[#This Row],[QUANTIDADE COMPRADA]]</f>
        <v>0</v>
      </c>
      <c r="N553" s="110">
        <f>K553-tblAquisições[[#This Row],[QUANTIDADE PLANEJADA]]</f>
        <v>-200</v>
      </c>
      <c r="O553" s="106" t="str">
        <f t="shared" si="17"/>
        <v>Faltando Comprar</v>
      </c>
    </row>
    <row r="554" spans="1:15" ht="47.25">
      <c r="A554" s="16" t="s">
        <v>17</v>
      </c>
      <c r="B554" s="16" t="s">
        <v>24</v>
      </c>
      <c r="C554" s="17" t="s">
        <v>19</v>
      </c>
      <c r="D554" s="18" t="s">
        <v>354</v>
      </c>
      <c r="E554" s="18">
        <v>200</v>
      </c>
      <c r="F554" s="18" t="s">
        <v>78</v>
      </c>
      <c r="G554" s="18" t="s">
        <v>22</v>
      </c>
      <c r="H554" s="18" t="s">
        <v>23</v>
      </c>
      <c r="I554" s="19">
        <v>5.91</v>
      </c>
      <c r="J554" s="20">
        <f t="shared" si="16"/>
        <v>1182</v>
      </c>
      <c r="K554" s="106"/>
      <c r="L554" s="114"/>
      <c r="M554" s="114">
        <f>tblAquisições[[#This Row],[VALOR UNITARIO COMPRADO]]*tblAquisições[[#This Row],[QUANTIDADE COMPRADA]]</f>
        <v>0</v>
      </c>
      <c r="N554" s="110">
        <f>K554-tblAquisições[[#This Row],[QUANTIDADE PLANEJADA]]</f>
        <v>-200</v>
      </c>
      <c r="O554" s="106" t="str">
        <f t="shared" si="17"/>
        <v>Faltando Comprar</v>
      </c>
    </row>
    <row r="555" spans="1:15" ht="47.25">
      <c r="A555" s="16" t="s">
        <v>17</v>
      </c>
      <c r="B555" s="16" t="s">
        <v>25</v>
      </c>
      <c r="C555" s="17" t="s">
        <v>19</v>
      </c>
      <c r="D555" s="18" t="s">
        <v>354</v>
      </c>
      <c r="E555" s="18">
        <v>200</v>
      </c>
      <c r="F555" s="18" t="s">
        <v>78</v>
      </c>
      <c r="G555" s="18" t="s">
        <v>22</v>
      </c>
      <c r="H555" s="18" t="s">
        <v>23</v>
      </c>
      <c r="I555" s="19">
        <v>5.91</v>
      </c>
      <c r="J555" s="20">
        <f t="shared" si="16"/>
        <v>1182</v>
      </c>
      <c r="K555" s="106"/>
      <c r="L555" s="114"/>
      <c r="M555" s="114">
        <f>tblAquisições[[#This Row],[VALOR UNITARIO COMPRADO]]*tblAquisições[[#This Row],[QUANTIDADE COMPRADA]]</f>
        <v>0</v>
      </c>
      <c r="N555" s="110">
        <f>K555-tblAquisições[[#This Row],[QUANTIDADE PLANEJADA]]</f>
        <v>-200</v>
      </c>
      <c r="O555" s="106" t="str">
        <f t="shared" si="17"/>
        <v>Faltando Comprar</v>
      </c>
    </row>
    <row r="556" spans="1:15" ht="47.25">
      <c r="A556" s="16" t="s">
        <v>17</v>
      </c>
      <c r="B556" s="16" t="s">
        <v>27</v>
      </c>
      <c r="C556" s="17" t="s">
        <v>19</v>
      </c>
      <c r="D556" s="18" t="s">
        <v>354</v>
      </c>
      <c r="E556" s="18">
        <v>300</v>
      </c>
      <c r="F556" s="18" t="s">
        <v>78</v>
      </c>
      <c r="G556" s="18" t="s">
        <v>22</v>
      </c>
      <c r="H556" s="18" t="s">
        <v>23</v>
      </c>
      <c r="I556" s="19">
        <v>5.91</v>
      </c>
      <c r="J556" s="20">
        <f t="shared" si="16"/>
        <v>1773</v>
      </c>
      <c r="K556" s="106"/>
      <c r="L556" s="114"/>
      <c r="M556" s="114">
        <f>tblAquisições[[#This Row],[VALOR UNITARIO COMPRADO]]*tblAquisições[[#This Row],[QUANTIDADE COMPRADA]]</f>
        <v>0</v>
      </c>
      <c r="N556" s="110">
        <f>K556-tblAquisições[[#This Row],[QUANTIDADE PLANEJADA]]</f>
        <v>-300</v>
      </c>
      <c r="O556" s="106" t="str">
        <f t="shared" si="17"/>
        <v>Faltando Comprar</v>
      </c>
    </row>
    <row r="557" spans="1:15" ht="47.25">
      <c r="A557" s="16" t="s">
        <v>17</v>
      </c>
      <c r="B557" s="16" t="s">
        <v>18</v>
      </c>
      <c r="C557" s="17" t="s">
        <v>19</v>
      </c>
      <c r="D557" s="18" t="s">
        <v>355</v>
      </c>
      <c r="E557" s="18">
        <v>50</v>
      </c>
      <c r="F557" s="18" t="s">
        <v>78</v>
      </c>
      <c r="G557" s="18" t="s">
        <v>22</v>
      </c>
      <c r="H557" s="18" t="s">
        <v>83</v>
      </c>
      <c r="I557" s="19">
        <v>58.93</v>
      </c>
      <c r="J557" s="20">
        <f t="shared" si="16"/>
        <v>2946.5</v>
      </c>
      <c r="K557" s="106"/>
      <c r="L557" s="114"/>
      <c r="M557" s="114">
        <f>tblAquisições[[#This Row],[VALOR UNITARIO COMPRADO]]*tblAquisições[[#This Row],[QUANTIDADE COMPRADA]]</f>
        <v>0</v>
      </c>
      <c r="N557" s="110">
        <f>K557-tblAquisições[[#This Row],[QUANTIDADE PLANEJADA]]</f>
        <v>-50</v>
      </c>
      <c r="O557" s="106" t="str">
        <f t="shared" si="17"/>
        <v>Faltando Comprar</v>
      </c>
    </row>
    <row r="558" spans="1:15" ht="47.25">
      <c r="A558" s="16" t="s">
        <v>17</v>
      </c>
      <c r="B558" s="16" t="s">
        <v>24</v>
      </c>
      <c r="C558" s="17" t="s">
        <v>19</v>
      </c>
      <c r="D558" s="18" t="s">
        <v>355</v>
      </c>
      <c r="E558" s="18">
        <v>50</v>
      </c>
      <c r="F558" s="18" t="s">
        <v>78</v>
      </c>
      <c r="G558" s="18" t="s">
        <v>22</v>
      </c>
      <c r="H558" s="18" t="s">
        <v>83</v>
      </c>
      <c r="I558" s="19">
        <v>58.93</v>
      </c>
      <c r="J558" s="20">
        <f t="shared" si="16"/>
        <v>2946.5</v>
      </c>
      <c r="K558" s="106"/>
      <c r="L558" s="114"/>
      <c r="M558" s="114">
        <f>tblAquisições[[#This Row],[VALOR UNITARIO COMPRADO]]*tblAquisições[[#This Row],[QUANTIDADE COMPRADA]]</f>
        <v>0</v>
      </c>
      <c r="N558" s="110">
        <f>K558-tblAquisições[[#This Row],[QUANTIDADE PLANEJADA]]</f>
        <v>-50</v>
      </c>
      <c r="O558" s="106" t="str">
        <f t="shared" si="17"/>
        <v>Faltando Comprar</v>
      </c>
    </row>
    <row r="559" spans="1:15" ht="47.25">
      <c r="A559" s="16" t="s">
        <v>17</v>
      </c>
      <c r="B559" s="16" t="s">
        <v>25</v>
      </c>
      <c r="C559" s="17" t="s">
        <v>19</v>
      </c>
      <c r="D559" s="18" t="s">
        <v>355</v>
      </c>
      <c r="E559" s="18">
        <v>50</v>
      </c>
      <c r="F559" s="18" t="s">
        <v>78</v>
      </c>
      <c r="G559" s="18" t="s">
        <v>22</v>
      </c>
      <c r="H559" s="18" t="s">
        <v>83</v>
      </c>
      <c r="I559" s="19">
        <v>58.93</v>
      </c>
      <c r="J559" s="20">
        <f t="shared" si="16"/>
        <v>2946.5</v>
      </c>
      <c r="K559" s="106"/>
      <c r="L559" s="114"/>
      <c r="M559" s="114">
        <f>tblAquisições[[#This Row],[VALOR UNITARIO COMPRADO]]*tblAquisições[[#This Row],[QUANTIDADE COMPRADA]]</f>
        <v>0</v>
      </c>
      <c r="N559" s="110">
        <f>K559-tblAquisições[[#This Row],[QUANTIDADE PLANEJADA]]</f>
        <v>-50</v>
      </c>
      <c r="O559" s="106" t="str">
        <f t="shared" si="17"/>
        <v>Faltando Comprar</v>
      </c>
    </row>
    <row r="560" spans="1:15" ht="47.25">
      <c r="A560" s="16" t="s">
        <v>17</v>
      </c>
      <c r="B560" s="16" t="s">
        <v>27</v>
      </c>
      <c r="C560" s="17" t="s">
        <v>19</v>
      </c>
      <c r="D560" s="18" t="s">
        <v>355</v>
      </c>
      <c r="E560" s="18">
        <v>40</v>
      </c>
      <c r="F560" s="18" t="s">
        <v>78</v>
      </c>
      <c r="G560" s="18" t="s">
        <v>22</v>
      </c>
      <c r="H560" s="18" t="s">
        <v>83</v>
      </c>
      <c r="I560" s="19">
        <v>58.93</v>
      </c>
      <c r="J560" s="20">
        <f t="shared" si="16"/>
        <v>2357.1999999999998</v>
      </c>
      <c r="K560" s="106"/>
      <c r="L560" s="114"/>
      <c r="M560" s="114">
        <f>tblAquisições[[#This Row],[VALOR UNITARIO COMPRADO]]*tblAquisições[[#This Row],[QUANTIDADE COMPRADA]]</f>
        <v>0</v>
      </c>
      <c r="N560" s="110">
        <f>K560-tblAquisições[[#This Row],[QUANTIDADE PLANEJADA]]</f>
        <v>-40</v>
      </c>
      <c r="O560" s="106" t="str">
        <f t="shared" si="17"/>
        <v>Faltando Comprar</v>
      </c>
    </row>
    <row r="561" spans="1:15" ht="47.25">
      <c r="A561" s="16" t="s">
        <v>17</v>
      </c>
      <c r="B561" s="16" t="s">
        <v>28</v>
      </c>
      <c r="C561" s="17" t="s">
        <v>19</v>
      </c>
      <c r="D561" s="18" t="s">
        <v>355</v>
      </c>
      <c r="E561" s="18">
        <v>50</v>
      </c>
      <c r="F561" s="18" t="s">
        <v>78</v>
      </c>
      <c r="G561" s="18" t="s">
        <v>22</v>
      </c>
      <c r="H561" s="18" t="s">
        <v>83</v>
      </c>
      <c r="I561" s="19">
        <v>58.93</v>
      </c>
      <c r="J561" s="20">
        <f t="shared" si="16"/>
        <v>2946.5</v>
      </c>
      <c r="K561" s="106"/>
      <c r="L561" s="114"/>
      <c r="M561" s="114">
        <f>tblAquisições[[#This Row],[VALOR UNITARIO COMPRADO]]*tblAquisições[[#This Row],[QUANTIDADE COMPRADA]]</f>
        <v>0</v>
      </c>
      <c r="N561" s="110">
        <f>K561-tblAquisições[[#This Row],[QUANTIDADE PLANEJADA]]</f>
        <v>-50</v>
      </c>
      <c r="O561" s="106" t="str">
        <f t="shared" si="17"/>
        <v>Faltando Comprar</v>
      </c>
    </row>
    <row r="562" spans="1:15" ht="47.25">
      <c r="A562" s="16" t="s">
        <v>17</v>
      </c>
      <c r="B562" s="16" t="s">
        <v>80</v>
      </c>
      <c r="C562" s="17" t="s">
        <v>19</v>
      </c>
      <c r="D562" s="18" t="s">
        <v>356</v>
      </c>
      <c r="E562" s="18">
        <v>3</v>
      </c>
      <c r="F562" s="18" t="s">
        <v>96</v>
      </c>
      <c r="G562" s="18" t="s">
        <v>39</v>
      </c>
      <c r="H562" s="18" t="s">
        <v>23</v>
      </c>
      <c r="I562" s="19">
        <v>28.67</v>
      </c>
      <c r="J562" s="20">
        <f t="shared" si="16"/>
        <v>86.01</v>
      </c>
      <c r="K562" s="106"/>
      <c r="L562" s="114"/>
      <c r="M562" s="114">
        <f>tblAquisições[[#This Row],[VALOR UNITARIO COMPRADO]]*tblAquisições[[#This Row],[QUANTIDADE COMPRADA]]</f>
        <v>0</v>
      </c>
      <c r="N562" s="110">
        <f>K562-tblAquisições[[#This Row],[QUANTIDADE PLANEJADA]]</f>
        <v>-3</v>
      </c>
      <c r="O562" s="106" t="str">
        <f t="shared" si="17"/>
        <v>Faltando Comprar</v>
      </c>
    </row>
    <row r="563" spans="1:15" ht="31.5">
      <c r="A563" s="16" t="s">
        <v>17</v>
      </c>
      <c r="B563" s="16" t="s">
        <v>80</v>
      </c>
      <c r="C563" s="17" t="s">
        <v>19</v>
      </c>
      <c r="D563" s="18" t="s">
        <v>357</v>
      </c>
      <c r="E563" s="18">
        <v>40</v>
      </c>
      <c r="F563" s="18" t="s">
        <v>38</v>
      </c>
      <c r="G563" s="18" t="s">
        <v>39</v>
      </c>
      <c r="H563" s="18" t="s">
        <v>23</v>
      </c>
      <c r="I563" s="19">
        <v>9.11</v>
      </c>
      <c r="J563" s="20">
        <f t="shared" si="16"/>
        <v>364.4</v>
      </c>
      <c r="K563" s="106"/>
      <c r="L563" s="114"/>
      <c r="M563" s="114">
        <f>tblAquisições[[#This Row],[VALOR UNITARIO COMPRADO]]*tblAquisições[[#This Row],[QUANTIDADE COMPRADA]]</f>
        <v>0</v>
      </c>
      <c r="N563" s="110">
        <f>K563-tblAquisições[[#This Row],[QUANTIDADE PLANEJADA]]</f>
        <v>-40</v>
      </c>
      <c r="O563" s="106" t="str">
        <f t="shared" si="17"/>
        <v>Faltando Comprar</v>
      </c>
    </row>
    <row r="564" spans="1:15" ht="31.5">
      <c r="A564" s="16" t="s">
        <v>17</v>
      </c>
      <c r="B564" s="16" t="s">
        <v>26</v>
      </c>
      <c r="C564" s="17" t="s">
        <v>19</v>
      </c>
      <c r="D564" s="18" t="s">
        <v>358</v>
      </c>
      <c r="E564" s="18">
        <v>150</v>
      </c>
      <c r="F564" s="18" t="s">
        <v>21</v>
      </c>
      <c r="G564" s="18" t="s">
        <v>22</v>
      </c>
      <c r="H564" s="18" t="s">
        <v>23</v>
      </c>
      <c r="I564" s="19">
        <v>9.11</v>
      </c>
      <c r="J564" s="20">
        <f t="shared" si="16"/>
        <v>1366.5</v>
      </c>
      <c r="K564" s="106"/>
      <c r="L564" s="114"/>
      <c r="M564" s="114">
        <f>tblAquisições[[#This Row],[VALOR UNITARIO COMPRADO]]*tblAquisições[[#This Row],[QUANTIDADE COMPRADA]]</f>
        <v>0</v>
      </c>
      <c r="N564" s="110">
        <f>K564-tblAquisições[[#This Row],[QUANTIDADE PLANEJADA]]</f>
        <v>-150</v>
      </c>
      <c r="O564" s="106" t="str">
        <f t="shared" si="17"/>
        <v>Faltando Comprar</v>
      </c>
    </row>
    <row r="565" spans="1:15" ht="31.5">
      <c r="A565" s="16" t="s">
        <v>17</v>
      </c>
      <c r="B565" s="16" t="s">
        <v>80</v>
      </c>
      <c r="C565" s="17" t="s">
        <v>19</v>
      </c>
      <c r="D565" s="18" t="s">
        <v>359</v>
      </c>
      <c r="E565" s="18">
        <v>40</v>
      </c>
      <c r="F565" s="18" t="s">
        <v>38</v>
      </c>
      <c r="G565" s="18" t="s">
        <v>39</v>
      </c>
      <c r="H565" s="18" t="s">
        <v>23</v>
      </c>
      <c r="I565" s="19">
        <v>1.42</v>
      </c>
      <c r="J565" s="20">
        <f t="shared" si="16"/>
        <v>56.8</v>
      </c>
      <c r="K565" s="106"/>
      <c r="L565" s="114"/>
      <c r="M565" s="114">
        <f>tblAquisições[[#This Row],[VALOR UNITARIO COMPRADO]]*tblAquisições[[#This Row],[QUANTIDADE COMPRADA]]</f>
        <v>0</v>
      </c>
      <c r="N565" s="110">
        <f>K565-tblAquisições[[#This Row],[QUANTIDADE PLANEJADA]]</f>
        <v>-40</v>
      </c>
      <c r="O565" s="106" t="str">
        <f t="shared" si="17"/>
        <v>Faltando Comprar</v>
      </c>
    </row>
    <row r="566" spans="1:15" ht="31.5">
      <c r="A566" s="16" t="s">
        <v>17</v>
      </c>
      <c r="B566" s="16" t="s">
        <v>26</v>
      </c>
      <c r="C566" s="17" t="s">
        <v>19</v>
      </c>
      <c r="D566" s="18" t="s">
        <v>360</v>
      </c>
      <c r="E566" s="18">
        <v>150</v>
      </c>
      <c r="F566" s="18" t="s">
        <v>21</v>
      </c>
      <c r="G566" s="18" t="s">
        <v>22</v>
      </c>
      <c r="H566" s="18" t="s">
        <v>23</v>
      </c>
      <c r="I566" s="19">
        <v>1.42</v>
      </c>
      <c r="J566" s="20">
        <f t="shared" si="16"/>
        <v>213</v>
      </c>
      <c r="K566" s="106"/>
      <c r="L566" s="114"/>
      <c r="M566" s="114">
        <f>tblAquisições[[#This Row],[VALOR UNITARIO COMPRADO]]*tblAquisições[[#This Row],[QUANTIDADE COMPRADA]]</f>
        <v>0</v>
      </c>
      <c r="N566" s="110">
        <f>K566-tblAquisições[[#This Row],[QUANTIDADE PLANEJADA]]</f>
        <v>-150</v>
      </c>
      <c r="O566" s="106" t="str">
        <f t="shared" si="17"/>
        <v>Faltando Comprar</v>
      </c>
    </row>
    <row r="567" spans="1:15" ht="47.25">
      <c r="A567" s="16" t="s">
        <v>17</v>
      </c>
      <c r="B567" s="16" t="s">
        <v>28</v>
      </c>
      <c r="C567" s="17" t="s">
        <v>19</v>
      </c>
      <c r="D567" s="18" t="s">
        <v>361</v>
      </c>
      <c r="E567" s="18">
        <v>30</v>
      </c>
      <c r="F567" s="18" t="s">
        <v>239</v>
      </c>
      <c r="G567" s="18" t="s">
        <v>22</v>
      </c>
      <c r="H567" s="18" t="s">
        <v>23</v>
      </c>
      <c r="I567" s="19">
        <v>22.3</v>
      </c>
      <c r="J567" s="20">
        <f t="shared" si="16"/>
        <v>669</v>
      </c>
      <c r="K567" s="106"/>
      <c r="L567" s="114"/>
      <c r="M567" s="114">
        <f>tblAquisições[[#This Row],[VALOR UNITARIO COMPRADO]]*tblAquisições[[#This Row],[QUANTIDADE COMPRADA]]</f>
        <v>0</v>
      </c>
      <c r="N567" s="110">
        <f>K567-tblAquisições[[#This Row],[QUANTIDADE PLANEJADA]]</f>
        <v>-30</v>
      </c>
      <c r="O567" s="106" t="str">
        <f t="shared" si="17"/>
        <v>Faltando Comprar</v>
      </c>
    </row>
    <row r="568" spans="1:15" ht="47.25">
      <c r="A568" s="16" t="s">
        <v>17</v>
      </c>
      <c r="B568" s="16" t="s">
        <v>18</v>
      </c>
      <c r="C568" s="17" t="s">
        <v>19</v>
      </c>
      <c r="D568" s="18" t="s">
        <v>362</v>
      </c>
      <c r="E568" s="18">
        <v>200</v>
      </c>
      <c r="F568" s="18" t="s">
        <v>78</v>
      </c>
      <c r="G568" s="18" t="s">
        <v>22</v>
      </c>
      <c r="H568" s="18" t="s">
        <v>23</v>
      </c>
      <c r="I568" s="19">
        <v>0.54</v>
      </c>
      <c r="J568" s="20">
        <f t="shared" si="16"/>
        <v>108</v>
      </c>
      <c r="K568" s="106"/>
      <c r="L568" s="114"/>
      <c r="M568" s="114">
        <f>tblAquisições[[#This Row],[VALOR UNITARIO COMPRADO]]*tblAquisições[[#This Row],[QUANTIDADE COMPRADA]]</f>
        <v>0</v>
      </c>
      <c r="N568" s="110">
        <f>K568-tblAquisições[[#This Row],[QUANTIDADE PLANEJADA]]</f>
        <v>-200</v>
      </c>
      <c r="O568" s="106" t="str">
        <f t="shared" si="17"/>
        <v>Faltando Comprar</v>
      </c>
    </row>
    <row r="569" spans="1:15" ht="47.25">
      <c r="A569" s="16" t="s">
        <v>17</v>
      </c>
      <c r="B569" s="16" t="s">
        <v>24</v>
      </c>
      <c r="C569" s="17" t="s">
        <v>19</v>
      </c>
      <c r="D569" s="18" t="s">
        <v>362</v>
      </c>
      <c r="E569" s="18">
        <v>200</v>
      </c>
      <c r="F569" s="18" t="s">
        <v>78</v>
      </c>
      <c r="G569" s="18" t="s">
        <v>22</v>
      </c>
      <c r="H569" s="18" t="s">
        <v>23</v>
      </c>
      <c r="I569" s="19">
        <v>0.54</v>
      </c>
      <c r="J569" s="20">
        <f t="shared" si="16"/>
        <v>108</v>
      </c>
      <c r="K569" s="106"/>
      <c r="L569" s="114"/>
      <c r="M569" s="114">
        <f>tblAquisições[[#This Row],[VALOR UNITARIO COMPRADO]]*tblAquisições[[#This Row],[QUANTIDADE COMPRADA]]</f>
        <v>0</v>
      </c>
      <c r="N569" s="110">
        <f>K569-tblAquisições[[#This Row],[QUANTIDADE PLANEJADA]]</f>
        <v>-200</v>
      </c>
      <c r="O569" s="106" t="str">
        <f t="shared" si="17"/>
        <v>Faltando Comprar</v>
      </c>
    </row>
    <row r="570" spans="1:15" ht="47.25">
      <c r="A570" s="16" t="s">
        <v>17</v>
      </c>
      <c r="B570" s="16" t="s">
        <v>25</v>
      </c>
      <c r="C570" s="17" t="s">
        <v>19</v>
      </c>
      <c r="D570" s="18" t="s">
        <v>362</v>
      </c>
      <c r="E570" s="18">
        <v>200</v>
      </c>
      <c r="F570" s="18" t="s">
        <v>78</v>
      </c>
      <c r="G570" s="18" t="s">
        <v>22</v>
      </c>
      <c r="H570" s="18" t="s">
        <v>23</v>
      </c>
      <c r="I570" s="19">
        <v>0.54</v>
      </c>
      <c r="J570" s="20">
        <f t="shared" si="16"/>
        <v>108</v>
      </c>
      <c r="K570" s="106"/>
      <c r="L570" s="114"/>
      <c r="M570" s="114">
        <f>tblAquisições[[#This Row],[VALOR UNITARIO COMPRADO]]*tblAquisições[[#This Row],[QUANTIDADE COMPRADA]]</f>
        <v>0</v>
      </c>
      <c r="N570" s="110">
        <f>K570-tblAquisições[[#This Row],[QUANTIDADE PLANEJADA]]</f>
        <v>-200</v>
      </c>
      <c r="O570" s="106" t="str">
        <f t="shared" si="17"/>
        <v>Faltando Comprar</v>
      </c>
    </row>
    <row r="571" spans="1:15" ht="31.5">
      <c r="A571" s="16" t="s">
        <v>17</v>
      </c>
      <c r="B571" s="16" t="s">
        <v>28</v>
      </c>
      <c r="C571" s="17" t="s">
        <v>19</v>
      </c>
      <c r="D571" s="18" t="s">
        <v>363</v>
      </c>
      <c r="E571" s="18">
        <v>2</v>
      </c>
      <c r="F571" s="18" t="s">
        <v>21</v>
      </c>
      <c r="G571" s="18" t="s">
        <v>22</v>
      </c>
      <c r="H571" s="18" t="s">
        <v>65</v>
      </c>
      <c r="I571" s="19">
        <v>22.19</v>
      </c>
      <c r="J571" s="20">
        <f t="shared" si="16"/>
        <v>44.38</v>
      </c>
      <c r="K571" s="106"/>
      <c r="L571" s="114"/>
      <c r="M571" s="114">
        <f>tblAquisições[[#This Row],[VALOR UNITARIO COMPRADO]]*tblAquisições[[#This Row],[QUANTIDADE COMPRADA]]</f>
        <v>0</v>
      </c>
      <c r="N571" s="110">
        <f>K571-tblAquisições[[#This Row],[QUANTIDADE PLANEJADA]]</f>
        <v>-2</v>
      </c>
      <c r="O571" s="106" t="str">
        <f t="shared" si="17"/>
        <v>Faltando Comprar</v>
      </c>
    </row>
    <row r="572" spans="1:15" ht="47.25">
      <c r="A572" s="16" t="s">
        <v>17</v>
      </c>
      <c r="B572" s="16" t="s">
        <v>18</v>
      </c>
      <c r="C572" s="17" t="s">
        <v>19</v>
      </c>
      <c r="D572" s="18" t="s">
        <v>364</v>
      </c>
      <c r="E572" s="18">
        <v>150</v>
      </c>
      <c r="F572" s="18" t="s">
        <v>78</v>
      </c>
      <c r="G572" s="18" t="s">
        <v>22</v>
      </c>
      <c r="H572" s="18" t="s">
        <v>23</v>
      </c>
      <c r="I572" s="19">
        <v>1.56</v>
      </c>
      <c r="J572" s="20">
        <f t="shared" si="16"/>
        <v>234</v>
      </c>
      <c r="K572" s="106"/>
      <c r="L572" s="114"/>
      <c r="M572" s="114">
        <f>tblAquisições[[#This Row],[VALOR UNITARIO COMPRADO]]*tblAquisições[[#This Row],[QUANTIDADE COMPRADA]]</f>
        <v>0</v>
      </c>
      <c r="N572" s="110">
        <f>K572-tblAquisições[[#This Row],[QUANTIDADE PLANEJADA]]</f>
        <v>-150</v>
      </c>
      <c r="O572" s="106" t="str">
        <f t="shared" si="17"/>
        <v>Faltando Comprar</v>
      </c>
    </row>
    <row r="573" spans="1:15" ht="47.25">
      <c r="A573" s="16" t="s">
        <v>17</v>
      </c>
      <c r="B573" s="16" t="s">
        <v>24</v>
      </c>
      <c r="C573" s="17" t="s">
        <v>19</v>
      </c>
      <c r="D573" s="18" t="s">
        <v>364</v>
      </c>
      <c r="E573" s="18">
        <v>150</v>
      </c>
      <c r="F573" s="18" t="s">
        <v>78</v>
      </c>
      <c r="G573" s="18" t="s">
        <v>22</v>
      </c>
      <c r="H573" s="18" t="s">
        <v>23</v>
      </c>
      <c r="I573" s="19">
        <v>1.56</v>
      </c>
      <c r="J573" s="20">
        <f t="shared" si="16"/>
        <v>234</v>
      </c>
      <c r="K573" s="106"/>
      <c r="L573" s="114"/>
      <c r="M573" s="114">
        <f>tblAquisições[[#This Row],[VALOR UNITARIO COMPRADO]]*tblAquisições[[#This Row],[QUANTIDADE COMPRADA]]</f>
        <v>0</v>
      </c>
      <c r="N573" s="110">
        <f>K573-tblAquisições[[#This Row],[QUANTIDADE PLANEJADA]]</f>
        <v>-150</v>
      </c>
      <c r="O573" s="106" t="str">
        <f t="shared" si="17"/>
        <v>Faltando Comprar</v>
      </c>
    </row>
    <row r="574" spans="1:15" ht="47.25">
      <c r="A574" s="16" t="s">
        <v>17</v>
      </c>
      <c r="B574" s="16" t="s">
        <v>25</v>
      </c>
      <c r="C574" s="17" t="s">
        <v>19</v>
      </c>
      <c r="D574" s="18" t="s">
        <v>364</v>
      </c>
      <c r="E574" s="18">
        <v>150</v>
      </c>
      <c r="F574" s="18" t="s">
        <v>78</v>
      </c>
      <c r="G574" s="18" t="s">
        <v>22</v>
      </c>
      <c r="H574" s="18" t="s">
        <v>23</v>
      </c>
      <c r="I574" s="19">
        <v>1.56</v>
      </c>
      <c r="J574" s="20">
        <f t="shared" si="16"/>
        <v>234</v>
      </c>
      <c r="K574" s="106"/>
      <c r="L574" s="114"/>
      <c r="M574" s="114">
        <f>tblAquisições[[#This Row],[VALOR UNITARIO COMPRADO]]*tblAquisições[[#This Row],[QUANTIDADE COMPRADA]]</f>
        <v>0</v>
      </c>
      <c r="N574" s="110">
        <f>K574-tblAquisições[[#This Row],[QUANTIDADE PLANEJADA]]</f>
        <v>-150</v>
      </c>
      <c r="O574" s="106" t="str">
        <f t="shared" si="17"/>
        <v>Faltando Comprar</v>
      </c>
    </row>
    <row r="575" spans="1:15" ht="31.5">
      <c r="A575" s="16" t="s">
        <v>17</v>
      </c>
      <c r="B575" s="16" t="s">
        <v>28</v>
      </c>
      <c r="C575" s="17" t="s">
        <v>19</v>
      </c>
      <c r="D575" s="18" t="s">
        <v>365</v>
      </c>
      <c r="E575" s="18">
        <v>120</v>
      </c>
      <c r="F575" s="18" t="s">
        <v>21</v>
      </c>
      <c r="G575" s="18" t="s">
        <v>22</v>
      </c>
      <c r="H575" s="18" t="s">
        <v>23</v>
      </c>
      <c r="I575" s="19">
        <v>31.78</v>
      </c>
      <c r="J575" s="20">
        <f t="shared" si="16"/>
        <v>3813.6000000000004</v>
      </c>
      <c r="K575" s="106"/>
      <c r="L575" s="114"/>
      <c r="M575" s="114">
        <f>tblAquisições[[#This Row],[VALOR UNITARIO COMPRADO]]*tblAquisições[[#This Row],[QUANTIDADE COMPRADA]]</f>
        <v>0</v>
      </c>
      <c r="N575" s="110">
        <f>K575-tblAquisições[[#This Row],[QUANTIDADE PLANEJADA]]</f>
        <v>-120</v>
      </c>
      <c r="O575" s="106" t="str">
        <f t="shared" si="17"/>
        <v>Faltando Comprar</v>
      </c>
    </row>
    <row r="576" spans="1:15" ht="31.5">
      <c r="A576" s="16" t="s">
        <v>17</v>
      </c>
      <c r="B576" s="16" t="s">
        <v>26</v>
      </c>
      <c r="C576" s="17" t="s">
        <v>19</v>
      </c>
      <c r="D576" s="18" t="s">
        <v>366</v>
      </c>
      <c r="E576" s="18">
        <v>8</v>
      </c>
      <c r="F576" s="18" t="s">
        <v>324</v>
      </c>
      <c r="G576" s="18" t="s">
        <v>22</v>
      </c>
      <c r="H576" s="18" t="s">
        <v>23</v>
      </c>
      <c r="I576" s="19">
        <v>15.98</v>
      </c>
      <c r="J576" s="20">
        <f t="shared" si="16"/>
        <v>127.84</v>
      </c>
      <c r="K576" s="106"/>
      <c r="L576" s="114"/>
      <c r="M576" s="114">
        <f>tblAquisições[[#This Row],[VALOR UNITARIO COMPRADO]]*tblAquisições[[#This Row],[QUANTIDADE COMPRADA]]</f>
        <v>0</v>
      </c>
      <c r="N576" s="110">
        <f>K576-tblAquisições[[#This Row],[QUANTIDADE PLANEJADA]]</f>
        <v>-8</v>
      </c>
      <c r="O576" s="106" t="str">
        <f t="shared" si="17"/>
        <v>Faltando Comprar</v>
      </c>
    </row>
    <row r="577" spans="1:15" ht="31.5">
      <c r="A577" s="16" t="s">
        <v>17</v>
      </c>
      <c r="B577" s="16" t="s">
        <v>28</v>
      </c>
      <c r="C577" s="17" t="s">
        <v>19</v>
      </c>
      <c r="D577" s="18" t="s">
        <v>366</v>
      </c>
      <c r="E577" s="18">
        <v>25</v>
      </c>
      <c r="F577" s="18" t="s">
        <v>324</v>
      </c>
      <c r="G577" s="18" t="s">
        <v>22</v>
      </c>
      <c r="H577" s="18" t="s">
        <v>23</v>
      </c>
      <c r="I577" s="19">
        <v>15.98</v>
      </c>
      <c r="J577" s="20">
        <f t="shared" si="16"/>
        <v>399.5</v>
      </c>
      <c r="K577" s="106"/>
      <c r="L577" s="114"/>
      <c r="M577" s="114">
        <f>tblAquisições[[#This Row],[VALOR UNITARIO COMPRADO]]*tblAquisições[[#This Row],[QUANTIDADE COMPRADA]]</f>
        <v>0</v>
      </c>
      <c r="N577" s="110">
        <f>K577-tblAquisições[[#This Row],[QUANTIDADE PLANEJADA]]</f>
        <v>-25</v>
      </c>
      <c r="O577" s="106" t="str">
        <f t="shared" si="17"/>
        <v>Faltando Comprar</v>
      </c>
    </row>
    <row r="578" spans="1:15" ht="47.25">
      <c r="A578" s="16" t="s">
        <v>17</v>
      </c>
      <c r="B578" s="16" t="s">
        <v>80</v>
      </c>
      <c r="C578" s="17" t="s">
        <v>19</v>
      </c>
      <c r="D578" s="18" t="s">
        <v>367</v>
      </c>
      <c r="E578" s="18">
        <v>2</v>
      </c>
      <c r="F578" s="18" t="s">
        <v>147</v>
      </c>
      <c r="G578" s="18" t="s">
        <v>39</v>
      </c>
      <c r="H578" s="21"/>
      <c r="I578" s="19">
        <v>5.65</v>
      </c>
      <c r="J578" s="20">
        <f t="shared" ref="J578:J641" si="18">E578*I578</f>
        <v>11.3</v>
      </c>
      <c r="K578" s="106"/>
      <c r="L578" s="114"/>
      <c r="M578" s="114">
        <f>tblAquisições[[#This Row],[VALOR UNITARIO COMPRADO]]*tblAquisições[[#This Row],[QUANTIDADE COMPRADA]]</f>
        <v>0</v>
      </c>
      <c r="N578" s="110">
        <f>K578-tblAquisições[[#This Row],[QUANTIDADE PLANEJADA]]</f>
        <v>-2</v>
      </c>
      <c r="O578" s="106" t="str">
        <f t="shared" ref="O578:O641" si="19">IF(K578=E578,"OK",IF(K578&lt;E578,"Faltando Comprar","Excedente"))</f>
        <v>Faltando Comprar</v>
      </c>
    </row>
    <row r="579" spans="1:15" ht="47.25">
      <c r="A579" s="16" t="s">
        <v>17</v>
      </c>
      <c r="B579" s="16" t="s">
        <v>26</v>
      </c>
      <c r="C579" s="17" t="s">
        <v>19</v>
      </c>
      <c r="D579" s="18" t="s">
        <v>368</v>
      </c>
      <c r="E579" s="18">
        <v>10</v>
      </c>
      <c r="F579" s="18" t="s">
        <v>78</v>
      </c>
      <c r="G579" s="18" t="s">
        <v>22</v>
      </c>
      <c r="H579" s="18" t="s">
        <v>23</v>
      </c>
      <c r="I579" s="19">
        <v>5.65</v>
      </c>
      <c r="J579" s="20">
        <f t="shared" si="18"/>
        <v>56.5</v>
      </c>
      <c r="K579" s="106"/>
      <c r="L579" s="114"/>
      <c r="M579" s="114">
        <f>tblAquisições[[#This Row],[VALOR UNITARIO COMPRADO]]*tblAquisições[[#This Row],[QUANTIDADE COMPRADA]]</f>
        <v>0</v>
      </c>
      <c r="N579" s="110">
        <f>K579-tblAquisições[[#This Row],[QUANTIDADE PLANEJADA]]</f>
        <v>-10</v>
      </c>
      <c r="O579" s="106" t="str">
        <f t="shared" si="19"/>
        <v>Faltando Comprar</v>
      </c>
    </row>
    <row r="580" spans="1:15" ht="47.25">
      <c r="A580" s="16" t="s">
        <v>17</v>
      </c>
      <c r="B580" s="16" t="s">
        <v>28</v>
      </c>
      <c r="C580" s="17" t="s">
        <v>19</v>
      </c>
      <c r="D580" s="18" t="s">
        <v>368</v>
      </c>
      <c r="E580" s="18">
        <v>20</v>
      </c>
      <c r="F580" s="18" t="s">
        <v>78</v>
      </c>
      <c r="G580" s="18" t="s">
        <v>22</v>
      </c>
      <c r="H580" s="18" t="s">
        <v>23</v>
      </c>
      <c r="I580" s="19">
        <v>5.65</v>
      </c>
      <c r="J580" s="20">
        <f t="shared" si="18"/>
        <v>113</v>
      </c>
      <c r="K580" s="106"/>
      <c r="L580" s="114"/>
      <c r="M580" s="114">
        <f>tblAquisições[[#This Row],[VALOR UNITARIO COMPRADO]]*tblAquisições[[#This Row],[QUANTIDADE COMPRADA]]</f>
        <v>0</v>
      </c>
      <c r="N580" s="110">
        <f>K580-tblAquisições[[#This Row],[QUANTIDADE PLANEJADA]]</f>
        <v>-20</v>
      </c>
      <c r="O580" s="106" t="str">
        <f t="shared" si="19"/>
        <v>Faltando Comprar</v>
      </c>
    </row>
    <row r="581" spans="1:15" ht="31.5">
      <c r="A581" s="16" t="s">
        <v>17</v>
      </c>
      <c r="B581" s="16" t="s">
        <v>26</v>
      </c>
      <c r="C581" s="17" t="s">
        <v>19</v>
      </c>
      <c r="D581" s="18" t="s">
        <v>369</v>
      </c>
      <c r="E581" s="18">
        <v>10</v>
      </c>
      <c r="F581" s="18" t="s">
        <v>21</v>
      </c>
      <c r="G581" s="18" t="s">
        <v>22</v>
      </c>
      <c r="H581" s="18" t="s">
        <v>23</v>
      </c>
      <c r="I581" s="19">
        <v>2.75</v>
      </c>
      <c r="J581" s="20">
        <f t="shared" si="18"/>
        <v>27.5</v>
      </c>
      <c r="K581" s="106"/>
      <c r="L581" s="114"/>
      <c r="M581" s="114">
        <f>tblAquisições[[#This Row],[VALOR UNITARIO COMPRADO]]*tblAquisições[[#This Row],[QUANTIDADE COMPRADA]]</f>
        <v>0</v>
      </c>
      <c r="N581" s="110">
        <f>K581-tblAquisições[[#This Row],[QUANTIDADE PLANEJADA]]</f>
        <v>-10</v>
      </c>
      <c r="O581" s="106" t="str">
        <f t="shared" si="19"/>
        <v>Faltando Comprar</v>
      </c>
    </row>
    <row r="582" spans="1:15" ht="31.5">
      <c r="A582" s="16" t="s">
        <v>17</v>
      </c>
      <c r="B582" s="16" t="s">
        <v>80</v>
      </c>
      <c r="C582" s="17" t="s">
        <v>19</v>
      </c>
      <c r="D582" s="18" t="s">
        <v>370</v>
      </c>
      <c r="E582" s="18">
        <v>6</v>
      </c>
      <c r="F582" s="18" t="s">
        <v>38</v>
      </c>
      <c r="G582" s="18" t="s">
        <v>39</v>
      </c>
      <c r="H582" s="18" t="s">
        <v>23</v>
      </c>
      <c r="I582" s="19">
        <v>19.14</v>
      </c>
      <c r="J582" s="20">
        <f t="shared" si="18"/>
        <v>114.84</v>
      </c>
      <c r="K582" s="106"/>
      <c r="L582" s="114"/>
      <c r="M582" s="114">
        <f>tblAquisições[[#This Row],[VALOR UNITARIO COMPRADO]]*tblAquisições[[#This Row],[QUANTIDADE COMPRADA]]</f>
        <v>0</v>
      </c>
      <c r="N582" s="110">
        <f>K582-tblAquisições[[#This Row],[QUANTIDADE PLANEJADA]]</f>
        <v>-6</v>
      </c>
      <c r="O582" s="106" t="str">
        <f t="shared" si="19"/>
        <v>Faltando Comprar</v>
      </c>
    </row>
    <row r="583" spans="1:15" ht="31.5">
      <c r="A583" s="16" t="s">
        <v>17</v>
      </c>
      <c r="B583" s="16" t="s">
        <v>31</v>
      </c>
      <c r="C583" s="17" t="s">
        <v>19</v>
      </c>
      <c r="D583" s="18" t="s">
        <v>371</v>
      </c>
      <c r="E583" s="18">
        <v>45</v>
      </c>
      <c r="F583" s="18" t="s">
        <v>21</v>
      </c>
      <c r="G583" s="18" t="s">
        <v>22</v>
      </c>
      <c r="H583" s="18" t="s">
        <v>23</v>
      </c>
      <c r="I583" s="19">
        <v>19.14</v>
      </c>
      <c r="J583" s="20">
        <f t="shared" si="18"/>
        <v>861.30000000000007</v>
      </c>
      <c r="K583" s="106"/>
      <c r="L583" s="114"/>
      <c r="M583" s="114">
        <f>tblAquisições[[#This Row],[VALOR UNITARIO COMPRADO]]*tblAquisições[[#This Row],[QUANTIDADE COMPRADA]]</f>
        <v>0</v>
      </c>
      <c r="N583" s="110">
        <f>K583-tblAquisições[[#This Row],[QUANTIDADE PLANEJADA]]</f>
        <v>-45</v>
      </c>
      <c r="O583" s="106" t="str">
        <f t="shared" si="19"/>
        <v>Faltando Comprar</v>
      </c>
    </row>
    <row r="584" spans="1:15" ht="31.5">
      <c r="A584" s="16" t="s">
        <v>17</v>
      </c>
      <c r="B584" s="16" t="s">
        <v>28</v>
      </c>
      <c r="C584" s="17" t="s">
        <v>19</v>
      </c>
      <c r="D584" s="18" t="s">
        <v>371</v>
      </c>
      <c r="E584" s="18">
        <v>60</v>
      </c>
      <c r="F584" s="18" t="s">
        <v>21</v>
      </c>
      <c r="G584" s="18" t="s">
        <v>22</v>
      </c>
      <c r="H584" s="18" t="s">
        <v>23</v>
      </c>
      <c r="I584" s="19">
        <v>19.14</v>
      </c>
      <c r="J584" s="20">
        <f t="shared" si="18"/>
        <v>1148.4000000000001</v>
      </c>
      <c r="K584" s="106"/>
      <c r="L584" s="114"/>
      <c r="M584" s="114">
        <f>tblAquisições[[#This Row],[VALOR UNITARIO COMPRADO]]*tblAquisições[[#This Row],[QUANTIDADE COMPRADA]]</f>
        <v>0</v>
      </c>
      <c r="N584" s="110">
        <f>K584-tblAquisições[[#This Row],[QUANTIDADE PLANEJADA]]</f>
        <v>-60</v>
      </c>
      <c r="O584" s="106" t="str">
        <f t="shared" si="19"/>
        <v>Faltando Comprar</v>
      </c>
    </row>
    <row r="585" spans="1:15" ht="31.5">
      <c r="A585" s="16" t="s">
        <v>17</v>
      </c>
      <c r="B585" s="16" t="s">
        <v>27</v>
      </c>
      <c r="C585" s="17" t="s">
        <v>19</v>
      </c>
      <c r="D585" s="18" t="s">
        <v>372</v>
      </c>
      <c r="E585" s="18">
        <v>20</v>
      </c>
      <c r="F585" s="18" t="s">
        <v>21</v>
      </c>
      <c r="G585" s="18" t="s">
        <v>22</v>
      </c>
      <c r="H585" s="18" t="s">
        <v>23</v>
      </c>
      <c r="I585" s="19">
        <v>5743.87</v>
      </c>
      <c r="J585" s="20">
        <f t="shared" si="18"/>
        <v>114877.4</v>
      </c>
      <c r="K585" s="106"/>
      <c r="L585" s="114"/>
      <c r="M585" s="114">
        <f>tblAquisições[[#This Row],[VALOR UNITARIO COMPRADO]]*tblAquisições[[#This Row],[QUANTIDADE COMPRADA]]</f>
        <v>0</v>
      </c>
      <c r="N585" s="110">
        <f>K585-tblAquisições[[#This Row],[QUANTIDADE PLANEJADA]]</f>
        <v>-20</v>
      </c>
      <c r="O585" s="106" t="str">
        <f t="shared" si="19"/>
        <v>Faltando Comprar</v>
      </c>
    </row>
    <row r="586" spans="1:15" ht="31.5">
      <c r="A586" s="16" t="s">
        <v>17</v>
      </c>
      <c r="B586" s="16" t="s">
        <v>28</v>
      </c>
      <c r="C586" s="17" t="s">
        <v>19</v>
      </c>
      <c r="D586" s="18" t="s">
        <v>372</v>
      </c>
      <c r="E586" s="18">
        <v>32</v>
      </c>
      <c r="F586" s="18" t="s">
        <v>21</v>
      </c>
      <c r="G586" s="18" t="s">
        <v>22</v>
      </c>
      <c r="H586" s="18" t="s">
        <v>23</v>
      </c>
      <c r="I586" s="19">
        <v>5743.87</v>
      </c>
      <c r="J586" s="20">
        <f t="shared" si="18"/>
        <v>183803.84</v>
      </c>
      <c r="K586" s="106"/>
      <c r="L586" s="114"/>
      <c r="M586" s="114">
        <f>tblAquisições[[#This Row],[VALOR UNITARIO COMPRADO]]*tblAquisições[[#This Row],[QUANTIDADE COMPRADA]]</f>
        <v>0</v>
      </c>
      <c r="N586" s="110">
        <f>K586-tblAquisições[[#This Row],[QUANTIDADE PLANEJADA]]</f>
        <v>-32</v>
      </c>
      <c r="O586" s="106" t="str">
        <f t="shared" si="19"/>
        <v>Faltando Comprar</v>
      </c>
    </row>
    <row r="587" spans="1:15" ht="31.5">
      <c r="A587" s="16" t="s">
        <v>17</v>
      </c>
      <c r="B587" s="16" t="s">
        <v>27</v>
      </c>
      <c r="C587" s="17" t="s">
        <v>19</v>
      </c>
      <c r="D587" s="18" t="s">
        <v>373</v>
      </c>
      <c r="E587" s="18">
        <v>20</v>
      </c>
      <c r="F587" s="18" t="s">
        <v>21</v>
      </c>
      <c r="G587" s="18" t="s">
        <v>22</v>
      </c>
      <c r="H587" s="22"/>
      <c r="I587" s="19">
        <v>59.79</v>
      </c>
      <c r="J587" s="20">
        <f t="shared" si="18"/>
        <v>1195.8</v>
      </c>
      <c r="K587" s="106"/>
      <c r="L587" s="114"/>
      <c r="M587" s="114">
        <f>tblAquisições[[#This Row],[VALOR UNITARIO COMPRADO]]*tblAquisições[[#This Row],[QUANTIDADE COMPRADA]]</f>
        <v>0</v>
      </c>
      <c r="N587" s="110">
        <f>K587-tblAquisições[[#This Row],[QUANTIDADE PLANEJADA]]</f>
        <v>-20</v>
      </c>
      <c r="O587" s="106" t="str">
        <f t="shared" si="19"/>
        <v>Faltando Comprar</v>
      </c>
    </row>
    <row r="588" spans="1:15" ht="31.5">
      <c r="A588" s="16" t="s">
        <v>17</v>
      </c>
      <c r="B588" s="16" t="s">
        <v>28</v>
      </c>
      <c r="C588" s="17" t="s">
        <v>19</v>
      </c>
      <c r="D588" s="18" t="s">
        <v>373</v>
      </c>
      <c r="E588" s="18">
        <v>24</v>
      </c>
      <c r="F588" s="18" t="s">
        <v>21</v>
      </c>
      <c r="G588" s="18" t="s">
        <v>22</v>
      </c>
      <c r="H588" s="18" t="s">
        <v>23</v>
      </c>
      <c r="I588" s="19">
        <v>59.79</v>
      </c>
      <c r="J588" s="20">
        <f t="shared" si="18"/>
        <v>1434.96</v>
      </c>
      <c r="K588" s="106"/>
      <c r="L588" s="114"/>
      <c r="M588" s="114">
        <f>tblAquisições[[#This Row],[VALOR UNITARIO COMPRADO]]*tblAquisições[[#This Row],[QUANTIDADE COMPRADA]]</f>
        <v>0</v>
      </c>
      <c r="N588" s="110">
        <f>K588-tblAquisições[[#This Row],[QUANTIDADE PLANEJADA]]</f>
        <v>-24</v>
      </c>
      <c r="O588" s="106" t="str">
        <f t="shared" si="19"/>
        <v>Faltando Comprar</v>
      </c>
    </row>
    <row r="589" spans="1:15" ht="31.5">
      <c r="A589" s="16" t="s">
        <v>17</v>
      </c>
      <c r="B589" s="16" t="s">
        <v>28</v>
      </c>
      <c r="C589" s="17" t="s">
        <v>19</v>
      </c>
      <c r="D589" s="18" t="s">
        <v>374</v>
      </c>
      <c r="E589" s="18">
        <v>20</v>
      </c>
      <c r="F589" s="18" t="s">
        <v>21</v>
      </c>
      <c r="G589" s="18" t="s">
        <v>22</v>
      </c>
      <c r="H589" s="18" t="s">
        <v>23</v>
      </c>
      <c r="I589" s="19">
        <v>849.63</v>
      </c>
      <c r="J589" s="20">
        <f t="shared" si="18"/>
        <v>16992.599999999999</v>
      </c>
      <c r="K589" s="106"/>
      <c r="L589" s="114"/>
      <c r="M589" s="114">
        <f>tblAquisições[[#This Row],[VALOR UNITARIO COMPRADO]]*tblAquisições[[#This Row],[QUANTIDADE COMPRADA]]</f>
        <v>0</v>
      </c>
      <c r="N589" s="110">
        <f>K589-tblAquisições[[#This Row],[QUANTIDADE PLANEJADA]]</f>
        <v>-20</v>
      </c>
      <c r="O589" s="106" t="str">
        <f t="shared" si="19"/>
        <v>Faltando Comprar</v>
      </c>
    </row>
    <row r="590" spans="1:15" ht="31.5">
      <c r="A590" s="16" t="s">
        <v>17</v>
      </c>
      <c r="B590" s="16" t="s">
        <v>80</v>
      </c>
      <c r="C590" s="17" t="s">
        <v>19</v>
      </c>
      <c r="D590" s="18" t="s">
        <v>375</v>
      </c>
      <c r="E590" s="18">
        <v>6</v>
      </c>
      <c r="F590" s="18" t="s">
        <v>38</v>
      </c>
      <c r="G590" s="18" t="s">
        <v>39</v>
      </c>
      <c r="H590" s="21"/>
      <c r="I590" s="19">
        <v>16.739999999999998</v>
      </c>
      <c r="J590" s="20">
        <f t="shared" si="18"/>
        <v>100.44</v>
      </c>
      <c r="K590" s="106"/>
      <c r="L590" s="114"/>
      <c r="M590" s="114">
        <f>tblAquisições[[#This Row],[VALOR UNITARIO COMPRADO]]*tblAquisições[[#This Row],[QUANTIDADE COMPRADA]]</f>
        <v>0</v>
      </c>
      <c r="N590" s="110">
        <f>K590-tblAquisições[[#This Row],[QUANTIDADE PLANEJADA]]</f>
        <v>-6</v>
      </c>
      <c r="O590" s="106" t="str">
        <f t="shared" si="19"/>
        <v>Faltando Comprar</v>
      </c>
    </row>
    <row r="591" spans="1:15" ht="47.25">
      <c r="A591" s="16" t="s">
        <v>17</v>
      </c>
      <c r="B591" s="16" t="s">
        <v>80</v>
      </c>
      <c r="C591" s="17" t="s">
        <v>19</v>
      </c>
      <c r="D591" s="18" t="s">
        <v>376</v>
      </c>
      <c r="E591" s="18">
        <v>4</v>
      </c>
      <c r="F591" s="18" t="s">
        <v>147</v>
      </c>
      <c r="G591" s="18" t="s">
        <v>39</v>
      </c>
      <c r="H591" s="21"/>
      <c r="I591" s="19">
        <v>82.98</v>
      </c>
      <c r="J591" s="20">
        <f t="shared" si="18"/>
        <v>331.92</v>
      </c>
      <c r="K591" s="106"/>
      <c r="L591" s="114"/>
      <c r="M591" s="114">
        <f>tblAquisições[[#This Row],[VALOR UNITARIO COMPRADO]]*tblAquisições[[#This Row],[QUANTIDADE COMPRADA]]</f>
        <v>0</v>
      </c>
      <c r="N591" s="110">
        <f>K591-tblAquisições[[#This Row],[QUANTIDADE PLANEJADA]]</f>
        <v>-4</v>
      </c>
      <c r="O591" s="106" t="str">
        <f t="shared" si="19"/>
        <v>Faltando Comprar</v>
      </c>
    </row>
    <row r="592" spans="1:15" ht="47.25">
      <c r="A592" s="16" t="s">
        <v>17</v>
      </c>
      <c r="B592" s="16" t="s">
        <v>18</v>
      </c>
      <c r="C592" s="17" t="s">
        <v>19</v>
      </c>
      <c r="D592" s="18" t="s">
        <v>377</v>
      </c>
      <c r="E592" s="18">
        <v>20</v>
      </c>
      <c r="F592" s="18" t="s">
        <v>78</v>
      </c>
      <c r="G592" s="18" t="s">
        <v>22</v>
      </c>
      <c r="H592" s="18" t="s">
        <v>23</v>
      </c>
      <c r="I592" s="19">
        <v>82.98</v>
      </c>
      <c r="J592" s="20">
        <f t="shared" si="18"/>
        <v>1659.6000000000001</v>
      </c>
      <c r="K592" s="106"/>
      <c r="L592" s="114"/>
      <c r="M592" s="114">
        <f>tblAquisições[[#This Row],[VALOR UNITARIO COMPRADO]]*tblAquisições[[#This Row],[QUANTIDADE COMPRADA]]</f>
        <v>0</v>
      </c>
      <c r="N592" s="110">
        <f>K592-tblAquisições[[#This Row],[QUANTIDADE PLANEJADA]]</f>
        <v>-20</v>
      </c>
      <c r="O592" s="106" t="str">
        <f t="shared" si="19"/>
        <v>Faltando Comprar</v>
      </c>
    </row>
    <row r="593" spans="1:15" ht="47.25">
      <c r="A593" s="16" t="s">
        <v>17</v>
      </c>
      <c r="B593" s="16" t="s">
        <v>24</v>
      </c>
      <c r="C593" s="17" t="s">
        <v>19</v>
      </c>
      <c r="D593" s="18" t="s">
        <v>377</v>
      </c>
      <c r="E593" s="18">
        <v>20</v>
      </c>
      <c r="F593" s="18" t="s">
        <v>78</v>
      </c>
      <c r="G593" s="18" t="s">
        <v>22</v>
      </c>
      <c r="H593" s="18" t="s">
        <v>23</v>
      </c>
      <c r="I593" s="19">
        <v>82.98</v>
      </c>
      <c r="J593" s="20">
        <f t="shared" si="18"/>
        <v>1659.6000000000001</v>
      </c>
      <c r="K593" s="106"/>
      <c r="L593" s="114"/>
      <c r="M593" s="114">
        <f>tblAquisições[[#This Row],[VALOR UNITARIO COMPRADO]]*tblAquisições[[#This Row],[QUANTIDADE COMPRADA]]</f>
        <v>0</v>
      </c>
      <c r="N593" s="110">
        <f>K593-tblAquisições[[#This Row],[QUANTIDADE PLANEJADA]]</f>
        <v>-20</v>
      </c>
      <c r="O593" s="106" t="str">
        <f t="shared" si="19"/>
        <v>Faltando Comprar</v>
      </c>
    </row>
    <row r="594" spans="1:15" ht="47.25">
      <c r="A594" s="16" t="s">
        <v>17</v>
      </c>
      <c r="B594" s="16" t="s">
        <v>25</v>
      </c>
      <c r="C594" s="17" t="s">
        <v>19</v>
      </c>
      <c r="D594" s="18" t="s">
        <v>377</v>
      </c>
      <c r="E594" s="18">
        <v>20</v>
      </c>
      <c r="F594" s="18" t="s">
        <v>78</v>
      </c>
      <c r="G594" s="18" t="s">
        <v>22</v>
      </c>
      <c r="H594" s="18" t="s">
        <v>23</v>
      </c>
      <c r="I594" s="19">
        <v>82.98</v>
      </c>
      <c r="J594" s="20">
        <f t="shared" si="18"/>
        <v>1659.6000000000001</v>
      </c>
      <c r="K594" s="106"/>
      <c r="L594" s="114"/>
      <c r="M594" s="114">
        <f>tblAquisições[[#This Row],[VALOR UNITARIO COMPRADO]]*tblAquisições[[#This Row],[QUANTIDADE COMPRADA]]</f>
        <v>0</v>
      </c>
      <c r="N594" s="110">
        <f>K594-tblAquisições[[#This Row],[QUANTIDADE PLANEJADA]]</f>
        <v>-20</v>
      </c>
      <c r="O594" s="106" t="str">
        <f t="shared" si="19"/>
        <v>Faltando Comprar</v>
      </c>
    </row>
    <row r="595" spans="1:15" ht="47.25">
      <c r="A595" s="16" t="s">
        <v>17</v>
      </c>
      <c r="B595" s="16" t="s">
        <v>27</v>
      </c>
      <c r="C595" s="17" t="s">
        <v>19</v>
      </c>
      <c r="D595" s="18" t="s">
        <v>377</v>
      </c>
      <c r="E595" s="18">
        <v>20</v>
      </c>
      <c r="F595" s="18" t="s">
        <v>78</v>
      </c>
      <c r="G595" s="18" t="s">
        <v>22</v>
      </c>
      <c r="H595" s="18" t="s">
        <v>23</v>
      </c>
      <c r="I595" s="19">
        <v>82.98</v>
      </c>
      <c r="J595" s="20">
        <f t="shared" si="18"/>
        <v>1659.6000000000001</v>
      </c>
      <c r="K595" s="106"/>
      <c r="L595" s="114"/>
      <c r="M595" s="114">
        <f>tblAquisições[[#This Row],[VALOR UNITARIO COMPRADO]]*tblAquisições[[#This Row],[QUANTIDADE COMPRADA]]</f>
        <v>0</v>
      </c>
      <c r="N595" s="110">
        <f>K595-tblAquisições[[#This Row],[QUANTIDADE PLANEJADA]]</f>
        <v>-20</v>
      </c>
      <c r="O595" s="106" t="str">
        <f t="shared" si="19"/>
        <v>Faltando Comprar</v>
      </c>
    </row>
    <row r="596" spans="1:15" ht="31.5">
      <c r="A596" s="16" t="s">
        <v>17</v>
      </c>
      <c r="B596" s="16" t="s">
        <v>80</v>
      </c>
      <c r="C596" s="17" t="s">
        <v>19</v>
      </c>
      <c r="D596" s="18" t="s">
        <v>378</v>
      </c>
      <c r="E596" s="18">
        <v>6</v>
      </c>
      <c r="F596" s="18" t="s">
        <v>38</v>
      </c>
      <c r="G596" s="18" t="s">
        <v>39</v>
      </c>
      <c r="H596" s="18" t="s">
        <v>23</v>
      </c>
      <c r="I596" s="19">
        <v>1400</v>
      </c>
      <c r="J596" s="20">
        <f t="shared" si="18"/>
        <v>8400</v>
      </c>
      <c r="K596" s="106"/>
      <c r="L596" s="114"/>
      <c r="M596" s="114">
        <f>tblAquisições[[#This Row],[VALOR UNITARIO COMPRADO]]*tblAquisições[[#This Row],[QUANTIDADE COMPRADA]]</f>
        <v>0</v>
      </c>
      <c r="N596" s="110">
        <f>K596-tblAquisições[[#This Row],[QUANTIDADE PLANEJADA]]</f>
        <v>-6</v>
      </c>
      <c r="O596" s="106" t="str">
        <f t="shared" si="19"/>
        <v>Faltando Comprar</v>
      </c>
    </row>
    <row r="597" spans="1:15" ht="31.5">
      <c r="A597" s="16" t="s">
        <v>17</v>
      </c>
      <c r="B597" s="16" t="s">
        <v>18</v>
      </c>
      <c r="C597" s="17" t="s">
        <v>19</v>
      </c>
      <c r="D597" s="18" t="s">
        <v>379</v>
      </c>
      <c r="E597" s="18">
        <v>20</v>
      </c>
      <c r="F597" s="18" t="s">
        <v>21</v>
      </c>
      <c r="G597" s="18" t="s">
        <v>22</v>
      </c>
      <c r="H597" s="18" t="s">
        <v>23</v>
      </c>
      <c r="I597" s="19">
        <v>1400</v>
      </c>
      <c r="J597" s="20">
        <f t="shared" si="18"/>
        <v>28000</v>
      </c>
      <c r="K597" s="106"/>
      <c r="L597" s="114"/>
      <c r="M597" s="114">
        <f>tblAquisições[[#This Row],[VALOR UNITARIO COMPRADO]]*tblAquisições[[#This Row],[QUANTIDADE COMPRADA]]</f>
        <v>0</v>
      </c>
      <c r="N597" s="110">
        <f>K597-tblAquisições[[#This Row],[QUANTIDADE PLANEJADA]]</f>
        <v>-20</v>
      </c>
      <c r="O597" s="106" t="str">
        <f t="shared" si="19"/>
        <v>Faltando Comprar</v>
      </c>
    </row>
    <row r="598" spans="1:15" ht="31.5">
      <c r="A598" s="16" t="s">
        <v>17</v>
      </c>
      <c r="B598" s="16" t="s">
        <v>24</v>
      </c>
      <c r="C598" s="17" t="s">
        <v>19</v>
      </c>
      <c r="D598" s="18" t="s">
        <v>379</v>
      </c>
      <c r="E598" s="18">
        <v>20</v>
      </c>
      <c r="F598" s="18" t="s">
        <v>21</v>
      </c>
      <c r="G598" s="18" t="s">
        <v>22</v>
      </c>
      <c r="H598" s="18" t="s">
        <v>23</v>
      </c>
      <c r="I598" s="19">
        <v>1400</v>
      </c>
      <c r="J598" s="20">
        <f t="shared" si="18"/>
        <v>28000</v>
      </c>
      <c r="K598" s="106"/>
      <c r="L598" s="114"/>
      <c r="M598" s="114">
        <f>tblAquisições[[#This Row],[VALOR UNITARIO COMPRADO]]*tblAquisições[[#This Row],[QUANTIDADE COMPRADA]]</f>
        <v>0</v>
      </c>
      <c r="N598" s="110">
        <f>K598-tblAquisições[[#This Row],[QUANTIDADE PLANEJADA]]</f>
        <v>-20</v>
      </c>
      <c r="O598" s="106" t="str">
        <f t="shared" si="19"/>
        <v>Faltando Comprar</v>
      </c>
    </row>
    <row r="599" spans="1:15" ht="31.5">
      <c r="A599" s="16" t="s">
        <v>17</v>
      </c>
      <c r="B599" s="16" t="s">
        <v>25</v>
      </c>
      <c r="C599" s="17" t="s">
        <v>19</v>
      </c>
      <c r="D599" s="18" t="s">
        <v>379</v>
      </c>
      <c r="E599" s="18">
        <v>20</v>
      </c>
      <c r="F599" s="18" t="s">
        <v>21</v>
      </c>
      <c r="G599" s="18" t="s">
        <v>22</v>
      </c>
      <c r="H599" s="18" t="s">
        <v>23</v>
      </c>
      <c r="I599" s="19">
        <v>1400</v>
      </c>
      <c r="J599" s="20">
        <f t="shared" si="18"/>
        <v>28000</v>
      </c>
      <c r="K599" s="106"/>
      <c r="L599" s="114"/>
      <c r="M599" s="114">
        <f>tblAquisições[[#This Row],[VALOR UNITARIO COMPRADO]]*tblAquisições[[#This Row],[QUANTIDADE COMPRADA]]</f>
        <v>0</v>
      </c>
      <c r="N599" s="110">
        <f>K599-tblAquisições[[#This Row],[QUANTIDADE PLANEJADA]]</f>
        <v>-20</v>
      </c>
      <c r="O599" s="106" t="str">
        <f t="shared" si="19"/>
        <v>Faltando Comprar</v>
      </c>
    </row>
    <row r="600" spans="1:15" ht="31.5">
      <c r="A600" s="16" t="s">
        <v>17</v>
      </c>
      <c r="B600" s="16" t="s">
        <v>26</v>
      </c>
      <c r="C600" s="17" t="s">
        <v>19</v>
      </c>
      <c r="D600" s="18" t="s">
        <v>379</v>
      </c>
      <c r="E600" s="18">
        <v>8</v>
      </c>
      <c r="F600" s="18" t="s">
        <v>21</v>
      </c>
      <c r="G600" s="18" t="s">
        <v>22</v>
      </c>
      <c r="H600" s="18" t="s">
        <v>23</v>
      </c>
      <c r="I600" s="19">
        <v>1400</v>
      </c>
      <c r="J600" s="20">
        <f t="shared" si="18"/>
        <v>11200</v>
      </c>
      <c r="K600" s="106"/>
      <c r="L600" s="114"/>
      <c r="M600" s="114">
        <f>tblAquisições[[#This Row],[VALOR UNITARIO COMPRADO]]*tblAquisições[[#This Row],[QUANTIDADE COMPRADA]]</f>
        <v>0</v>
      </c>
      <c r="N600" s="110">
        <f>K600-tblAquisições[[#This Row],[QUANTIDADE PLANEJADA]]</f>
        <v>-8</v>
      </c>
      <c r="O600" s="106" t="str">
        <f t="shared" si="19"/>
        <v>Faltando Comprar</v>
      </c>
    </row>
    <row r="601" spans="1:15" ht="31.5">
      <c r="A601" s="16" t="s">
        <v>17</v>
      </c>
      <c r="B601" s="16" t="s">
        <v>27</v>
      </c>
      <c r="C601" s="17" t="s">
        <v>19</v>
      </c>
      <c r="D601" s="18" t="s">
        <v>379</v>
      </c>
      <c r="E601" s="18">
        <v>15</v>
      </c>
      <c r="F601" s="18" t="s">
        <v>21</v>
      </c>
      <c r="G601" s="18" t="s">
        <v>22</v>
      </c>
      <c r="H601" s="18" t="s">
        <v>23</v>
      </c>
      <c r="I601" s="19">
        <v>1400</v>
      </c>
      <c r="J601" s="20">
        <f t="shared" si="18"/>
        <v>21000</v>
      </c>
      <c r="K601" s="106"/>
      <c r="L601" s="114"/>
      <c r="M601" s="114">
        <f>tblAquisições[[#This Row],[VALOR UNITARIO COMPRADO]]*tblAquisições[[#This Row],[QUANTIDADE COMPRADA]]</f>
        <v>0</v>
      </c>
      <c r="N601" s="110">
        <f>K601-tblAquisições[[#This Row],[QUANTIDADE PLANEJADA]]</f>
        <v>-15</v>
      </c>
      <c r="O601" s="106" t="str">
        <f t="shared" si="19"/>
        <v>Faltando Comprar</v>
      </c>
    </row>
    <row r="602" spans="1:15" ht="31.5">
      <c r="A602" s="16" t="s">
        <v>17</v>
      </c>
      <c r="B602" s="16" t="s">
        <v>28</v>
      </c>
      <c r="C602" s="17" t="s">
        <v>19</v>
      </c>
      <c r="D602" s="18" t="s">
        <v>379</v>
      </c>
      <c r="E602" s="18">
        <v>20</v>
      </c>
      <c r="F602" s="18" t="s">
        <v>21</v>
      </c>
      <c r="G602" s="18" t="s">
        <v>22</v>
      </c>
      <c r="H602" s="18" t="s">
        <v>23</v>
      </c>
      <c r="I602" s="19">
        <v>1400</v>
      </c>
      <c r="J602" s="20">
        <f t="shared" si="18"/>
        <v>28000</v>
      </c>
      <c r="K602" s="106"/>
      <c r="L602" s="114"/>
      <c r="M602" s="114">
        <f>tblAquisições[[#This Row],[VALOR UNITARIO COMPRADO]]*tblAquisições[[#This Row],[QUANTIDADE COMPRADA]]</f>
        <v>0</v>
      </c>
      <c r="N602" s="110">
        <f>K602-tblAquisições[[#This Row],[QUANTIDADE PLANEJADA]]</f>
        <v>-20</v>
      </c>
      <c r="O602" s="106" t="str">
        <f t="shared" si="19"/>
        <v>Faltando Comprar</v>
      </c>
    </row>
    <row r="603" spans="1:15" ht="31.5">
      <c r="A603" s="16" t="s">
        <v>17</v>
      </c>
      <c r="B603" s="16" t="s">
        <v>26</v>
      </c>
      <c r="C603" s="17" t="s">
        <v>19</v>
      </c>
      <c r="D603" s="18" t="s">
        <v>380</v>
      </c>
      <c r="E603" s="18">
        <v>60</v>
      </c>
      <c r="F603" s="18" t="s">
        <v>21</v>
      </c>
      <c r="G603" s="18" t="s">
        <v>22</v>
      </c>
      <c r="H603" s="18" t="s">
        <v>23</v>
      </c>
      <c r="I603" s="19">
        <v>29.8</v>
      </c>
      <c r="J603" s="20">
        <f t="shared" si="18"/>
        <v>1788</v>
      </c>
      <c r="K603" s="106"/>
      <c r="L603" s="114"/>
      <c r="M603" s="114">
        <f>tblAquisições[[#This Row],[VALOR UNITARIO COMPRADO]]*tblAquisições[[#This Row],[QUANTIDADE COMPRADA]]</f>
        <v>0</v>
      </c>
      <c r="N603" s="110">
        <f>K603-tblAquisições[[#This Row],[QUANTIDADE PLANEJADA]]</f>
        <v>-60</v>
      </c>
      <c r="O603" s="106" t="str">
        <f t="shared" si="19"/>
        <v>Faltando Comprar</v>
      </c>
    </row>
    <row r="604" spans="1:15" ht="31.5">
      <c r="A604" s="16" t="s">
        <v>17</v>
      </c>
      <c r="B604" s="16" t="s">
        <v>28</v>
      </c>
      <c r="C604" s="17" t="s">
        <v>19</v>
      </c>
      <c r="D604" s="18" t="s">
        <v>380</v>
      </c>
      <c r="E604" s="18">
        <v>100</v>
      </c>
      <c r="F604" s="18" t="s">
        <v>21</v>
      </c>
      <c r="G604" s="18" t="s">
        <v>22</v>
      </c>
      <c r="H604" s="18" t="s">
        <v>23</v>
      </c>
      <c r="I604" s="19">
        <v>29.8</v>
      </c>
      <c r="J604" s="20">
        <f t="shared" si="18"/>
        <v>2980</v>
      </c>
      <c r="K604" s="106"/>
      <c r="L604" s="114"/>
      <c r="M604" s="114">
        <f>tblAquisições[[#This Row],[VALOR UNITARIO COMPRADO]]*tblAquisições[[#This Row],[QUANTIDADE COMPRADA]]</f>
        <v>0</v>
      </c>
      <c r="N604" s="110">
        <f>K604-tblAquisições[[#This Row],[QUANTIDADE PLANEJADA]]</f>
        <v>-100</v>
      </c>
      <c r="O604" s="106" t="str">
        <f t="shared" si="19"/>
        <v>Faltando Comprar</v>
      </c>
    </row>
    <row r="605" spans="1:15" ht="31.5">
      <c r="A605" s="16" t="s">
        <v>17</v>
      </c>
      <c r="B605" s="16" t="s">
        <v>18</v>
      </c>
      <c r="C605" s="17" t="s">
        <v>19</v>
      </c>
      <c r="D605" s="18" t="s">
        <v>381</v>
      </c>
      <c r="E605" s="18">
        <v>150</v>
      </c>
      <c r="F605" s="18" t="s">
        <v>21</v>
      </c>
      <c r="G605" s="18" t="s">
        <v>22</v>
      </c>
      <c r="H605" s="18" t="s">
        <v>23</v>
      </c>
      <c r="I605" s="19">
        <v>49.74</v>
      </c>
      <c r="J605" s="20">
        <f t="shared" si="18"/>
        <v>7461</v>
      </c>
      <c r="K605" s="106"/>
      <c r="L605" s="114"/>
      <c r="M605" s="114">
        <f>tblAquisições[[#This Row],[VALOR UNITARIO COMPRADO]]*tblAquisições[[#This Row],[QUANTIDADE COMPRADA]]</f>
        <v>0</v>
      </c>
      <c r="N605" s="110">
        <f>K605-tblAquisições[[#This Row],[QUANTIDADE PLANEJADA]]</f>
        <v>-150</v>
      </c>
      <c r="O605" s="106" t="str">
        <f t="shared" si="19"/>
        <v>Faltando Comprar</v>
      </c>
    </row>
    <row r="606" spans="1:15" ht="31.5">
      <c r="A606" s="16" t="s">
        <v>17</v>
      </c>
      <c r="B606" s="16" t="s">
        <v>24</v>
      </c>
      <c r="C606" s="17" t="s">
        <v>19</v>
      </c>
      <c r="D606" s="18" t="s">
        <v>381</v>
      </c>
      <c r="E606" s="18">
        <v>150</v>
      </c>
      <c r="F606" s="18" t="s">
        <v>21</v>
      </c>
      <c r="G606" s="18" t="s">
        <v>22</v>
      </c>
      <c r="H606" s="18" t="s">
        <v>23</v>
      </c>
      <c r="I606" s="19">
        <v>49.74</v>
      </c>
      <c r="J606" s="20">
        <f t="shared" si="18"/>
        <v>7461</v>
      </c>
      <c r="K606" s="106"/>
      <c r="L606" s="114"/>
      <c r="M606" s="114">
        <f>tblAquisições[[#This Row],[VALOR UNITARIO COMPRADO]]*tblAquisições[[#This Row],[QUANTIDADE COMPRADA]]</f>
        <v>0</v>
      </c>
      <c r="N606" s="110">
        <f>K606-tblAquisições[[#This Row],[QUANTIDADE PLANEJADA]]</f>
        <v>-150</v>
      </c>
      <c r="O606" s="106" t="str">
        <f t="shared" si="19"/>
        <v>Faltando Comprar</v>
      </c>
    </row>
    <row r="607" spans="1:15" ht="31.5">
      <c r="A607" s="16" t="s">
        <v>17</v>
      </c>
      <c r="B607" s="16" t="s">
        <v>25</v>
      </c>
      <c r="C607" s="17" t="s">
        <v>19</v>
      </c>
      <c r="D607" s="18" t="s">
        <v>381</v>
      </c>
      <c r="E607" s="18">
        <v>150</v>
      </c>
      <c r="F607" s="18" t="s">
        <v>21</v>
      </c>
      <c r="G607" s="18" t="s">
        <v>22</v>
      </c>
      <c r="H607" s="18" t="s">
        <v>23</v>
      </c>
      <c r="I607" s="19">
        <v>49.74</v>
      </c>
      <c r="J607" s="20">
        <f t="shared" si="18"/>
        <v>7461</v>
      </c>
      <c r="K607" s="106"/>
      <c r="L607" s="114"/>
      <c r="M607" s="114">
        <f>tblAquisições[[#This Row],[VALOR UNITARIO COMPRADO]]*tblAquisições[[#This Row],[QUANTIDADE COMPRADA]]</f>
        <v>0</v>
      </c>
      <c r="N607" s="110">
        <f>K607-tblAquisições[[#This Row],[QUANTIDADE PLANEJADA]]</f>
        <v>-150</v>
      </c>
      <c r="O607" s="106" t="str">
        <f t="shared" si="19"/>
        <v>Faltando Comprar</v>
      </c>
    </row>
    <row r="608" spans="1:15" ht="31.5">
      <c r="A608" s="16" t="s">
        <v>17</v>
      </c>
      <c r="B608" s="16" t="s">
        <v>26</v>
      </c>
      <c r="C608" s="17" t="s">
        <v>19</v>
      </c>
      <c r="D608" s="18" t="s">
        <v>381</v>
      </c>
      <c r="E608" s="18">
        <v>20</v>
      </c>
      <c r="F608" s="18" t="s">
        <v>21</v>
      </c>
      <c r="G608" s="18" t="s">
        <v>22</v>
      </c>
      <c r="H608" s="18" t="s">
        <v>23</v>
      </c>
      <c r="I608" s="19">
        <v>49.74</v>
      </c>
      <c r="J608" s="20">
        <f t="shared" si="18"/>
        <v>994.80000000000007</v>
      </c>
      <c r="K608" s="106"/>
      <c r="L608" s="114"/>
      <c r="M608" s="114">
        <f>tblAquisições[[#This Row],[VALOR UNITARIO COMPRADO]]*tblAquisições[[#This Row],[QUANTIDADE COMPRADA]]</f>
        <v>0</v>
      </c>
      <c r="N608" s="110">
        <f>K608-tblAquisições[[#This Row],[QUANTIDADE PLANEJADA]]</f>
        <v>-20</v>
      </c>
      <c r="O608" s="106" t="str">
        <f t="shared" si="19"/>
        <v>Faltando Comprar</v>
      </c>
    </row>
    <row r="609" spans="1:15" ht="31.5">
      <c r="A609" s="16" t="s">
        <v>17</v>
      </c>
      <c r="B609" s="16" t="s">
        <v>27</v>
      </c>
      <c r="C609" s="17" t="s">
        <v>19</v>
      </c>
      <c r="D609" s="18" t="s">
        <v>381</v>
      </c>
      <c r="E609" s="18">
        <v>200</v>
      </c>
      <c r="F609" s="18" t="s">
        <v>21</v>
      </c>
      <c r="G609" s="18" t="s">
        <v>22</v>
      </c>
      <c r="H609" s="18" t="s">
        <v>23</v>
      </c>
      <c r="I609" s="19">
        <v>49.74</v>
      </c>
      <c r="J609" s="20">
        <f t="shared" si="18"/>
        <v>9948</v>
      </c>
      <c r="K609" s="106"/>
      <c r="L609" s="114"/>
      <c r="M609" s="114">
        <f>tblAquisições[[#This Row],[VALOR UNITARIO COMPRADO]]*tblAquisições[[#This Row],[QUANTIDADE COMPRADA]]</f>
        <v>0</v>
      </c>
      <c r="N609" s="110">
        <f>K609-tblAquisições[[#This Row],[QUANTIDADE PLANEJADA]]</f>
        <v>-200</v>
      </c>
      <c r="O609" s="106" t="str">
        <f t="shared" si="19"/>
        <v>Faltando Comprar</v>
      </c>
    </row>
    <row r="610" spans="1:15" ht="31.5">
      <c r="A610" s="16" t="s">
        <v>17</v>
      </c>
      <c r="B610" s="16" t="s">
        <v>18</v>
      </c>
      <c r="C610" s="17" t="s">
        <v>19</v>
      </c>
      <c r="D610" s="18" t="s">
        <v>382</v>
      </c>
      <c r="E610" s="18">
        <v>5</v>
      </c>
      <c r="F610" s="18" t="s">
        <v>21</v>
      </c>
      <c r="G610" s="18" t="s">
        <v>22</v>
      </c>
      <c r="H610" s="18" t="s">
        <v>23</v>
      </c>
      <c r="I610" s="19">
        <v>5.44</v>
      </c>
      <c r="J610" s="20">
        <f t="shared" si="18"/>
        <v>27.200000000000003</v>
      </c>
      <c r="K610" s="106"/>
      <c r="L610" s="114"/>
      <c r="M610" s="114">
        <f>tblAquisições[[#This Row],[VALOR UNITARIO COMPRADO]]*tblAquisições[[#This Row],[QUANTIDADE COMPRADA]]</f>
        <v>0</v>
      </c>
      <c r="N610" s="110">
        <f>K610-tblAquisições[[#This Row],[QUANTIDADE PLANEJADA]]</f>
        <v>-5</v>
      </c>
      <c r="O610" s="106" t="str">
        <f t="shared" si="19"/>
        <v>Faltando Comprar</v>
      </c>
    </row>
    <row r="611" spans="1:15" ht="31.5">
      <c r="A611" s="16" t="s">
        <v>17</v>
      </c>
      <c r="B611" s="16" t="s">
        <v>24</v>
      </c>
      <c r="C611" s="17" t="s">
        <v>19</v>
      </c>
      <c r="D611" s="18" t="s">
        <v>382</v>
      </c>
      <c r="E611" s="18">
        <v>5</v>
      </c>
      <c r="F611" s="18" t="s">
        <v>21</v>
      </c>
      <c r="G611" s="18" t="s">
        <v>22</v>
      </c>
      <c r="H611" s="18" t="s">
        <v>23</v>
      </c>
      <c r="I611" s="19">
        <v>5.44</v>
      </c>
      <c r="J611" s="20">
        <f t="shared" si="18"/>
        <v>27.200000000000003</v>
      </c>
      <c r="K611" s="106"/>
      <c r="L611" s="114"/>
      <c r="M611" s="114">
        <f>tblAquisições[[#This Row],[VALOR UNITARIO COMPRADO]]*tblAquisições[[#This Row],[QUANTIDADE COMPRADA]]</f>
        <v>0</v>
      </c>
      <c r="N611" s="110">
        <f>K611-tblAquisições[[#This Row],[QUANTIDADE PLANEJADA]]</f>
        <v>-5</v>
      </c>
      <c r="O611" s="106" t="str">
        <f t="shared" si="19"/>
        <v>Faltando Comprar</v>
      </c>
    </row>
    <row r="612" spans="1:15" ht="31.5">
      <c r="A612" s="16" t="s">
        <v>17</v>
      </c>
      <c r="B612" s="16" t="s">
        <v>25</v>
      </c>
      <c r="C612" s="17" t="s">
        <v>19</v>
      </c>
      <c r="D612" s="18" t="s">
        <v>382</v>
      </c>
      <c r="E612" s="18">
        <v>5</v>
      </c>
      <c r="F612" s="18" t="s">
        <v>21</v>
      </c>
      <c r="G612" s="18" t="s">
        <v>22</v>
      </c>
      <c r="H612" s="18" t="s">
        <v>23</v>
      </c>
      <c r="I612" s="19">
        <v>5.44</v>
      </c>
      <c r="J612" s="20">
        <f t="shared" si="18"/>
        <v>27.200000000000003</v>
      </c>
      <c r="K612" s="106"/>
      <c r="L612" s="114"/>
      <c r="M612" s="114">
        <f>tblAquisições[[#This Row],[VALOR UNITARIO COMPRADO]]*tblAquisições[[#This Row],[QUANTIDADE COMPRADA]]</f>
        <v>0</v>
      </c>
      <c r="N612" s="110">
        <f>K612-tblAquisições[[#This Row],[QUANTIDADE PLANEJADA]]</f>
        <v>-5</v>
      </c>
      <c r="O612" s="106" t="str">
        <f t="shared" si="19"/>
        <v>Faltando Comprar</v>
      </c>
    </row>
    <row r="613" spans="1:15" ht="31.5">
      <c r="A613" s="16" t="s">
        <v>17</v>
      </c>
      <c r="B613" s="16" t="s">
        <v>18</v>
      </c>
      <c r="C613" s="17" t="s">
        <v>19</v>
      </c>
      <c r="D613" s="18" t="s">
        <v>383</v>
      </c>
      <c r="E613" s="18">
        <v>5</v>
      </c>
      <c r="F613" s="18" t="s">
        <v>21</v>
      </c>
      <c r="G613" s="18" t="s">
        <v>22</v>
      </c>
      <c r="H613" s="18" t="s">
        <v>23</v>
      </c>
      <c r="I613" s="19">
        <v>9</v>
      </c>
      <c r="J613" s="20">
        <f t="shared" si="18"/>
        <v>45</v>
      </c>
      <c r="K613" s="106"/>
      <c r="L613" s="114"/>
      <c r="M613" s="114">
        <f>tblAquisições[[#This Row],[VALOR UNITARIO COMPRADO]]*tblAquisições[[#This Row],[QUANTIDADE COMPRADA]]</f>
        <v>0</v>
      </c>
      <c r="N613" s="110">
        <f>K613-tblAquisições[[#This Row],[QUANTIDADE PLANEJADA]]</f>
        <v>-5</v>
      </c>
      <c r="O613" s="106" t="str">
        <f t="shared" si="19"/>
        <v>Faltando Comprar</v>
      </c>
    </row>
    <row r="614" spans="1:15" ht="31.5">
      <c r="A614" s="16" t="s">
        <v>17</v>
      </c>
      <c r="B614" s="16" t="s">
        <v>24</v>
      </c>
      <c r="C614" s="17" t="s">
        <v>19</v>
      </c>
      <c r="D614" s="18" t="s">
        <v>383</v>
      </c>
      <c r="E614" s="18">
        <v>5</v>
      </c>
      <c r="F614" s="18" t="s">
        <v>21</v>
      </c>
      <c r="G614" s="18" t="s">
        <v>22</v>
      </c>
      <c r="H614" s="18" t="s">
        <v>23</v>
      </c>
      <c r="I614" s="19">
        <v>9</v>
      </c>
      <c r="J614" s="20">
        <f t="shared" si="18"/>
        <v>45</v>
      </c>
      <c r="K614" s="106"/>
      <c r="L614" s="114"/>
      <c r="M614" s="114">
        <f>tblAquisições[[#This Row],[VALOR UNITARIO COMPRADO]]*tblAquisições[[#This Row],[QUANTIDADE COMPRADA]]</f>
        <v>0</v>
      </c>
      <c r="N614" s="110">
        <f>K614-tblAquisições[[#This Row],[QUANTIDADE PLANEJADA]]</f>
        <v>-5</v>
      </c>
      <c r="O614" s="106" t="str">
        <f t="shared" si="19"/>
        <v>Faltando Comprar</v>
      </c>
    </row>
    <row r="615" spans="1:15" ht="31.5">
      <c r="A615" s="16" t="s">
        <v>17</v>
      </c>
      <c r="B615" s="16" t="s">
        <v>25</v>
      </c>
      <c r="C615" s="17" t="s">
        <v>19</v>
      </c>
      <c r="D615" s="18" t="s">
        <v>383</v>
      </c>
      <c r="E615" s="18">
        <v>5</v>
      </c>
      <c r="F615" s="18" t="s">
        <v>21</v>
      </c>
      <c r="G615" s="18" t="s">
        <v>22</v>
      </c>
      <c r="H615" s="18" t="s">
        <v>23</v>
      </c>
      <c r="I615" s="19">
        <v>9</v>
      </c>
      <c r="J615" s="20">
        <f t="shared" si="18"/>
        <v>45</v>
      </c>
      <c r="K615" s="106"/>
      <c r="L615" s="114"/>
      <c r="M615" s="114">
        <f>tblAquisições[[#This Row],[VALOR UNITARIO COMPRADO]]*tblAquisições[[#This Row],[QUANTIDADE COMPRADA]]</f>
        <v>0</v>
      </c>
      <c r="N615" s="110">
        <f>K615-tblAquisições[[#This Row],[QUANTIDADE PLANEJADA]]</f>
        <v>-5</v>
      </c>
      <c r="O615" s="106" t="str">
        <f t="shared" si="19"/>
        <v>Faltando Comprar</v>
      </c>
    </row>
    <row r="616" spans="1:15" ht="31.5">
      <c r="A616" s="16" t="s">
        <v>17</v>
      </c>
      <c r="B616" s="16" t="s">
        <v>18</v>
      </c>
      <c r="C616" s="17" t="s">
        <v>19</v>
      </c>
      <c r="D616" s="18" t="s">
        <v>384</v>
      </c>
      <c r="E616" s="18">
        <v>5</v>
      </c>
      <c r="F616" s="18" t="s">
        <v>21</v>
      </c>
      <c r="G616" s="18" t="s">
        <v>22</v>
      </c>
      <c r="H616" s="18" t="s">
        <v>23</v>
      </c>
      <c r="I616" s="19">
        <v>170.46</v>
      </c>
      <c r="J616" s="20">
        <f t="shared" si="18"/>
        <v>852.30000000000007</v>
      </c>
      <c r="K616" s="106"/>
      <c r="L616" s="114"/>
      <c r="M616" s="114">
        <f>tblAquisições[[#This Row],[VALOR UNITARIO COMPRADO]]*tblAquisições[[#This Row],[QUANTIDADE COMPRADA]]</f>
        <v>0</v>
      </c>
      <c r="N616" s="110">
        <f>K616-tblAquisições[[#This Row],[QUANTIDADE PLANEJADA]]</f>
        <v>-5</v>
      </c>
      <c r="O616" s="106" t="str">
        <f t="shared" si="19"/>
        <v>Faltando Comprar</v>
      </c>
    </row>
    <row r="617" spans="1:15" ht="31.5">
      <c r="A617" s="16" t="s">
        <v>17</v>
      </c>
      <c r="B617" s="16" t="s">
        <v>24</v>
      </c>
      <c r="C617" s="17" t="s">
        <v>19</v>
      </c>
      <c r="D617" s="18" t="s">
        <v>384</v>
      </c>
      <c r="E617" s="18">
        <v>5</v>
      </c>
      <c r="F617" s="18" t="s">
        <v>21</v>
      </c>
      <c r="G617" s="18" t="s">
        <v>22</v>
      </c>
      <c r="H617" s="18" t="s">
        <v>23</v>
      </c>
      <c r="I617" s="19">
        <v>170.46</v>
      </c>
      <c r="J617" s="20">
        <f t="shared" si="18"/>
        <v>852.30000000000007</v>
      </c>
      <c r="K617" s="106"/>
      <c r="L617" s="114"/>
      <c r="M617" s="114">
        <f>tblAquisições[[#This Row],[VALOR UNITARIO COMPRADO]]*tblAquisições[[#This Row],[QUANTIDADE COMPRADA]]</f>
        <v>0</v>
      </c>
      <c r="N617" s="110">
        <f>K617-tblAquisições[[#This Row],[QUANTIDADE PLANEJADA]]</f>
        <v>-5</v>
      </c>
      <c r="O617" s="106" t="str">
        <f t="shared" si="19"/>
        <v>Faltando Comprar</v>
      </c>
    </row>
    <row r="618" spans="1:15" ht="31.5">
      <c r="A618" s="16" t="s">
        <v>17</v>
      </c>
      <c r="B618" s="16" t="s">
        <v>25</v>
      </c>
      <c r="C618" s="17" t="s">
        <v>19</v>
      </c>
      <c r="D618" s="18" t="s">
        <v>384</v>
      </c>
      <c r="E618" s="18">
        <v>5</v>
      </c>
      <c r="F618" s="18" t="s">
        <v>21</v>
      </c>
      <c r="G618" s="18" t="s">
        <v>22</v>
      </c>
      <c r="H618" s="18" t="s">
        <v>23</v>
      </c>
      <c r="I618" s="19">
        <v>170.46</v>
      </c>
      <c r="J618" s="20">
        <f t="shared" si="18"/>
        <v>852.30000000000007</v>
      </c>
      <c r="K618" s="106"/>
      <c r="L618" s="114"/>
      <c r="M618" s="114">
        <f>tblAquisições[[#This Row],[VALOR UNITARIO COMPRADO]]*tblAquisições[[#This Row],[QUANTIDADE COMPRADA]]</f>
        <v>0</v>
      </c>
      <c r="N618" s="110">
        <f>K618-tblAquisições[[#This Row],[QUANTIDADE PLANEJADA]]</f>
        <v>-5</v>
      </c>
      <c r="O618" s="106" t="str">
        <f t="shared" si="19"/>
        <v>Faltando Comprar</v>
      </c>
    </row>
    <row r="619" spans="1:15" ht="31.5">
      <c r="A619" s="16" t="s">
        <v>17</v>
      </c>
      <c r="B619" s="16" t="s">
        <v>18</v>
      </c>
      <c r="C619" s="17" t="s">
        <v>19</v>
      </c>
      <c r="D619" s="18" t="s">
        <v>385</v>
      </c>
      <c r="E619" s="18">
        <v>10</v>
      </c>
      <c r="F619" s="18" t="s">
        <v>21</v>
      </c>
      <c r="G619" s="18" t="s">
        <v>22</v>
      </c>
      <c r="H619" s="18" t="s">
        <v>23</v>
      </c>
      <c r="I619" s="19">
        <v>18.98</v>
      </c>
      <c r="J619" s="20">
        <f t="shared" si="18"/>
        <v>189.8</v>
      </c>
      <c r="K619" s="106"/>
      <c r="L619" s="114"/>
      <c r="M619" s="114">
        <f>tblAquisições[[#This Row],[VALOR UNITARIO COMPRADO]]*tblAquisições[[#This Row],[QUANTIDADE COMPRADA]]</f>
        <v>0</v>
      </c>
      <c r="N619" s="110">
        <f>K619-tblAquisições[[#This Row],[QUANTIDADE PLANEJADA]]</f>
        <v>-10</v>
      </c>
      <c r="O619" s="106" t="str">
        <f t="shared" si="19"/>
        <v>Faltando Comprar</v>
      </c>
    </row>
    <row r="620" spans="1:15" ht="31.5">
      <c r="A620" s="16" t="s">
        <v>17</v>
      </c>
      <c r="B620" s="16" t="s">
        <v>24</v>
      </c>
      <c r="C620" s="17" t="s">
        <v>19</v>
      </c>
      <c r="D620" s="18" t="s">
        <v>385</v>
      </c>
      <c r="E620" s="18">
        <v>10</v>
      </c>
      <c r="F620" s="18" t="s">
        <v>21</v>
      </c>
      <c r="G620" s="18" t="s">
        <v>22</v>
      </c>
      <c r="H620" s="18" t="s">
        <v>23</v>
      </c>
      <c r="I620" s="19">
        <v>18.98</v>
      </c>
      <c r="J620" s="20">
        <f t="shared" si="18"/>
        <v>189.8</v>
      </c>
      <c r="K620" s="106"/>
      <c r="L620" s="114"/>
      <c r="M620" s="114">
        <f>tblAquisições[[#This Row],[VALOR UNITARIO COMPRADO]]*tblAquisições[[#This Row],[QUANTIDADE COMPRADA]]</f>
        <v>0</v>
      </c>
      <c r="N620" s="110">
        <f>K620-tblAquisições[[#This Row],[QUANTIDADE PLANEJADA]]</f>
        <v>-10</v>
      </c>
      <c r="O620" s="106" t="str">
        <f t="shared" si="19"/>
        <v>Faltando Comprar</v>
      </c>
    </row>
    <row r="621" spans="1:15" ht="31.5">
      <c r="A621" s="16" t="s">
        <v>17</v>
      </c>
      <c r="B621" s="16" t="s">
        <v>25</v>
      </c>
      <c r="C621" s="17" t="s">
        <v>19</v>
      </c>
      <c r="D621" s="18" t="s">
        <v>385</v>
      </c>
      <c r="E621" s="18">
        <v>10</v>
      </c>
      <c r="F621" s="18" t="s">
        <v>21</v>
      </c>
      <c r="G621" s="18" t="s">
        <v>22</v>
      </c>
      <c r="H621" s="18" t="s">
        <v>23</v>
      </c>
      <c r="I621" s="19">
        <v>18.98</v>
      </c>
      <c r="J621" s="20">
        <f t="shared" si="18"/>
        <v>189.8</v>
      </c>
      <c r="K621" s="106"/>
      <c r="L621" s="114"/>
      <c r="M621" s="114">
        <f>tblAquisições[[#This Row],[VALOR UNITARIO COMPRADO]]*tblAquisições[[#This Row],[QUANTIDADE COMPRADA]]</f>
        <v>0</v>
      </c>
      <c r="N621" s="110">
        <f>K621-tblAquisições[[#This Row],[QUANTIDADE PLANEJADA]]</f>
        <v>-10</v>
      </c>
      <c r="O621" s="106" t="str">
        <f t="shared" si="19"/>
        <v>Faltando Comprar</v>
      </c>
    </row>
    <row r="622" spans="1:15" ht="31.5">
      <c r="A622" s="16" t="s">
        <v>17</v>
      </c>
      <c r="B622" s="16" t="s">
        <v>18</v>
      </c>
      <c r="C622" s="17" t="s">
        <v>19</v>
      </c>
      <c r="D622" s="18" t="s">
        <v>386</v>
      </c>
      <c r="E622" s="18">
        <v>50</v>
      </c>
      <c r="F622" s="18" t="s">
        <v>21</v>
      </c>
      <c r="G622" s="18" t="s">
        <v>22</v>
      </c>
      <c r="H622" s="18" t="s">
        <v>23</v>
      </c>
      <c r="I622" s="19">
        <v>90</v>
      </c>
      <c r="J622" s="20">
        <f t="shared" si="18"/>
        <v>4500</v>
      </c>
      <c r="K622" s="106"/>
      <c r="L622" s="114"/>
      <c r="M622" s="114">
        <f>tblAquisições[[#This Row],[VALOR UNITARIO COMPRADO]]*tblAquisições[[#This Row],[QUANTIDADE COMPRADA]]</f>
        <v>0</v>
      </c>
      <c r="N622" s="110">
        <f>K622-tblAquisições[[#This Row],[QUANTIDADE PLANEJADA]]</f>
        <v>-50</v>
      </c>
      <c r="O622" s="106" t="str">
        <f t="shared" si="19"/>
        <v>Faltando Comprar</v>
      </c>
    </row>
    <row r="623" spans="1:15" ht="31.5">
      <c r="A623" s="16" t="s">
        <v>17</v>
      </c>
      <c r="B623" s="16" t="s">
        <v>24</v>
      </c>
      <c r="C623" s="17" t="s">
        <v>19</v>
      </c>
      <c r="D623" s="18" t="s">
        <v>386</v>
      </c>
      <c r="E623" s="18">
        <v>50</v>
      </c>
      <c r="F623" s="18" t="s">
        <v>21</v>
      </c>
      <c r="G623" s="18" t="s">
        <v>22</v>
      </c>
      <c r="H623" s="18" t="s">
        <v>23</v>
      </c>
      <c r="I623" s="19">
        <v>90</v>
      </c>
      <c r="J623" s="20">
        <f t="shared" si="18"/>
        <v>4500</v>
      </c>
      <c r="K623" s="106"/>
      <c r="L623" s="114"/>
      <c r="M623" s="114">
        <f>tblAquisições[[#This Row],[VALOR UNITARIO COMPRADO]]*tblAquisições[[#This Row],[QUANTIDADE COMPRADA]]</f>
        <v>0</v>
      </c>
      <c r="N623" s="110">
        <f>K623-tblAquisições[[#This Row],[QUANTIDADE PLANEJADA]]</f>
        <v>-50</v>
      </c>
      <c r="O623" s="106" t="str">
        <f t="shared" si="19"/>
        <v>Faltando Comprar</v>
      </c>
    </row>
    <row r="624" spans="1:15" ht="31.5">
      <c r="A624" s="16" t="s">
        <v>17</v>
      </c>
      <c r="B624" s="16" t="s">
        <v>25</v>
      </c>
      <c r="C624" s="17" t="s">
        <v>19</v>
      </c>
      <c r="D624" s="18" t="s">
        <v>386</v>
      </c>
      <c r="E624" s="18">
        <v>50</v>
      </c>
      <c r="F624" s="18" t="s">
        <v>21</v>
      </c>
      <c r="G624" s="18" t="s">
        <v>22</v>
      </c>
      <c r="H624" s="18" t="s">
        <v>23</v>
      </c>
      <c r="I624" s="19">
        <v>90</v>
      </c>
      <c r="J624" s="20">
        <f t="shared" si="18"/>
        <v>4500</v>
      </c>
      <c r="K624" s="106"/>
      <c r="L624" s="114"/>
      <c r="M624" s="114">
        <f>tblAquisições[[#This Row],[VALOR UNITARIO COMPRADO]]*tblAquisições[[#This Row],[QUANTIDADE COMPRADA]]</f>
        <v>0</v>
      </c>
      <c r="N624" s="110">
        <f>K624-tblAquisições[[#This Row],[QUANTIDADE PLANEJADA]]</f>
        <v>-50</v>
      </c>
      <c r="O624" s="106" t="str">
        <f t="shared" si="19"/>
        <v>Faltando Comprar</v>
      </c>
    </row>
    <row r="625" spans="1:15" ht="31.5">
      <c r="A625" s="16" t="s">
        <v>17</v>
      </c>
      <c r="B625" s="16" t="s">
        <v>26</v>
      </c>
      <c r="C625" s="17" t="s">
        <v>19</v>
      </c>
      <c r="D625" s="18" t="s">
        <v>387</v>
      </c>
      <c r="E625" s="18">
        <v>30</v>
      </c>
      <c r="F625" s="18" t="s">
        <v>21</v>
      </c>
      <c r="G625" s="18" t="s">
        <v>22</v>
      </c>
      <c r="H625" s="18" t="s">
        <v>23</v>
      </c>
      <c r="I625" s="19">
        <v>24.22</v>
      </c>
      <c r="J625" s="20">
        <f t="shared" si="18"/>
        <v>726.59999999999991</v>
      </c>
      <c r="K625" s="106"/>
      <c r="L625" s="114"/>
      <c r="M625" s="114">
        <f>tblAquisições[[#This Row],[VALOR UNITARIO COMPRADO]]*tblAquisições[[#This Row],[QUANTIDADE COMPRADA]]</f>
        <v>0</v>
      </c>
      <c r="N625" s="110">
        <f>K625-tblAquisições[[#This Row],[QUANTIDADE PLANEJADA]]</f>
        <v>-30</v>
      </c>
      <c r="O625" s="106" t="str">
        <f t="shared" si="19"/>
        <v>Faltando Comprar</v>
      </c>
    </row>
    <row r="626" spans="1:15" ht="31.5">
      <c r="A626" s="16" t="s">
        <v>17</v>
      </c>
      <c r="B626" s="16" t="s">
        <v>26</v>
      </c>
      <c r="C626" s="17" t="s">
        <v>19</v>
      </c>
      <c r="D626" s="18" t="s">
        <v>388</v>
      </c>
      <c r="E626" s="18">
        <v>20</v>
      </c>
      <c r="F626" s="18" t="s">
        <v>21</v>
      </c>
      <c r="G626" s="18" t="s">
        <v>22</v>
      </c>
      <c r="H626" s="18" t="s">
        <v>23</v>
      </c>
      <c r="I626" s="19">
        <v>16.97</v>
      </c>
      <c r="J626" s="20">
        <f t="shared" si="18"/>
        <v>339.4</v>
      </c>
      <c r="K626" s="106"/>
      <c r="L626" s="114"/>
      <c r="M626" s="114">
        <f>tblAquisições[[#This Row],[VALOR UNITARIO COMPRADO]]*tblAquisições[[#This Row],[QUANTIDADE COMPRADA]]</f>
        <v>0</v>
      </c>
      <c r="N626" s="110">
        <f>K626-tblAquisições[[#This Row],[QUANTIDADE PLANEJADA]]</f>
        <v>-20</v>
      </c>
      <c r="O626" s="106" t="str">
        <f t="shared" si="19"/>
        <v>Faltando Comprar</v>
      </c>
    </row>
    <row r="627" spans="1:15" ht="31.5">
      <c r="A627" s="16" t="s">
        <v>17</v>
      </c>
      <c r="B627" s="16" t="s">
        <v>28</v>
      </c>
      <c r="C627" s="17" t="s">
        <v>19</v>
      </c>
      <c r="D627" s="18" t="s">
        <v>388</v>
      </c>
      <c r="E627" s="18">
        <v>100</v>
      </c>
      <c r="F627" s="18" t="s">
        <v>21</v>
      </c>
      <c r="G627" s="18" t="s">
        <v>22</v>
      </c>
      <c r="H627" s="18" t="s">
        <v>23</v>
      </c>
      <c r="I627" s="19">
        <v>16.97</v>
      </c>
      <c r="J627" s="20">
        <f t="shared" si="18"/>
        <v>1697</v>
      </c>
      <c r="K627" s="106"/>
      <c r="L627" s="114"/>
      <c r="M627" s="114">
        <f>tblAquisições[[#This Row],[VALOR UNITARIO COMPRADO]]*tblAquisições[[#This Row],[QUANTIDADE COMPRADA]]</f>
        <v>0</v>
      </c>
      <c r="N627" s="110">
        <f>K627-tblAquisições[[#This Row],[QUANTIDADE PLANEJADA]]</f>
        <v>-100</v>
      </c>
      <c r="O627" s="106" t="str">
        <f t="shared" si="19"/>
        <v>Faltando Comprar</v>
      </c>
    </row>
    <row r="628" spans="1:15" ht="31.5">
      <c r="A628" s="16" t="s">
        <v>17</v>
      </c>
      <c r="B628" s="16" t="s">
        <v>28</v>
      </c>
      <c r="C628" s="17" t="s">
        <v>19</v>
      </c>
      <c r="D628" s="18" t="s">
        <v>389</v>
      </c>
      <c r="E628" s="18">
        <v>250</v>
      </c>
      <c r="F628" s="18" t="s">
        <v>21</v>
      </c>
      <c r="G628" s="18" t="s">
        <v>22</v>
      </c>
      <c r="H628" s="18" t="s">
        <v>23</v>
      </c>
      <c r="I628" s="19">
        <v>96.06</v>
      </c>
      <c r="J628" s="20">
        <f t="shared" si="18"/>
        <v>24015</v>
      </c>
      <c r="K628" s="106"/>
      <c r="L628" s="114"/>
      <c r="M628" s="114">
        <f>tblAquisições[[#This Row],[VALOR UNITARIO COMPRADO]]*tblAquisições[[#This Row],[QUANTIDADE COMPRADA]]</f>
        <v>0</v>
      </c>
      <c r="N628" s="110">
        <f>K628-tblAquisições[[#This Row],[QUANTIDADE PLANEJADA]]</f>
        <v>-250</v>
      </c>
      <c r="O628" s="106" t="str">
        <f t="shared" si="19"/>
        <v>Faltando Comprar</v>
      </c>
    </row>
    <row r="629" spans="1:15" ht="47.25">
      <c r="A629" s="16" t="s">
        <v>17</v>
      </c>
      <c r="B629" s="16" t="s">
        <v>31</v>
      </c>
      <c r="C629" s="17" t="s">
        <v>19</v>
      </c>
      <c r="D629" s="18" t="s">
        <v>390</v>
      </c>
      <c r="E629" s="18">
        <v>2</v>
      </c>
      <c r="F629" s="18" t="s">
        <v>391</v>
      </c>
      <c r="G629" s="18" t="s">
        <v>22</v>
      </c>
      <c r="H629" s="18" t="s">
        <v>23</v>
      </c>
      <c r="I629" s="19">
        <v>892.13599999999997</v>
      </c>
      <c r="J629" s="20">
        <f t="shared" si="18"/>
        <v>1784.2719999999999</v>
      </c>
      <c r="K629" s="106"/>
      <c r="L629" s="114"/>
      <c r="M629" s="114">
        <f>tblAquisições[[#This Row],[VALOR UNITARIO COMPRADO]]*tblAquisições[[#This Row],[QUANTIDADE COMPRADA]]</f>
        <v>0</v>
      </c>
      <c r="N629" s="110">
        <f>K629-tblAquisições[[#This Row],[QUANTIDADE PLANEJADA]]</f>
        <v>-2</v>
      </c>
      <c r="O629" s="106" t="str">
        <f t="shared" si="19"/>
        <v>Faltando Comprar</v>
      </c>
    </row>
    <row r="630" spans="1:15" ht="47.25">
      <c r="A630" s="16" t="s">
        <v>17</v>
      </c>
      <c r="B630" s="16" t="s">
        <v>28</v>
      </c>
      <c r="C630" s="17" t="s">
        <v>19</v>
      </c>
      <c r="D630" s="18" t="s">
        <v>390</v>
      </c>
      <c r="E630" s="18">
        <v>3</v>
      </c>
      <c r="F630" s="18" t="s">
        <v>391</v>
      </c>
      <c r="G630" s="18" t="s">
        <v>22</v>
      </c>
      <c r="H630" s="18" t="s">
        <v>53</v>
      </c>
      <c r="I630" s="19">
        <v>892.13599999999997</v>
      </c>
      <c r="J630" s="20">
        <f t="shared" si="18"/>
        <v>2676.4079999999999</v>
      </c>
      <c r="K630" s="106"/>
      <c r="L630" s="114"/>
      <c r="M630" s="114">
        <f>tblAquisições[[#This Row],[VALOR UNITARIO COMPRADO]]*tblAquisições[[#This Row],[QUANTIDADE COMPRADA]]</f>
        <v>0</v>
      </c>
      <c r="N630" s="110">
        <f>K630-tblAquisições[[#This Row],[QUANTIDADE PLANEJADA]]</f>
        <v>-3</v>
      </c>
      <c r="O630" s="106" t="str">
        <f t="shared" si="19"/>
        <v>Faltando Comprar</v>
      </c>
    </row>
    <row r="631" spans="1:15" ht="47.25">
      <c r="A631" s="16" t="s">
        <v>17</v>
      </c>
      <c r="B631" s="16" t="s">
        <v>17</v>
      </c>
      <c r="C631" s="17" t="s">
        <v>19</v>
      </c>
      <c r="D631" s="18" t="s">
        <v>392</v>
      </c>
      <c r="E631" s="18">
        <v>5</v>
      </c>
      <c r="F631" s="18" t="s">
        <v>217</v>
      </c>
      <c r="G631" s="18" t="s">
        <v>39</v>
      </c>
      <c r="H631" s="18" t="s">
        <v>65</v>
      </c>
      <c r="I631" s="24">
        <v>62.99</v>
      </c>
      <c r="J631" s="20">
        <f t="shared" si="18"/>
        <v>314.95</v>
      </c>
      <c r="K631" s="106"/>
      <c r="L631" s="114"/>
      <c r="M631" s="114">
        <f>tblAquisições[[#This Row],[VALOR UNITARIO COMPRADO]]*tblAquisições[[#This Row],[QUANTIDADE COMPRADA]]</f>
        <v>0</v>
      </c>
      <c r="N631" s="110">
        <f>K631-tblAquisições[[#This Row],[QUANTIDADE PLANEJADA]]</f>
        <v>-5</v>
      </c>
      <c r="O631" s="106" t="str">
        <f t="shared" si="19"/>
        <v>Faltando Comprar</v>
      </c>
    </row>
    <row r="632" spans="1:15" ht="47.25">
      <c r="A632" s="16" t="s">
        <v>17</v>
      </c>
      <c r="B632" s="16" t="s">
        <v>80</v>
      </c>
      <c r="C632" s="17" t="s">
        <v>19</v>
      </c>
      <c r="D632" s="18" t="s">
        <v>392</v>
      </c>
      <c r="E632" s="18">
        <v>2</v>
      </c>
      <c r="F632" s="18" t="s">
        <v>217</v>
      </c>
      <c r="G632" s="18" t="s">
        <v>39</v>
      </c>
      <c r="H632" s="18" t="s">
        <v>65</v>
      </c>
      <c r="I632" s="24">
        <v>62.99</v>
      </c>
      <c r="J632" s="20">
        <f t="shared" si="18"/>
        <v>125.98</v>
      </c>
      <c r="K632" s="106"/>
      <c r="L632" s="114"/>
      <c r="M632" s="114">
        <f>tblAquisições[[#This Row],[VALOR UNITARIO COMPRADO]]*tblAquisições[[#This Row],[QUANTIDADE COMPRADA]]</f>
        <v>0</v>
      </c>
      <c r="N632" s="110">
        <f>K632-tblAquisições[[#This Row],[QUANTIDADE PLANEJADA]]</f>
        <v>-2</v>
      </c>
      <c r="O632" s="106" t="str">
        <f t="shared" si="19"/>
        <v>Faltando Comprar</v>
      </c>
    </row>
    <row r="633" spans="1:15" ht="47.25">
      <c r="A633" s="16" t="s">
        <v>17</v>
      </c>
      <c r="B633" s="16" t="s">
        <v>27</v>
      </c>
      <c r="C633" s="17" t="s">
        <v>19</v>
      </c>
      <c r="D633" s="18" t="s">
        <v>393</v>
      </c>
      <c r="E633" s="18">
        <v>40</v>
      </c>
      <c r="F633" s="18" t="s">
        <v>131</v>
      </c>
      <c r="G633" s="18" t="s">
        <v>22</v>
      </c>
      <c r="H633" s="18" t="s">
        <v>23</v>
      </c>
      <c r="I633" s="19">
        <v>8.33</v>
      </c>
      <c r="J633" s="20">
        <f t="shared" si="18"/>
        <v>333.2</v>
      </c>
      <c r="K633" s="106"/>
      <c r="L633" s="114"/>
      <c r="M633" s="114">
        <f>tblAquisições[[#This Row],[VALOR UNITARIO COMPRADO]]*tblAquisições[[#This Row],[QUANTIDADE COMPRADA]]</f>
        <v>0</v>
      </c>
      <c r="N633" s="110">
        <f>K633-tblAquisições[[#This Row],[QUANTIDADE PLANEJADA]]</f>
        <v>-40</v>
      </c>
      <c r="O633" s="106" t="str">
        <f t="shared" si="19"/>
        <v>Faltando Comprar</v>
      </c>
    </row>
    <row r="634" spans="1:15" ht="47.25">
      <c r="A634" s="16" t="s">
        <v>17</v>
      </c>
      <c r="B634" s="16" t="s">
        <v>28</v>
      </c>
      <c r="C634" s="17" t="s">
        <v>19</v>
      </c>
      <c r="D634" s="18" t="s">
        <v>393</v>
      </c>
      <c r="E634" s="18">
        <v>100</v>
      </c>
      <c r="F634" s="18" t="s">
        <v>131</v>
      </c>
      <c r="G634" s="18" t="s">
        <v>22</v>
      </c>
      <c r="H634" s="18" t="s">
        <v>23</v>
      </c>
      <c r="I634" s="19">
        <v>8.33</v>
      </c>
      <c r="J634" s="20">
        <f t="shared" si="18"/>
        <v>833</v>
      </c>
      <c r="K634" s="106"/>
      <c r="L634" s="114"/>
      <c r="M634" s="114">
        <f>tblAquisições[[#This Row],[VALOR UNITARIO COMPRADO]]*tblAquisições[[#This Row],[QUANTIDADE COMPRADA]]</f>
        <v>0</v>
      </c>
      <c r="N634" s="110">
        <f>K634-tblAquisições[[#This Row],[QUANTIDADE PLANEJADA]]</f>
        <v>-100</v>
      </c>
      <c r="O634" s="106" t="str">
        <f t="shared" si="19"/>
        <v>Faltando Comprar</v>
      </c>
    </row>
    <row r="635" spans="1:15" ht="47.25">
      <c r="A635" s="16" t="s">
        <v>17</v>
      </c>
      <c r="B635" s="16" t="s">
        <v>26</v>
      </c>
      <c r="C635" s="17" t="s">
        <v>19</v>
      </c>
      <c r="D635" s="18" t="s">
        <v>394</v>
      </c>
      <c r="E635" s="18">
        <v>24</v>
      </c>
      <c r="F635" s="18" t="s">
        <v>58</v>
      </c>
      <c r="G635" s="18" t="s">
        <v>22</v>
      </c>
      <c r="H635" s="18" t="s">
        <v>23</v>
      </c>
      <c r="I635" s="19">
        <v>3.28</v>
      </c>
      <c r="J635" s="20">
        <f t="shared" si="18"/>
        <v>78.72</v>
      </c>
      <c r="K635" s="106"/>
      <c r="L635" s="114"/>
      <c r="M635" s="114">
        <f>tblAquisições[[#This Row],[VALOR UNITARIO COMPRADO]]*tblAquisições[[#This Row],[QUANTIDADE COMPRADA]]</f>
        <v>0</v>
      </c>
      <c r="N635" s="110">
        <f>K635-tblAquisições[[#This Row],[QUANTIDADE PLANEJADA]]</f>
        <v>-24</v>
      </c>
      <c r="O635" s="106" t="str">
        <f t="shared" si="19"/>
        <v>Faltando Comprar</v>
      </c>
    </row>
    <row r="636" spans="1:15" ht="47.25">
      <c r="A636" s="16" t="s">
        <v>17</v>
      </c>
      <c r="B636" s="16" t="s">
        <v>28</v>
      </c>
      <c r="C636" s="17" t="s">
        <v>19</v>
      </c>
      <c r="D636" s="18" t="s">
        <v>394</v>
      </c>
      <c r="E636" s="18">
        <v>3</v>
      </c>
      <c r="F636" s="18" t="s">
        <v>58</v>
      </c>
      <c r="G636" s="18" t="s">
        <v>22</v>
      </c>
      <c r="H636" s="18" t="s">
        <v>65</v>
      </c>
      <c r="I636" s="19">
        <v>60.26</v>
      </c>
      <c r="J636" s="20">
        <f t="shared" si="18"/>
        <v>180.78</v>
      </c>
      <c r="K636" s="106"/>
      <c r="L636" s="114"/>
      <c r="M636" s="114">
        <f>tblAquisições[[#This Row],[VALOR UNITARIO COMPRADO]]*tblAquisições[[#This Row],[QUANTIDADE COMPRADA]]</f>
        <v>0</v>
      </c>
      <c r="N636" s="110">
        <f>K636-tblAquisições[[#This Row],[QUANTIDADE PLANEJADA]]</f>
        <v>-3</v>
      </c>
      <c r="O636" s="106" t="str">
        <f t="shared" si="19"/>
        <v>Faltando Comprar</v>
      </c>
    </row>
    <row r="637" spans="1:15" ht="47.25">
      <c r="A637" s="16" t="s">
        <v>17</v>
      </c>
      <c r="B637" s="16" t="s">
        <v>80</v>
      </c>
      <c r="C637" s="17" t="s">
        <v>19</v>
      </c>
      <c r="D637" s="18" t="s">
        <v>395</v>
      </c>
      <c r="E637" s="18">
        <v>3</v>
      </c>
      <c r="F637" s="18" t="s">
        <v>96</v>
      </c>
      <c r="G637" s="18" t="s">
        <v>39</v>
      </c>
      <c r="H637" s="18" t="s">
        <v>23</v>
      </c>
      <c r="I637" s="19">
        <v>10.26</v>
      </c>
      <c r="J637" s="20">
        <f t="shared" si="18"/>
        <v>30.78</v>
      </c>
      <c r="K637" s="106"/>
      <c r="L637" s="114"/>
      <c r="M637" s="114">
        <f>tblAquisições[[#This Row],[VALOR UNITARIO COMPRADO]]*tblAquisições[[#This Row],[QUANTIDADE COMPRADA]]</f>
        <v>0</v>
      </c>
      <c r="N637" s="110">
        <f>K637-tblAquisições[[#This Row],[QUANTIDADE PLANEJADA]]</f>
        <v>-3</v>
      </c>
      <c r="O637" s="106" t="str">
        <f t="shared" si="19"/>
        <v>Faltando Comprar</v>
      </c>
    </row>
    <row r="638" spans="1:15" ht="47.25">
      <c r="A638" s="16" t="s">
        <v>17</v>
      </c>
      <c r="B638" s="16" t="s">
        <v>26</v>
      </c>
      <c r="C638" s="17" t="s">
        <v>19</v>
      </c>
      <c r="D638" s="18" t="s">
        <v>396</v>
      </c>
      <c r="E638" s="18">
        <v>20</v>
      </c>
      <c r="F638" s="18" t="s">
        <v>239</v>
      </c>
      <c r="G638" s="18" t="s">
        <v>22</v>
      </c>
      <c r="H638" s="18" t="s">
        <v>23</v>
      </c>
      <c r="I638" s="19">
        <v>6.1</v>
      </c>
      <c r="J638" s="20">
        <f t="shared" si="18"/>
        <v>122</v>
      </c>
      <c r="K638" s="106"/>
      <c r="L638" s="114"/>
      <c r="M638" s="114">
        <f>tblAquisições[[#This Row],[VALOR UNITARIO COMPRADO]]*tblAquisições[[#This Row],[QUANTIDADE COMPRADA]]</f>
        <v>0</v>
      </c>
      <c r="N638" s="110">
        <f>K638-tblAquisições[[#This Row],[QUANTIDADE PLANEJADA]]</f>
        <v>-20</v>
      </c>
      <c r="O638" s="106" t="str">
        <f t="shared" si="19"/>
        <v>Faltando Comprar</v>
      </c>
    </row>
    <row r="639" spans="1:15" ht="31.5">
      <c r="A639" s="16" t="s">
        <v>17</v>
      </c>
      <c r="B639" s="16" t="s">
        <v>80</v>
      </c>
      <c r="C639" s="17" t="s">
        <v>19</v>
      </c>
      <c r="D639" s="18" t="s">
        <v>397</v>
      </c>
      <c r="E639" s="18">
        <v>10</v>
      </c>
      <c r="F639" s="18" t="s">
        <v>38</v>
      </c>
      <c r="G639" s="18" t="s">
        <v>39</v>
      </c>
      <c r="H639" s="18" t="s">
        <v>23</v>
      </c>
      <c r="I639" s="19">
        <v>8.85</v>
      </c>
      <c r="J639" s="20">
        <f t="shared" si="18"/>
        <v>88.5</v>
      </c>
      <c r="K639" s="106"/>
      <c r="L639" s="114"/>
      <c r="M639" s="114">
        <f>tblAquisições[[#This Row],[VALOR UNITARIO COMPRADO]]*tblAquisições[[#This Row],[QUANTIDADE COMPRADA]]</f>
        <v>0</v>
      </c>
      <c r="N639" s="110">
        <f>K639-tblAquisições[[#This Row],[QUANTIDADE PLANEJADA]]</f>
        <v>-10</v>
      </c>
      <c r="O639" s="106" t="str">
        <f t="shared" si="19"/>
        <v>Faltando Comprar</v>
      </c>
    </row>
    <row r="640" spans="1:15" ht="47.25">
      <c r="A640" s="16" t="s">
        <v>17</v>
      </c>
      <c r="B640" s="16" t="s">
        <v>80</v>
      </c>
      <c r="C640" s="17" t="s">
        <v>19</v>
      </c>
      <c r="D640" s="18" t="s">
        <v>398</v>
      </c>
      <c r="E640" s="18">
        <v>6</v>
      </c>
      <c r="F640" s="18" t="s">
        <v>96</v>
      </c>
      <c r="G640" s="18" t="s">
        <v>39</v>
      </c>
      <c r="H640" s="18" t="s">
        <v>23</v>
      </c>
      <c r="I640" s="19">
        <v>185.68</v>
      </c>
      <c r="J640" s="20">
        <f t="shared" si="18"/>
        <v>1114.08</v>
      </c>
      <c r="K640" s="106"/>
      <c r="L640" s="114"/>
      <c r="M640" s="114">
        <f>tblAquisições[[#This Row],[VALOR UNITARIO COMPRADO]]*tblAquisições[[#This Row],[QUANTIDADE COMPRADA]]</f>
        <v>0</v>
      </c>
      <c r="N640" s="110">
        <f>K640-tblAquisições[[#This Row],[QUANTIDADE PLANEJADA]]</f>
        <v>-6</v>
      </c>
      <c r="O640" s="106" t="str">
        <f t="shared" si="19"/>
        <v>Faltando Comprar</v>
      </c>
    </row>
    <row r="641" spans="1:15" ht="47.25">
      <c r="A641" s="16" t="s">
        <v>17</v>
      </c>
      <c r="B641" s="16" t="s">
        <v>34</v>
      </c>
      <c r="C641" s="17" t="s">
        <v>19</v>
      </c>
      <c r="D641" s="18" t="s">
        <v>399</v>
      </c>
      <c r="E641" s="18">
        <v>12</v>
      </c>
      <c r="F641" s="18" t="s">
        <v>58</v>
      </c>
      <c r="G641" s="18" t="s">
        <v>22</v>
      </c>
      <c r="H641" s="18" t="s">
        <v>23</v>
      </c>
      <c r="I641" s="19">
        <v>185.68</v>
      </c>
      <c r="J641" s="20">
        <f t="shared" si="18"/>
        <v>2228.16</v>
      </c>
      <c r="K641" s="106"/>
      <c r="L641" s="114"/>
      <c r="M641" s="114">
        <f>tblAquisições[[#This Row],[VALOR UNITARIO COMPRADO]]*tblAquisições[[#This Row],[QUANTIDADE COMPRADA]]</f>
        <v>0</v>
      </c>
      <c r="N641" s="110">
        <f>K641-tblAquisições[[#This Row],[QUANTIDADE PLANEJADA]]</f>
        <v>-12</v>
      </c>
      <c r="O641" s="106" t="str">
        <f t="shared" si="19"/>
        <v>Faltando Comprar</v>
      </c>
    </row>
    <row r="642" spans="1:15" ht="47.25">
      <c r="A642" s="16" t="s">
        <v>17</v>
      </c>
      <c r="B642" s="16" t="s">
        <v>28</v>
      </c>
      <c r="C642" s="17" t="s">
        <v>19</v>
      </c>
      <c r="D642" s="18" t="s">
        <v>399</v>
      </c>
      <c r="E642" s="18">
        <v>25</v>
      </c>
      <c r="F642" s="18" t="s">
        <v>58</v>
      </c>
      <c r="G642" s="18" t="s">
        <v>22</v>
      </c>
      <c r="H642" s="18" t="s">
        <v>65</v>
      </c>
      <c r="I642" s="19">
        <v>185.68</v>
      </c>
      <c r="J642" s="20">
        <f t="shared" ref="J642:J705" si="20">E642*I642</f>
        <v>4642</v>
      </c>
      <c r="K642" s="106"/>
      <c r="L642" s="114"/>
      <c r="M642" s="114">
        <f>tblAquisições[[#This Row],[VALOR UNITARIO COMPRADO]]*tblAquisições[[#This Row],[QUANTIDADE COMPRADA]]</f>
        <v>0</v>
      </c>
      <c r="N642" s="110">
        <f>K642-tblAquisições[[#This Row],[QUANTIDADE PLANEJADA]]</f>
        <v>-25</v>
      </c>
      <c r="O642" s="106" t="str">
        <f t="shared" ref="O642:O705" si="21">IF(K642=E642,"OK",IF(K642&lt;E642,"Faltando Comprar","Excedente"))</f>
        <v>Faltando Comprar</v>
      </c>
    </row>
    <row r="643" spans="1:15" ht="31.5">
      <c r="A643" s="16" t="s">
        <v>17</v>
      </c>
      <c r="B643" s="16" t="s">
        <v>18</v>
      </c>
      <c r="C643" s="17" t="s">
        <v>19</v>
      </c>
      <c r="D643" s="18" t="s">
        <v>400</v>
      </c>
      <c r="E643" s="18">
        <v>1200</v>
      </c>
      <c r="F643" s="18" t="s">
        <v>21</v>
      </c>
      <c r="G643" s="18" t="s">
        <v>22</v>
      </c>
      <c r="H643" s="18" t="s">
        <v>23</v>
      </c>
      <c r="I643" s="19">
        <v>0.71</v>
      </c>
      <c r="J643" s="20">
        <f t="shared" si="20"/>
        <v>852</v>
      </c>
      <c r="K643" s="106"/>
      <c r="L643" s="114"/>
      <c r="M643" s="114">
        <f>tblAquisições[[#This Row],[VALOR UNITARIO COMPRADO]]*tblAquisições[[#This Row],[QUANTIDADE COMPRADA]]</f>
        <v>0</v>
      </c>
      <c r="N643" s="110">
        <f>K643-tblAquisições[[#This Row],[QUANTIDADE PLANEJADA]]</f>
        <v>-1200</v>
      </c>
      <c r="O643" s="106" t="str">
        <f t="shared" si="21"/>
        <v>Faltando Comprar</v>
      </c>
    </row>
    <row r="644" spans="1:15" ht="31.5">
      <c r="A644" s="16" t="s">
        <v>17</v>
      </c>
      <c r="B644" s="16" t="s">
        <v>24</v>
      </c>
      <c r="C644" s="17" t="s">
        <v>19</v>
      </c>
      <c r="D644" s="18" t="s">
        <v>400</v>
      </c>
      <c r="E644" s="18">
        <v>1200</v>
      </c>
      <c r="F644" s="18" t="s">
        <v>21</v>
      </c>
      <c r="G644" s="18" t="s">
        <v>22</v>
      </c>
      <c r="H644" s="18" t="s">
        <v>23</v>
      </c>
      <c r="I644" s="19">
        <v>0.71</v>
      </c>
      <c r="J644" s="20">
        <f t="shared" si="20"/>
        <v>852</v>
      </c>
      <c r="K644" s="106"/>
      <c r="L644" s="114"/>
      <c r="M644" s="114">
        <f>tblAquisições[[#This Row],[VALOR UNITARIO COMPRADO]]*tblAquisições[[#This Row],[QUANTIDADE COMPRADA]]</f>
        <v>0</v>
      </c>
      <c r="N644" s="110">
        <f>K644-tblAquisições[[#This Row],[QUANTIDADE PLANEJADA]]</f>
        <v>-1200</v>
      </c>
      <c r="O644" s="106" t="str">
        <f t="shared" si="21"/>
        <v>Faltando Comprar</v>
      </c>
    </row>
    <row r="645" spans="1:15" ht="31.5">
      <c r="A645" s="16" t="s">
        <v>17</v>
      </c>
      <c r="B645" s="16" t="s">
        <v>25</v>
      </c>
      <c r="C645" s="17" t="s">
        <v>19</v>
      </c>
      <c r="D645" s="18" t="s">
        <v>400</v>
      </c>
      <c r="E645" s="18">
        <v>1200</v>
      </c>
      <c r="F645" s="18" t="s">
        <v>21</v>
      </c>
      <c r="G645" s="18" t="s">
        <v>22</v>
      </c>
      <c r="H645" s="18" t="s">
        <v>23</v>
      </c>
      <c r="I645" s="19">
        <v>0.71</v>
      </c>
      <c r="J645" s="20">
        <f t="shared" si="20"/>
        <v>852</v>
      </c>
      <c r="K645" s="106"/>
      <c r="L645" s="114"/>
      <c r="M645" s="114">
        <f>tblAquisições[[#This Row],[VALOR UNITARIO COMPRADO]]*tblAquisições[[#This Row],[QUANTIDADE COMPRADA]]</f>
        <v>0</v>
      </c>
      <c r="N645" s="110">
        <f>K645-tblAquisições[[#This Row],[QUANTIDADE PLANEJADA]]</f>
        <v>-1200</v>
      </c>
      <c r="O645" s="106" t="str">
        <f t="shared" si="21"/>
        <v>Faltando Comprar</v>
      </c>
    </row>
    <row r="646" spans="1:15" ht="31.5">
      <c r="A646" s="16" t="s">
        <v>17</v>
      </c>
      <c r="B646" s="16" t="s">
        <v>27</v>
      </c>
      <c r="C646" s="17" t="s">
        <v>19</v>
      </c>
      <c r="D646" s="18" t="s">
        <v>400</v>
      </c>
      <c r="E646" s="18">
        <v>500</v>
      </c>
      <c r="F646" s="18" t="s">
        <v>21</v>
      </c>
      <c r="G646" s="18" t="s">
        <v>22</v>
      </c>
      <c r="H646" s="18" t="s">
        <v>23</v>
      </c>
      <c r="I646" s="19">
        <v>0.71</v>
      </c>
      <c r="J646" s="20">
        <f t="shared" si="20"/>
        <v>355</v>
      </c>
      <c r="K646" s="106"/>
      <c r="L646" s="114"/>
      <c r="M646" s="114">
        <f>tblAquisições[[#This Row],[VALOR UNITARIO COMPRADO]]*tblAquisições[[#This Row],[QUANTIDADE COMPRADA]]</f>
        <v>0</v>
      </c>
      <c r="N646" s="110">
        <f>K646-tblAquisições[[#This Row],[QUANTIDADE PLANEJADA]]</f>
        <v>-500</v>
      </c>
      <c r="O646" s="106" t="str">
        <f t="shared" si="21"/>
        <v>Faltando Comprar</v>
      </c>
    </row>
    <row r="647" spans="1:15" ht="31.5">
      <c r="A647" s="16" t="s">
        <v>17</v>
      </c>
      <c r="B647" s="16" t="s">
        <v>26</v>
      </c>
      <c r="C647" s="17" t="s">
        <v>19</v>
      </c>
      <c r="D647" s="18" t="s">
        <v>401</v>
      </c>
      <c r="E647" s="18">
        <v>5</v>
      </c>
      <c r="F647" s="18" t="s">
        <v>21</v>
      </c>
      <c r="G647" s="18" t="s">
        <v>22</v>
      </c>
      <c r="H647" s="18" t="s">
        <v>23</v>
      </c>
      <c r="I647" s="19">
        <v>327.3</v>
      </c>
      <c r="J647" s="20">
        <f t="shared" si="20"/>
        <v>1636.5</v>
      </c>
      <c r="K647" s="106"/>
      <c r="L647" s="114"/>
      <c r="M647" s="114">
        <f>tblAquisições[[#This Row],[VALOR UNITARIO COMPRADO]]*tblAquisições[[#This Row],[QUANTIDADE COMPRADA]]</f>
        <v>0</v>
      </c>
      <c r="N647" s="110">
        <f>K647-tblAquisições[[#This Row],[QUANTIDADE PLANEJADA]]</f>
        <v>-5</v>
      </c>
      <c r="O647" s="106" t="str">
        <f t="shared" si="21"/>
        <v>Faltando Comprar</v>
      </c>
    </row>
    <row r="648" spans="1:15" ht="31.5">
      <c r="A648" s="16" t="s">
        <v>17</v>
      </c>
      <c r="B648" s="16" t="s">
        <v>31</v>
      </c>
      <c r="C648" s="17" t="s">
        <v>19</v>
      </c>
      <c r="D648" s="18" t="s">
        <v>402</v>
      </c>
      <c r="E648" s="18">
        <v>50</v>
      </c>
      <c r="F648" s="18" t="s">
        <v>21</v>
      </c>
      <c r="G648" s="18" t="s">
        <v>22</v>
      </c>
      <c r="H648" s="18" t="s">
        <v>23</v>
      </c>
      <c r="I648" s="19">
        <v>11.22</v>
      </c>
      <c r="J648" s="20">
        <f t="shared" si="20"/>
        <v>561</v>
      </c>
      <c r="K648" s="106"/>
      <c r="L648" s="114"/>
      <c r="M648" s="114">
        <f>tblAquisições[[#This Row],[VALOR UNITARIO COMPRADO]]*tblAquisições[[#This Row],[QUANTIDADE COMPRADA]]</f>
        <v>0</v>
      </c>
      <c r="N648" s="110">
        <f>K648-tblAquisições[[#This Row],[QUANTIDADE PLANEJADA]]</f>
        <v>-50</v>
      </c>
      <c r="O648" s="106" t="str">
        <f t="shared" si="21"/>
        <v>Faltando Comprar</v>
      </c>
    </row>
    <row r="649" spans="1:15" ht="31.5">
      <c r="A649" s="16" t="s">
        <v>17</v>
      </c>
      <c r="B649" s="16" t="s">
        <v>31</v>
      </c>
      <c r="C649" s="17" t="s">
        <v>19</v>
      </c>
      <c r="D649" s="18" t="s">
        <v>403</v>
      </c>
      <c r="E649" s="18">
        <v>60</v>
      </c>
      <c r="F649" s="18" t="s">
        <v>21</v>
      </c>
      <c r="G649" s="18" t="s">
        <v>22</v>
      </c>
      <c r="H649" s="18" t="s">
        <v>23</v>
      </c>
      <c r="I649" s="19">
        <v>45.87</v>
      </c>
      <c r="J649" s="20">
        <f t="shared" si="20"/>
        <v>2752.2</v>
      </c>
      <c r="K649" s="106"/>
      <c r="L649" s="114"/>
      <c r="M649" s="114">
        <f>tblAquisições[[#This Row],[VALOR UNITARIO COMPRADO]]*tblAquisições[[#This Row],[QUANTIDADE COMPRADA]]</f>
        <v>0</v>
      </c>
      <c r="N649" s="110">
        <f>K649-tblAquisições[[#This Row],[QUANTIDADE PLANEJADA]]</f>
        <v>-60</v>
      </c>
      <c r="O649" s="106" t="str">
        <f t="shared" si="21"/>
        <v>Faltando Comprar</v>
      </c>
    </row>
    <row r="650" spans="1:15" ht="31.5">
      <c r="A650" s="16" t="s">
        <v>17</v>
      </c>
      <c r="B650" s="16" t="s">
        <v>26</v>
      </c>
      <c r="C650" s="17" t="s">
        <v>19</v>
      </c>
      <c r="D650" s="18" t="s">
        <v>403</v>
      </c>
      <c r="E650" s="18">
        <v>6</v>
      </c>
      <c r="F650" s="18" t="s">
        <v>21</v>
      </c>
      <c r="G650" s="18" t="s">
        <v>22</v>
      </c>
      <c r="H650" s="18" t="s">
        <v>23</v>
      </c>
      <c r="I650" s="19">
        <v>45.87</v>
      </c>
      <c r="J650" s="20">
        <f t="shared" si="20"/>
        <v>275.21999999999997</v>
      </c>
      <c r="K650" s="106"/>
      <c r="L650" s="114"/>
      <c r="M650" s="114">
        <f>tblAquisições[[#This Row],[VALOR UNITARIO COMPRADO]]*tblAquisições[[#This Row],[QUANTIDADE COMPRADA]]</f>
        <v>0</v>
      </c>
      <c r="N650" s="110">
        <f>K650-tblAquisições[[#This Row],[QUANTIDADE PLANEJADA]]</f>
        <v>-6</v>
      </c>
      <c r="O650" s="106" t="str">
        <f t="shared" si="21"/>
        <v>Faltando Comprar</v>
      </c>
    </row>
    <row r="651" spans="1:15" ht="31.5">
      <c r="A651" s="16" t="s">
        <v>17</v>
      </c>
      <c r="B651" s="16" t="s">
        <v>28</v>
      </c>
      <c r="C651" s="17" t="s">
        <v>19</v>
      </c>
      <c r="D651" s="18" t="s">
        <v>403</v>
      </c>
      <c r="E651" s="18">
        <v>120</v>
      </c>
      <c r="F651" s="18" t="s">
        <v>21</v>
      </c>
      <c r="G651" s="18" t="s">
        <v>22</v>
      </c>
      <c r="H651" s="18" t="s">
        <v>23</v>
      </c>
      <c r="I651" s="19">
        <v>45.87</v>
      </c>
      <c r="J651" s="20">
        <f t="shared" si="20"/>
        <v>5504.4</v>
      </c>
      <c r="K651" s="106"/>
      <c r="L651" s="114"/>
      <c r="M651" s="114">
        <f>tblAquisições[[#This Row],[VALOR UNITARIO COMPRADO]]*tblAquisições[[#This Row],[QUANTIDADE COMPRADA]]</f>
        <v>0</v>
      </c>
      <c r="N651" s="110">
        <f>K651-tblAquisições[[#This Row],[QUANTIDADE PLANEJADA]]</f>
        <v>-120</v>
      </c>
      <c r="O651" s="106" t="str">
        <f t="shared" si="21"/>
        <v>Faltando Comprar</v>
      </c>
    </row>
    <row r="652" spans="1:15" ht="31.5">
      <c r="A652" s="16" t="s">
        <v>17</v>
      </c>
      <c r="B652" s="16" t="s">
        <v>31</v>
      </c>
      <c r="C652" s="17" t="s">
        <v>19</v>
      </c>
      <c r="D652" s="18" t="s">
        <v>404</v>
      </c>
      <c r="E652" s="18">
        <v>50</v>
      </c>
      <c r="F652" s="18" t="s">
        <v>21</v>
      </c>
      <c r="G652" s="18" t="s">
        <v>22</v>
      </c>
      <c r="H652" s="18" t="s">
        <v>23</v>
      </c>
      <c r="I652" s="19">
        <v>63.8</v>
      </c>
      <c r="J652" s="20">
        <f t="shared" si="20"/>
        <v>3190</v>
      </c>
      <c r="K652" s="106"/>
      <c r="L652" s="114"/>
      <c r="M652" s="114">
        <f>tblAquisições[[#This Row],[VALOR UNITARIO COMPRADO]]*tblAquisições[[#This Row],[QUANTIDADE COMPRADA]]</f>
        <v>0</v>
      </c>
      <c r="N652" s="110">
        <f>K652-tblAquisições[[#This Row],[QUANTIDADE PLANEJADA]]</f>
        <v>-50</v>
      </c>
      <c r="O652" s="106" t="str">
        <f t="shared" si="21"/>
        <v>Faltando Comprar</v>
      </c>
    </row>
    <row r="653" spans="1:15" ht="31.5">
      <c r="A653" s="16" t="s">
        <v>17</v>
      </c>
      <c r="B653" s="16" t="s">
        <v>28</v>
      </c>
      <c r="C653" s="17" t="s">
        <v>19</v>
      </c>
      <c r="D653" s="18" t="s">
        <v>405</v>
      </c>
      <c r="E653" s="18">
        <v>200</v>
      </c>
      <c r="F653" s="18" t="s">
        <v>21</v>
      </c>
      <c r="G653" s="18" t="s">
        <v>22</v>
      </c>
      <c r="H653" s="18" t="s">
        <v>23</v>
      </c>
      <c r="I653" s="19">
        <v>118.6</v>
      </c>
      <c r="J653" s="20">
        <f t="shared" si="20"/>
        <v>23720</v>
      </c>
      <c r="K653" s="106"/>
      <c r="L653" s="114"/>
      <c r="M653" s="114">
        <f>tblAquisições[[#This Row],[VALOR UNITARIO COMPRADO]]*tblAquisições[[#This Row],[QUANTIDADE COMPRADA]]</f>
        <v>0</v>
      </c>
      <c r="N653" s="110">
        <f>K653-tblAquisições[[#This Row],[QUANTIDADE PLANEJADA]]</f>
        <v>-200</v>
      </c>
      <c r="O653" s="106" t="str">
        <f t="shared" si="21"/>
        <v>Faltando Comprar</v>
      </c>
    </row>
    <row r="654" spans="1:15" ht="31.5">
      <c r="A654" s="16" t="s">
        <v>17</v>
      </c>
      <c r="B654" s="16" t="s">
        <v>80</v>
      </c>
      <c r="C654" s="17" t="s">
        <v>19</v>
      </c>
      <c r="D654" s="18" t="s">
        <v>406</v>
      </c>
      <c r="E654" s="18">
        <v>150</v>
      </c>
      <c r="F654" s="18" t="s">
        <v>38</v>
      </c>
      <c r="G654" s="18" t="s">
        <v>39</v>
      </c>
      <c r="H654" s="21"/>
      <c r="I654" s="19">
        <v>13.02</v>
      </c>
      <c r="J654" s="20">
        <f t="shared" si="20"/>
        <v>1953</v>
      </c>
      <c r="K654" s="106"/>
      <c r="L654" s="114"/>
      <c r="M654" s="114">
        <f>tblAquisições[[#This Row],[VALOR UNITARIO COMPRADO]]*tblAquisições[[#This Row],[QUANTIDADE COMPRADA]]</f>
        <v>0</v>
      </c>
      <c r="N654" s="110">
        <f>K654-tblAquisições[[#This Row],[QUANTIDADE PLANEJADA]]</f>
        <v>-150</v>
      </c>
      <c r="O654" s="106" t="str">
        <f t="shared" si="21"/>
        <v>Faltando Comprar</v>
      </c>
    </row>
    <row r="655" spans="1:15" ht="31.5">
      <c r="A655" s="16" t="s">
        <v>17</v>
      </c>
      <c r="B655" s="16" t="s">
        <v>80</v>
      </c>
      <c r="C655" s="17" t="s">
        <v>19</v>
      </c>
      <c r="D655" s="18" t="s">
        <v>407</v>
      </c>
      <c r="E655" s="18">
        <v>6</v>
      </c>
      <c r="F655" s="18" t="s">
        <v>38</v>
      </c>
      <c r="G655" s="18" t="s">
        <v>39</v>
      </c>
      <c r="H655" s="21"/>
      <c r="I655" s="19">
        <v>7.76</v>
      </c>
      <c r="J655" s="20">
        <f t="shared" si="20"/>
        <v>46.56</v>
      </c>
      <c r="K655" s="106"/>
      <c r="L655" s="114"/>
      <c r="M655" s="114">
        <f>tblAquisições[[#This Row],[VALOR UNITARIO COMPRADO]]*tblAquisições[[#This Row],[QUANTIDADE COMPRADA]]</f>
        <v>0</v>
      </c>
      <c r="N655" s="110">
        <f>K655-tblAquisições[[#This Row],[QUANTIDADE PLANEJADA]]</f>
        <v>-6</v>
      </c>
      <c r="O655" s="106" t="str">
        <f t="shared" si="21"/>
        <v>Faltando Comprar</v>
      </c>
    </row>
    <row r="656" spans="1:15" ht="31.5">
      <c r="A656" s="16" t="s">
        <v>17</v>
      </c>
      <c r="B656" s="16" t="s">
        <v>28</v>
      </c>
      <c r="C656" s="17" t="s">
        <v>19</v>
      </c>
      <c r="D656" s="18" t="s">
        <v>408</v>
      </c>
      <c r="E656" s="18">
        <v>2</v>
      </c>
      <c r="F656" s="18" t="s">
        <v>21</v>
      </c>
      <c r="G656" s="18" t="s">
        <v>22</v>
      </c>
      <c r="H656" s="18" t="s">
        <v>23</v>
      </c>
      <c r="I656" s="19">
        <v>7.76</v>
      </c>
      <c r="J656" s="20">
        <f t="shared" si="20"/>
        <v>15.52</v>
      </c>
      <c r="K656" s="106"/>
      <c r="L656" s="114"/>
      <c r="M656" s="114">
        <f>tblAquisições[[#This Row],[VALOR UNITARIO COMPRADO]]*tblAquisições[[#This Row],[QUANTIDADE COMPRADA]]</f>
        <v>0</v>
      </c>
      <c r="N656" s="110">
        <f>K656-tblAquisições[[#This Row],[QUANTIDADE PLANEJADA]]</f>
        <v>-2</v>
      </c>
      <c r="O656" s="106" t="str">
        <f t="shared" si="21"/>
        <v>Faltando Comprar</v>
      </c>
    </row>
    <row r="657" spans="1:15" ht="31.5">
      <c r="A657" s="16" t="s">
        <v>17</v>
      </c>
      <c r="B657" s="16" t="s">
        <v>34</v>
      </c>
      <c r="C657" s="17" t="s">
        <v>19</v>
      </c>
      <c r="D657" s="18" t="s">
        <v>409</v>
      </c>
      <c r="E657" s="18">
        <v>2</v>
      </c>
      <c r="F657" s="18" t="s">
        <v>21</v>
      </c>
      <c r="G657" s="18" t="s">
        <v>22</v>
      </c>
      <c r="H657" s="18" t="s">
        <v>23</v>
      </c>
      <c r="I657" s="19">
        <v>34</v>
      </c>
      <c r="J657" s="20">
        <f t="shared" si="20"/>
        <v>68</v>
      </c>
      <c r="K657" s="106"/>
      <c r="L657" s="114"/>
      <c r="M657" s="114">
        <f>tblAquisições[[#This Row],[VALOR UNITARIO COMPRADO]]*tblAquisições[[#This Row],[QUANTIDADE COMPRADA]]</f>
        <v>0</v>
      </c>
      <c r="N657" s="110">
        <f>K657-tblAquisições[[#This Row],[QUANTIDADE PLANEJADA]]</f>
        <v>-2</v>
      </c>
      <c r="O657" s="106" t="str">
        <f t="shared" si="21"/>
        <v>Faltando Comprar</v>
      </c>
    </row>
    <row r="658" spans="1:15" ht="31.5">
      <c r="A658" s="16" t="s">
        <v>17</v>
      </c>
      <c r="B658" s="16" t="s">
        <v>41</v>
      </c>
      <c r="C658" s="17" t="s">
        <v>19</v>
      </c>
      <c r="D658" s="18" t="s">
        <v>409</v>
      </c>
      <c r="E658" s="18">
        <v>10</v>
      </c>
      <c r="F658" s="18" t="s">
        <v>21</v>
      </c>
      <c r="G658" s="18" t="s">
        <v>22</v>
      </c>
      <c r="H658" s="18" t="s">
        <v>23</v>
      </c>
      <c r="I658" s="19">
        <v>34</v>
      </c>
      <c r="J658" s="20">
        <f t="shared" si="20"/>
        <v>340</v>
      </c>
      <c r="K658" s="106"/>
      <c r="L658" s="114"/>
      <c r="M658" s="114">
        <f>tblAquisições[[#This Row],[VALOR UNITARIO COMPRADO]]*tblAquisições[[#This Row],[QUANTIDADE COMPRADA]]</f>
        <v>0</v>
      </c>
      <c r="N658" s="110">
        <f>K658-tblAquisições[[#This Row],[QUANTIDADE PLANEJADA]]</f>
        <v>-10</v>
      </c>
      <c r="O658" s="106" t="str">
        <f t="shared" si="21"/>
        <v>Faltando Comprar</v>
      </c>
    </row>
    <row r="659" spans="1:15" ht="31.5">
      <c r="A659" s="16" t="s">
        <v>17</v>
      </c>
      <c r="B659" s="16" t="s">
        <v>28</v>
      </c>
      <c r="C659" s="17" t="s">
        <v>19</v>
      </c>
      <c r="D659" s="18" t="s">
        <v>409</v>
      </c>
      <c r="E659" s="18">
        <v>6</v>
      </c>
      <c r="F659" s="18" t="s">
        <v>21</v>
      </c>
      <c r="G659" s="18" t="s">
        <v>22</v>
      </c>
      <c r="H659" s="18" t="s">
        <v>23</v>
      </c>
      <c r="I659" s="19">
        <v>34</v>
      </c>
      <c r="J659" s="20">
        <f t="shared" si="20"/>
        <v>204</v>
      </c>
      <c r="K659" s="106"/>
      <c r="L659" s="114"/>
      <c r="M659" s="114">
        <f>tblAquisições[[#This Row],[VALOR UNITARIO COMPRADO]]*tblAquisições[[#This Row],[QUANTIDADE COMPRADA]]</f>
        <v>0</v>
      </c>
      <c r="N659" s="110">
        <f>K659-tblAquisições[[#This Row],[QUANTIDADE PLANEJADA]]</f>
        <v>-6</v>
      </c>
      <c r="O659" s="106" t="str">
        <f t="shared" si="21"/>
        <v>Faltando Comprar</v>
      </c>
    </row>
    <row r="660" spans="1:15" ht="47.25">
      <c r="A660" s="16" t="s">
        <v>17</v>
      </c>
      <c r="B660" s="16" t="s">
        <v>80</v>
      </c>
      <c r="C660" s="17" t="s">
        <v>19</v>
      </c>
      <c r="D660" s="18" t="s">
        <v>410</v>
      </c>
      <c r="E660" s="18">
        <v>6</v>
      </c>
      <c r="F660" s="18" t="s">
        <v>147</v>
      </c>
      <c r="G660" s="18" t="s">
        <v>39</v>
      </c>
      <c r="H660" s="21"/>
      <c r="I660" s="19">
        <v>10.01</v>
      </c>
      <c r="J660" s="20">
        <f t="shared" si="20"/>
        <v>60.06</v>
      </c>
      <c r="K660" s="106"/>
      <c r="L660" s="114"/>
      <c r="M660" s="114">
        <f>tblAquisições[[#This Row],[VALOR UNITARIO COMPRADO]]*tblAquisições[[#This Row],[QUANTIDADE COMPRADA]]</f>
        <v>0</v>
      </c>
      <c r="N660" s="110">
        <f>K660-tblAquisições[[#This Row],[QUANTIDADE PLANEJADA]]</f>
        <v>-6</v>
      </c>
      <c r="O660" s="106" t="str">
        <f t="shared" si="21"/>
        <v>Faltando Comprar</v>
      </c>
    </row>
    <row r="661" spans="1:15" ht="47.25">
      <c r="A661" s="16" t="s">
        <v>17</v>
      </c>
      <c r="B661" s="16" t="s">
        <v>80</v>
      </c>
      <c r="C661" s="17" t="s">
        <v>19</v>
      </c>
      <c r="D661" s="18" t="s">
        <v>411</v>
      </c>
      <c r="E661" s="18">
        <v>6</v>
      </c>
      <c r="F661" s="18" t="s">
        <v>147</v>
      </c>
      <c r="G661" s="18" t="s">
        <v>39</v>
      </c>
      <c r="H661" s="21"/>
      <c r="I661" s="19">
        <v>14.77</v>
      </c>
      <c r="J661" s="20">
        <f t="shared" si="20"/>
        <v>88.62</v>
      </c>
      <c r="K661" s="106"/>
      <c r="L661" s="114"/>
      <c r="M661" s="114">
        <f>tblAquisições[[#This Row],[VALOR UNITARIO COMPRADO]]*tblAquisições[[#This Row],[QUANTIDADE COMPRADA]]</f>
        <v>0</v>
      </c>
      <c r="N661" s="110">
        <f>K661-tblAquisições[[#This Row],[QUANTIDADE PLANEJADA]]</f>
        <v>-6</v>
      </c>
      <c r="O661" s="106" t="str">
        <f t="shared" si="21"/>
        <v>Faltando Comprar</v>
      </c>
    </row>
    <row r="662" spans="1:15" ht="31.5">
      <c r="A662" s="16" t="s">
        <v>17</v>
      </c>
      <c r="B662" s="16" t="s">
        <v>28</v>
      </c>
      <c r="C662" s="17" t="s">
        <v>19</v>
      </c>
      <c r="D662" s="18" t="s">
        <v>412</v>
      </c>
      <c r="E662" s="18">
        <v>2</v>
      </c>
      <c r="F662" s="18" t="s">
        <v>21</v>
      </c>
      <c r="G662" s="18" t="s">
        <v>22</v>
      </c>
      <c r="H662" s="18" t="s">
        <v>65</v>
      </c>
      <c r="I662" s="19">
        <v>33.1</v>
      </c>
      <c r="J662" s="20">
        <f t="shared" si="20"/>
        <v>66.2</v>
      </c>
      <c r="K662" s="106"/>
      <c r="L662" s="114"/>
      <c r="M662" s="114">
        <f>tblAquisições[[#This Row],[VALOR UNITARIO COMPRADO]]*tblAquisições[[#This Row],[QUANTIDADE COMPRADA]]</f>
        <v>0</v>
      </c>
      <c r="N662" s="110">
        <f>K662-tblAquisições[[#This Row],[QUANTIDADE PLANEJADA]]</f>
        <v>-2</v>
      </c>
      <c r="O662" s="106" t="str">
        <f t="shared" si="21"/>
        <v>Faltando Comprar</v>
      </c>
    </row>
    <row r="663" spans="1:15" ht="47.25">
      <c r="A663" s="16" t="s">
        <v>17</v>
      </c>
      <c r="B663" s="16" t="s">
        <v>31</v>
      </c>
      <c r="C663" s="17" t="s">
        <v>19</v>
      </c>
      <c r="D663" s="18" t="s">
        <v>413</v>
      </c>
      <c r="E663" s="18">
        <v>2</v>
      </c>
      <c r="F663" s="18" t="s">
        <v>78</v>
      </c>
      <c r="G663" s="18" t="s">
        <v>22</v>
      </c>
      <c r="H663" s="18" t="s">
        <v>65</v>
      </c>
      <c r="I663" s="19">
        <v>22.05</v>
      </c>
      <c r="J663" s="20">
        <f t="shared" si="20"/>
        <v>44.1</v>
      </c>
      <c r="K663" s="106"/>
      <c r="L663" s="114"/>
      <c r="M663" s="114">
        <f>tblAquisições[[#This Row],[VALOR UNITARIO COMPRADO]]*tblAquisições[[#This Row],[QUANTIDADE COMPRADA]]</f>
        <v>0</v>
      </c>
      <c r="N663" s="110">
        <f>K663-tblAquisições[[#This Row],[QUANTIDADE PLANEJADA]]</f>
        <v>-2</v>
      </c>
      <c r="O663" s="106" t="str">
        <f t="shared" si="21"/>
        <v>Faltando Comprar</v>
      </c>
    </row>
    <row r="664" spans="1:15" ht="47.25">
      <c r="A664" s="16" t="s">
        <v>17</v>
      </c>
      <c r="B664" s="16" t="s">
        <v>80</v>
      </c>
      <c r="C664" s="17" t="s">
        <v>19</v>
      </c>
      <c r="D664" s="18" t="s">
        <v>414</v>
      </c>
      <c r="E664" s="18">
        <v>2</v>
      </c>
      <c r="F664" s="18" t="s">
        <v>147</v>
      </c>
      <c r="G664" s="18" t="s">
        <v>39</v>
      </c>
      <c r="H664" s="21"/>
      <c r="I664" s="19">
        <v>16.940000000000001</v>
      </c>
      <c r="J664" s="20">
        <f t="shared" si="20"/>
        <v>33.880000000000003</v>
      </c>
      <c r="K664" s="106"/>
      <c r="L664" s="114"/>
      <c r="M664" s="114">
        <f>tblAquisições[[#This Row],[VALOR UNITARIO COMPRADO]]*tblAquisições[[#This Row],[QUANTIDADE COMPRADA]]</f>
        <v>0</v>
      </c>
      <c r="N664" s="110">
        <f>K664-tblAquisições[[#This Row],[QUANTIDADE PLANEJADA]]</f>
        <v>-2</v>
      </c>
      <c r="O664" s="106" t="str">
        <f t="shared" si="21"/>
        <v>Faltando Comprar</v>
      </c>
    </row>
    <row r="665" spans="1:15" ht="47.25">
      <c r="A665" s="16" t="s">
        <v>17</v>
      </c>
      <c r="B665" s="16" t="s">
        <v>28</v>
      </c>
      <c r="C665" s="17" t="s">
        <v>19</v>
      </c>
      <c r="D665" s="18" t="s">
        <v>415</v>
      </c>
      <c r="E665" s="18">
        <v>15</v>
      </c>
      <c r="F665" s="18" t="s">
        <v>78</v>
      </c>
      <c r="G665" s="18" t="s">
        <v>22</v>
      </c>
      <c r="H665" s="18" t="s">
        <v>23</v>
      </c>
      <c r="I665" s="19">
        <v>16.940000000000001</v>
      </c>
      <c r="J665" s="20">
        <f t="shared" si="20"/>
        <v>254.10000000000002</v>
      </c>
      <c r="K665" s="106"/>
      <c r="L665" s="114"/>
      <c r="M665" s="114">
        <f>tblAquisições[[#This Row],[VALOR UNITARIO COMPRADO]]*tblAquisições[[#This Row],[QUANTIDADE COMPRADA]]</f>
        <v>0</v>
      </c>
      <c r="N665" s="110">
        <f>K665-tblAquisições[[#This Row],[QUANTIDADE PLANEJADA]]</f>
        <v>-15</v>
      </c>
      <c r="O665" s="106" t="str">
        <f t="shared" si="21"/>
        <v>Faltando Comprar</v>
      </c>
    </row>
    <row r="666" spans="1:15" ht="47.25">
      <c r="A666" s="16" t="s">
        <v>17</v>
      </c>
      <c r="B666" s="16" t="s">
        <v>26</v>
      </c>
      <c r="C666" s="17" t="s">
        <v>19</v>
      </c>
      <c r="D666" s="18" t="s">
        <v>416</v>
      </c>
      <c r="E666" s="18">
        <v>20</v>
      </c>
      <c r="F666" s="18" t="s">
        <v>107</v>
      </c>
      <c r="G666" s="18" t="s">
        <v>22</v>
      </c>
      <c r="H666" s="18" t="s">
        <v>23</v>
      </c>
      <c r="I666" s="19">
        <v>5.56</v>
      </c>
      <c r="J666" s="20">
        <f t="shared" si="20"/>
        <v>111.19999999999999</v>
      </c>
      <c r="K666" s="106"/>
      <c r="L666" s="114"/>
      <c r="M666" s="114">
        <f>tblAquisições[[#This Row],[VALOR UNITARIO COMPRADO]]*tblAquisições[[#This Row],[QUANTIDADE COMPRADA]]</f>
        <v>0</v>
      </c>
      <c r="N666" s="110">
        <f>K666-tblAquisições[[#This Row],[QUANTIDADE PLANEJADA]]</f>
        <v>-20</v>
      </c>
      <c r="O666" s="106" t="str">
        <f t="shared" si="21"/>
        <v>Faltando Comprar</v>
      </c>
    </row>
    <row r="667" spans="1:15" ht="31.5">
      <c r="A667" s="16" t="s">
        <v>17</v>
      </c>
      <c r="B667" s="16" t="s">
        <v>34</v>
      </c>
      <c r="C667" s="17" t="s">
        <v>19</v>
      </c>
      <c r="D667" s="18" t="s">
        <v>417</v>
      </c>
      <c r="E667" s="18">
        <v>20</v>
      </c>
      <c r="F667" s="18" t="s">
        <v>21</v>
      </c>
      <c r="G667" s="18" t="s">
        <v>22</v>
      </c>
      <c r="H667" s="18" t="s">
        <v>23</v>
      </c>
      <c r="I667" s="19">
        <v>0.83</v>
      </c>
      <c r="J667" s="20">
        <f t="shared" si="20"/>
        <v>16.599999999999998</v>
      </c>
      <c r="K667" s="106"/>
      <c r="L667" s="114"/>
      <c r="M667" s="114">
        <f>tblAquisições[[#This Row],[VALOR UNITARIO COMPRADO]]*tblAquisições[[#This Row],[QUANTIDADE COMPRADA]]</f>
        <v>0</v>
      </c>
      <c r="N667" s="110">
        <f>K667-tblAquisições[[#This Row],[QUANTIDADE PLANEJADA]]</f>
        <v>-20</v>
      </c>
      <c r="O667" s="106" t="str">
        <f t="shared" si="21"/>
        <v>Faltando Comprar</v>
      </c>
    </row>
    <row r="668" spans="1:15" ht="31.5">
      <c r="A668" s="16" t="s">
        <v>17</v>
      </c>
      <c r="B668" s="16" t="s">
        <v>18</v>
      </c>
      <c r="C668" s="17" t="s">
        <v>19</v>
      </c>
      <c r="D668" s="18" t="s">
        <v>418</v>
      </c>
      <c r="E668" s="18">
        <v>600</v>
      </c>
      <c r="F668" s="18" t="s">
        <v>21</v>
      </c>
      <c r="G668" s="18" t="s">
        <v>22</v>
      </c>
      <c r="H668" s="18" t="s">
        <v>23</v>
      </c>
      <c r="I668" s="19">
        <v>0.56000000000000005</v>
      </c>
      <c r="J668" s="20">
        <f t="shared" si="20"/>
        <v>336.00000000000006</v>
      </c>
      <c r="K668" s="106"/>
      <c r="L668" s="114"/>
      <c r="M668" s="114">
        <f>tblAquisições[[#This Row],[VALOR UNITARIO COMPRADO]]*tblAquisições[[#This Row],[QUANTIDADE COMPRADA]]</f>
        <v>0</v>
      </c>
      <c r="N668" s="110">
        <f>K668-tblAquisições[[#This Row],[QUANTIDADE PLANEJADA]]</f>
        <v>-600</v>
      </c>
      <c r="O668" s="106" t="str">
        <f t="shared" si="21"/>
        <v>Faltando Comprar</v>
      </c>
    </row>
    <row r="669" spans="1:15" ht="31.5">
      <c r="A669" s="16" t="s">
        <v>17</v>
      </c>
      <c r="B669" s="16" t="s">
        <v>24</v>
      </c>
      <c r="C669" s="17" t="s">
        <v>19</v>
      </c>
      <c r="D669" s="18" t="s">
        <v>418</v>
      </c>
      <c r="E669" s="18">
        <v>600</v>
      </c>
      <c r="F669" s="18" t="s">
        <v>21</v>
      </c>
      <c r="G669" s="18" t="s">
        <v>22</v>
      </c>
      <c r="H669" s="18" t="s">
        <v>23</v>
      </c>
      <c r="I669" s="19">
        <v>0.56000000000000005</v>
      </c>
      <c r="J669" s="20">
        <f t="shared" si="20"/>
        <v>336.00000000000006</v>
      </c>
      <c r="K669" s="106"/>
      <c r="L669" s="114"/>
      <c r="M669" s="114">
        <f>tblAquisições[[#This Row],[VALOR UNITARIO COMPRADO]]*tblAquisições[[#This Row],[QUANTIDADE COMPRADA]]</f>
        <v>0</v>
      </c>
      <c r="N669" s="110">
        <f>K669-tblAquisições[[#This Row],[QUANTIDADE PLANEJADA]]</f>
        <v>-600</v>
      </c>
      <c r="O669" s="106" t="str">
        <f t="shared" si="21"/>
        <v>Faltando Comprar</v>
      </c>
    </row>
    <row r="670" spans="1:15" ht="31.5">
      <c r="A670" s="16" t="s">
        <v>17</v>
      </c>
      <c r="B670" s="16" t="s">
        <v>25</v>
      </c>
      <c r="C670" s="17" t="s">
        <v>19</v>
      </c>
      <c r="D670" s="18" t="s">
        <v>418</v>
      </c>
      <c r="E670" s="18">
        <v>600</v>
      </c>
      <c r="F670" s="18" t="s">
        <v>21</v>
      </c>
      <c r="G670" s="18" t="s">
        <v>22</v>
      </c>
      <c r="H670" s="18" t="s">
        <v>23</v>
      </c>
      <c r="I670" s="19">
        <v>0.56000000000000005</v>
      </c>
      <c r="J670" s="20">
        <f t="shared" si="20"/>
        <v>336.00000000000006</v>
      </c>
      <c r="K670" s="106"/>
      <c r="L670" s="114"/>
      <c r="M670" s="114">
        <f>tblAquisições[[#This Row],[VALOR UNITARIO COMPRADO]]*tblAquisições[[#This Row],[QUANTIDADE COMPRADA]]</f>
        <v>0</v>
      </c>
      <c r="N670" s="110">
        <f>K670-tblAquisições[[#This Row],[QUANTIDADE PLANEJADA]]</f>
        <v>-600</v>
      </c>
      <c r="O670" s="106" t="str">
        <f t="shared" si="21"/>
        <v>Faltando Comprar</v>
      </c>
    </row>
    <row r="671" spans="1:15" ht="47.25">
      <c r="A671" s="16" t="s">
        <v>17</v>
      </c>
      <c r="B671" s="16" t="s">
        <v>18</v>
      </c>
      <c r="C671" s="17" t="s">
        <v>19</v>
      </c>
      <c r="D671" s="18" t="s">
        <v>419</v>
      </c>
      <c r="E671" s="18">
        <v>15</v>
      </c>
      <c r="F671" s="18" t="s">
        <v>131</v>
      </c>
      <c r="G671" s="18" t="s">
        <v>22</v>
      </c>
      <c r="H671" s="18" t="s">
        <v>23</v>
      </c>
      <c r="I671" s="19">
        <v>31.52</v>
      </c>
      <c r="J671" s="20">
        <f t="shared" si="20"/>
        <v>472.8</v>
      </c>
      <c r="K671" s="106"/>
      <c r="L671" s="114"/>
      <c r="M671" s="114">
        <f>tblAquisições[[#This Row],[VALOR UNITARIO COMPRADO]]*tblAquisições[[#This Row],[QUANTIDADE COMPRADA]]</f>
        <v>0</v>
      </c>
      <c r="N671" s="110">
        <f>K671-tblAquisições[[#This Row],[QUANTIDADE PLANEJADA]]</f>
        <v>-15</v>
      </c>
      <c r="O671" s="106" t="str">
        <f t="shared" si="21"/>
        <v>Faltando Comprar</v>
      </c>
    </row>
    <row r="672" spans="1:15" ht="47.25">
      <c r="A672" s="16" t="s">
        <v>17</v>
      </c>
      <c r="B672" s="16" t="s">
        <v>24</v>
      </c>
      <c r="C672" s="17" t="s">
        <v>19</v>
      </c>
      <c r="D672" s="18" t="s">
        <v>419</v>
      </c>
      <c r="E672" s="18">
        <v>15</v>
      </c>
      <c r="F672" s="18" t="s">
        <v>131</v>
      </c>
      <c r="G672" s="18" t="s">
        <v>22</v>
      </c>
      <c r="H672" s="18" t="s">
        <v>23</v>
      </c>
      <c r="I672" s="19">
        <v>31.52</v>
      </c>
      <c r="J672" s="20">
        <f t="shared" si="20"/>
        <v>472.8</v>
      </c>
      <c r="K672" s="106"/>
      <c r="L672" s="114"/>
      <c r="M672" s="114">
        <f>tblAquisições[[#This Row],[VALOR UNITARIO COMPRADO]]*tblAquisições[[#This Row],[QUANTIDADE COMPRADA]]</f>
        <v>0</v>
      </c>
      <c r="N672" s="110">
        <f>K672-tblAquisições[[#This Row],[QUANTIDADE PLANEJADA]]</f>
        <v>-15</v>
      </c>
      <c r="O672" s="106" t="str">
        <f t="shared" si="21"/>
        <v>Faltando Comprar</v>
      </c>
    </row>
    <row r="673" spans="1:15" ht="47.25">
      <c r="A673" s="16" t="s">
        <v>17</v>
      </c>
      <c r="B673" s="16" t="s">
        <v>25</v>
      </c>
      <c r="C673" s="17" t="s">
        <v>19</v>
      </c>
      <c r="D673" s="18" t="s">
        <v>419</v>
      </c>
      <c r="E673" s="18">
        <v>15</v>
      </c>
      <c r="F673" s="18" t="s">
        <v>131</v>
      </c>
      <c r="G673" s="18" t="s">
        <v>22</v>
      </c>
      <c r="H673" s="18" t="s">
        <v>23</v>
      </c>
      <c r="I673" s="19">
        <v>31.52</v>
      </c>
      <c r="J673" s="20">
        <f t="shared" si="20"/>
        <v>472.8</v>
      </c>
      <c r="K673" s="106"/>
      <c r="L673" s="114"/>
      <c r="M673" s="114">
        <f>tblAquisições[[#This Row],[VALOR UNITARIO COMPRADO]]*tblAquisições[[#This Row],[QUANTIDADE COMPRADA]]</f>
        <v>0</v>
      </c>
      <c r="N673" s="110">
        <f>K673-tblAquisições[[#This Row],[QUANTIDADE PLANEJADA]]</f>
        <v>-15</v>
      </c>
      <c r="O673" s="106" t="str">
        <f t="shared" si="21"/>
        <v>Faltando Comprar</v>
      </c>
    </row>
    <row r="674" spans="1:15" ht="47.25">
      <c r="A674" s="16" t="s">
        <v>17</v>
      </c>
      <c r="B674" s="16" t="s">
        <v>28</v>
      </c>
      <c r="C674" s="17" t="s">
        <v>19</v>
      </c>
      <c r="D674" s="18" t="s">
        <v>419</v>
      </c>
      <c r="E674" s="18">
        <v>23</v>
      </c>
      <c r="F674" s="18" t="s">
        <v>131</v>
      </c>
      <c r="G674" s="18" t="s">
        <v>22</v>
      </c>
      <c r="H674" s="18" t="s">
        <v>23</v>
      </c>
      <c r="I674" s="19">
        <v>31.52</v>
      </c>
      <c r="J674" s="20">
        <f t="shared" si="20"/>
        <v>724.96</v>
      </c>
      <c r="K674" s="106"/>
      <c r="L674" s="114"/>
      <c r="M674" s="114">
        <f>tblAquisições[[#This Row],[VALOR UNITARIO COMPRADO]]*tblAquisições[[#This Row],[QUANTIDADE COMPRADA]]</f>
        <v>0</v>
      </c>
      <c r="N674" s="110">
        <f>K674-tblAquisições[[#This Row],[QUANTIDADE PLANEJADA]]</f>
        <v>-23</v>
      </c>
      <c r="O674" s="106" t="str">
        <f t="shared" si="21"/>
        <v>Faltando Comprar</v>
      </c>
    </row>
    <row r="675" spans="1:15" ht="47.25">
      <c r="A675" s="16" t="s">
        <v>17</v>
      </c>
      <c r="B675" s="16" t="s">
        <v>34</v>
      </c>
      <c r="C675" s="17" t="s">
        <v>19</v>
      </c>
      <c r="D675" s="18" t="s">
        <v>420</v>
      </c>
      <c r="E675" s="18">
        <v>50</v>
      </c>
      <c r="F675" s="18" t="s">
        <v>131</v>
      </c>
      <c r="G675" s="18" t="s">
        <v>22</v>
      </c>
      <c r="H675" s="18" t="s">
        <v>23</v>
      </c>
      <c r="I675" s="19">
        <v>32.08</v>
      </c>
      <c r="J675" s="20">
        <f t="shared" si="20"/>
        <v>1604</v>
      </c>
      <c r="K675" s="106"/>
      <c r="L675" s="114"/>
      <c r="M675" s="114">
        <f>tblAquisições[[#This Row],[VALOR UNITARIO COMPRADO]]*tblAquisições[[#This Row],[QUANTIDADE COMPRADA]]</f>
        <v>0</v>
      </c>
      <c r="N675" s="110">
        <f>K675-tblAquisições[[#This Row],[QUANTIDADE PLANEJADA]]</f>
        <v>-50</v>
      </c>
      <c r="O675" s="106" t="str">
        <f t="shared" si="21"/>
        <v>Faltando Comprar</v>
      </c>
    </row>
    <row r="676" spans="1:15" ht="47.25">
      <c r="A676" s="16" t="s">
        <v>17</v>
      </c>
      <c r="B676" s="16" t="s">
        <v>26</v>
      </c>
      <c r="C676" s="17" t="s">
        <v>19</v>
      </c>
      <c r="D676" s="18" t="s">
        <v>420</v>
      </c>
      <c r="E676" s="18">
        <v>8</v>
      </c>
      <c r="F676" s="18" t="s">
        <v>131</v>
      </c>
      <c r="G676" s="18" t="s">
        <v>22</v>
      </c>
      <c r="H676" s="18" t="s">
        <v>23</v>
      </c>
      <c r="I676" s="19">
        <v>32.08</v>
      </c>
      <c r="J676" s="20">
        <f t="shared" si="20"/>
        <v>256.64</v>
      </c>
      <c r="K676" s="106"/>
      <c r="L676" s="114"/>
      <c r="M676" s="114">
        <f>tblAquisições[[#This Row],[VALOR UNITARIO COMPRADO]]*tblAquisições[[#This Row],[QUANTIDADE COMPRADA]]</f>
        <v>0</v>
      </c>
      <c r="N676" s="110">
        <f>K676-tblAquisições[[#This Row],[QUANTIDADE PLANEJADA]]</f>
        <v>-8</v>
      </c>
      <c r="O676" s="106" t="str">
        <f t="shared" si="21"/>
        <v>Faltando Comprar</v>
      </c>
    </row>
    <row r="677" spans="1:15" ht="47.25">
      <c r="A677" s="16" t="s">
        <v>17</v>
      </c>
      <c r="B677" s="16" t="s">
        <v>28</v>
      </c>
      <c r="C677" s="17" t="s">
        <v>19</v>
      </c>
      <c r="D677" s="18" t="s">
        <v>420</v>
      </c>
      <c r="E677" s="18">
        <v>12</v>
      </c>
      <c r="F677" s="18" t="s">
        <v>131</v>
      </c>
      <c r="G677" s="18" t="s">
        <v>22</v>
      </c>
      <c r="H677" s="18" t="s">
        <v>23</v>
      </c>
      <c r="I677" s="19">
        <v>32.08</v>
      </c>
      <c r="J677" s="20">
        <f t="shared" si="20"/>
        <v>384.96</v>
      </c>
      <c r="K677" s="106"/>
      <c r="L677" s="114"/>
      <c r="M677" s="114">
        <f>tblAquisições[[#This Row],[VALOR UNITARIO COMPRADO]]*tblAquisições[[#This Row],[QUANTIDADE COMPRADA]]</f>
        <v>0</v>
      </c>
      <c r="N677" s="110">
        <f>K677-tblAquisições[[#This Row],[QUANTIDADE PLANEJADA]]</f>
        <v>-12</v>
      </c>
      <c r="O677" s="106" t="str">
        <f t="shared" si="21"/>
        <v>Faltando Comprar</v>
      </c>
    </row>
    <row r="678" spans="1:15" ht="31.5">
      <c r="A678" s="16" t="s">
        <v>17</v>
      </c>
      <c r="B678" s="16" t="s">
        <v>26</v>
      </c>
      <c r="C678" s="17" t="s">
        <v>19</v>
      </c>
      <c r="D678" s="18" t="s">
        <v>421</v>
      </c>
      <c r="E678" s="18">
        <v>5</v>
      </c>
      <c r="F678" s="18" t="s">
        <v>30</v>
      </c>
      <c r="G678" s="18" t="s">
        <v>22</v>
      </c>
      <c r="H678" s="18" t="s">
        <v>23</v>
      </c>
      <c r="I678" s="19">
        <v>5027.4799999999996</v>
      </c>
      <c r="J678" s="20">
        <f t="shared" si="20"/>
        <v>25137.399999999998</v>
      </c>
      <c r="K678" s="106"/>
      <c r="L678" s="114"/>
      <c r="M678" s="114">
        <f>tblAquisições[[#This Row],[VALOR UNITARIO COMPRADO]]*tblAquisições[[#This Row],[QUANTIDADE COMPRADA]]</f>
        <v>0</v>
      </c>
      <c r="N678" s="110">
        <f>K678-tblAquisições[[#This Row],[QUANTIDADE PLANEJADA]]</f>
        <v>-5</v>
      </c>
      <c r="O678" s="106" t="str">
        <f t="shared" si="21"/>
        <v>Faltando Comprar</v>
      </c>
    </row>
    <row r="679" spans="1:15" ht="47.25">
      <c r="A679" s="16" t="s">
        <v>17</v>
      </c>
      <c r="B679" s="16" t="s">
        <v>28</v>
      </c>
      <c r="C679" s="17" t="s">
        <v>19</v>
      </c>
      <c r="D679" s="18" t="s">
        <v>422</v>
      </c>
      <c r="E679" s="18">
        <v>25</v>
      </c>
      <c r="F679" s="18" t="s">
        <v>131</v>
      </c>
      <c r="G679" s="18" t="s">
        <v>22</v>
      </c>
      <c r="H679" s="18" t="s">
        <v>65</v>
      </c>
      <c r="I679" s="19">
        <v>153.4</v>
      </c>
      <c r="J679" s="20">
        <f t="shared" si="20"/>
        <v>3835</v>
      </c>
      <c r="K679" s="106"/>
      <c r="L679" s="114"/>
      <c r="M679" s="114">
        <f>tblAquisições[[#This Row],[VALOR UNITARIO COMPRADO]]*tblAquisições[[#This Row],[QUANTIDADE COMPRADA]]</f>
        <v>0</v>
      </c>
      <c r="N679" s="110">
        <f>K679-tblAquisições[[#This Row],[QUANTIDADE PLANEJADA]]</f>
        <v>-25</v>
      </c>
      <c r="O679" s="106" t="str">
        <f t="shared" si="21"/>
        <v>Faltando Comprar</v>
      </c>
    </row>
    <row r="680" spans="1:15" ht="31.5">
      <c r="A680" s="16" t="s">
        <v>17</v>
      </c>
      <c r="B680" s="16" t="s">
        <v>26</v>
      </c>
      <c r="C680" s="17" t="s">
        <v>19</v>
      </c>
      <c r="D680" s="18" t="s">
        <v>423</v>
      </c>
      <c r="E680" s="18">
        <v>200</v>
      </c>
      <c r="F680" s="18" t="s">
        <v>21</v>
      </c>
      <c r="G680" s="18" t="s">
        <v>22</v>
      </c>
      <c r="H680" s="18" t="s">
        <v>23</v>
      </c>
      <c r="I680" s="19">
        <v>0.83</v>
      </c>
      <c r="J680" s="20">
        <f t="shared" si="20"/>
        <v>166</v>
      </c>
      <c r="K680" s="106"/>
      <c r="L680" s="114"/>
      <c r="M680" s="114">
        <f>tblAquisições[[#This Row],[VALOR UNITARIO COMPRADO]]*tblAquisições[[#This Row],[QUANTIDADE COMPRADA]]</f>
        <v>0</v>
      </c>
      <c r="N680" s="110">
        <f>K680-tblAquisições[[#This Row],[QUANTIDADE PLANEJADA]]</f>
        <v>-200</v>
      </c>
      <c r="O680" s="106" t="str">
        <f t="shared" si="21"/>
        <v>Faltando Comprar</v>
      </c>
    </row>
    <row r="681" spans="1:15" ht="47.25">
      <c r="A681" s="16" t="s">
        <v>17</v>
      </c>
      <c r="B681" s="16" t="s">
        <v>28</v>
      </c>
      <c r="C681" s="17" t="s">
        <v>19</v>
      </c>
      <c r="D681" s="18" t="s">
        <v>424</v>
      </c>
      <c r="E681" s="18">
        <v>5</v>
      </c>
      <c r="F681" s="18" t="s">
        <v>78</v>
      </c>
      <c r="G681" s="18" t="s">
        <v>22</v>
      </c>
      <c r="H681" s="18" t="s">
        <v>53</v>
      </c>
      <c r="I681" s="19">
        <v>1043.78</v>
      </c>
      <c r="J681" s="20">
        <f t="shared" si="20"/>
        <v>5218.8999999999996</v>
      </c>
      <c r="K681" s="106"/>
      <c r="L681" s="114"/>
      <c r="M681" s="114">
        <f>tblAquisições[[#This Row],[VALOR UNITARIO COMPRADO]]*tblAquisições[[#This Row],[QUANTIDADE COMPRADA]]</f>
        <v>0</v>
      </c>
      <c r="N681" s="110">
        <f>K681-tblAquisições[[#This Row],[QUANTIDADE PLANEJADA]]</f>
        <v>-5</v>
      </c>
      <c r="O681" s="106" t="str">
        <f t="shared" si="21"/>
        <v>Faltando Comprar</v>
      </c>
    </row>
    <row r="682" spans="1:15" ht="47.25">
      <c r="A682" s="16" t="s">
        <v>17</v>
      </c>
      <c r="B682" s="16" t="s">
        <v>80</v>
      </c>
      <c r="C682" s="17" t="s">
        <v>19</v>
      </c>
      <c r="D682" s="18" t="s">
        <v>425</v>
      </c>
      <c r="E682" s="18">
        <v>2</v>
      </c>
      <c r="F682" s="18" t="s">
        <v>96</v>
      </c>
      <c r="G682" s="18" t="s">
        <v>39</v>
      </c>
      <c r="H682" s="18" t="s">
        <v>65</v>
      </c>
      <c r="I682" s="24">
        <v>67.209999999999994</v>
      </c>
      <c r="J682" s="20">
        <f t="shared" si="20"/>
        <v>134.41999999999999</v>
      </c>
      <c r="K682" s="106"/>
      <c r="L682" s="114"/>
      <c r="M682" s="114">
        <f>tblAquisições[[#This Row],[VALOR UNITARIO COMPRADO]]*tblAquisições[[#This Row],[QUANTIDADE COMPRADA]]</f>
        <v>0</v>
      </c>
      <c r="N682" s="110">
        <f>K682-tblAquisições[[#This Row],[QUANTIDADE PLANEJADA]]</f>
        <v>-2</v>
      </c>
      <c r="O682" s="106" t="str">
        <f t="shared" si="21"/>
        <v>Faltando Comprar</v>
      </c>
    </row>
    <row r="683" spans="1:15" ht="47.25">
      <c r="A683" s="16" t="s">
        <v>17</v>
      </c>
      <c r="B683" s="16" t="s">
        <v>26</v>
      </c>
      <c r="C683" s="17" t="s">
        <v>19</v>
      </c>
      <c r="D683" s="18" t="s">
        <v>426</v>
      </c>
      <c r="E683" s="18">
        <v>300</v>
      </c>
      <c r="F683" s="18" t="s">
        <v>58</v>
      </c>
      <c r="G683" s="18" t="s">
        <v>22</v>
      </c>
      <c r="H683" s="18" t="s">
        <v>23</v>
      </c>
      <c r="I683" s="19">
        <v>15.66</v>
      </c>
      <c r="J683" s="20">
        <f t="shared" si="20"/>
        <v>4698</v>
      </c>
      <c r="K683" s="106"/>
      <c r="L683" s="114"/>
      <c r="M683" s="114">
        <f>tblAquisições[[#This Row],[VALOR UNITARIO COMPRADO]]*tblAquisições[[#This Row],[QUANTIDADE COMPRADA]]</f>
        <v>0</v>
      </c>
      <c r="N683" s="110">
        <f>K683-tblAquisições[[#This Row],[QUANTIDADE PLANEJADA]]</f>
        <v>-300</v>
      </c>
      <c r="O683" s="106" t="str">
        <f t="shared" si="21"/>
        <v>Faltando Comprar</v>
      </c>
    </row>
    <row r="684" spans="1:15" ht="47.25">
      <c r="A684" s="16" t="s">
        <v>17</v>
      </c>
      <c r="B684" s="16" t="s">
        <v>80</v>
      </c>
      <c r="C684" s="17" t="s">
        <v>19</v>
      </c>
      <c r="D684" s="18" t="s">
        <v>427</v>
      </c>
      <c r="E684" s="18">
        <v>1</v>
      </c>
      <c r="F684" s="18" t="s">
        <v>96</v>
      </c>
      <c r="G684" s="18" t="s">
        <v>39</v>
      </c>
      <c r="H684" s="18" t="s">
        <v>65</v>
      </c>
      <c r="I684" s="24">
        <v>189.6</v>
      </c>
      <c r="J684" s="20">
        <f t="shared" si="20"/>
        <v>189.6</v>
      </c>
      <c r="K684" s="106"/>
      <c r="L684" s="114"/>
      <c r="M684" s="114">
        <f>tblAquisições[[#This Row],[VALOR UNITARIO COMPRADO]]*tblAquisições[[#This Row],[QUANTIDADE COMPRADA]]</f>
        <v>0</v>
      </c>
      <c r="N684" s="110">
        <f>K684-tblAquisições[[#This Row],[QUANTIDADE PLANEJADA]]</f>
        <v>-1</v>
      </c>
      <c r="O684" s="106" t="str">
        <f t="shared" si="21"/>
        <v>Faltando Comprar</v>
      </c>
    </row>
    <row r="685" spans="1:15" ht="47.25">
      <c r="A685" s="16" t="s">
        <v>17</v>
      </c>
      <c r="B685" s="16" t="s">
        <v>26</v>
      </c>
      <c r="C685" s="17" t="s">
        <v>19</v>
      </c>
      <c r="D685" s="18" t="s">
        <v>428</v>
      </c>
      <c r="E685" s="18">
        <v>12</v>
      </c>
      <c r="F685" s="18" t="s">
        <v>58</v>
      </c>
      <c r="G685" s="18" t="s">
        <v>22</v>
      </c>
      <c r="H685" s="18" t="s">
        <v>23</v>
      </c>
      <c r="I685" s="19">
        <v>18.18</v>
      </c>
      <c r="J685" s="20">
        <f t="shared" si="20"/>
        <v>218.16</v>
      </c>
      <c r="K685" s="106"/>
      <c r="L685" s="114"/>
      <c r="M685" s="114">
        <f>tblAquisições[[#This Row],[VALOR UNITARIO COMPRADO]]*tblAquisições[[#This Row],[QUANTIDADE COMPRADA]]</f>
        <v>0</v>
      </c>
      <c r="N685" s="110">
        <f>K685-tblAquisições[[#This Row],[QUANTIDADE PLANEJADA]]</f>
        <v>-12</v>
      </c>
      <c r="O685" s="106" t="str">
        <f t="shared" si="21"/>
        <v>Faltando Comprar</v>
      </c>
    </row>
    <row r="686" spans="1:15" ht="47.25">
      <c r="A686" s="16" t="s">
        <v>17</v>
      </c>
      <c r="B686" s="16" t="s">
        <v>28</v>
      </c>
      <c r="C686" s="17" t="s">
        <v>19</v>
      </c>
      <c r="D686" s="18" t="s">
        <v>428</v>
      </c>
      <c r="E686" s="18">
        <v>20</v>
      </c>
      <c r="F686" s="18" t="s">
        <v>58</v>
      </c>
      <c r="G686" s="18" t="s">
        <v>22</v>
      </c>
      <c r="H686" s="18" t="s">
        <v>23</v>
      </c>
      <c r="I686" s="19">
        <v>18.18</v>
      </c>
      <c r="J686" s="20">
        <f t="shared" si="20"/>
        <v>363.6</v>
      </c>
      <c r="K686" s="106"/>
      <c r="L686" s="114"/>
      <c r="M686" s="114">
        <f>tblAquisições[[#This Row],[VALOR UNITARIO COMPRADO]]*tblAquisições[[#This Row],[QUANTIDADE COMPRADA]]</f>
        <v>0</v>
      </c>
      <c r="N686" s="110">
        <f>K686-tblAquisições[[#This Row],[QUANTIDADE PLANEJADA]]</f>
        <v>-20</v>
      </c>
      <c r="O686" s="106" t="str">
        <f t="shared" si="21"/>
        <v>Faltando Comprar</v>
      </c>
    </row>
    <row r="687" spans="1:15" ht="47.25">
      <c r="A687" s="16" t="s">
        <v>17</v>
      </c>
      <c r="B687" s="16" t="s">
        <v>72</v>
      </c>
      <c r="C687" s="17" t="s">
        <v>19</v>
      </c>
      <c r="D687" s="18" t="s">
        <v>428</v>
      </c>
      <c r="E687" s="18">
        <v>6</v>
      </c>
      <c r="F687" s="18" t="s">
        <v>58</v>
      </c>
      <c r="G687" s="18" t="s">
        <v>22</v>
      </c>
      <c r="H687" s="18" t="s">
        <v>23</v>
      </c>
      <c r="I687" s="19">
        <v>18.18</v>
      </c>
      <c r="J687" s="20">
        <f t="shared" si="20"/>
        <v>109.08</v>
      </c>
      <c r="K687" s="106"/>
      <c r="L687" s="114"/>
      <c r="M687" s="114">
        <f>tblAquisições[[#This Row],[VALOR UNITARIO COMPRADO]]*tblAquisições[[#This Row],[QUANTIDADE COMPRADA]]</f>
        <v>0</v>
      </c>
      <c r="N687" s="110">
        <f>K687-tblAquisições[[#This Row],[QUANTIDADE PLANEJADA]]</f>
        <v>-6</v>
      </c>
      <c r="O687" s="106" t="str">
        <f t="shared" si="21"/>
        <v>Faltando Comprar</v>
      </c>
    </row>
    <row r="688" spans="1:15" ht="47.25">
      <c r="A688" s="16" t="s">
        <v>17</v>
      </c>
      <c r="B688" s="16" t="s">
        <v>26</v>
      </c>
      <c r="C688" s="17" t="s">
        <v>19</v>
      </c>
      <c r="D688" s="18" t="s">
        <v>429</v>
      </c>
      <c r="E688" s="18">
        <v>150</v>
      </c>
      <c r="F688" s="18" t="s">
        <v>239</v>
      </c>
      <c r="G688" s="18" t="s">
        <v>22</v>
      </c>
      <c r="H688" s="18" t="s">
        <v>23</v>
      </c>
      <c r="I688" s="19">
        <v>16.510000000000002</v>
      </c>
      <c r="J688" s="20">
        <f t="shared" si="20"/>
        <v>2476.5000000000005</v>
      </c>
      <c r="K688" s="106"/>
      <c r="L688" s="114"/>
      <c r="M688" s="114">
        <f>tblAquisições[[#This Row],[VALOR UNITARIO COMPRADO]]*tblAquisições[[#This Row],[QUANTIDADE COMPRADA]]</f>
        <v>0</v>
      </c>
      <c r="N688" s="110">
        <f>K688-tblAquisições[[#This Row],[QUANTIDADE PLANEJADA]]</f>
        <v>-150</v>
      </c>
      <c r="O688" s="106" t="str">
        <f t="shared" si="21"/>
        <v>Faltando Comprar</v>
      </c>
    </row>
    <row r="689" spans="1:15" ht="47.25">
      <c r="A689" s="16" t="s">
        <v>17</v>
      </c>
      <c r="B689" s="16" t="s">
        <v>28</v>
      </c>
      <c r="C689" s="17" t="s">
        <v>19</v>
      </c>
      <c r="D689" s="18" t="s">
        <v>429</v>
      </c>
      <c r="E689" s="18">
        <v>20</v>
      </c>
      <c r="F689" s="18" t="s">
        <v>239</v>
      </c>
      <c r="G689" s="18" t="s">
        <v>22</v>
      </c>
      <c r="H689" s="18" t="s">
        <v>23</v>
      </c>
      <c r="I689" s="19">
        <v>16.510000000000002</v>
      </c>
      <c r="J689" s="20">
        <f t="shared" si="20"/>
        <v>330.20000000000005</v>
      </c>
      <c r="K689" s="106"/>
      <c r="L689" s="114"/>
      <c r="M689" s="114">
        <f>tblAquisições[[#This Row],[VALOR UNITARIO COMPRADO]]*tblAquisições[[#This Row],[QUANTIDADE COMPRADA]]</f>
        <v>0</v>
      </c>
      <c r="N689" s="110">
        <f>K689-tblAquisições[[#This Row],[QUANTIDADE PLANEJADA]]</f>
        <v>-20</v>
      </c>
      <c r="O689" s="106" t="str">
        <f t="shared" si="21"/>
        <v>Faltando Comprar</v>
      </c>
    </row>
    <row r="690" spans="1:15" ht="47.25">
      <c r="A690" s="16" t="s">
        <v>17</v>
      </c>
      <c r="B690" s="16" t="s">
        <v>26</v>
      </c>
      <c r="C690" s="17" t="s">
        <v>19</v>
      </c>
      <c r="D690" s="18" t="s">
        <v>430</v>
      </c>
      <c r="E690" s="18">
        <v>40</v>
      </c>
      <c r="F690" s="18" t="s">
        <v>239</v>
      </c>
      <c r="G690" s="18" t="s">
        <v>22</v>
      </c>
      <c r="H690" s="18" t="s">
        <v>23</v>
      </c>
      <c r="I690" s="19">
        <v>10.49</v>
      </c>
      <c r="J690" s="20">
        <f t="shared" si="20"/>
        <v>419.6</v>
      </c>
      <c r="K690" s="106"/>
      <c r="L690" s="114"/>
      <c r="M690" s="114">
        <f>tblAquisições[[#This Row],[VALOR UNITARIO COMPRADO]]*tblAquisições[[#This Row],[QUANTIDADE COMPRADA]]</f>
        <v>0</v>
      </c>
      <c r="N690" s="110">
        <f>K690-tblAquisições[[#This Row],[QUANTIDADE PLANEJADA]]</f>
        <v>-40</v>
      </c>
      <c r="O690" s="106" t="str">
        <f t="shared" si="21"/>
        <v>Faltando Comprar</v>
      </c>
    </row>
    <row r="691" spans="1:15" ht="47.25">
      <c r="A691" s="16" t="s">
        <v>17</v>
      </c>
      <c r="B691" s="16" t="s">
        <v>28</v>
      </c>
      <c r="C691" s="17" t="s">
        <v>19</v>
      </c>
      <c r="D691" s="18" t="s">
        <v>431</v>
      </c>
      <c r="E691" s="18">
        <v>10</v>
      </c>
      <c r="F691" s="18" t="s">
        <v>313</v>
      </c>
      <c r="G691" s="18" t="s">
        <v>22</v>
      </c>
      <c r="H691" s="18" t="s">
        <v>65</v>
      </c>
      <c r="I691" s="19">
        <v>14.16</v>
      </c>
      <c r="J691" s="20">
        <f t="shared" si="20"/>
        <v>141.6</v>
      </c>
      <c r="K691" s="106"/>
      <c r="L691" s="114"/>
      <c r="M691" s="114">
        <f>tblAquisições[[#This Row],[VALOR UNITARIO COMPRADO]]*tblAquisições[[#This Row],[QUANTIDADE COMPRADA]]</f>
        <v>0</v>
      </c>
      <c r="N691" s="110">
        <f>K691-tblAquisições[[#This Row],[QUANTIDADE PLANEJADA]]</f>
        <v>-10</v>
      </c>
      <c r="O691" s="106" t="str">
        <f t="shared" si="21"/>
        <v>Faltando Comprar</v>
      </c>
    </row>
    <row r="692" spans="1:15" ht="47.25">
      <c r="A692" s="16" t="s">
        <v>17</v>
      </c>
      <c r="B692" s="16" t="s">
        <v>26</v>
      </c>
      <c r="C692" s="17" t="s">
        <v>19</v>
      </c>
      <c r="D692" s="18" t="s">
        <v>432</v>
      </c>
      <c r="E692" s="18">
        <v>5</v>
      </c>
      <c r="F692" s="18" t="s">
        <v>78</v>
      </c>
      <c r="G692" s="18" t="s">
        <v>22</v>
      </c>
      <c r="H692" s="18" t="s">
        <v>23</v>
      </c>
      <c r="I692" s="19">
        <v>8.43</v>
      </c>
      <c r="J692" s="20">
        <f t="shared" si="20"/>
        <v>42.15</v>
      </c>
      <c r="K692" s="106"/>
      <c r="L692" s="114"/>
      <c r="M692" s="114">
        <f>tblAquisições[[#This Row],[VALOR UNITARIO COMPRADO]]*tblAquisições[[#This Row],[QUANTIDADE COMPRADA]]</f>
        <v>0</v>
      </c>
      <c r="N692" s="110">
        <f>K692-tblAquisições[[#This Row],[QUANTIDADE PLANEJADA]]</f>
        <v>-5</v>
      </c>
      <c r="O692" s="106" t="str">
        <f t="shared" si="21"/>
        <v>Faltando Comprar</v>
      </c>
    </row>
    <row r="693" spans="1:15" ht="47.25">
      <c r="A693" s="16" t="s">
        <v>17</v>
      </c>
      <c r="B693" s="16" t="s">
        <v>26</v>
      </c>
      <c r="C693" s="17" t="s">
        <v>19</v>
      </c>
      <c r="D693" s="18" t="s">
        <v>433</v>
      </c>
      <c r="E693" s="18">
        <v>10</v>
      </c>
      <c r="F693" s="18" t="s">
        <v>58</v>
      </c>
      <c r="G693" s="18" t="s">
        <v>22</v>
      </c>
      <c r="H693" s="18" t="s">
        <v>23</v>
      </c>
      <c r="I693" s="19">
        <v>12.05</v>
      </c>
      <c r="J693" s="20">
        <f t="shared" si="20"/>
        <v>120.5</v>
      </c>
      <c r="K693" s="106"/>
      <c r="L693" s="114"/>
      <c r="M693" s="114">
        <f>tblAquisições[[#This Row],[VALOR UNITARIO COMPRADO]]*tblAquisições[[#This Row],[QUANTIDADE COMPRADA]]</f>
        <v>0</v>
      </c>
      <c r="N693" s="110">
        <f>K693-tblAquisições[[#This Row],[QUANTIDADE PLANEJADA]]</f>
        <v>-10</v>
      </c>
      <c r="O693" s="106" t="str">
        <f t="shared" si="21"/>
        <v>Faltando Comprar</v>
      </c>
    </row>
    <row r="694" spans="1:15" ht="47.25">
      <c r="A694" s="16" t="s">
        <v>17</v>
      </c>
      <c r="B694" s="16" t="s">
        <v>28</v>
      </c>
      <c r="C694" s="17" t="s">
        <v>19</v>
      </c>
      <c r="D694" s="18" t="s">
        <v>433</v>
      </c>
      <c r="E694" s="18">
        <v>20</v>
      </c>
      <c r="F694" s="18" t="s">
        <v>58</v>
      </c>
      <c r="G694" s="18" t="s">
        <v>22</v>
      </c>
      <c r="H694" s="18" t="s">
        <v>23</v>
      </c>
      <c r="I694" s="19">
        <v>12.05</v>
      </c>
      <c r="J694" s="20">
        <f t="shared" si="20"/>
        <v>241</v>
      </c>
      <c r="K694" s="106"/>
      <c r="L694" s="114"/>
      <c r="M694" s="114">
        <f>tblAquisições[[#This Row],[VALOR UNITARIO COMPRADO]]*tblAquisições[[#This Row],[QUANTIDADE COMPRADA]]</f>
        <v>0</v>
      </c>
      <c r="N694" s="110">
        <f>K694-tblAquisições[[#This Row],[QUANTIDADE PLANEJADA]]</f>
        <v>-20</v>
      </c>
      <c r="O694" s="106" t="str">
        <f t="shared" si="21"/>
        <v>Faltando Comprar</v>
      </c>
    </row>
    <row r="695" spans="1:15" ht="47.25">
      <c r="A695" s="16" t="s">
        <v>17</v>
      </c>
      <c r="B695" s="16" t="s">
        <v>26</v>
      </c>
      <c r="C695" s="17" t="s">
        <v>19</v>
      </c>
      <c r="D695" s="18" t="s">
        <v>434</v>
      </c>
      <c r="E695" s="18">
        <v>10</v>
      </c>
      <c r="F695" s="18" t="s">
        <v>58</v>
      </c>
      <c r="G695" s="18" t="s">
        <v>22</v>
      </c>
      <c r="H695" s="18" t="s">
        <v>23</v>
      </c>
      <c r="I695" s="19">
        <v>12.5</v>
      </c>
      <c r="J695" s="20">
        <f t="shared" si="20"/>
        <v>125</v>
      </c>
      <c r="K695" s="106"/>
      <c r="L695" s="114"/>
      <c r="M695" s="114">
        <f>tblAquisições[[#This Row],[VALOR UNITARIO COMPRADO]]*tblAquisições[[#This Row],[QUANTIDADE COMPRADA]]</f>
        <v>0</v>
      </c>
      <c r="N695" s="110">
        <f>K695-tblAquisições[[#This Row],[QUANTIDADE PLANEJADA]]</f>
        <v>-10</v>
      </c>
      <c r="O695" s="106" t="str">
        <f t="shared" si="21"/>
        <v>Faltando Comprar</v>
      </c>
    </row>
    <row r="696" spans="1:15" ht="47.25">
      <c r="A696" s="16" t="s">
        <v>17</v>
      </c>
      <c r="B696" s="16" t="s">
        <v>72</v>
      </c>
      <c r="C696" s="17" t="s">
        <v>19</v>
      </c>
      <c r="D696" s="18" t="s">
        <v>434</v>
      </c>
      <c r="E696" s="18">
        <v>2</v>
      </c>
      <c r="F696" s="18" t="s">
        <v>58</v>
      </c>
      <c r="G696" s="18" t="s">
        <v>22</v>
      </c>
      <c r="H696" s="18" t="s">
        <v>23</v>
      </c>
      <c r="I696" s="19">
        <v>12.5</v>
      </c>
      <c r="J696" s="20">
        <f t="shared" si="20"/>
        <v>25</v>
      </c>
      <c r="K696" s="106"/>
      <c r="L696" s="114"/>
      <c r="M696" s="114">
        <f>tblAquisições[[#This Row],[VALOR UNITARIO COMPRADO]]*tblAquisições[[#This Row],[QUANTIDADE COMPRADA]]</f>
        <v>0</v>
      </c>
      <c r="N696" s="110">
        <f>K696-tblAquisições[[#This Row],[QUANTIDADE PLANEJADA]]</f>
        <v>-2</v>
      </c>
      <c r="O696" s="106" t="str">
        <f t="shared" si="21"/>
        <v>Faltando Comprar</v>
      </c>
    </row>
    <row r="697" spans="1:15" ht="47.25">
      <c r="A697" s="16" t="s">
        <v>17</v>
      </c>
      <c r="B697" s="16" t="s">
        <v>59</v>
      </c>
      <c r="C697" s="17" t="s">
        <v>19</v>
      </c>
      <c r="D697" s="18" t="s">
        <v>434</v>
      </c>
      <c r="E697" s="18">
        <v>6</v>
      </c>
      <c r="F697" s="18" t="s">
        <v>58</v>
      </c>
      <c r="G697" s="18" t="s">
        <v>22</v>
      </c>
      <c r="H697" s="18" t="s">
        <v>23</v>
      </c>
      <c r="I697" s="19">
        <v>12.5</v>
      </c>
      <c r="J697" s="20">
        <f t="shared" si="20"/>
        <v>75</v>
      </c>
      <c r="K697" s="106"/>
      <c r="L697" s="114"/>
      <c r="M697" s="114">
        <f>tblAquisições[[#This Row],[VALOR UNITARIO COMPRADO]]*tblAquisições[[#This Row],[QUANTIDADE COMPRADA]]</f>
        <v>0</v>
      </c>
      <c r="N697" s="110">
        <f>K697-tblAquisições[[#This Row],[QUANTIDADE PLANEJADA]]</f>
        <v>-6</v>
      </c>
      <c r="O697" s="106" t="str">
        <f t="shared" si="21"/>
        <v>Faltando Comprar</v>
      </c>
    </row>
    <row r="698" spans="1:15" ht="47.25">
      <c r="A698" s="16" t="s">
        <v>17</v>
      </c>
      <c r="B698" s="16" t="s">
        <v>80</v>
      </c>
      <c r="C698" s="17" t="s">
        <v>19</v>
      </c>
      <c r="D698" s="18" t="s">
        <v>435</v>
      </c>
      <c r="E698" s="18">
        <v>2</v>
      </c>
      <c r="F698" s="18" t="s">
        <v>147</v>
      </c>
      <c r="G698" s="18" t="s">
        <v>39</v>
      </c>
      <c r="H698" s="21"/>
      <c r="I698" s="19">
        <v>76.36</v>
      </c>
      <c r="J698" s="20">
        <f t="shared" si="20"/>
        <v>152.72</v>
      </c>
      <c r="K698" s="106"/>
      <c r="L698" s="114"/>
      <c r="M698" s="114">
        <f>tblAquisições[[#This Row],[VALOR UNITARIO COMPRADO]]*tblAquisições[[#This Row],[QUANTIDADE COMPRADA]]</f>
        <v>0</v>
      </c>
      <c r="N698" s="110">
        <f>K698-tblAquisições[[#This Row],[QUANTIDADE PLANEJADA]]</f>
        <v>-2</v>
      </c>
      <c r="O698" s="106" t="str">
        <f t="shared" si="21"/>
        <v>Faltando Comprar</v>
      </c>
    </row>
    <row r="699" spans="1:15" ht="47.25">
      <c r="A699" s="16" t="s">
        <v>17</v>
      </c>
      <c r="B699" s="16" t="s">
        <v>28</v>
      </c>
      <c r="C699" s="17" t="s">
        <v>19</v>
      </c>
      <c r="D699" s="18" t="s">
        <v>436</v>
      </c>
      <c r="E699" s="18">
        <v>12</v>
      </c>
      <c r="F699" s="18" t="s">
        <v>78</v>
      </c>
      <c r="G699" s="18" t="s">
        <v>22</v>
      </c>
      <c r="H699" s="18" t="s">
        <v>23</v>
      </c>
      <c r="I699" s="19">
        <v>76.36</v>
      </c>
      <c r="J699" s="20">
        <f t="shared" si="20"/>
        <v>916.31999999999994</v>
      </c>
      <c r="K699" s="106"/>
      <c r="L699" s="114"/>
      <c r="M699" s="114">
        <f>tblAquisições[[#This Row],[VALOR UNITARIO COMPRADO]]*tblAquisições[[#This Row],[QUANTIDADE COMPRADA]]</f>
        <v>0</v>
      </c>
      <c r="N699" s="110">
        <f>K699-tblAquisições[[#This Row],[QUANTIDADE PLANEJADA]]</f>
        <v>-12</v>
      </c>
      <c r="O699" s="106" t="str">
        <f t="shared" si="21"/>
        <v>Faltando Comprar</v>
      </c>
    </row>
    <row r="700" spans="1:15" ht="31.5">
      <c r="A700" s="16" t="s">
        <v>17</v>
      </c>
      <c r="B700" s="16" t="s">
        <v>80</v>
      </c>
      <c r="C700" s="17" t="s">
        <v>19</v>
      </c>
      <c r="D700" s="18" t="s">
        <v>437</v>
      </c>
      <c r="E700" s="18">
        <v>1</v>
      </c>
      <c r="F700" s="18" t="s">
        <v>38</v>
      </c>
      <c r="G700" s="18" t="s">
        <v>39</v>
      </c>
      <c r="H700" s="18" t="s">
        <v>23</v>
      </c>
      <c r="I700" s="19">
        <v>134.69</v>
      </c>
      <c r="J700" s="20">
        <f t="shared" si="20"/>
        <v>134.69</v>
      </c>
      <c r="K700" s="106"/>
      <c r="L700" s="114"/>
      <c r="M700" s="114">
        <f>tblAquisições[[#This Row],[VALOR UNITARIO COMPRADO]]*tblAquisições[[#This Row],[QUANTIDADE COMPRADA]]</f>
        <v>0</v>
      </c>
      <c r="N700" s="110">
        <f>K700-tblAquisições[[#This Row],[QUANTIDADE PLANEJADA]]</f>
        <v>-1</v>
      </c>
      <c r="O700" s="106" t="str">
        <f t="shared" si="21"/>
        <v>Faltando Comprar</v>
      </c>
    </row>
    <row r="701" spans="1:15" ht="31.5">
      <c r="A701" s="16" t="s">
        <v>17</v>
      </c>
      <c r="B701" s="16" t="s">
        <v>34</v>
      </c>
      <c r="C701" s="17" t="s">
        <v>19</v>
      </c>
      <c r="D701" s="18" t="s">
        <v>438</v>
      </c>
      <c r="E701" s="18">
        <v>1</v>
      </c>
      <c r="F701" s="18" t="s">
        <v>21</v>
      </c>
      <c r="G701" s="18" t="s">
        <v>22</v>
      </c>
      <c r="H701" s="18" t="s">
        <v>23</v>
      </c>
      <c r="I701" s="19">
        <v>134.69</v>
      </c>
      <c r="J701" s="20">
        <f t="shared" si="20"/>
        <v>134.69</v>
      </c>
      <c r="K701" s="106"/>
      <c r="L701" s="114"/>
      <c r="M701" s="114">
        <f>tblAquisições[[#This Row],[VALOR UNITARIO COMPRADO]]*tblAquisições[[#This Row],[QUANTIDADE COMPRADA]]</f>
        <v>0</v>
      </c>
      <c r="N701" s="110">
        <f>K701-tblAquisições[[#This Row],[QUANTIDADE PLANEJADA]]</f>
        <v>-1</v>
      </c>
      <c r="O701" s="106" t="str">
        <f t="shared" si="21"/>
        <v>Faltando Comprar</v>
      </c>
    </row>
    <row r="702" spans="1:15" ht="31.5">
      <c r="A702" s="16" t="s">
        <v>17</v>
      </c>
      <c r="B702" s="16" t="s">
        <v>18</v>
      </c>
      <c r="C702" s="17" t="s">
        <v>19</v>
      </c>
      <c r="D702" s="18" t="s">
        <v>438</v>
      </c>
      <c r="E702" s="18">
        <v>8</v>
      </c>
      <c r="F702" s="18" t="s">
        <v>21</v>
      </c>
      <c r="G702" s="18" t="s">
        <v>22</v>
      </c>
      <c r="H702" s="18" t="s">
        <v>23</v>
      </c>
      <c r="I702" s="19">
        <v>134.69</v>
      </c>
      <c r="J702" s="20">
        <f t="shared" si="20"/>
        <v>1077.52</v>
      </c>
      <c r="K702" s="106"/>
      <c r="L702" s="114"/>
      <c r="M702" s="114">
        <f>tblAquisições[[#This Row],[VALOR UNITARIO COMPRADO]]*tblAquisições[[#This Row],[QUANTIDADE COMPRADA]]</f>
        <v>0</v>
      </c>
      <c r="N702" s="110">
        <f>K702-tblAquisições[[#This Row],[QUANTIDADE PLANEJADA]]</f>
        <v>-8</v>
      </c>
      <c r="O702" s="106" t="str">
        <f t="shared" si="21"/>
        <v>Faltando Comprar</v>
      </c>
    </row>
    <row r="703" spans="1:15" ht="31.5">
      <c r="A703" s="16" t="s">
        <v>17</v>
      </c>
      <c r="B703" s="16" t="s">
        <v>24</v>
      </c>
      <c r="C703" s="17" t="s">
        <v>19</v>
      </c>
      <c r="D703" s="18" t="s">
        <v>438</v>
      </c>
      <c r="E703" s="18">
        <v>8</v>
      </c>
      <c r="F703" s="18" t="s">
        <v>21</v>
      </c>
      <c r="G703" s="18" t="s">
        <v>22</v>
      </c>
      <c r="H703" s="18" t="s">
        <v>23</v>
      </c>
      <c r="I703" s="19">
        <v>134.69</v>
      </c>
      <c r="J703" s="20">
        <f t="shared" si="20"/>
        <v>1077.52</v>
      </c>
      <c r="K703" s="106"/>
      <c r="L703" s="114"/>
      <c r="M703" s="114">
        <f>tblAquisições[[#This Row],[VALOR UNITARIO COMPRADO]]*tblAquisições[[#This Row],[QUANTIDADE COMPRADA]]</f>
        <v>0</v>
      </c>
      <c r="N703" s="110">
        <f>K703-tblAquisições[[#This Row],[QUANTIDADE PLANEJADA]]</f>
        <v>-8</v>
      </c>
      <c r="O703" s="106" t="str">
        <f t="shared" si="21"/>
        <v>Faltando Comprar</v>
      </c>
    </row>
    <row r="704" spans="1:15" ht="31.5">
      <c r="A704" s="16" t="s">
        <v>17</v>
      </c>
      <c r="B704" s="16" t="s">
        <v>25</v>
      </c>
      <c r="C704" s="17" t="s">
        <v>19</v>
      </c>
      <c r="D704" s="18" t="s">
        <v>438</v>
      </c>
      <c r="E704" s="18">
        <v>8</v>
      </c>
      <c r="F704" s="18" t="s">
        <v>21</v>
      </c>
      <c r="G704" s="18" t="s">
        <v>22</v>
      </c>
      <c r="H704" s="18" t="s">
        <v>23</v>
      </c>
      <c r="I704" s="19">
        <v>134.69</v>
      </c>
      <c r="J704" s="20">
        <f t="shared" si="20"/>
        <v>1077.52</v>
      </c>
      <c r="K704" s="106"/>
      <c r="L704" s="114"/>
      <c r="M704" s="114">
        <f>tblAquisições[[#This Row],[VALOR UNITARIO COMPRADO]]*tblAquisições[[#This Row],[QUANTIDADE COMPRADA]]</f>
        <v>0</v>
      </c>
      <c r="N704" s="110">
        <f>K704-tblAquisições[[#This Row],[QUANTIDADE PLANEJADA]]</f>
        <v>-8</v>
      </c>
      <c r="O704" s="106" t="str">
        <f t="shared" si="21"/>
        <v>Faltando Comprar</v>
      </c>
    </row>
    <row r="705" spans="1:15" ht="31.5">
      <c r="A705" s="16" t="s">
        <v>17</v>
      </c>
      <c r="B705" s="16" t="s">
        <v>27</v>
      </c>
      <c r="C705" s="17" t="s">
        <v>19</v>
      </c>
      <c r="D705" s="18" t="s">
        <v>438</v>
      </c>
      <c r="E705" s="18">
        <v>4</v>
      </c>
      <c r="F705" s="18" t="s">
        <v>21</v>
      </c>
      <c r="G705" s="18" t="s">
        <v>22</v>
      </c>
      <c r="H705" s="18" t="s">
        <v>23</v>
      </c>
      <c r="I705" s="19">
        <v>134.69</v>
      </c>
      <c r="J705" s="20">
        <f t="shared" si="20"/>
        <v>538.76</v>
      </c>
      <c r="K705" s="106"/>
      <c r="L705" s="114"/>
      <c r="M705" s="114">
        <f>tblAquisições[[#This Row],[VALOR UNITARIO COMPRADO]]*tblAquisições[[#This Row],[QUANTIDADE COMPRADA]]</f>
        <v>0</v>
      </c>
      <c r="N705" s="110">
        <f>K705-tblAquisições[[#This Row],[QUANTIDADE PLANEJADA]]</f>
        <v>-4</v>
      </c>
      <c r="O705" s="106" t="str">
        <f t="shared" si="21"/>
        <v>Faltando Comprar</v>
      </c>
    </row>
    <row r="706" spans="1:15" ht="31.5">
      <c r="A706" s="16" t="s">
        <v>17</v>
      </c>
      <c r="B706" s="16" t="s">
        <v>28</v>
      </c>
      <c r="C706" s="17" t="s">
        <v>19</v>
      </c>
      <c r="D706" s="18" t="s">
        <v>438</v>
      </c>
      <c r="E706" s="18">
        <v>6</v>
      </c>
      <c r="F706" s="18" t="s">
        <v>21</v>
      </c>
      <c r="G706" s="18" t="s">
        <v>22</v>
      </c>
      <c r="H706" s="18" t="s">
        <v>23</v>
      </c>
      <c r="I706" s="19">
        <v>134.69</v>
      </c>
      <c r="J706" s="20">
        <f t="shared" ref="J706:J769" si="22">E706*I706</f>
        <v>808.14</v>
      </c>
      <c r="K706" s="106"/>
      <c r="L706" s="114"/>
      <c r="M706" s="114">
        <f>tblAquisições[[#This Row],[VALOR UNITARIO COMPRADO]]*tblAquisições[[#This Row],[QUANTIDADE COMPRADA]]</f>
        <v>0</v>
      </c>
      <c r="N706" s="110">
        <f>K706-tblAquisições[[#This Row],[QUANTIDADE PLANEJADA]]</f>
        <v>-6</v>
      </c>
      <c r="O706" s="106" t="str">
        <f t="shared" ref="O706:O769" si="23">IF(K706=E706,"OK",IF(K706&lt;E706,"Faltando Comprar","Excedente"))</f>
        <v>Faltando Comprar</v>
      </c>
    </row>
    <row r="707" spans="1:15" ht="31.5">
      <c r="A707" s="16" t="s">
        <v>17</v>
      </c>
      <c r="B707" s="16" t="s">
        <v>41</v>
      </c>
      <c r="C707" s="17" t="s">
        <v>19</v>
      </c>
      <c r="D707" s="18" t="s">
        <v>439</v>
      </c>
      <c r="E707" s="18">
        <v>10</v>
      </c>
      <c r="F707" s="18" t="s">
        <v>21</v>
      </c>
      <c r="G707" s="18" t="s">
        <v>22</v>
      </c>
      <c r="H707" s="18" t="s">
        <v>23</v>
      </c>
      <c r="I707" s="19">
        <v>47.72</v>
      </c>
      <c r="J707" s="20">
        <f t="shared" si="22"/>
        <v>477.2</v>
      </c>
      <c r="K707" s="106"/>
      <c r="L707" s="114"/>
      <c r="M707" s="114">
        <f>tblAquisições[[#This Row],[VALOR UNITARIO COMPRADO]]*tblAquisições[[#This Row],[QUANTIDADE COMPRADA]]</f>
        <v>0</v>
      </c>
      <c r="N707" s="110">
        <f>K707-tblAquisições[[#This Row],[QUANTIDADE PLANEJADA]]</f>
        <v>-10</v>
      </c>
      <c r="O707" s="106" t="str">
        <f t="shared" si="23"/>
        <v>Faltando Comprar</v>
      </c>
    </row>
    <row r="708" spans="1:15" ht="31.5">
      <c r="A708" s="16" t="s">
        <v>17</v>
      </c>
      <c r="B708" s="16" t="s">
        <v>28</v>
      </c>
      <c r="C708" s="17" t="s">
        <v>19</v>
      </c>
      <c r="D708" s="18" t="s">
        <v>439</v>
      </c>
      <c r="E708" s="18">
        <v>10</v>
      </c>
      <c r="F708" s="18" t="s">
        <v>21</v>
      </c>
      <c r="G708" s="18" t="s">
        <v>22</v>
      </c>
      <c r="H708" s="18" t="s">
        <v>23</v>
      </c>
      <c r="I708" s="19">
        <v>47.72</v>
      </c>
      <c r="J708" s="20">
        <f t="shared" si="22"/>
        <v>477.2</v>
      </c>
      <c r="K708" s="106"/>
      <c r="L708" s="114"/>
      <c r="M708" s="114">
        <f>tblAquisições[[#This Row],[VALOR UNITARIO COMPRADO]]*tblAquisições[[#This Row],[QUANTIDADE COMPRADA]]</f>
        <v>0</v>
      </c>
      <c r="N708" s="110">
        <f>K708-tblAquisições[[#This Row],[QUANTIDADE PLANEJADA]]</f>
        <v>-10</v>
      </c>
      <c r="O708" s="106" t="str">
        <f t="shared" si="23"/>
        <v>Faltando Comprar</v>
      </c>
    </row>
    <row r="709" spans="1:15" ht="31.5">
      <c r="A709" s="16" t="s">
        <v>17</v>
      </c>
      <c r="B709" s="16" t="s">
        <v>80</v>
      </c>
      <c r="C709" s="17" t="s">
        <v>19</v>
      </c>
      <c r="D709" s="18" t="s">
        <v>440</v>
      </c>
      <c r="E709" s="18">
        <v>60</v>
      </c>
      <c r="F709" s="18" t="s">
        <v>38</v>
      </c>
      <c r="G709" s="18" t="s">
        <v>39</v>
      </c>
      <c r="H709" s="18" t="s">
        <v>23</v>
      </c>
      <c r="I709" s="19">
        <v>138.41999999999999</v>
      </c>
      <c r="J709" s="20">
        <f t="shared" si="22"/>
        <v>8305.1999999999989</v>
      </c>
      <c r="K709" s="106"/>
      <c r="L709" s="114"/>
      <c r="M709" s="114">
        <f>tblAquisições[[#This Row],[VALOR UNITARIO COMPRADO]]*tblAquisições[[#This Row],[QUANTIDADE COMPRADA]]</f>
        <v>0</v>
      </c>
      <c r="N709" s="110">
        <f>K709-tblAquisições[[#This Row],[QUANTIDADE PLANEJADA]]</f>
        <v>-60</v>
      </c>
      <c r="O709" s="106" t="str">
        <f t="shared" si="23"/>
        <v>Faltando Comprar</v>
      </c>
    </row>
    <row r="710" spans="1:15" ht="31.5">
      <c r="A710" s="16" t="s">
        <v>17</v>
      </c>
      <c r="B710" s="16" t="s">
        <v>34</v>
      </c>
      <c r="C710" s="17" t="s">
        <v>19</v>
      </c>
      <c r="D710" s="18" t="s">
        <v>441</v>
      </c>
      <c r="E710" s="18">
        <v>5</v>
      </c>
      <c r="F710" s="18" t="s">
        <v>21</v>
      </c>
      <c r="G710" s="18" t="s">
        <v>22</v>
      </c>
      <c r="H710" s="18" t="s">
        <v>23</v>
      </c>
      <c r="I710" s="19">
        <v>138.41999999999999</v>
      </c>
      <c r="J710" s="20">
        <f t="shared" si="22"/>
        <v>692.09999999999991</v>
      </c>
      <c r="K710" s="106"/>
      <c r="L710" s="114"/>
      <c r="M710" s="114">
        <f>tblAquisições[[#This Row],[VALOR UNITARIO COMPRADO]]*tblAquisições[[#This Row],[QUANTIDADE COMPRADA]]</f>
        <v>0</v>
      </c>
      <c r="N710" s="110">
        <f>K710-tblAquisições[[#This Row],[QUANTIDADE PLANEJADA]]</f>
        <v>-5</v>
      </c>
      <c r="O710" s="106" t="str">
        <f t="shared" si="23"/>
        <v>Faltando Comprar</v>
      </c>
    </row>
    <row r="711" spans="1:15" ht="31.5">
      <c r="A711" s="16" t="s">
        <v>17</v>
      </c>
      <c r="B711" s="16" t="s">
        <v>31</v>
      </c>
      <c r="C711" s="17" t="s">
        <v>19</v>
      </c>
      <c r="D711" s="18" t="s">
        <v>441</v>
      </c>
      <c r="E711" s="18">
        <v>150</v>
      </c>
      <c r="F711" s="18" t="s">
        <v>21</v>
      </c>
      <c r="G711" s="18" t="s">
        <v>22</v>
      </c>
      <c r="H711" s="18" t="s">
        <v>23</v>
      </c>
      <c r="I711" s="19">
        <v>138.41999999999999</v>
      </c>
      <c r="J711" s="20">
        <f t="shared" si="22"/>
        <v>20762.999999999996</v>
      </c>
      <c r="K711" s="106"/>
      <c r="L711" s="114"/>
      <c r="M711" s="114">
        <f>tblAquisições[[#This Row],[VALOR UNITARIO COMPRADO]]*tblAquisições[[#This Row],[QUANTIDADE COMPRADA]]</f>
        <v>0</v>
      </c>
      <c r="N711" s="110">
        <f>K711-tblAquisições[[#This Row],[QUANTIDADE PLANEJADA]]</f>
        <v>-150</v>
      </c>
      <c r="O711" s="106" t="str">
        <f t="shared" si="23"/>
        <v>Faltando Comprar</v>
      </c>
    </row>
    <row r="712" spans="1:15" ht="31.5">
      <c r="A712" s="16" t="s">
        <v>17</v>
      </c>
      <c r="B712" s="16" t="s">
        <v>18</v>
      </c>
      <c r="C712" s="17" t="s">
        <v>19</v>
      </c>
      <c r="D712" s="18" t="s">
        <v>441</v>
      </c>
      <c r="E712" s="18">
        <v>500</v>
      </c>
      <c r="F712" s="18" t="s">
        <v>21</v>
      </c>
      <c r="G712" s="18" t="s">
        <v>22</v>
      </c>
      <c r="H712" s="18" t="s">
        <v>23</v>
      </c>
      <c r="I712" s="19">
        <v>138.41999999999999</v>
      </c>
      <c r="J712" s="20">
        <f t="shared" si="22"/>
        <v>69210</v>
      </c>
      <c r="K712" s="106"/>
      <c r="L712" s="114"/>
      <c r="M712" s="114">
        <f>tblAquisições[[#This Row],[VALOR UNITARIO COMPRADO]]*tblAquisições[[#This Row],[QUANTIDADE COMPRADA]]</f>
        <v>0</v>
      </c>
      <c r="N712" s="110">
        <f>K712-tblAquisições[[#This Row],[QUANTIDADE PLANEJADA]]</f>
        <v>-500</v>
      </c>
      <c r="O712" s="106" t="str">
        <f t="shared" si="23"/>
        <v>Faltando Comprar</v>
      </c>
    </row>
    <row r="713" spans="1:15" ht="31.5">
      <c r="A713" s="16" t="s">
        <v>17</v>
      </c>
      <c r="B713" s="16" t="s">
        <v>24</v>
      </c>
      <c r="C713" s="17" t="s">
        <v>19</v>
      </c>
      <c r="D713" s="18" t="s">
        <v>441</v>
      </c>
      <c r="E713" s="18">
        <v>500</v>
      </c>
      <c r="F713" s="18" t="s">
        <v>21</v>
      </c>
      <c r="G713" s="18" t="s">
        <v>22</v>
      </c>
      <c r="H713" s="18" t="s">
        <v>23</v>
      </c>
      <c r="I713" s="19">
        <v>138.41999999999999</v>
      </c>
      <c r="J713" s="20">
        <f t="shared" si="22"/>
        <v>69210</v>
      </c>
      <c r="K713" s="106"/>
      <c r="L713" s="114"/>
      <c r="M713" s="114">
        <f>tblAquisições[[#This Row],[VALOR UNITARIO COMPRADO]]*tblAquisições[[#This Row],[QUANTIDADE COMPRADA]]</f>
        <v>0</v>
      </c>
      <c r="N713" s="110">
        <f>K713-tblAquisições[[#This Row],[QUANTIDADE PLANEJADA]]</f>
        <v>-500</v>
      </c>
      <c r="O713" s="106" t="str">
        <f t="shared" si="23"/>
        <v>Faltando Comprar</v>
      </c>
    </row>
    <row r="714" spans="1:15" ht="31.5">
      <c r="A714" s="16" t="s">
        <v>17</v>
      </c>
      <c r="B714" s="16" t="s">
        <v>25</v>
      </c>
      <c r="C714" s="17" t="s">
        <v>19</v>
      </c>
      <c r="D714" s="18" t="s">
        <v>441</v>
      </c>
      <c r="E714" s="18">
        <v>500</v>
      </c>
      <c r="F714" s="18" t="s">
        <v>21</v>
      </c>
      <c r="G714" s="18" t="s">
        <v>22</v>
      </c>
      <c r="H714" s="18" t="s">
        <v>23</v>
      </c>
      <c r="I714" s="19">
        <v>138.41999999999999</v>
      </c>
      <c r="J714" s="20">
        <f t="shared" si="22"/>
        <v>69210</v>
      </c>
      <c r="K714" s="106"/>
      <c r="L714" s="114"/>
      <c r="M714" s="114">
        <f>tblAquisições[[#This Row],[VALOR UNITARIO COMPRADO]]*tblAquisições[[#This Row],[QUANTIDADE COMPRADA]]</f>
        <v>0</v>
      </c>
      <c r="N714" s="110">
        <f>K714-tblAquisições[[#This Row],[QUANTIDADE PLANEJADA]]</f>
        <v>-500</v>
      </c>
      <c r="O714" s="106" t="str">
        <f t="shared" si="23"/>
        <v>Faltando Comprar</v>
      </c>
    </row>
    <row r="715" spans="1:15" ht="31.5">
      <c r="A715" s="16" t="s">
        <v>17</v>
      </c>
      <c r="B715" s="16" t="s">
        <v>41</v>
      </c>
      <c r="C715" s="17" t="s">
        <v>19</v>
      </c>
      <c r="D715" s="18" t="s">
        <v>441</v>
      </c>
      <c r="E715" s="18">
        <v>600</v>
      </c>
      <c r="F715" s="18" t="s">
        <v>21</v>
      </c>
      <c r="G715" s="18" t="s">
        <v>22</v>
      </c>
      <c r="H715" s="18" t="s">
        <v>83</v>
      </c>
      <c r="I715" s="19">
        <v>138.41999999999999</v>
      </c>
      <c r="J715" s="20">
        <f t="shared" si="22"/>
        <v>83051.999999999985</v>
      </c>
      <c r="K715" s="106"/>
      <c r="L715" s="114"/>
      <c r="M715" s="114">
        <f>tblAquisições[[#This Row],[VALOR UNITARIO COMPRADO]]*tblAquisições[[#This Row],[QUANTIDADE COMPRADA]]</f>
        <v>0</v>
      </c>
      <c r="N715" s="110">
        <f>K715-tblAquisições[[#This Row],[QUANTIDADE PLANEJADA]]</f>
        <v>-600</v>
      </c>
      <c r="O715" s="106" t="str">
        <f t="shared" si="23"/>
        <v>Faltando Comprar</v>
      </c>
    </row>
    <row r="716" spans="1:15" ht="31.5">
      <c r="A716" s="16" t="s">
        <v>17</v>
      </c>
      <c r="B716" s="16" t="s">
        <v>26</v>
      </c>
      <c r="C716" s="17" t="s">
        <v>19</v>
      </c>
      <c r="D716" s="18" t="s">
        <v>441</v>
      </c>
      <c r="E716" s="18">
        <v>10</v>
      </c>
      <c r="F716" s="18" t="s">
        <v>21</v>
      </c>
      <c r="G716" s="18" t="s">
        <v>22</v>
      </c>
      <c r="H716" s="18" t="s">
        <v>23</v>
      </c>
      <c r="I716" s="19">
        <v>138.41999999999999</v>
      </c>
      <c r="J716" s="20">
        <f t="shared" si="22"/>
        <v>1384.1999999999998</v>
      </c>
      <c r="K716" s="106"/>
      <c r="L716" s="114"/>
      <c r="M716" s="114">
        <f>tblAquisições[[#This Row],[VALOR UNITARIO COMPRADO]]*tblAquisições[[#This Row],[QUANTIDADE COMPRADA]]</f>
        <v>0</v>
      </c>
      <c r="N716" s="110">
        <f>K716-tblAquisições[[#This Row],[QUANTIDADE PLANEJADA]]</f>
        <v>-10</v>
      </c>
      <c r="O716" s="106" t="str">
        <f t="shared" si="23"/>
        <v>Faltando Comprar</v>
      </c>
    </row>
    <row r="717" spans="1:15" ht="31.5">
      <c r="A717" s="16" t="s">
        <v>17</v>
      </c>
      <c r="B717" s="16" t="s">
        <v>27</v>
      </c>
      <c r="C717" s="17" t="s">
        <v>19</v>
      </c>
      <c r="D717" s="18" t="s">
        <v>441</v>
      </c>
      <c r="E717" s="18">
        <v>300</v>
      </c>
      <c r="F717" s="18" t="s">
        <v>21</v>
      </c>
      <c r="G717" s="18" t="s">
        <v>22</v>
      </c>
      <c r="H717" s="18" t="s">
        <v>23</v>
      </c>
      <c r="I717" s="19">
        <v>138.41999999999999</v>
      </c>
      <c r="J717" s="20">
        <f t="shared" si="22"/>
        <v>41525.999999999993</v>
      </c>
      <c r="K717" s="106"/>
      <c r="L717" s="114"/>
      <c r="M717" s="114">
        <f>tblAquisições[[#This Row],[VALOR UNITARIO COMPRADO]]*tblAquisições[[#This Row],[QUANTIDADE COMPRADA]]</f>
        <v>0</v>
      </c>
      <c r="N717" s="110">
        <f>K717-tblAquisições[[#This Row],[QUANTIDADE PLANEJADA]]</f>
        <v>-300</v>
      </c>
      <c r="O717" s="106" t="str">
        <f t="shared" si="23"/>
        <v>Faltando Comprar</v>
      </c>
    </row>
    <row r="718" spans="1:15" ht="31.5">
      <c r="A718" s="16" t="s">
        <v>17</v>
      </c>
      <c r="B718" s="16" t="s">
        <v>18</v>
      </c>
      <c r="C718" s="17" t="s">
        <v>19</v>
      </c>
      <c r="D718" s="18" t="s">
        <v>442</v>
      </c>
      <c r="E718" s="18">
        <v>50</v>
      </c>
      <c r="F718" s="18" t="s">
        <v>21</v>
      </c>
      <c r="G718" s="18" t="s">
        <v>22</v>
      </c>
      <c r="H718" s="18" t="s">
        <v>23</v>
      </c>
      <c r="I718" s="19">
        <v>41.29</v>
      </c>
      <c r="J718" s="20">
        <f t="shared" si="22"/>
        <v>2064.5</v>
      </c>
      <c r="K718" s="106"/>
      <c r="L718" s="114"/>
      <c r="M718" s="114">
        <f>tblAquisições[[#This Row],[VALOR UNITARIO COMPRADO]]*tblAquisições[[#This Row],[QUANTIDADE COMPRADA]]</f>
        <v>0</v>
      </c>
      <c r="N718" s="110">
        <f>K718-tblAquisições[[#This Row],[QUANTIDADE PLANEJADA]]</f>
        <v>-50</v>
      </c>
      <c r="O718" s="106" t="str">
        <f t="shared" si="23"/>
        <v>Faltando Comprar</v>
      </c>
    </row>
    <row r="719" spans="1:15" ht="31.5">
      <c r="A719" s="16" t="s">
        <v>17</v>
      </c>
      <c r="B719" s="16" t="s">
        <v>24</v>
      </c>
      <c r="C719" s="17" t="s">
        <v>19</v>
      </c>
      <c r="D719" s="18" t="s">
        <v>442</v>
      </c>
      <c r="E719" s="18">
        <v>50</v>
      </c>
      <c r="F719" s="18" t="s">
        <v>21</v>
      </c>
      <c r="G719" s="18" t="s">
        <v>22</v>
      </c>
      <c r="H719" s="18" t="s">
        <v>23</v>
      </c>
      <c r="I719" s="19">
        <v>41.29</v>
      </c>
      <c r="J719" s="20">
        <f t="shared" si="22"/>
        <v>2064.5</v>
      </c>
      <c r="K719" s="106"/>
      <c r="L719" s="114"/>
      <c r="M719" s="114">
        <f>tblAquisições[[#This Row],[VALOR UNITARIO COMPRADO]]*tblAquisições[[#This Row],[QUANTIDADE COMPRADA]]</f>
        <v>0</v>
      </c>
      <c r="N719" s="110">
        <f>K719-tblAquisições[[#This Row],[QUANTIDADE PLANEJADA]]</f>
        <v>-50</v>
      </c>
      <c r="O719" s="106" t="str">
        <f t="shared" si="23"/>
        <v>Faltando Comprar</v>
      </c>
    </row>
    <row r="720" spans="1:15" ht="31.5">
      <c r="A720" s="16" t="s">
        <v>17</v>
      </c>
      <c r="B720" s="16" t="s">
        <v>25</v>
      </c>
      <c r="C720" s="17" t="s">
        <v>19</v>
      </c>
      <c r="D720" s="18" t="s">
        <v>442</v>
      </c>
      <c r="E720" s="18">
        <v>50</v>
      </c>
      <c r="F720" s="18" t="s">
        <v>21</v>
      </c>
      <c r="G720" s="18" t="s">
        <v>22</v>
      </c>
      <c r="H720" s="18" t="s">
        <v>23</v>
      </c>
      <c r="I720" s="19">
        <v>41.29</v>
      </c>
      <c r="J720" s="20">
        <f t="shared" si="22"/>
        <v>2064.5</v>
      </c>
      <c r="K720" s="106"/>
      <c r="L720" s="114"/>
      <c r="M720" s="114">
        <f>tblAquisições[[#This Row],[VALOR UNITARIO COMPRADO]]*tblAquisições[[#This Row],[QUANTIDADE COMPRADA]]</f>
        <v>0</v>
      </c>
      <c r="N720" s="110">
        <f>K720-tblAquisições[[#This Row],[QUANTIDADE PLANEJADA]]</f>
        <v>-50</v>
      </c>
      <c r="O720" s="106" t="str">
        <f t="shared" si="23"/>
        <v>Faltando Comprar</v>
      </c>
    </row>
    <row r="721" spans="1:15" ht="31.5">
      <c r="A721" s="16" t="s">
        <v>17</v>
      </c>
      <c r="B721" s="16" t="s">
        <v>27</v>
      </c>
      <c r="C721" s="17" t="s">
        <v>19</v>
      </c>
      <c r="D721" s="18" t="s">
        <v>442</v>
      </c>
      <c r="E721" s="18">
        <v>20</v>
      </c>
      <c r="F721" s="18" t="s">
        <v>21</v>
      </c>
      <c r="G721" s="18" t="s">
        <v>22</v>
      </c>
      <c r="H721" s="18" t="s">
        <v>23</v>
      </c>
      <c r="I721" s="19">
        <v>41.29</v>
      </c>
      <c r="J721" s="20">
        <f t="shared" si="22"/>
        <v>825.8</v>
      </c>
      <c r="K721" s="106"/>
      <c r="L721" s="114"/>
      <c r="M721" s="114">
        <f>tblAquisições[[#This Row],[VALOR UNITARIO COMPRADO]]*tblAquisições[[#This Row],[QUANTIDADE COMPRADA]]</f>
        <v>0</v>
      </c>
      <c r="N721" s="110">
        <f>K721-tblAquisições[[#This Row],[QUANTIDADE PLANEJADA]]</f>
        <v>-20</v>
      </c>
      <c r="O721" s="106" t="str">
        <f t="shared" si="23"/>
        <v>Faltando Comprar</v>
      </c>
    </row>
    <row r="722" spans="1:15" ht="31.5">
      <c r="A722" s="16" t="s">
        <v>17</v>
      </c>
      <c r="B722" s="16" t="s">
        <v>28</v>
      </c>
      <c r="C722" s="17" t="s">
        <v>19</v>
      </c>
      <c r="D722" s="18" t="s">
        <v>443</v>
      </c>
      <c r="E722" s="18">
        <v>200</v>
      </c>
      <c r="F722" s="18" t="s">
        <v>21</v>
      </c>
      <c r="G722" s="18" t="s">
        <v>22</v>
      </c>
      <c r="H722" s="18" t="s">
        <v>23</v>
      </c>
      <c r="I722" s="19">
        <v>26.8</v>
      </c>
      <c r="J722" s="20">
        <f t="shared" si="22"/>
        <v>5360</v>
      </c>
      <c r="K722" s="106"/>
      <c r="L722" s="114"/>
      <c r="M722" s="114">
        <f>tblAquisições[[#This Row],[VALOR UNITARIO COMPRADO]]*tblAquisições[[#This Row],[QUANTIDADE COMPRADA]]</f>
        <v>0</v>
      </c>
      <c r="N722" s="110">
        <f>K722-tblAquisições[[#This Row],[QUANTIDADE PLANEJADA]]</f>
        <v>-200</v>
      </c>
      <c r="O722" s="106" t="str">
        <f t="shared" si="23"/>
        <v>Faltando Comprar</v>
      </c>
    </row>
    <row r="723" spans="1:15" ht="31.5">
      <c r="A723" s="16" t="s">
        <v>17</v>
      </c>
      <c r="B723" s="16" t="s">
        <v>26</v>
      </c>
      <c r="C723" s="17" t="s">
        <v>19</v>
      </c>
      <c r="D723" s="18" t="s">
        <v>444</v>
      </c>
      <c r="E723" s="18">
        <v>20</v>
      </c>
      <c r="F723" s="18" t="s">
        <v>21</v>
      </c>
      <c r="G723" s="18" t="s">
        <v>22</v>
      </c>
      <c r="H723" s="18" t="s">
        <v>23</v>
      </c>
      <c r="I723" s="19">
        <v>29</v>
      </c>
      <c r="J723" s="20">
        <f t="shared" si="22"/>
        <v>580</v>
      </c>
      <c r="K723" s="106"/>
      <c r="L723" s="114"/>
      <c r="M723" s="114">
        <f>tblAquisições[[#This Row],[VALOR UNITARIO COMPRADO]]*tblAquisições[[#This Row],[QUANTIDADE COMPRADA]]</f>
        <v>0</v>
      </c>
      <c r="N723" s="110">
        <f>K723-tblAquisições[[#This Row],[QUANTIDADE PLANEJADA]]</f>
        <v>-20</v>
      </c>
      <c r="O723" s="106" t="str">
        <f t="shared" si="23"/>
        <v>Faltando Comprar</v>
      </c>
    </row>
    <row r="724" spans="1:15" ht="31.5">
      <c r="A724" s="16" t="s">
        <v>17</v>
      </c>
      <c r="B724" s="16" t="s">
        <v>28</v>
      </c>
      <c r="C724" s="17" t="s">
        <v>19</v>
      </c>
      <c r="D724" s="18" t="s">
        <v>444</v>
      </c>
      <c r="E724" s="18">
        <v>15</v>
      </c>
      <c r="F724" s="18" t="s">
        <v>21</v>
      </c>
      <c r="G724" s="18" t="s">
        <v>22</v>
      </c>
      <c r="H724" s="18" t="s">
        <v>23</v>
      </c>
      <c r="I724" s="19">
        <v>29</v>
      </c>
      <c r="J724" s="20">
        <f t="shared" si="22"/>
        <v>435</v>
      </c>
      <c r="K724" s="106"/>
      <c r="L724" s="114"/>
      <c r="M724" s="114">
        <f>tblAquisições[[#This Row],[VALOR UNITARIO COMPRADO]]*tblAquisições[[#This Row],[QUANTIDADE COMPRADA]]</f>
        <v>0</v>
      </c>
      <c r="N724" s="110">
        <f>K724-tblAquisições[[#This Row],[QUANTIDADE PLANEJADA]]</f>
        <v>-15</v>
      </c>
      <c r="O724" s="106" t="str">
        <f t="shared" si="23"/>
        <v>Faltando Comprar</v>
      </c>
    </row>
    <row r="725" spans="1:15" ht="31.5">
      <c r="A725" s="16" t="s">
        <v>17</v>
      </c>
      <c r="B725" s="16" t="s">
        <v>26</v>
      </c>
      <c r="C725" s="17" t="s">
        <v>19</v>
      </c>
      <c r="D725" s="18" t="s">
        <v>445</v>
      </c>
      <c r="E725" s="18">
        <v>25</v>
      </c>
      <c r="F725" s="18" t="s">
        <v>30</v>
      </c>
      <c r="G725" s="18" t="s">
        <v>22</v>
      </c>
      <c r="H725" s="18" t="s">
        <v>23</v>
      </c>
      <c r="I725" s="19">
        <v>88.5</v>
      </c>
      <c r="J725" s="20">
        <f t="shared" si="22"/>
        <v>2212.5</v>
      </c>
      <c r="K725" s="106"/>
      <c r="L725" s="114"/>
      <c r="M725" s="114">
        <f>tblAquisições[[#This Row],[VALOR UNITARIO COMPRADO]]*tblAquisições[[#This Row],[QUANTIDADE COMPRADA]]</f>
        <v>0</v>
      </c>
      <c r="N725" s="110">
        <f>K725-tblAquisições[[#This Row],[QUANTIDADE PLANEJADA]]</f>
        <v>-25</v>
      </c>
      <c r="O725" s="106" t="str">
        <f t="shared" si="23"/>
        <v>Faltando Comprar</v>
      </c>
    </row>
    <row r="726" spans="1:15" ht="31.5">
      <c r="A726" s="16" t="s">
        <v>17</v>
      </c>
      <c r="B726" s="16" t="s">
        <v>26</v>
      </c>
      <c r="C726" s="17" t="s">
        <v>19</v>
      </c>
      <c r="D726" s="18" t="s">
        <v>446</v>
      </c>
      <c r="E726" s="18">
        <v>5</v>
      </c>
      <c r="F726" s="18" t="s">
        <v>21</v>
      </c>
      <c r="G726" s="18" t="s">
        <v>22</v>
      </c>
      <c r="H726" s="18" t="s">
        <v>23</v>
      </c>
      <c r="I726" s="19">
        <v>160</v>
      </c>
      <c r="J726" s="20">
        <f t="shared" si="22"/>
        <v>800</v>
      </c>
      <c r="K726" s="106"/>
      <c r="L726" s="114"/>
      <c r="M726" s="114">
        <f>tblAquisições[[#This Row],[VALOR UNITARIO COMPRADO]]*tblAquisições[[#This Row],[QUANTIDADE COMPRADA]]</f>
        <v>0</v>
      </c>
      <c r="N726" s="110">
        <f>K726-tblAquisições[[#This Row],[QUANTIDADE PLANEJADA]]</f>
        <v>-5</v>
      </c>
      <c r="O726" s="106" t="str">
        <f t="shared" si="23"/>
        <v>Faltando Comprar</v>
      </c>
    </row>
    <row r="727" spans="1:15" ht="47.25">
      <c r="A727" s="16" t="s">
        <v>17</v>
      </c>
      <c r="B727" s="16" t="s">
        <v>80</v>
      </c>
      <c r="C727" s="17" t="s">
        <v>19</v>
      </c>
      <c r="D727" s="18" t="s">
        <v>447</v>
      </c>
      <c r="E727" s="18">
        <v>20</v>
      </c>
      <c r="F727" s="18" t="s">
        <v>147</v>
      </c>
      <c r="G727" s="18" t="s">
        <v>39</v>
      </c>
      <c r="H727" s="21"/>
      <c r="I727" s="19">
        <v>107.33</v>
      </c>
      <c r="J727" s="20">
        <f t="shared" si="22"/>
        <v>2146.6</v>
      </c>
      <c r="K727" s="106"/>
      <c r="L727" s="114"/>
      <c r="M727" s="114">
        <f>tblAquisições[[#This Row],[VALOR UNITARIO COMPRADO]]*tblAquisições[[#This Row],[QUANTIDADE COMPRADA]]</f>
        <v>0</v>
      </c>
      <c r="N727" s="110">
        <f>K727-tblAquisições[[#This Row],[QUANTIDADE PLANEJADA]]</f>
        <v>-20</v>
      </c>
      <c r="O727" s="106" t="str">
        <f t="shared" si="23"/>
        <v>Faltando Comprar</v>
      </c>
    </row>
    <row r="728" spans="1:15" ht="31.5">
      <c r="A728" s="16" t="s">
        <v>17</v>
      </c>
      <c r="B728" s="16" t="s">
        <v>18</v>
      </c>
      <c r="C728" s="17" t="s">
        <v>19</v>
      </c>
      <c r="D728" s="18" t="s">
        <v>448</v>
      </c>
      <c r="E728" s="18">
        <v>100</v>
      </c>
      <c r="F728" s="18" t="s">
        <v>21</v>
      </c>
      <c r="G728" s="18" t="s">
        <v>22</v>
      </c>
      <c r="H728" s="18" t="s">
        <v>23</v>
      </c>
      <c r="I728" s="19">
        <v>72.22</v>
      </c>
      <c r="J728" s="20">
        <f t="shared" si="22"/>
        <v>7222</v>
      </c>
      <c r="K728" s="106"/>
      <c r="L728" s="114"/>
      <c r="M728" s="114">
        <f>tblAquisições[[#This Row],[VALOR UNITARIO COMPRADO]]*tblAquisições[[#This Row],[QUANTIDADE COMPRADA]]</f>
        <v>0</v>
      </c>
      <c r="N728" s="110">
        <f>K728-tblAquisições[[#This Row],[QUANTIDADE PLANEJADA]]</f>
        <v>-100</v>
      </c>
      <c r="O728" s="106" t="str">
        <f t="shared" si="23"/>
        <v>Faltando Comprar</v>
      </c>
    </row>
    <row r="729" spans="1:15" ht="31.5">
      <c r="A729" s="16" t="s">
        <v>17</v>
      </c>
      <c r="B729" s="16" t="s">
        <v>24</v>
      </c>
      <c r="C729" s="17" t="s">
        <v>19</v>
      </c>
      <c r="D729" s="18" t="s">
        <v>448</v>
      </c>
      <c r="E729" s="18">
        <v>100</v>
      </c>
      <c r="F729" s="18" t="s">
        <v>21</v>
      </c>
      <c r="G729" s="18" t="s">
        <v>22</v>
      </c>
      <c r="H729" s="18" t="s">
        <v>23</v>
      </c>
      <c r="I729" s="19">
        <v>72.22</v>
      </c>
      <c r="J729" s="20">
        <f t="shared" si="22"/>
        <v>7222</v>
      </c>
      <c r="K729" s="106"/>
      <c r="L729" s="114"/>
      <c r="M729" s="114">
        <f>tblAquisições[[#This Row],[VALOR UNITARIO COMPRADO]]*tblAquisições[[#This Row],[QUANTIDADE COMPRADA]]</f>
        <v>0</v>
      </c>
      <c r="N729" s="110">
        <f>K729-tblAquisições[[#This Row],[QUANTIDADE PLANEJADA]]</f>
        <v>-100</v>
      </c>
      <c r="O729" s="106" t="str">
        <f t="shared" si="23"/>
        <v>Faltando Comprar</v>
      </c>
    </row>
    <row r="730" spans="1:15" ht="31.5">
      <c r="A730" s="16" t="s">
        <v>17</v>
      </c>
      <c r="B730" s="16" t="s">
        <v>25</v>
      </c>
      <c r="C730" s="17" t="s">
        <v>19</v>
      </c>
      <c r="D730" s="18" t="s">
        <v>448</v>
      </c>
      <c r="E730" s="18">
        <v>100</v>
      </c>
      <c r="F730" s="18" t="s">
        <v>21</v>
      </c>
      <c r="G730" s="18" t="s">
        <v>22</v>
      </c>
      <c r="H730" s="18" t="s">
        <v>23</v>
      </c>
      <c r="I730" s="19">
        <v>72.22</v>
      </c>
      <c r="J730" s="20">
        <f t="shared" si="22"/>
        <v>7222</v>
      </c>
      <c r="K730" s="106"/>
      <c r="L730" s="114"/>
      <c r="M730" s="114">
        <f>tblAquisições[[#This Row],[VALOR UNITARIO COMPRADO]]*tblAquisições[[#This Row],[QUANTIDADE COMPRADA]]</f>
        <v>0</v>
      </c>
      <c r="N730" s="110">
        <f>K730-tblAquisições[[#This Row],[QUANTIDADE PLANEJADA]]</f>
        <v>-100</v>
      </c>
      <c r="O730" s="106" t="str">
        <f t="shared" si="23"/>
        <v>Faltando Comprar</v>
      </c>
    </row>
    <row r="731" spans="1:15" ht="31.5">
      <c r="A731" s="16" t="s">
        <v>17</v>
      </c>
      <c r="B731" s="16" t="s">
        <v>26</v>
      </c>
      <c r="C731" s="17" t="s">
        <v>19</v>
      </c>
      <c r="D731" s="18" t="s">
        <v>448</v>
      </c>
      <c r="E731" s="18">
        <v>10</v>
      </c>
      <c r="F731" s="18" t="s">
        <v>21</v>
      </c>
      <c r="G731" s="18" t="s">
        <v>22</v>
      </c>
      <c r="H731" s="18" t="s">
        <v>23</v>
      </c>
      <c r="I731" s="19">
        <v>72.22</v>
      </c>
      <c r="J731" s="20">
        <f t="shared" si="22"/>
        <v>722.2</v>
      </c>
      <c r="K731" s="106"/>
      <c r="L731" s="114"/>
      <c r="M731" s="114">
        <f>tblAquisições[[#This Row],[VALOR UNITARIO COMPRADO]]*tblAquisições[[#This Row],[QUANTIDADE COMPRADA]]</f>
        <v>0</v>
      </c>
      <c r="N731" s="110">
        <f>K731-tblAquisições[[#This Row],[QUANTIDADE PLANEJADA]]</f>
        <v>-10</v>
      </c>
      <c r="O731" s="106" t="str">
        <f t="shared" si="23"/>
        <v>Faltando Comprar</v>
      </c>
    </row>
    <row r="732" spans="1:15" ht="31.5">
      <c r="A732" s="16" t="s">
        <v>17</v>
      </c>
      <c r="B732" s="16" t="s">
        <v>27</v>
      </c>
      <c r="C732" s="17" t="s">
        <v>19</v>
      </c>
      <c r="D732" s="18" t="s">
        <v>448</v>
      </c>
      <c r="E732" s="18">
        <v>200</v>
      </c>
      <c r="F732" s="18" t="s">
        <v>21</v>
      </c>
      <c r="G732" s="18" t="s">
        <v>22</v>
      </c>
      <c r="H732" s="18" t="s">
        <v>23</v>
      </c>
      <c r="I732" s="19">
        <v>72.22</v>
      </c>
      <c r="J732" s="20">
        <f t="shared" si="22"/>
        <v>14444</v>
      </c>
      <c r="K732" s="106"/>
      <c r="L732" s="114"/>
      <c r="M732" s="114">
        <f>tblAquisições[[#This Row],[VALOR UNITARIO COMPRADO]]*tblAquisições[[#This Row],[QUANTIDADE COMPRADA]]</f>
        <v>0</v>
      </c>
      <c r="N732" s="110">
        <f>K732-tblAquisições[[#This Row],[QUANTIDADE PLANEJADA]]</f>
        <v>-200</v>
      </c>
      <c r="O732" s="106" t="str">
        <f t="shared" si="23"/>
        <v>Faltando Comprar</v>
      </c>
    </row>
    <row r="733" spans="1:15" ht="31.5">
      <c r="A733" s="16" t="s">
        <v>17</v>
      </c>
      <c r="B733" s="16" t="s">
        <v>34</v>
      </c>
      <c r="C733" s="17" t="s">
        <v>19</v>
      </c>
      <c r="D733" s="18" t="s">
        <v>449</v>
      </c>
      <c r="E733" s="18">
        <v>20</v>
      </c>
      <c r="F733" s="18" t="s">
        <v>21</v>
      </c>
      <c r="G733" s="18" t="s">
        <v>22</v>
      </c>
      <c r="H733" s="18" t="s">
        <v>23</v>
      </c>
      <c r="I733" s="19">
        <v>2.6</v>
      </c>
      <c r="J733" s="20">
        <f t="shared" si="22"/>
        <v>52</v>
      </c>
      <c r="K733" s="106"/>
      <c r="L733" s="114"/>
      <c r="M733" s="114">
        <f>tblAquisições[[#This Row],[VALOR UNITARIO COMPRADO]]*tblAquisições[[#This Row],[QUANTIDADE COMPRADA]]</f>
        <v>0</v>
      </c>
      <c r="N733" s="110">
        <f>K733-tblAquisições[[#This Row],[QUANTIDADE PLANEJADA]]</f>
        <v>-20</v>
      </c>
      <c r="O733" s="106" t="str">
        <f t="shared" si="23"/>
        <v>Faltando Comprar</v>
      </c>
    </row>
    <row r="734" spans="1:15" ht="31.5">
      <c r="A734" s="16" t="s">
        <v>17</v>
      </c>
      <c r="B734" s="16" t="s">
        <v>17</v>
      </c>
      <c r="C734" s="17" t="s">
        <v>19</v>
      </c>
      <c r="D734" s="18" t="s">
        <v>450</v>
      </c>
      <c r="E734" s="18">
        <v>500</v>
      </c>
      <c r="F734" s="18" t="s">
        <v>38</v>
      </c>
      <c r="G734" s="18" t="s">
        <v>39</v>
      </c>
      <c r="H734" s="18" t="s">
        <v>23</v>
      </c>
      <c r="I734" s="19">
        <v>2.2000000000000002</v>
      </c>
      <c r="J734" s="20">
        <f t="shared" si="22"/>
        <v>1100</v>
      </c>
      <c r="K734" s="106"/>
      <c r="L734" s="114"/>
      <c r="M734" s="114">
        <f>tblAquisições[[#This Row],[VALOR UNITARIO COMPRADO]]*tblAquisições[[#This Row],[QUANTIDADE COMPRADA]]</f>
        <v>0</v>
      </c>
      <c r="N734" s="110">
        <f>K734-tblAquisições[[#This Row],[QUANTIDADE PLANEJADA]]</f>
        <v>-500</v>
      </c>
      <c r="O734" s="106" t="str">
        <f t="shared" si="23"/>
        <v>Faltando Comprar</v>
      </c>
    </row>
    <row r="735" spans="1:15" ht="31.5">
      <c r="A735" s="16" t="s">
        <v>17</v>
      </c>
      <c r="B735" s="16" t="s">
        <v>34</v>
      </c>
      <c r="C735" s="17" t="s">
        <v>19</v>
      </c>
      <c r="D735" s="18" t="s">
        <v>451</v>
      </c>
      <c r="E735" s="18">
        <v>50</v>
      </c>
      <c r="F735" s="18" t="s">
        <v>21</v>
      </c>
      <c r="G735" s="18" t="s">
        <v>22</v>
      </c>
      <c r="H735" s="18" t="s">
        <v>23</v>
      </c>
      <c r="I735" s="19">
        <v>2.2000000000000002</v>
      </c>
      <c r="J735" s="20">
        <f t="shared" si="22"/>
        <v>110.00000000000001</v>
      </c>
      <c r="K735" s="106"/>
      <c r="L735" s="114"/>
      <c r="M735" s="114">
        <f>tblAquisições[[#This Row],[VALOR UNITARIO COMPRADO]]*tblAquisições[[#This Row],[QUANTIDADE COMPRADA]]</f>
        <v>0</v>
      </c>
      <c r="N735" s="110">
        <f>K735-tblAquisições[[#This Row],[QUANTIDADE PLANEJADA]]</f>
        <v>-50</v>
      </c>
      <c r="O735" s="106" t="str">
        <f t="shared" si="23"/>
        <v>Faltando Comprar</v>
      </c>
    </row>
    <row r="736" spans="1:15" ht="31.5">
      <c r="A736" s="16" t="s">
        <v>17</v>
      </c>
      <c r="B736" s="16" t="s">
        <v>18</v>
      </c>
      <c r="C736" s="17" t="s">
        <v>19</v>
      </c>
      <c r="D736" s="18" t="s">
        <v>451</v>
      </c>
      <c r="E736" s="18">
        <v>300</v>
      </c>
      <c r="F736" s="18" t="s">
        <v>21</v>
      </c>
      <c r="G736" s="18" t="s">
        <v>22</v>
      </c>
      <c r="H736" s="18" t="s">
        <v>23</v>
      </c>
      <c r="I736" s="19">
        <v>2.2000000000000002</v>
      </c>
      <c r="J736" s="20">
        <f t="shared" si="22"/>
        <v>660</v>
      </c>
      <c r="K736" s="106"/>
      <c r="L736" s="114"/>
      <c r="M736" s="114">
        <f>tblAquisições[[#This Row],[VALOR UNITARIO COMPRADO]]*tblAquisições[[#This Row],[QUANTIDADE COMPRADA]]</f>
        <v>0</v>
      </c>
      <c r="N736" s="110">
        <f>K736-tblAquisições[[#This Row],[QUANTIDADE PLANEJADA]]</f>
        <v>-300</v>
      </c>
      <c r="O736" s="106" t="str">
        <f t="shared" si="23"/>
        <v>Faltando Comprar</v>
      </c>
    </row>
    <row r="737" spans="1:15" ht="31.5">
      <c r="A737" s="16" t="s">
        <v>17</v>
      </c>
      <c r="B737" s="16" t="s">
        <v>24</v>
      </c>
      <c r="C737" s="17" t="s">
        <v>19</v>
      </c>
      <c r="D737" s="18" t="s">
        <v>451</v>
      </c>
      <c r="E737" s="18">
        <v>300</v>
      </c>
      <c r="F737" s="18" t="s">
        <v>21</v>
      </c>
      <c r="G737" s="18" t="s">
        <v>22</v>
      </c>
      <c r="H737" s="18" t="s">
        <v>23</v>
      </c>
      <c r="I737" s="19">
        <v>2.2000000000000002</v>
      </c>
      <c r="J737" s="20">
        <f t="shared" si="22"/>
        <v>660</v>
      </c>
      <c r="K737" s="106"/>
      <c r="L737" s="114"/>
      <c r="M737" s="114">
        <f>tblAquisições[[#This Row],[VALOR UNITARIO COMPRADO]]*tblAquisições[[#This Row],[QUANTIDADE COMPRADA]]</f>
        <v>0</v>
      </c>
      <c r="N737" s="110">
        <f>K737-tblAquisições[[#This Row],[QUANTIDADE PLANEJADA]]</f>
        <v>-300</v>
      </c>
      <c r="O737" s="106" t="str">
        <f t="shared" si="23"/>
        <v>Faltando Comprar</v>
      </c>
    </row>
    <row r="738" spans="1:15" ht="31.5">
      <c r="A738" s="16" t="s">
        <v>17</v>
      </c>
      <c r="B738" s="16" t="s">
        <v>25</v>
      </c>
      <c r="C738" s="17" t="s">
        <v>19</v>
      </c>
      <c r="D738" s="18" t="s">
        <v>451</v>
      </c>
      <c r="E738" s="18">
        <v>300</v>
      </c>
      <c r="F738" s="18" t="s">
        <v>21</v>
      </c>
      <c r="G738" s="18" t="s">
        <v>22</v>
      </c>
      <c r="H738" s="18" t="s">
        <v>23</v>
      </c>
      <c r="I738" s="19">
        <v>2.2000000000000002</v>
      </c>
      <c r="J738" s="20">
        <f t="shared" si="22"/>
        <v>660</v>
      </c>
      <c r="K738" s="106"/>
      <c r="L738" s="114"/>
      <c r="M738" s="114">
        <f>tblAquisições[[#This Row],[VALOR UNITARIO COMPRADO]]*tblAquisições[[#This Row],[QUANTIDADE COMPRADA]]</f>
        <v>0</v>
      </c>
      <c r="N738" s="110">
        <f>K738-tblAquisições[[#This Row],[QUANTIDADE PLANEJADA]]</f>
        <v>-300</v>
      </c>
      <c r="O738" s="106" t="str">
        <f t="shared" si="23"/>
        <v>Faltando Comprar</v>
      </c>
    </row>
    <row r="739" spans="1:15" ht="31.5">
      <c r="A739" s="16" t="s">
        <v>17</v>
      </c>
      <c r="B739" s="16" t="s">
        <v>26</v>
      </c>
      <c r="C739" s="17" t="s">
        <v>19</v>
      </c>
      <c r="D739" s="18" t="s">
        <v>451</v>
      </c>
      <c r="E739" s="18">
        <v>50</v>
      </c>
      <c r="F739" s="18" t="s">
        <v>21</v>
      </c>
      <c r="G739" s="18" t="s">
        <v>22</v>
      </c>
      <c r="H739" s="18" t="s">
        <v>23</v>
      </c>
      <c r="I739" s="19">
        <v>2.2000000000000002</v>
      </c>
      <c r="J739" s="20">
        <f t="shared" si="22"/>
        <v>110.00000000000001</v>
      </c>
      <c r="K739" s="106"/>
      <c r="L739" s="114"/>
      <c r="M739" s="114">
        <f>tblAquisições[[#This Row],[VALOR UNITARIO COMPRADO]]*tblAquisições[[#This Row],[QUANTIDADE COMPRADA]]</f>
        <v>0</v>
      </c>
      <c r="N739" s="110">
        <f>K739-tblAquisições[[#This Row],[QUANTIDADE PLANEJADA]]</f>
        <v>-50</v>
      </c>
      <c r="O739" s="106" t="str">
        <f t="shared" si="23"/>
        <v>Faltando Comprar</v>
      </c>
    </row>
    <row r="740" spans="1:15" ht="31.5">
      <c r="A740" s="16" t="s">
        <v>17</v>
      </c>
      <c r="B740" s="16" t="s">
        <v>27</v>
      </c>
      <c r="C740" s="17" t="s">
        <v>19</v>
      </c>
      <c r="D740" s="18" t="s">
        <v>451</v>
      </c>
      <c r="E740" s="18">
        <v>400</v>
      </c>
      <c r="F740" s="18" t="s">
        <v>21</v>
      </c>
      <c r="G740" s="18" t="s">
        <v>22</v>
      </c>
      <c r="H740" s="18" t="s">
        <v>23</v>
      </c>
      <c r="I740" s="19">
        <v>2.2000000000000002</v>
      </c>
      <c r="J740" s="20">
        <f t="shared" si="22"/>
        <v>880.00000000000011</v>
      </c>
      <c r="K740" s="106"/>
      <c r="L740" s="114"/>
      <c r="M740" s="114">
        <f>tblAquisições[[#This Row],[VALOR UNITARIO COMPRADO]]*tblAquisições[[#This Row],[QUANTIDADE COMPRADA]]</f>
        <v>0</v>
      </c>
      <c r="N740" s="110">
        <f>K740-tblAquisições[[#This Row],[QUANTIDADE PLANEJADA]]</f>
        <v>-400</v>
      </c>
      <c r="O740" s="106" t="str">
        <f t="shared" si="23"/>
        <v>Faltando Comprar</v>
      </c>
    </row>
    <row r="741" spans="1:15" ht="31.5">
      <c r="A741" s="16" t="s">
        <v>17</v>
      </c>
      <c r="B741" s="16" t="s">
        <v>28</v>
      </c>
      <c r="C741" s="17" t="s">
        <v>19</v>
      </c>
      <c r="D741" s="18" t="s">
        <v>451</v>
      </c>
      <c r="E741" s="18">
        <v>500</v>
      </c>
      <c r="F741" s="18" t="s">
        <v>21</v>
      </c>
      <c r="G741" s="18" t="s">
        <v>22</v>
      </c>
      <c r="H741" s="18" t="s">
        <v>23</v>
      </c>
      <c r="I741" s="19">
        <v>2.2000000000000002</v>
      </c>
      <c r="J741" s="20">
        <f t="shared" si="22"/>
        <v>1100</v>
      </c>
      <c r="K741" s="106"/>
      <c r="L741" s="114"/>
      <c r="M741" s="114">
        <f>tblAquisições[[#This Row],[VALOR UNITARIO COMPRADO]]*tblAquisições[[#This Row],[QUANTIDADE COMPRADA]]</f>
        <v>0</v>
      </c>
      <c r="N741" s="110">
        <f>K741-tblAquisições[[#This Row],[QUANTIDADE PLANEJADA]]</f>
        <v>-500</v>
      </c>
      <c r="O741" s="106" t="str">
        <f t="shared" si="23"/>
        <v>Faltando Comprar</v>
      </c>
    </row>
    <row r="742" spans="1:15" ht="47.25">
      <c r="A742" s="16" t="s">
        <v>17</v>
      </c>
      <c r="B742" s="16" t="s">
        <v>80</v>
      </c>
      <c r="C742" s="17" t="s">
        <v>19</v>
      </c>
      <c r="D742" s="18" t="s">
        <v>452</v>
      </c>
      <c r="E742" s="18">
        <v>2</v>
      </c>
      <c r="F742" s="18" t="s">
        <v>147</v>
      </c>
      <c r="G742" s="18" t="s">
        <v>39</v>
      </c>
      <c r="H742" s="21"/>
      <c r="I742" s="19">
        <v>32.47</v>
      </c>
      <c r="J742" s="20">
        <f t="shared" si="22"/>
        <v>64.94</v>
      </c>
      <c r="K742" s="106"/>
      <c r="L742" s="114"/>
      <c r="M742" s="114">
        <f>tblAquisições[[#This Row],[VALOR UNITARIO COMPRADO]]*tblAquisições[[#This Row],[QUANTIDADE COMPRADA]]</f>
        <v>0</v>
      </c>
      <c r="N742" s="110">
        <f>K742-tblAquisições[[#This Row],[QUANTIDADE PLANEJADA]]</f>
        <v>-2</v>
      </c>
      <c r="O742" s="106" t="str">
        <f t="shared" si="23"/>
        <v>Faltando Comprar</v>
      </c>
    </row>
    <row r="743" spans="1:15" ht="47.25">
      <c r="A743" s="16" t="s">
        <v>17</v>
      </c>
      <c r="B743" s="16" t="s">
        <v>34</v>
      </c>
      <c r="C743" s="17" t="s">
        <v>19</v>
      </c>
      <c r="D743" s="18" t="s">
        <v>453</v>
      </c>
      <c r="E743" s="18">
        <v>2</v>
      </c>
      <c r="F743" s="18" t="s">
        <v>78</v>
      </c>
      <c r="G743" s="18" t="s">
        <v>22</v>
      </c>
      <c r="H743" s="18" t="s">
        <v>23</v>
      </c>
      <c r="I743" s="19">
        <v>32.47</v>
      </c>
      <c r="J743" s="20">
        <f t="shared" si="22"/>
        <v>64.94</v>
      </c>
      <c r="K743" s="106"/>
      <c r="L743" s="114"/>
      <c r="M743" s="114">
        <f>tblAquisições[[#This Row],[VALOR UNITARIO COMPRADO]]*tblAquisições[[#This Row],[QUANTIDADE COMPRADA]]</f>
        <v>0</v>
      </c>
      <c r="N743" s="110">
        <f>K743-tblAquisições[[#This Row],[QUANTIDADE PLANEJADA]]</f>
        <v>-2</v>
      </c>
      <c r="O743" s="106" t="str">
        <f t="shared" si="23"/>
        <v>Faltando Comprar</v>
      </c>
    </row>
    <row r="744" spans="1:15" ht="47.25">
      <c r="A744" s="16" t="s">
        <v>17</v>
      </c>
      <c r="B744" s="16" t="s">
        <v>18</v>
      </c>
      <c r="C744" s="17" t="s">
        <v>19</v>
      </c>
      <c r="D744" s="18" t="s">
        <v>454</v>
      </c>
      <c r="E744" s="18">
        <v>100</v>
      </c>
      <c r="F744" s="18" t="s">
        <v>78</v>
      </c>
      <c r="G744" s="18" t="s">
        <v>22</v>
      </c>
      <c r="H744" s="18" t="s">
        <v>83</v>
      </c>
      <c r="I744" s="19">
        <v>30.76</v>
      </c>
      <c r="J744" s="20">
        <f t="shared" si="22"/>
        <v>3076</v>
      </c>
      <c r="K744" s="106"/>
      <c r="L744" s="114"/>
      <c r="M744" s="114">
        <f>tblAquisições[[#This Row],[VALOR UNITARIO COMPRADO]]*tblAquisições[[#This Row],[QUANTIDADE COMPRADA]]</f>
        <v>0</v>
      </c>
      <c r="N744" s="110">
        <f>K744-tblAquisições[[#This Row],[QUANTIDADE PLANEJADA]]</f>
        <v>-100</v>
      </c>
      <c r="O744" s="106" t="str">
        <f t="shared" si="23"/>
        <v>Faltando Comprar</v>
      </c>
    </row>
    <row r="745" spans="1:15" ht="47.25">
      <c r="A745" s="16" t="s">
        <v>17</v>
      </c>
      <c r="B745" s="16" t="s">
        <v>24</v>
      </c>
      <c r="C745" s="17" t="s">
        <v>19</v>
      </c>
      <c r="D745" s="18" t="s">
        <v>454</v>
      </c>
      <c r="E745" s="18">
        <v>100</v>
      </c>
      <c r="F745" s="18" t="s">
        <v>78</v>
      </c>
      <c r="G745" s="18" t="s">
        <v>22</v>
      </c>
      <c r="H745" s="18" t="s">
        <v>83</v>
      </c>
      <c r="I745" s="19">
        <v>30.76</v>
      </c>
      <c r="J745" s="20">
        <f t="shared" si="22"/>
        <v>3076</v>
      </c>
      <c r="K745" s="106"/>
      <c r="L745" s="114"/>
      <c r="M745" s="114">
        <f>tblAquisições[[#This Row],[VALOR UNITARIO COMPRADO]]*tblAquisições[[#This Row],[QUANTIDADE COMPRADA]]</f>
        <v>0</v>
      </c>
      <c r="N745" s="110">
        <f>K745-tblAquisições[[#This Row],[QUANTIDADE PLANEJADA]]</f>
        <v>-100</v>
      </c>
      <c r="O745" s="106" t="str">
        <f t="shared" si="23"/>
        <v>Faltando Comprar</v>
      </c>
    </row>
    <row r="746" spans="1:15" ht="47.25">
      <c r="A746" s="16" t="s">
        <v>17</v>
      </c>
      <c r="B746" s="16" t="s">
        <v>25</v>
      </c>
      <c r="C746" s="17" t="s">
        <v>19</v>
      </c>
      <c r="D746" s="18" t="s">
        <v>454</v>
      </c>
      <c r="E746" s="18">
        <v>100</v>
      </c>
      <c r="F746" s="18" t="s">
        <v>78</v>
      </c>
      <c r="G746" s="18" t="s">
        <v>22</v>
      </c>
      <c r="H746" s="18" t="s">
        <v>83</v>
      </c>
      <c r="I746" s="19">
        <v>30.76</v>
      </c>
      <c r="J746" s="20">
        <f t="shared" si="22"/>
        <v>3076</v>
      </c>
      <c r="K746" s="106"/>
      <c r="L746" s="114"/>
      <c r="M746" s="114">
        <f>tblAquisições[[#This Row],[VALOR UNITARIO COMPRADO]]*tblAquisições[[#This Row],[QUANTIDADE COMPRADA]]</f>
        <v>0</v>
      </c>
      <c r="N746" s="110">
        <f>K746-tblAquisições[[#This Row],[QUANTIDADE PLANEJADA]]</f>
        <v>-100</v>
      </c>
      <c r="O746" s="106" t="str">
        <f t="shared" si="23"/>
        <v>Faltando Comprar</v>
      </c>
    </row>
    <row r="747" spans="1:15" ht="47.25">
      <c r="A747" s="16" t="s">
        <v>17</v>
      </c>
      <c r="B747" s="16" t="s">
        <v>27</v>
      </c>
      <c r="C747" s="17" t="s">
        <v>19</v>
      </c>
      <c r="D747" s="18" t="s">
        <v>454</v>
      </c>
      <c r="E747" s="18">
        <v>150</v>
      </c>
      <c r="F747" s="18" t="s">
        <v>78</v>
      </c>
      <c r="G747" s="18" t="s">
        <v>22</v>
      </c>
      <c r="H747" s="18" t="s">
        <v>23</v>
      </c>
      <c r="I747" s="19">
        <v>30.76</v>
      </c>
      <c r="J747" s="20">
        <f t="shared" si="22"/>
        <v>4614</v>
      </c>
      <c r="K747" s="106"/>
      <c r="L747" s="114"/>
      <c r="M747" s="114">
        <f>tblAquisições[[#This Row],[VALOR UNITARIO COMPRADO]]*tblAquisições[[#This Row],[QUANTIDADE COMPRADA]]</f>
        <v>0</v>
      </c>
      <c r="N747" s="110">
        <f>K747-tblAquisições[[#This Row],[QUANTIDADE PLANEJADA]]</f>
        <v>-150</v>
      </c>
      <c r="O747" s="106" t="str">
        <f t="shared" si="23"/>
        <v>Faltando Comprar</v>
      </c>
    </row>
    <row r="748" spans="1:15" ht="47.25">
      <c r="A748" s="16" t="s">
        <v>17</v>
      </c>
      <c r="B748" s="16" t="s">
        <v>80</v>
      </c>
      <c r="C748" s="17" t="s">
        <v>19</v>
      </c>
      <c r="D748" s="18" t="s">
        <v>455</v>
      </c>
      <c r="E748" s="18">
        <v>2</v>
      </c>
      <c r="F748" s="18" t="s">
        <v>147</v>
      </c>
      <c r="G748" s="18" t="s">
        <v>39</v>
      </c>
      <c r="H748" s="21"/>
      <c r="I748" s="19">
        <v>783.93</v>
      </c>
      <c r="J748" s="20">
        <f t="shared" si="22"/>
        <v>1567.86</v>
      </c>
      <c r="K748" s="106"/>
      <c r="L748" s="114"/>
      <c r="M748" s="114">
        <f>tblAquisições[[#This Row],[VALOR UNITARIO COMPRADO]]*tblAquisições[[#This Row],[QUANTIDADE COMPRADA]]</f>
        <v>0</v>
      </c>
      <c r="N748" s="110">
        <f>K748-tblAquisições[[#This Row],[QUANTIDADE PLANEJADA]]</f>
        <v>-2</v>
      </c>
      <c r="O748" s="106" t="str">
        <f t="shared" si="23"/>
        <v>Faltando Comprar</v>
      </c>
    </row>
    <row r="749" spans="1:15" ht="47.25">
      <c r="A749" s="16" t="s">
        <v>17</v>
      </c>
      <c r="B749" s="16" t="s">
        <v>34</v>
      </c>
      <c r="C749" s="17" t="s">
        <v>19</v>
      </c>
      <c r="D749" s="18" t="s">
        <v>456</v>
      </c>
      <c r="E749" s="18">
        <v>8</v>
      </c>
      <c r="F749" s="18" t="s">
        <v>78</v>
      </c>
      <c r="G749" s="18" t="s">
        <v>22</v>
      </c>
      <c r="H749" s="18" t="s">
        <v>23</v>
      </c>
      <c r="I749" s="19">
        <v>783.93</v>
      </c>
      <c r="J749" s="20">
        <f t="shared" si="22"/>
        <v>6271.44</v>
      </c>
      <c r="K749" s="106"/>
      <c r="L749" s="114"/>
      <c r="M749" s="114">
        <f>tblAquisições[[#This Row],[VALOR UNITARIO COMPRADO]]*tblAquisições[[#This Row],[QUANTIDADE COMPRADA]]</f>
        <v>0</v>
      </c>
      <c r="N749" s="110">
        <f>K749-tblAquisições[[#This Row],[QUANTIDADE PLANEJADA]]</f>
        <v>-8</v>
      </c>
      <c r="O749" s="106" t="str">
        <f t="shared" si="23"/>
        <v>Faltando Comprar</v>
      </c>
    </row>
    <row r="750" spans="1:15" ht="47.25">
      <c r="A750" s="16" t="s">
        <v>17</v>
      </c>
      <c r="B750" s="16" t="s">
        <v>31</v>
      </c>
      <c r="C750" s="17" t="s">
        <v>19</v>
      </c>
      <c r="D750" s="18" t="s">
        <v>456</v>
      </c>
      <c r="E750" s="18">
        <v>2</v>
      </c>
      <c r="F750" s="18" t="s">
        <v>78</v>
      </c>
      <c r="G750" s="18" t="s">
        <v>22</v>
      </c>
      <c r="H750" s="18" t="s">
        <v>23</v>
      </c>
      <c r="I750" s="19">
        <v>783.93</v>
      </c>
      <c r="J750" s="20">
        <f t="shared" si="22"/>
        <v>1567.86</v>
      </c>
      <c r="K750" s="106"/>
      <c r="L750" s="114"/>
      <c r="M750" s="114">
        <f>tblAquisições[[#This Row],[VALOR UNITARIO COMPRADO]]*tblAquisições[[#This Row],[QUANTIDADE COMPRADA]]</f>
        <v>0</v>
      </c>
      <c r="N750" s="110">
        <f>K750-tblAquisições[[#This Row],[QUANTIDADE PLANEJADA]]</f>
        <v>-2</v>
      </c>
      <c r="O750" s="106" t="str">
        <f t="shared" si="23"/>
        <v>Faltando Comprar</v>
      </c>
    </row>
    <row r="751" spans="1:15" ht="47.25">
      <c r="A751" s="16" t="s">
        <v>17</v>
      </c>
      <c r="B751" s="16" t="s">
        <v>28</v>
      </c>
      <c r="C751" s="17" t="s">
        <v>19</v>
      </c>
      <c r="D751" s="18" t="s">
        <v>456</v>
      </c>
      <c r="E751" s="18">
        <v>1</v>
      </c>
      <c r="F751" s="18" t="s">
        <v>78</v>
      </c>
      <c r="G751" s="18" t="s">
        <v>22</v>
      </c>
      <c r="H751" s="18" t="s">
        <v>23</v>
      </c>
      <c r="I751" s="19">
        <v>783.93</v>
      </c>
      <c r="J751" s="20">
        <f t="shared" si="22"/>
        <v>783.93</v>
      </c>
      <c r="K751" s="106"/>
      <c r="L751" s="114"/>
      <c r="M751" s="114">
        <f>tblAquisições[[#This Row],[VALOR UNITARIO COMPRADO]]*tblAquisições[[#This Row],[QUANTIDADE COMPRADA]]</f>
        <v>0</v>
      </c>
      <c r="N751" s="110">
        <f>K751-tblAquisições[[#This Row],[QUANTIDADE PLANEJADA]]</f>
        <v>-1</v>
      </c>
      <c r="O751" s="106" t="str">
        <f t="shared" si="23"/>
        <v>Faltando Comprar</v>
      </c>
    </row>
    <row r="752" spans="1:15" ht="31.5">
      <c r="A752" s="16" t="s">
        <v>17</v>
      </c>
      <c r="B752" s="16" t="s">
        <v>28</v>
      </c>
      <c r="C752" s="17" t="s">
        <v>19</v>
      </c>
      <c r="D752" s="18" t="s">
        <v>457</v>
      </c>
      <c r="E752" s="18">
        <v>4</v>
      </c>
      <c r="F752" s="18" t="s">
        <v>324</v>
      </c>
      <c r="G752" s="18" t="s">
        <v>22</v>
      </c>
      <c r="H752" s="18" t="s">
        <v>23</v>
      </c>
      <c r="I752" s="19">
        <v>44.24</v>
      </c>
      <c r="J752" s="20">
        <f t="shared" si="22"/>
        <v>176.96</v>
      </c>
      <c r="K752" s="106"/>
      <c r="L752" s="114"/>
      <c r="M752" s="114">
        <f>tblAquisições[[#This Row],[VALOR UNITARIO COMPRADO]]*tblAquisições[[#This Row],[QUANTIDADE COMPRADA]]</f>
        <v>0</v>
      </c>
      <c r="N752" s="110">
        <f>K752-tblAquisições[[#This Row],[QUANTIDADE PLANEJADA]]</f>
        <v>-4</v>
      </c>
      <c r="O752" s="106" t="str">
        <f t="shared" si="23"/>
        <v>Faltando Comprar</v>
      </c>
    </row>
    <row r="753" spans="1:15" ht="31.5">
      <c r="A753" s="16" t="s">
        <v>17</v>
      </c>
      <c r="B753" s="16" t="s">
        <v>18</v>
      </c>
      <c r="C753" s="17" t="s">
        <v>19</v>
      </c>
      <c r="D753" s="18" t="s">
        <v>458</v>
      </c>
      <c r="E753" s="18">
        <v>80</v>
      </c>
      <c r="F753" s="18" t="s">
        <v>21</v>
      </c>
      <c r="G753" s="18" t="s">
        <v>22</v>
      </c>
      <c r="H753" s="18" t="s">
        <v>23</v>
      </c>
      <c r="I753" s="19">
        <v>21.3</v>
      </c>
      <c r="J753" s="20">
        <f t="shared" si="22"/>
        <v>1704</v>
      </c>
      <c r="K753" s="106"/>
      <c r="L753" s="114"/>
      <c r="M753" s="114">
        <f>tblAquisições[[#This Row],[VALOR UNITARIO COMPRADO]]*tblAquisições[[#This Row],[QUANTIDADE COMPRADA]]</f>
        <v>0</v>
      </c>
      <c r="N753" s="110">
        <f>K753-tblAquisições[[#This Row],[QUANTIDADE PLANEJADA]]</f>
        <v>-80</v>
      </c>
      <c r="O753" s="106" t="str">
        <f t="shared" si="23"/>
        <v>Faltando Comprar</v>
      </c>
    </row>
    <row r="754" spans="1:15" ht="31.5">
      <c r="A754" s="16" t="s">
        <v>17</v>
      </c>
      <c r="B754" s="16" t="s">
        <v>24</v>
      </c>
      <c r="C754" s="17" t="s">
        <v>19</v>
      </c>
      <c r="D754" s="18" t="s">
        <v>458</v>
      </c>
      <c r="E754" s="18">
        <v>80</v>
      </c>
      <c r="F754" s="18" t="s">
        <v>21</v>
      </c>
      <c r="G754" s="18" t="s">
        <v>22</v>
      </c>
      <c r="H754" s="18" t="s">
        <v>23</v>
      </c>
      <c r="I754" s="19">
        <v>21.3</v>
      </c>
      <c r="J754" s="20">
        <f t="shared" si="22"/>
        <v>1704</v>
      </c>
      <c r="K754" s="106"/>
      <c r="L754" s="114"/>
      <c r="M754" s="114">
        <f>tblAquisições[[#This Row],[VALOR UNITARIO COMPRADO]]*tblAquisições[[#This Row],[QUANTIDADE COMPRADA]]</f>
        <v>0</v>
      </c>
      <c r="N754" s="110">
        <f>K754-tblAquisições[[#This Row],[QUANTIDADE PLANEJADA]]</f>
        <v>-80</v>
      </c>
      <c r="O754" s="106" t="str">
        <f t="shared" si="23"/>
        <v>Faltando Comprar</v>
      </c>
    </row>
    <row r="755" spans="1:15" ht="31.5">
      <c r="A755" s="16" t="s">
        <v>17</v>
      </c>
      <c r="B755" s="16" t="s">
        <v>25</v>
      </c>
      <c r="C755" s="17" t="s">
        <v>19</v>
      </c>
      <c r="D755" s="18" t="s">
        <v>458</v>
      </c>
      <c r="E755" s="18">
        <v>80</v>
      </c>
      <c r="F755" s="18" t="s">
        <v>21</v>
      </c>
      <c r="G755" s="18" t="s">
        <v>22</v>
      </c>
      <c r="H755" s="18" t="s">
        <v>23</v>
      </c>
      <c r="I755" s="19">
        <v>21.3</v>
      </c>
      <c r="J755" s="20">
        <f t="shared" si="22"/>
        <v>1704</v>
      </c>
      <c r="K755" s="106"/>
      <c r="L755" s="114"/>
      <c r="M755" s="114">
        <f>tblAquisições[[#This Row],[VALOR UNITARIO COMPRADO]]*tblAquisições[[#This Row],[QUANTIDADE COMPRADA]]</f>
        <v>0</v>
      </c>
      <c r="N755" s="110">
        <f>K755-tblAquisições[[#This Row],[QUANTIDADE PLANEJADA]]</f>
        <v>-80</v>
      </c>
      <c r="O755" s="106" t="str">
        <f t="shared" si="23"/>
        <v>Faltando Comprar</v>
      </c>
    </row>
    <row r="756" spans="1:15" ht="31.5">
      <c r="A756" s="16" t="s">
        <v>17</v>
      </c>
      <c r="B756" s="16" t="s">
        <v>41</v>
      </c>
      <c r="C756" s="17" t="s">
        <v>19</v>
      </c>
      <c r="D756" s="18" t="s">
        <v>458</v>
      </c>
      <c r="E756" s="18">
        <v>20</v>
      </c>
      <c r="F756" s="18" t="s">
        <v>21</v>
      </c>
      <c r="G756" s="18" t="s">
        <v>22</v>
      </c>
      <c r="H756" s="18" t="s">
        <v>23</v>
      </c>
      <c r="I756" s="19">
        <v>21.3</v>
      </c>
      <c r="J756" s="20">
        <f t="shared" si="22"/>
        <v>426</v>
      </c>
      <c r="K756" s="106"/>
      <c r="L756" s="114"/>
      <c r="M756" s="114">
        <f>tblAquisições[[#This Row],[VALOR UNITARIO COMPRADO]]*tblAquisições[[#This Row],[QUANTIDADE COMPRADA]]</f>
        <v>0</v>
      </c>
      <c r="N756" s="110">
        <f>K756-tblAquisições[[#This Row],[QUANTIDADE PLANEJADA]]</f>
        <v>-20</v>
      </c>
      <c r="O756" s="106" t="str">
        <f t="shared" si="23"/>
        <v>Faltando Comprar</v>
      </c>
    </row>
    <row r="757" spans="1:15" ht="31.5">
      <c r="A757" s="16" t="s">
        <v>17</v>
      </c>
      <c r="B757" s="16" t="s">
        <v>26</v>
      </c>
      <c r="C757" s="17" t="s">
        <v>19</v>
      </c>
      <c r="D757" s="18" t="s">
        <v>458</v>
      </c>
      <c r="E757" s="18">
        <v>10</v>
      </c>
      <c r="F757" s="18" t="s">
        <v>21</v>
      </c>
      <c r="G757" s="18" t="s">
        <v>22</v>
      </c>
      <c r="H757" s="18" t="s">
        <v>23</v>
      </c>
      <c r="I757" s="19">
        <v>21.3</v>
      </c>
      <c r="J757" s="20">
        <f t="shared" si="22"/>
        <v>213</v>
      </c>
      <c r="K757" s="106"/>
      <c r="L757" s="114"/>
      <c r="M757" s="114">
        <f>tblAquisições[[#This Row],[VALOR UNITARIO COMPRADO]]*tblAquisições[[#This Row],[QUANTIDADE COMPRADA]]</f>
        <v>0</v>
      </c>
      <c r="N757" s="110">
        <f>K757-tblAquisições[[#This Row],[QUANTIDADE PLANEJADA]]</f>
        <v>-10</v>
      </c>
      <c r="O757" s="106" t="str">
        <f t="shared" si="23"/>
        <v>Faltando Comprar</v>
      </c>
    </row>
    <row r="758" spans="1:15" ht="31.5">
      <c r="A758" s="16" t="s">
        <v>17</v>
      </c>
      <c r="B758" s="16" t="s">
        <v>28</v>
      </c>
      <c r="C758" s="17" t="s">
        <v>19</v>
      </c>
      <c r="D758" s="18" t="s">
        <v>458</v>
      </c>
      <c r="E758" s="18">
        <v>10</v>
      </c>
      <c r="F758" s="18" t="s">
        <v>21</v>
      </c>
      <c r="G758" s="18" t="s">
        <v>22</v>
      </c>
      <c r="H758" s="18" t="s">
        <v>23</v>
      </c>
      <c r="I758" s="19">
        <v>21.3</v>
      </c>
      <c r="J758" s="20">
        <f t="shared" si="22"/>
        <v>213</v>
      </c>
      <c r="K758" s="106"/>
      <c r="L758" s="114"/>
      <c r="M758" s="114">
        <f>tblAquisições[[#This Row],[VALOR UNITARIO COMPRADO]]*tblAquisições[[#This Row],[QUANTIDADE COMPRADA]]</f>
        <v>0</v>
      </c>
      <c r="N758" s="110">
        <f>K758-tblAquisições[[#This Row],[QUANTIDADE PLANEJADA]]</f>
        <v>-10</v>
      </c>
      <c r="O758" s="106" t="str">
        <f t="shared" si="23"/>
        <v>Faltando Comprar</v>
      </c>
    </row>
    <row r="759" spans="1:15" ht="31.5">
      <c r="A759" s="16" t="s">
        <v>17</v>
      </c>
      <c r="B759" s="16" t="s">
        <v>17</v>
      </c>
      <c r="C759" s="17" t="s">
        <v>19</v>
      </c>
      <c r="D759" s="18" t="s">
        <v>459</v>
      </c>
      <c r="E759" s="18">
        <v>200</v>
      </c>
      <c r="F759" s="18" t="s">
        <v>38</v>
      </c>
      <c r="G759" s="18" t="s">
        <v>39</v>
      </c>
      <c r="H759" s="18" t="s">
        <v>23</v>
      </c>
      <c r="I759" s="19">
        <v>0.56999999999999995</v>
      </c>
      <c r="J759" s="20">
        <f t="shared" si="22"/>
        <v>113.99999999999999</v>
      </c>
      <c r="K759" s="106"/>
      <c r="L759" s="114"/>
      <c r="M759" s="114">
        <f>tblAquisições[[#This Row],[VALOR UNITARIO COMPRADO]]*tblAquisições[[#This Row],[QUANTIDADE COMPRADA]]</f>
        <v>0</v>
      </c>
      <c r="N759" s="110">
        <f>K759-tblAquisições[[#This Row],[QUANTIDADE PLANEJADA]]</f>
        <v>-200</v>
      </c>
      <c r="O759" s="106" t="str">
        <f t="shared" si="23"/>
        <v>Faltando Comprar</v>
      </c>
    </row>
    <row r="760" spans="1:15" ht="31.5">
      <c r="A760" s="16" t="s">
        <v>17</v>
      </c>
      <c r="B760" s="16" t="s">
        <v>28</v>
      </c>
      <c r="C760" s="17" t="s">
        <v>19</v>
      </c>
      <c r="D760" s="18" t="s">
        <v>460</v>
      </c>
      <c r="E760" s="18">
        <v>200</v>
      </c>
      <c r="F760" s="18" t="s">
        <v>21</v>
      </c>
      <c r="G760" s="18" t="s">
        <v>22</v>
      </c>
      <c r="H760" s="18" t="s">
        <v>23</v>
      </c>
      <c r="I760" s="19">
        <v>0.56999999999999995</v>
      </c>
      <c r="J760" s="20">
        <f t="shared" si="22"/>
        <v>113.99999999999999</v>
      </c>
      <c r="K760" s="106"/>
      <c r="L760" s="114"/>
      <c r="M760" s="114">
        <f>tblAquisições[[#This Row],[VALOR UNITARIO COMPRADO]]*tblAquisições[[#This Row],[QUANTIDADE COMPRADA]]</f>
        <v>0</v>
      </c>
      <c r="N760" s="110">
        <f>K760-tblAquisições[[#This Row],[QUANTIDADE PLANEJADA]]</f>
        <v>-200</v>
      </c>
      <c r="O760" s="106" t="str">
        <f t="shared" si="23"/>
        <v>Faltando Comprar</v>
      </c>
    </row>
    <row r="761" spans="1:15" ht="31.5">
      <c r="A761" s="16" t="s">
        <v>17</v>
      </c>
      <c r="B761" s="16" t="s">
        <v>26</v>
      </c>
      <c r="C761" s="17" t="s">
        <v>19</v>
      </c>
      <c r="D761" s="18" t="s">
        <v>461</v>
      </c>
      <c r="E761" s="18">
        <v>1000</v>
      </c>
      <c r="F761" s="18" t="s">
        <v>21</v>
      </c>
      <c r="G761" s="18" t="s">
        <v>22</v>
      </c>
      <c r="H761" s="18" t="s">
        <v>23</v>
      </c>
      <c r="I761" s="19">
        <v>30</v>
      </c>
      <c r="J761" s="20">
        <f t="shared" si="22"/>
        <v>30000</v>
      </c>
      <c r="K761" s="106"/>
      <c r="L761" s="114"/>
      <c r="M761" s="114">
        <f>tblAquisições[[#This Row],[VALOR UNITARIO COMPRADO]]*tblAquisições[[#This Row],[QUANTIDADE COMPRADA]]</f>
        <v>0</v>
      </c>
      <c r="N761" s="110">
        <f>K761-tblAquisições[[#This Row],[QUANTIDADE PLANEJADA]]</f>
        <v>-1000</v>
      </c>
      <c r="O761" s="106" t="str">
        <f t="shared" si="23"/>
        <v>Faltando Comprar</v>
      </c>
    </row>
    <row r="762" spans="1:15" ht="47.25">
      <c r="A762" s="16" t="s">
        <v>17</v>
      </c>
      <c r="B762" s="16" t="s">
        <v>31</v>
      </c>
      <c r="C762" s="17" t="s">
        <v>19</v>
      </c>
      <c r="D762" s="18" t="s">
        <v>462</v>
      </c>
      <c r="E762" s="18">
        <v>50</v>
      </c>
      <c r="F762" s="18" t="s">
        <v>78</v>
      </c>
      <c r="G762" s="18" t="s">
        <v>22</v>
      </c>
      <c r="H762" s="18" t="s">
        <v>23</v>
      </c>
      <c r="I762" s="19">
        <v>5.92</v>
      </c>
      <c r="J762" s="20">
        <f t="shared" si="22"/>
        <v>296</v>
      </c>
      <c r="K762" s="106"/>
      <c r="L762" s="114"/>
      <c r="M762" s="114">
        <f>tblAquisições[[#This Row],[VALOR UNITARIO COMPRADO]]*tblAquisições[[#This Row],[QUANTIDADE COMPRADA]]</f>
        <v>0</v>
      </c>
      <c r="N762" s="110">
        <f>K762-tblAquisições[[#This Row],[QUANTIDADE PLANEJADA]]</f>
        <v>-50</v>
      </c>
      <c r="O762" s="106" t="str">
        <f t="shared" si="23"/>
        <v>Faltando Comprar</v>
      </c>
    </row>
    <row r="763" spans="1:15" ht="47.25">
      <c r="A763" s="16" t="s">
        <v>17</v>
      </c>
      <c r="B763" s="16" t="s">
        <v>18</v>
      </c>
      <c r="C763" s="17" t="s">
        <v>19</v>
      </c>
      <c r="D763" s="18" t="s">
        <v>462</v>
      </c>
      <c r="E763" s="18">
        <v>200</v>
      </c>
      <c r="F763" s="18" t="s">
        <v>78</v>
      </c>
      <c r="G763" s="18" t="s">
        <v>22</v>
      </c>
      <c r="H763" s="18" t="s">
        <v>23</v>
      </c>
      <c r="I763" s="19">
        <v>5.92</v>
      </c>
      <c r="J763" s="20">
        <f t="shared" si="22"/>
        <v>1184</v>
      </c>
      <c r="K763" s="106"/>
      <c r="L763" s="114"/>
      <c r="M763" s="114">
        <f>tblAquisições[[#This Row],[VALOR UNITARIO COMPRADO]]*tblAquisições[[#This Row],[QUANTIDADE COMPRADA]]</f>
        <v>0</v>
      </c>
      <c r="N763" s="110">
        <f>K763-tblAquisições[[#This Row],[QUANTIDADE PLANEJADA]]</f>
        <v>-200</v>
      </c>
      <c r="O763" s="106" t="str">
        <f t="shared" si="23"/>
        <v>Faltando Comprar</v>
      </c>
    </row>
    <row r="764" spans="1:15" ht="47.25">
      <c r="A764" s="16" t="s">
        <v>17</v>
      </c>
      <c r="B764" s="16" t="s">
        <v>24</v>
      </c>
      <c r="C764" s="17" t="s">
        <v>19</v>
      </c>
      <c r="D764" s="18" t="s">
        <v>462</v>
      </c>
      <c r="E764" s="18">
        <v>200</v>
      </c>
      <c r="F764" s="18" t="s">
        <v>78</v>
      </c>
      <c r="G764" s="18" t="s">
        <v>22</v>
      </c>
      <c r="H764" s="18" t="s">
        <v>23</v>
      </c>
      <c r="I764" s="19">
        <v>5.92</v>
      </c>
      <c r="J764" s="20">
        <f t="shared" si="22"/>
        <v>1184</v>
      </c>
      <c r="K764" s="106"/>
      <c r="L764" s="114"/>
      <c r="M764" s="114">
        <f>tblAquisições[[#This Row],[VALOR UNITARIO COMPRADO]]*tblAquisições[[#This Row],[QUANTIDADE COMPRADA]]</f>
        <v>0</v>
      </c>
      <c r="N764" s="110">
        <f>K764-tblAquisições[[#This Row],[QUANTIDADE PLANEJADA]]</f>
        <v>-200</v>
      </c>
      <c r="O764" s="106" t="str">
        <f t="shared" si="23"/>
        <v>Faltando Comprar</v>
      </c>
    </row>
    <row r="765" spans="1:15" ht="47.25">
      <c r="A765" s="16" t="s">
        <v>17</v>
      </c>
      <c r="B765" s="16" t="s">
        <v>25</v>
      </c>
      <c r="C765" s="17" t="s">
        <v>19</v>
      </c>
      <c r="D765" s="18" t="s">
        <v>462</v>
      </c>
      <c r="E765" s="18">
        <v>200</v>
      </c>
      <c r="F765" s="18" t="s">
        <v>78</v>
      </c>
      <c r="G765" s="18" t="s">
        <v>22</v>
      </c>
      <c r="H765" s="18" t="s">
        <v>23</v>
      </c>
      <c r="I765" s="19">
        <v>5.92</v>
      </c>
      <c r="J765" s="20">
        <f t="shared" si="22"/>
        <v>1184</v>
      </c>
      <c r="K765" s="106"/>
      <c r="L765" s="114"/>
      <c r="M765" s="114">
        <f>tblAquisições[[#This Row],[VALOR UNITARIO COMPRADO]]*tblAquisições[[#This Row],[QUANTIDADE COMPRADA]]</f>
        <v>0</v>
      </c>
      <c r="N765" s="110">
        <f>K765-tblAquisições[[#This Row],[QUANTIDADE PLANEJADA]]</f>
        <v>-200</v>
      </c>
      <c r="O765" s="106" t="str">
        <f t="shared" si="23"/>
        <v>Faltando Comprar</v>
      </c>
    </row>
    <row r="766" spans="1:15" ht="47.25">
      <c r="A766" s="16" t="s">
        <v>17</v>
      </c>
      <c r="B766" s="16" t="s">
        <v>28</v>
      </c>
      <c r="C766" s="17" t="s">
        <v>19</v>
      </c>
      <c r="D766" s="18" t="s">
        <v>462</v>
      </c>
      <c r="E766" s="18">
        <v>24</v>
      </c>
      <c r="F766" s="18" t="s">
        <v>78</v>
      </c>
      <c r="G766" s="18" t="s">
        <v>22</v>
      </c>
      <c r="H766" s="18" t="s">
        <v>23</v>
      </c>
      <c r="I766" s="19">
        <v>5.92</v>
      </c>
      <c r="J766" s="20">
        <f t="shared" si="22"/>
        <v>142.07999999999998</v>
      </c>
      <c r="K766" s="106"/>
      <c r="L766" s="114"/>
      <c r="M766" s="114">
        <f>tblAquisições[[#This Row],[VALOR UNITARIO COMPRADO]]*tblAquisições[[#This Row],[QUANTIDADE COMPRADA]]</f>
        <v>0</v>
      </c>
      <c r="N766" s="110">
        <f>K766-tblAquisições[[#This Row],[QUANTIDADE PLANEJADA]]</f>
        <v>-24</v>
      </c>
      <c r="O766" s="106" t="str">
        <f t="shared" si="23"/>
        <v>Faltando Comprar</v>
      </c>
    </row>
    <row r="767" spans="1:15" ht="47.25">
      <c r="A767" s="16" t="s">
        <v>17</v>
      </c>
      <c r="B767" s="16" t="s">
        <v>25</v>
      </c>
      <c r="C767" s="17" t="s">
        <v>19</v>
      </c>
      <c r="D767" s="18" t="s">
        <v>463</v>
      </c>
      <c r="E767" s="18">
        <v>10</v>
      </c>
      <c r="F767" s="18" t="s">
        <v>118</v>
      </c>
      <c r="G767" s="18" t="s">
        <v>22</v>
      </c>
      <c r="H767" s="18" t="s">
        <v>65</v>
      </c>
      <c r="I767" s="19">
        <v>6.15</v>
      </c>
      <c r="J767" s="20">
        <f t="shared" si="22"/>
        <v>61.5</v>
      </c>
      <c r="K767" s="106"/>
      <c r="L767" s="114"/>
      <c r="M767" s="114">
        <f>tblAquisições[[#This Row],[VALOR UNITARIO COMPRADO]]*tblAquisições[[#This Row],[QUANTIDADE COMPRADA]]</f>
        <v>0</v>
      </c>
      <c r="N767" s="110">
        <f>K767-tblAquisições[[#This Row],[QUANTIDADE PLANEJADA]]</f>
        <v>-10</v>
      </c>
      <c r="O767" s="106" t="str">
        <f t="shared" si="23"/>
        <v>Faltando Comprar</v>
      </c>
    </row>
    <row r="768" spans="1:15" ht="47.25">
      <c r="A768" s="16" t="s">
        <v>17</v>
      </c>
      <c r="B768" s="16" t="s">
        <v>27</v>
      </c>
      <c r="C768" s="17" t="s">
        <v>19</v>
      </c>
      <c r="D768" s="18" t="s">
        <v>463</v>
      </c>
      <c r="E768" s="18">
        <v>30</v>
      </c>
      <c r="F768" s="18" t="s">
        <v>118</v>
      </c>
      <c r="G768" s="18" t="s">
        <v>22</v>
      </c>
      <c r="H768" s="18" t="s">
        <v>23</v>
      </c>
      <c r="I768" s="19">
        <v>6.15</v>
      </c>
      <c r="J768" s="20">
        <f t="shared" si="22"/>
        <v>184.5</v>
      </c>
      <c r="K768" s="106"/>
      <c r="L768" s="114"/>
      <c r="M768" s="114">
        <f>tblAquisições[[#This Row],[VALOR UNITARIO COMPRADO]]*tblAquisições[[#This Row],[QUANTIDADE COMPRADA]]</f>
        <v>0</v>
      </c>
      <c r="N768" s="110">
        <f>K768-tblAquisições[[#This Row],[QUANTIDADE PLANEJADA]]</f>
        <v>-30</v>
      </c>
      <c r="O768" s="106" t="str">
        <f t="shared" si="23"/>
        <v>Faltando Comprar</v>
      </c>
    </row>
    <row r="769" spans="1:15" ht="47.25">
      <c r="A769" s="16" t="s">
        <v>17</v>
      </c>
      <c r="B769" s="16" t="s">
        <v>17</v>
      </c>
      <c r="C769" s="17" t="s">
        <v>19</v>
      </c>
      <c r="D769" s="18" t="s">
        <v>464</v>
      </c>
      <c r="E769" s="18">
        <v>10</v>
      </c>
      <c r="F769" s="18" t="s">
        <v>96</v>
      </c>
      <c r="G769" s="18" t="s">
        <v>39</v>
      </c>
      <c r="H769" s="18" t="s">
        <v>23</v>
      </c>
      <c r="I769" s="19">
        <v>226.11</v>
      </c>
      <c r="J769" s="20">
        <f t="shared" si="22"/>
        <v>2261.1000000000004</v>
      </c>
      <c r="K769" s="106"/>
      <c r="L769" s="114"/>
      <c r="M769" s="114">
        <f>tblAquisições[[#This Row],[VALOR UNITARIO COMPRADO]]*tblAquisições[[#This Row],[QUANTIDADE COMPRADA]]</f>
        <v>0</v>
      </c>
      <c r="N769" s="110">
        <f>K769-tblAquisições[[#This Row],[QUANTIDADE PLANEJADA]]</f>
        <v>-10</v>
      </c>
      <c r="O769" s="106" t="str">
        <f t="shared" si="23"/>
        <v>Faltando Comprar</v>
      </c>
    </row>
    <row r="770" spans="1:15" ht="47.25">
      <c r="A770" s="16" t="s">
        <v>17</v>
      </c>
      <c r="B770" s="16" t="s">
        <v>26</v>
      </c>
      <c r="C770" s="17" t="s">
        <v>19</v>
      </c>
      <c r="D770" s="18" t="s">
        <v>465</v>
      </c>
      <c r="E770" s="18">
        <v>24</v>
      </c>
      <c r="F770" s="18" t="s">
        <v>58</v>
      </c>
      <c r="G770" s="18" t="s">
        <v>22</v>
      </c>
      <c r="H770" s="18" t="s">
        <v>65</v>
      </c>
      <c r="I770" s="19">
        <v>226.11</v>
      </c>
      <c r="J770" s="20">
        <f t="shared" ref="J770:J833" si="24">E770*I770</f>
        <v>5426.64</v>
      </c>
      <c r="K770" s="106"/>
      <c r="L770" s="114"/>
      <c r="M770" s="114">
        <f>tblAquisições[[#This Row],[VALOR UNITARIO COMPRADO]]*tblAquisições[[#This Row],[QUANTIDADE COMPRADA]]</f>
        <v>0</v>
      </c>
      <c r="N770" s="110">
        <f>K770-tblAquisições[[#This Row],[QUANTIDADE PLANEJADA]]</f>
        <v>-24</v>
      </c>
      <c r="O770" s="106" t="str">
        <f t="shared" ref="O770:O833" si="25">IF(K770=E770,"OK",IF(K770&lt;E770,"Faltando Comprar","Excedente"))</f>
        <v>Faltando Comprar</v>
      </c>
    </row>
    <row r="771" spans="1:15" ht="47.25">
      <c r="A771" s="16" t="s">
        <v>17</v>
      </c>
      <c r="B771" s="16" t="s">
        <v>28</v>
      </c>
      <c r="C771" s="17" t="s">
        <v>19</v>
      </c>
      <c r="D771" s="18" t="s">
        <v>465</v>
      </c>
      <c r="E771" s="18">
        <v>20</v>
      </c>
      <c r="F771" s="18" t="s">
        <v>58</v>
      </c>
      <c r="G771" s="18" t="s">
        <v>22</v>
      </c>
      <c r="H771" s="18" t="s">
        <v>23</v>
      </c>
      <c r="I771" s="19">
        <v>226.11</v>
      </c>
      <c r="J771" s="20">
        <f t="shared" si="24"/>
        <v>4522.2000000000007</v>
      </c>
      <c r="K771" s="106"/>
      <c r="L771" s="114"/>
      <c r="M771" s="114">
        <f>tblAquisições[[#This Row],[VALOR UNITARIO COMPRADO]]*tblAquisições[[#This Row],[QUANTIDADE COMPRADA]]</f>
        <v>0</v>
      </c>
      <c r="N771" s="110">
        <f>K771-tblAquisições[[#This Row],[QUANTIDADE PLANEJADA]]</f>
        <v>-20</v>
      </c>
      <c r="O771" s="106" t="str">
        <f t="shared" si="25"/>
        <v>Faltando Comprar</v>
      </c>
    </row>
    <row r="772" spans="1:15" ht="47.25">
      <c r="A772" s="16" t="s">
        <v>17</v>
      </c>
      <c r="B772" s="16" t="s">
        <v>72</v>
      </c>
      <c r="C772" s="17" t="s">
        <v>19</v>
      </c>
      <c r="D772" s="18" t="s">
        <v>465</v>
      </c>
      <c r="E772" s="18">
        <v>2</v>
      </c>
      <c r="F772" s="18" t="s">
        <v>58</v>
      </c>
      <c r="G772" s="18" t="s">
        <v>22</v>
      </c>
      <c r="H772" s="18" t="s">
        <v>65</v>
      </c>
      <c r="I772" s="19">
        <v>226.11</v>
      </c>
      <c r="J772" s="20">
        <f t="shared" si="24"/>
        <v>452.22</v>
      </c>
      <c r="K772" s="106"/>
      <c r="L772" s="114"/>
      <c r="M772" s="114">
        <f>tblAquisições[[#This Row],[VALOR UNITARIO COMPRADO]]*tblAquisições[[#This Row],[QUANTIDADE COMPRADA]]</f>
        <v>0</v>
      </c>
      <c r="N772" s="110">
        <f>K772-tblAquisições[[#This Row],[QUANTIDADE PLANEJADA]]</f>
        <v>-2</v>
      </c>
      <c r="O772" s="106" t="str">
        <f t="shared" si="25"/>
        <v>Faltando Comprar</v>
      </c>
    </row>
    <row r="773" spans="1:15" ht="31.5">
      <c r="A773" s="16" t="s">
        <v>17</v>
      </c>
      <c r="B773" s="16" t="s">
        <v>26</v>
      </c>
      <c r="C773" s="17" t="s">
        <v>19</v>
      </c>
      <c r="D773" s="18" t="s">
        <v>466</v>
      </c>
      <c r="E773" s="18">
        <v>10</v>
      </c>
      <c r="F773" s="18" t="s">
        <v>21</v>
      </c>
      <c r="G773" s="18" t="s">
        <v>22</v>
      </c>
      <c r="H773" s="18" t="s">
        <v>23</v>
      </c>
      <c r="I773" s="19">
        <v>30.27</v>
      </c>
      <c r="J773" s="20">
        <f t="shared" si="24"/>
        <v>302.7</v>
      </c>
      <c r="K773" s="106"/>
      <c r="L773" s="114"/>
      <c r="M773" s="114">
        <f>tblAquisições[[#This Row],[VALOR UNITARIO COMPRADO]]*tblAquisições[[#This Row],[QUANTIDADE COMPRADA]]</f>
        <v>0</v>
      </c>
      <c r="N773" s="110">
        <f>K773-tblAquisições[[#This Row],[QUANTIDADE PLANEJADA]]</f>
        <v>-10</v>
      </c>
      <c r="O773" s="106" t="str">
        <f t="shared" si="25"/>
        <v>Faltando Comprar</v>
      </c>
    </row>
    <row r="774" spans="1:15" ht="31.5">
      <c r="A774" s="16" t="s">
        <v>17</v>
      </c>
      <c r="B774" s="16" t="s">
        <v>28</v>
      </c>
      <c r="C774" s="17" t="s">
        <v>19</v>
      </c>
      <c r="D774" s="18" t="s">
        <v>466</v>
      </c>
      <c r="E774" s="18">
        <v>100</v>
      </c>
      <c r="F774" s="18" t="s">
        <v>21</v>
      </c>
      <c r="G774" s="18" t="s">
        <v>22</v>
      </c>
      <c r="H774" s="18" t="s">
        <v>23</v>
      </c>
      <c r="I774" s="19">
        <v>30.27</v>
      </c>
      <c r="J774" s="20">
        <f t="shared" si="24"/>
        <v>3027</v>
      </c>
      <c r="K774" s="106"/>
      <c r="L774" s="114"/>
      <c r="M774" s="114">
        <f>tblAquisições[[#This Row],[VALOR UNITARIO COMPRADO]]*tblAquisições[[#This Row],[QUANTIDADE COMPRADA]]</f>
        <v>0</v>
      </c>
      <c r="N774" s="110">
        <f>K774-tblAquisições[[#This Row],[QUANTIDADE PLANEJADA]]</f>
        <v>-100</v>
      </c>
      <c r="O774" s="106" t="str">
        <f t="shared" si="25"/>
        <v>Faltando Comprar</v>
      </c>
    </row>
    <row r="775" spans="1:15" ht="31.5">
      <c r="A775" s="16" t="s">
        <v>17</v>
      </c>
      <c r="B775" s="16" t="s">
        <v>17</v>
      </c>
      <c r="C775" s="17" t="s">
        <v>19</v>
      </c>
      <c r="D775" s="18" t="s">
        <v>467</v>
      </c>
      <c r="E775" s="18">
        <v>20</v>
      </c>
      <c r="F775" s="18" t="s">
        <v>468</v>
      </c>
      <c r="G775" s="18" t="s">
        <v>39</v>
      </c>
      <c r="H775" s="18" t="s">
        <v>23</v>
      </c>
      <c r="I775" s="19">
        <v>126.16</v>
      </c>
      <c r="J775" s="20">
        <f t="shared" si="24"/>
        <v>2523.1999999999998</v>
      </c>
      <c r="K775" s="106"/>
      <c r="L775" s="114"/>
      <c r="M775" s="114">
        <f>tblAquisições[[#This Row],[VALOR UNITARIO COMPRADO]]*tblAquisições[[#This Row],[QUANTIDADE COMPRADA]]</f>
        <v>0</v>
      </c>
      <c r="N775" s="110">
        <f>K775-tblAquisições[[#This Row],[QUANTIDADE PLANEJADA]]</f>
        <v>-20</v>
      </c>
      <c r="O775" s="106" t="str">
        <f t="shared" si="25"/>
        <v>Faltando Comprar</v>
      </c>
    </row>
    <row r="776" spans="1:15" ht="31.5">
      <c r="A776" s="16" t="s">
        <v>17</v>
      </c>
      <c r="B776" s="16" t="s">
        <v>80</v>
      </c>
      <c r="C776" s="17" t="s">
        <v>19</v>
      </c>
      <c r="D776" s="18" t="s">
        <v>467</v>
      </c>
      <c r="E776" s="18">
        <v>3</v>
      </c>
      <c r="F776" s="18" t="s">
        <v>468</v>
      </c>
      <c r="G776" s="18" t="s">
        <v>39</v>
      </c>
      <c r="H776" s="18" t="s">
        <v>23</v>
      </c>
      <c r="I776" s="19">
        <v>126.16</v>
      </c>
      <c r="J776" s="20">
        <f t="shared" si="24"/>
        <v>378.48</v>
      </c>
      <c r="K776" s="106"/>
      <c r="L776" s="114"/>
      <c r="M776" s="114">
        <f>tblAquisições[[#This Row],[VALOR UNITARIO COMPRADO]]*tblAquisições[[#This Row],[QUANTIDADE COMPRADA]]</f>
        <v>0</v>
      </c>
      <c r="N776" s="110">
        <f>K776-tblAquisições[[#This Row],[QUANTIDADE PLANEJADA]]</f>
        <v>-3</v>
      </c>
      <c r="O776" s="106" t="str">
        <f t="shared" si="25"/>
        <v>Faltando Comprar</v>
      </c>
    </row>
    <row r="777" spans="1:15" ht="31.5">
      <c r="A777" s="16" t="s">
        <v>17</v>
      </c>
      <c r="B777" s="16" t="s">
        <v>31</v>
      </c>
      <c r="C777" s="17" t="s">
        <v>19</v>
      </c>
      <c r="D777" s="18" t="s">
        <v>469</v>
      </c>
      <c r="E777" s="18">
        <v>2</v>
      </c>
      <c r="F777" s="18" t="s">
        <v>328</v>
      </c>
      <c r="G777" s="18" t="s">
        <v>22</v>
      </c>
      <c r="H777" s="18" t="s">
        <v>23</v>
      </c>
      <c r="I777" s="19">
        <v>126.16</v>
      </c>
      <c r="J777" s="20">
        <f t="shared" si="24"/>
        <v>252.32</v>
      </c>
      <c r="K777" s="106"/>
      <c r="L777" s="114"/>
      <c r="M777" s="114">
        <f>tblAquisições[[#This Row],[VALOR UNITARIO COMPRADO]]*tblAquisições[[#This Row],[QUANTIDADE COMPRADA]]</f>
        <v>0</v>
      </c>
      <c r="N777" s="110">
        <f>K777-tblAquisições[[#This Row],[QUANTIDADE PLANEJADA]]</f>
        <v>-2</v>
      </c>
      <c r="O777" s="106" t="str">
        <f t="shared" si="25"/>
        <v>Faltando Comprar</v>
      </c>
    </row>
    <row r="778" spans="1:15" ht="31.5">
      <c r="A778" s="16" t="s">
        <v>17</v>
      </c>
      <c r="B778" s="16" t="s">
        <v>41</v>
      </c>
      <c r="C778" s="17" t="s">
        <v>19</v>
      </c>
      <c r="D778" s="18" t="s">
        <v>469</v>
      </c>
      <c r="E778" s="18">
        <v>2</v>
      </c>
      <c r="F778" s="18" t="s">
        <v>328</v>
      </c>
      <c r="G778" s="18" t="s">
        <v>22</v>
      </c>
      <c r="H778" s="18" t="s">
        <v>23</v>
      </c>
      <c r="I778" s="19">
        <v>126.16</v>
      </c>
      <c r="J778" s="20">
        <f t="shared" si="24"/>
        <v>252.32</v>
      </c>
      <c r="K778" s="106"/>
      <c r="L778" s="114"/>
      <c r="M778" s="114">
        <f>tblAquisições[[#This Row],[VALOR UNITARIO COMPRADO]]*tblAquisições[[#This Row],[QUANTIDADE COMPRADA]]</f>
        <v>0</v>
      </c>
      <c r="N778" s="110">
        <f>K778-tblAquisições[[#This Row],[QUANTIDADE PLANEJADA]]</f>
        <v>-2</v>
      </c>
      <c r="O778" s="106" t="str">
        <f t="shared" si="25"/>
        <v>Faltando Comprar</v>
      </c>
    </row>
    <row r="779" spans="1:15" ht="31.5">
      <c r="A779" s="16" t="s">
        <v>17</v>
      </c>
      <c r="B779" s="16" t="s">
        <v>28</v>
      </c>
      <c r="C779" s="17" t="s">
        <v>19</v>
      </c>
      <c r="D779" s="18" t="s">
        <v>469</v>
      </c>
      <c r="E779" s="18">
        <v>10</v>
      </c>
      <c r="F779" s="18" t="s">
        <v>328</v>
      </c>
      <c r="G779" s="18" t="s">
        <v>22</v>
      </c>
      <c r="H779" s="18" t="s">
        <v>23</v>
      </c>
      <c r="I779" s="19">
        <v>126.16</v>
      </c>
      <c r="J779" s="20">
        <f t="shared" si="24"/>
        <v>1261.5999999999999</v>
      </c>
      <c r="K779" s="106"/>
      <c r="L779" s="114"/>
      <c r="M779" s="114">
        <f>tblAquisições[[#This Row],[VALOR UNITARIO COMPRADO]]*tblAquisições[[#This Row],[QUANTIDADE COMPRADA]]</f>
        <v>0</v>
      </c>
      <c r="N779" s="110">
        <f>K779-tblAquisições[[#This Row],[QUANTIDADE PLANEJADA]]</f>
        <v>-10</v>
      </c>
      <c r="O779" s="106" t="str">
        <f t="shared" si="25"/>
        <v>Faltando Comprar</v>
      </c>
    </row>
    <row r="780" spans="1:15" ht="47.25">
      <c r="A780" s="16" t="s">
        <v>17</v>
      </c>
      <c r="B780" s="16" t="s">
        <v>28</v>
      </c>
      <c r="C780" s="17" t="s">
        <v>19</v>
      </c>
      <c r="D780" s="18" t="s">
        <v>470</v>
      </c>
      <c r="E780" s="18">
        <v>20</v>
      </c>
      <c r="F780" s="18" t="s">
        <v>78</v>
      </c>
      <c r="G780" s="18" t="s">
        <v>22</v>
      </c>
      <c r="H780" s="18" t="s">
        <v>53</v>
      </c>
      <c r="I780" s="19">
        <v>21.35</v>
      </c>
      <c r="J780" s="20">
        <f t="shared" si="24"/>
        <v>427</v>
      </c>
      <c r="K780" s="106"/>
      <c r="L780" s="114"/>
      <c r="M780" s="114">
        <f>tblAquisições[[#This Row],[VALOR UNITARIO COMPRADO]]*tblAquisições[[#This Row],[QUANTIDADE COMPRADA]]</f>
        <v>0</v>
      </c>
      <c r="N780" s="110">
        <f>K780-tblAquisições[[#This Row],[QUANTIDADE PLANEJADA]]</f>
        <v>-20</v>
      </c>
      <c r="O780" s="106" t="str">
        <f t="shared" si="25"/>
        <v>Faltando Comprar</v>
      </c>
    </row>
    <row r="781" spans="1:15" ht="47.25">
      <c r="A781" s="16" t="s">
        <v>17</v>
      </c>
      <c r="B781" s="16" t="s">
        <v>31</v>
      </c>
      <c r="C781" s="17" t="s">
        <v>19</v>
      </c>
      <c r="D781" s="18" t="s">
        <v>471</v>
      </c>
      <c r="E781" s="18">
        <v>50</v>
      </c>
      <c r="F781" s="18" t="s">
        <v>78</v>
      </c>
      <c r="G781" s="18" t="s">
        <v>22</v>
      </c>
      <c r="H781" s="18" t="s">
        <v>23</v>
      </c>
      <c r="I781" s="19">
        <v>3.7</v>
      </c>
      <c r="J781" s="20">
        <f t="shared" si="24"/>
        <v>185</v>
      </c>
      <c r="K781" s="106"/>
      <c r="L781" s="114"/>
      <c r="M781" s="114">
        <f>tblAquisições[[#This Row],[VALOR UNITARIO COMPRADO]]*tblAquisições[[#This Row],[QUANTIDADE COMPRADA]]</f>
        <v>0</v>
      </c>
      <c r="N781" s="110">
        <f>K781-tblAquisições[[#This Row],[QUANTIDADE PLANEJADA]]</f>
        <v>-50</v>
      </c>
      <c r="O781" s="106" t="str">
        <f t="shared" si="25"/>
        <v>Faltando Comprar</v>
      </c>
    </row>
    <row r="782" spans="1:15" ht="47.25">
      <c r="A782" s="16" t="s">
        <v>17</v>
      </c>
      <c r="B782" s="16" t="s">
        <v>18</v>
      </c>
      <c r="C782" s="17" t="s">
        <v>19</v>
      </c>
      <c r="D782" s="18" t="s">
        <v>471</v>
      </c>
      <c r="E782" s="18">
        <v>200</v>
      </c>
      <c r="F782" s="18" t="s">
        <v>78</v>
      </c>
      <c r="G782" s="18" t="s">
        <v>22</v>
      </c>
      <c r="H782" s="18" t="s">
        <v>23</v>
      </c>
      <c r="I782" s="19">
        <v>3.7</v>
      </c>
      <c r="J782" s="20">
        <f t="shared" si="24"/>
        <v>740</v>
      </c>
      <c r="K782" s="106"/>
      <c r="L782" s="114"/>
      <c r="M782" s="114">
        <f>tblAquisições[[#This Row],[VALOR UNITARIO COMPRADO]]*tblAquisições[[#This Row],[QUANTIDADE COMPRADA]]</f>
        <v>0</v>
      </c>
      <c r="N782" s="110">
        <f>K782-tblAquisições[[#This Row],[QUANTIDADE PLANEJADA]]</f>
        <v>-200</v>
      </c>
      <c r="O782" s="106" t="str">
        <f t="shared" si="25"/>
        <v>Faltando Comprar</v>
      </c>
    </row>
    <row r="783" spans="1:15" ht="47.25">
      <c r="A783" s="16" t="s">
        <v>17</v>
      </c>
      <c r="B783" s="16" t="s">
        <v>24</v>
      </c>
      <c r="C783" s="17" t="s">
        <v>19</v>
      </c>
      <c r="D783" s="18" t="s">
        <v>471</v>
      </c>
      <c r="E783" s="18">
        <v>200</v>
      </c>
      <c r="F783" s="18" t="s">
        <v>78</v>
      </c>
      <c r="G783" s="18" t="s">
        <v>22</v>
      </c>
      <c r="H783" s="18" t="s">
        <v>23</v>
      </c>
      <c r="I783" s="19">
        <v>3.7</v>
      </c>
      <c r="J783" s="20">
        <f t="shared" si="24"/>
        <v>740</v>
      </c>
      <c r="K783" s="106"/>
      <c r="L783" s="114"/>
      <c r="M783" s="114">
        <f>tblAquisições[[#This Row],[VALOR UNITARIO COMPRADO]]*tblAquisições[[#This Row],[QUANTIDADE COMPRADA]]</f>
        <v>0</v>
      </c>
      <c r="N783" s="110">
        <f>K783-tblAquisições[[#This Row],[QUANTIDADE PLANEJADA]]</f>
        <v>-200</v>
      </c>
      <c r="O783" s="106" t="str">
        <f t="shared" si="25"/>
        <v>Faltando Comprar</v>
      </c>
    </row>
    <row r="784" spans="1:15" ht="47.25">
      <c r="A784" s="16" t="s">
        <v>17</v>
      </c>
      <c r="B784" s="16" t="s">
        <v>25</v>
      </c>
      <c r="C784" s="17" t="s">
        <v>19</v>
      </c>
      <c r="D784" s="18" t="s">
        <v>471</v>
      </c>
      <c r="E784" s="18">
        <v>200</v>
      </c>
      <c r="F784" s="18" t="s">
        <v>78</v>
      </c>
      <c r="G784" s="18" t="s">
        <v>22</v>
      </c>
      <c r="H784" s="18" t="s">
        <v>23</v>
      </c>
      <c r="I784" s="19">
        <v>3.7</v>
      </c>
      <c r="J784" s="20">
        <f t="shared" si="24"/>
        <v>740</v>
      </c>
      <c r="K784" s="106"/>
      <c r="L784" s="114"/>
      <c r="M784" s="114">
        <f>tblAquisições[[#This Row],[VALOR UNITARIO COMPRADO]]*tblAquisições[[#This Row],[QUANTIDADE COMPRADA]]</f>
        <v>0</v>
      </c>
      <c r="N784" s="110">
        <f>K784-tblAquisições[[#This Row],[QUANTIDADE PLANEJADA]]</f>
        <v>-200</v>
      </c>
      <c r="O784" s="106" t="str">
        <f t="shared" si="25"/>
        <v>Faltando Comprar</v>
      </c>
    </row>
    <row r="785" spans="1:15" ht="47.25">
      <c r="A785" s="16" t="s">
        <v>17</v>
      </c>
      <c r="B785" s="16" t="s">
        <v>28</v>
      </c>
      <c r="C785" s="17" t="s">
        <v>19</v>
      </c>
      <c r="D785" s="18" t="s">
        <v>471</v>
      </c>
      <c r="E785" s="18">
        <v>24</v>
      </c>
      <c r="F785" s="18" t="s">
        <v>78</v>
      </c>
      <c r="G785" s="18" t="s">
        <v>22</v>
      </c>
      <c r="H785" s="18" t="s">
        <v>53</v>
      </c>
      <c r="I785" s="19">
        <v>3.7</v>
      </c>
      <c r="J785" s="20">
        <f t="shared" si="24"/>
        <v>88.800000000000011</v>
      </c>
      <c r="K785" s="106"/>
      <c r="L785" s="114"/>
      <c r="M785" s="114">
        <f>tblAquisições[[#This Row],[VALOR UNITARIO COMPRADO]]*tblAquisições[[#This Row],[QUANTIDADE COMPRADA]]</f>
        <v>0</v>
      </c>
      <c r="N785" s="110">
        <f>K785-tblAquisições[[#This Row],[QUANTIDADE PLANEJADA]]</f>
        <v>-24</v>
      </c>
      <c r="O785" s="106" t="str">
        <f t="shared" si="25"/>
        <v>Faltando Comprar</v>
      </c>
    </row>
    <row r="786" spans="1:15" ht="31.5">
      <c r="A786" s="16" t="s">
        <v>17</v>
      </c>
      <c r="B786" s="16" t="s">
        <v>28</v>
      </c>
      <c r="C786" s="17" t="s">
        <v>19</v>
      </c>
      <c r="D786" s="18" t="s">
        <v>472</v>
      </c>
      <c r="E786" s="18">
        <v>15</v>
      </c>
      <c r="F786" s="18" t="s">
        <v>21</v>
      </c>
      <c r="G786" s="18" t="s">
        <v>22</v>
      </c>
      <c r="H786" s="18" t="s">
        <v>23</v>
      </c>
      <c r="I786" s="19">
        <v>14.36</v>
      </c>
      <c r="J786" s="20">
        <f t="shared" si="24"/>
        <v>215.39999999999998</v>
      </c>
      <c r="K786" s="106"/>
      <c r="L786" s="114"/>
      <c r="M786" s="114">
        <f>tblAquisições[[#This Row],[VALOR UNITARIO COMPRADO]]*tblAquisições[[#This Row],[QUANTIDADE COMPRADA]]</f>
        <v>0</v>
      </c>
      <c r="N786" s="110">
        <f>K786-tblAquisições[[#This Row],[QUANTIDADE PLANEJADA]]</f>
        <v>-15</v>
      </c>
      <c r="O786" s="106" t="str">
        <f t="shared" si="25"/>
        <v>Faltando Comprar</v>
      </c>
    </row>
    <row r="787" spans="1:15" ht="31.5">
      <c r="A787" s="16" t="s">
        <v>17</v>
      </c>
      <c r="B787" s="16" t="s">
        <v>18</v>
      </c>
      <c r="C787" s="17" t="s">
        <v>19</v>
      </c>
      <c r="D787" s="18" t="s">
        <v>473</v>
      </c>
      <c r="E787" s="18">
        <v>200</v>
      </c>
      <c r="F787" s="18" t="s">
        <v>21</v>
      </c>
      <c r="G787" s="18" t="s">
        <v>22</v>
      </c>
      <c r="H787" s="18" t="s">
        <v>23</v>
      </c>
      <c r="I787" s="19">
        <v>3.7</v>
      </c>
      <c r="J787" s="20">
        <f t="shared" si="24"/>
        <v>740</v>
      </c>
      <c r="K787" s="106"/>
      <c r="L787" s="114"/>
      <c r="M787" s="114">
        <f>tblAquisições[[#This Row],[VALOR UNITARIO COMPRADO]]*tblAquisições[[#This Row],[QUANTIDADE COMPRADA]]</f>
        <v>0</v>
      </c>
      <c r="N787" s="110">
        <f>K787-tblAquisições[[#This Row],[QUANTIDADE PLANEJADA]]</f>
        <v>-200</v>
      </c>
      <c r="O787" s="106" t="str">
        <f t="shared" si="25"/>
        <v>Faltando Comprar</v>
      </c>
    </row>
    <row r="788" spans="1:15" ht="31.5">
      <c r="A788" s="16" t="s">
        <v>17</v>
      </c>
      <c r="B788" s="16" t="s">
        <v>24</v>
      </c>
      <c r="C788" s="17" t="s">
        <v>19</v>
      </c>
      <c r="D788" s="18" t="s">
        <v>473</v>
      </c>
      <c r="E788" s="18">
        <v>200</v>
      </c>
      <c r="F788" s="18" t="s">
        <v>21</v>
      </c>
      <c r="G788" s="18" t="s">
        <v>22</v>
      </c>
      <c r="H788" s="18" t="s">
        <v>23</v>
      </c>
      <c r="I788" s="19">
        <v>3.7</v>
      </c>
      <c r="J788" s="20">
        <f t="shared" si="24"/>
        <v>740</v>
      </c>
      <c r="K788" s="106"/>
      <c r="L788" s="114"/>
      <c r="M788" s="114">
        <f>tblAquisições[[#This Row],[VALOR UNITARIO COMPRADO]]*tblAquisições[[#This Row],[QUANTIDADE COMPRADA]]</f>
        <v>0</v>
      </c>
      <c r="N788" s="110">
        <f>K788-tblAquisições[[#This Row],[QUANTIDADE PLANEJADA]]</f>
        <v>-200</v>
      </c>
      <c r="O788" s="106" t="str">
        <f t="shared" si="25"/>
        <v>Faltando Comprar</v>
      </c>
    </row>
    <row r="789" spans="1:15" ht="31.5">
      <c r="A789" s="16" t="s">
        <v>17</v>
      </c>
      <c r="B789" s="16" t="s">
        <v>25</v>
      </c>
      <c r="C789" s="17" t="s">
        <v>19</v>
      </c>
      <c r="D789" s="18" t="s">
        <v>473</v>
      </c>
      <c r="E789" s="18">
        <v>200</v>
      </c>
      <c r="F789" s="18" t="s">
        <v>21</v>
      </c>
      <c r="G789" s="18" t="s">
        <v>22</v>
      </c>
      <c r="H789" s="18" t="s">
        <v>23</v>
      </c>
      <c r="I789" s="19">
        <v>3.7</v>
      </c>
      <c r="J789" s="20">
        <f t="shared" si="24"/>
        <v>740</v>
      </c>
      <c r="K789" s="106"/>
      <c r="L789" s="114"/>
      <c r="M789" s="114">
        <f>tblAquisições[[#This Row],[VALOR UNITARIO COMPRADO]]*tblAquisições[[#This Row],[QUANTIDADE COMPRADA]]</f>
        <v>0</v>
      </c>
      <c r="N789" s="110">
        <f>K789-tblAquisições[[#This Row],[QUANTIDADE PLANEJADA]]</f>
        <v>-200</v>
      </c>
      <c r="O789" s="106" t="str">
        <f t="shared" si="25"/>
        <v>Faltando Comprar</v>
      </c>
    </row>
    <row r="790" spans="1:15" ht="31.5">
      <c r="A790" s="16" t="s">
        <v>17</v>
      </c>
      <c r="B790" s="16" t="s">
        <v>34</v>
      </c>
      <c r="C790" s="17" t="s">
        <v>19</v>
      </c>
      <c r="D790" s="18" t="s">
        <v>474</v>
      </c>
      <c r="E790" s="18">
        <v>10</v>
      </c>
      <c r="F790" s="18" t="s">
        <v>21</v>
      </c>
      <c r="G790" s="18" t="s">
        <v>22</v>
      </c>
      <c r="H790" s="18" t="s">
        <v>23</v>
      </c>
      <c r="I790" s="19">
        <v>22.55</v>
      </c>
      <c r="J790" s="20">
        <f t="shared" si="24"/>
        <v>225.5</v>
      </c>
      <c r="K790" s="106"/>
      <c r="L790" s="114"/>
      <c r="M790" s="114">
        <f>tblAquisições[[#This Row],[VALOR UNITARIO COMPRADO]]*tblAquisições[[#This Row],[QUANTIDADE COMPRADA]]</f>
        <v>0</v>
      </c>
      <c r="N790" s="110">
        <f>K790-tblAquisições[[#This Row],[QUANTIDADE PLANEJADA]]</f>
        <v>-10</v>
      </c>
      <c r="O790" s="106" t="str">
        <f t="shared" si="25"/>
        <v>Faltando Comprar</v>
      </c>
    </row>
    <row r="791" spans="1:15" ht="47.25">
      <c r="A791" s="16" t="s">
        <v>17</v>
      </c>
      <c r="B791" s="16" t="s">
        <v>26</v>
      </c>
      <c r="C791" s="17" t="s">
        <v>19</v>
      </c>
      <c r="D791" s="18" t="s">
        <v>475</v>
      </c>
      <c r="E791" s="18">
        <v>10</v>
      </c>
      <c r="F791" s="18" t="s">
        <v>239</v>
      </c>
      <c r="G791" s="18" t="s">
        <v>22</v>
      </c>
      <c r="H791" s="18" t="s">
        <v>23</v>
      </c>
      <c r="I791" s="19">
        <v>18.32</v>
      </c>
      <c r="J791" s="20">
        <f t="shared" si="24"/>
        <v>183.2</v>
      </c>
      <c r="K791" s="106"/>
      <c r="L791" s="114"/>
      <c r="M791" s="114">
        <f>tblAquisições[[#This Row],[VALOR UNITARIO COMPRADO]]*tblAquisições[[#This Row],[QUANTIDADE COMPRADA]]</f>
        <v>0</v>
      </c>
      <c r="N791" s="110">
        <f>K791-tblAquisições[[#This Row],[QUANTIDADE PLANEJADA]]</f>
        <v>-10</v>
      </c>
      <c r="O791" s="106" t="str">
        <f t="shared" si="25"/>
        <v>Faltando Comprar</v>
      </c>
    </row>
    <row r="792" spans="1:15" ht="47.25">
      <c r="A792" s="16" t="s">
        <v>17</v>
      </c>
      <c r="B792" s="16" t="s">
        <v>28</v>
      </c>
      <c r="C792" s="17" t="s">
        <v>19</v>
      </c>
      <c r="D792" s="18" t="s">
        <v>475</v>
      </c>
      <c r="E792" s="18">
        <v>10</v>
      </c>
      <c r="F792" s="18" t="s">
        <v>239</v>
      </c>
      <c r="G792" s="18" t="s">
        <v>22</v>
      </c>
      <c r="H792" s="18" t="s">
        <v>23</v>
      </c>
      <c r="I792" s="19">
        <v>18.32</v>
      </c>
      <c r="J792" s="20">
        <f t="shared" si="24"/>
        <v>183.2</v>
      </c>
      <c r="K792" s="106"/>
      <c r="L792" s="114"/>
      <c r="M792" s="114">
        <f>tblAquisições[[#This Row],[VALOR UNITARIO COMPRADO]]*tblAquisições[[#This Row],[QUANTIDADE COMPRADA]]</f>
        <v>0</v>
      </c>
      <c r="N792" s="110">
        <f>K792-tblAquisições[[#This Row],[QUANTIDADE PLANEJADA]]</f>
        <v>-10</v>
      </c>
      <c r="O792" s="106" t="str">
        <f t="shared" si="25"/>
        <v>Faltando Comprar</v>
      </c>
    </row>
    <row r="793" spans="1:15" ht="31.5">
      <c r="A793" s="16" t="s">
        <v>17</v>
      </c>
      <c r="B793" s="16" t="s">
        <v>34</v>
      </c>
      <c r="C793" s="17" t="s">
        <v>19</v>
      </c>
      <c r="D793" s="18" t="s">
        <v>476</v>
      </c>
      <c r="E793" s="18">
        <v>20</v>
      </c>
      <c r="F793" s="18" t="s">
        <v>21</v>
      </c>
      <c r="G793" s="18" t="s">
        <v>22</v>
      </c>
      <c r="H793" s="18" t="s">
        <v>23</v>
      </c>
      <c r="I793" s="19">
        <v>7</v>
      </c>
      <c r="J793" s="20">
        <f t="shared" si="24"/>
        <v>140</v>
      </c>
      <c r="K793" s="106"/>
      <c r="L793" s="114"/>
      <c r="M793" s="114">
        <f>tblAquisições[[#This Row],[VALOR UNITARIO COMPRADO]]*tblAquisições[[#This Row],[QUANTIDADE COMPRADA]]</f>
        <v>0</v>
      </c>
      <c r="N793" s="110">
        <f>K793-tblAquisições[[#This Row],[QUANTIDADE PLANEJADA]]</f>
        <v>-20</v>
      </c>
      <c r="O793" s="106" t="str">
        <f t="shared" si="25"/>
        <v>Faltando Comprar</v>
      </c>
    </row>
    <row r="794" spans="1:15" ht="31.5">
      <c r="A794" s="16" t="s">
        <v>17</v>
      </c>
      <c r="B794" s="16" t="s">
        <v>31</v>
      </c>
      <c r="C794" s="17" t="s">
        <v>19</v>
      </c>
      <c r="D794" s="18" t="s">
        <v>476</v>
      </c>
      <c r="E794" s="18">
        <v>50</v>
      </c>
      <c r="F794" s="18" t="s">
        <v>21</v>
      </c>
      <c r="G794" s="18" t="s">
        <v>22</v>
      </c>
      <c r="H794" s="18" t="s">
        <v>23</v>
      </c>
      <c r="I794" s="19">
        <v>7</v>
      </c>
      <c r="J794" s="20">
        <f t="shared" si="24"/>
        <v>350</v>
      </c>
      <c r="K794" s="106"/>
      <c r="L794" s="114"/>
      <c r="M794" s="114">
        <f>tblAquisições[[#This Row],[VALOR UNITARIO COMPRADO]]*tblAquisições[[#This Row],[QUANTIDADE COMPRADA]]</f>
        <v>0</v>
      </c>
      <c r="N794" s="110">
        <f>K794-tblAquisições[[#This Row],[QUANTIDADE PLANEJADA]]</f>
        <v>-50</v>
      </c>
      <c r="O794" s="106" t="str">
        <f t="shared" si="25"/>
        <v>Faltando Comprar</v>
      </c>
    </row>
    <row r="795" spans="1:15" ht="31.5">
      <c r="A795" s="16" t="s">
        <v>17</v>
      </c>
      <c r="B795" s="16" t="s">
        <v>18</v>
      </c>
      <c r="C795" s="17" t="s">
        <v>19</v>
      </c>
      <c r="D795" s="18" t="s">
        <v>476</v>
      </c>
      <c r="E795" s="18">
        <v>40</v>
      </c>
      <c r="F795" s="18" t="s">
        <v>21</v>
      </c>
      <c r="G795" s="18" t="s">
        <v>22</v>
      </c>
      <c r="H795" s="18" t="s">
        <v>23</v>
      </c>
      <c r="I795" s="19">
        <v>7</v>
      </c>
      <c r="J795" s="20">
        <f t="shared" si="24"/>
        <v>280</v>
      </c>
      <c r="K795" s="106"/>
      <c r="L795" s="114"/>
      <c r="M795" s="114">
        <f>tblAquisições[[#This Row],[VALOR UNITARIO COMPRADO]]*tblAquisições[[#This Row],[QUANTIDADE COMPRADA]]</f>
        <v>0</v>
      </c>
      <c r="N795" s="110">
        <f>K795-tblAquisições[[#This Row],[QUANTIDADE PLANEJADA]]</f>
        <v>-40</v>
      </c>
      <c r="O795" s="106" t="str">
        <f t="shared" si="25"/>
        <v>Faltando Comprar</v>
      </c>
    </row>
    <row r="796" spans="1:15" ht="31.5">
      <c r="A796" s="16" t="s">
        <v>17</v>
      </c>
      <c r="B796" s="16" t="s">
        <v>24</v>
      </c>
      <c r="C796" s="17" t="s">
        <v>19</v>
      </c>
      <c r="D796" s="18" t="s">
        <v>476</v>
      </c>
      <c r="E796" s="18">
        <v>40</v>
      </c>
      <c r="F796" s="18" t="s">
        <v>21</v>
      </c>
      <c r="G796" s="18" t="s">
        <v>22</v>
      </c>
      <c r="H796" s="18" t="s">
        <v>23</v>
      </c>
      <c r="I796" s="19">
        <v>7</v>
      </c>
      <c r="J796" s="20">
        <f t="shared" si="24"/>
        <v>280</v>
      </c>
      <c r="K796" s="106"/>
      <c r="L796" s="114"/>
      <c r="M796" s="114">
        <f>tblAquisições[[#This Row],[VALOR UNITARIO COMPRADO]]*tblAquisições[[#This Row],[QUANTIDADE COMPRADA]]</f>
        <v>0</v>
      </c>
      <c r="N796" s="110">
        <f>K796-tblAquisições[[#This Row],[QUANTIDADE PLANEJADA]]</f>
        <v>-40</v>
      </c>
      <c r="O796" s="106" t="str">
        <f t="shared" si="25"/>
        <v>Faltando Comprar</v>
      </c>
    </row>
    <row r="797" spans="1:15" ht="31.5">
      <c r="A797" s="16" t="s">
        <v>17</v>
      </c>
      <c r="B797" s="16" t="s">
        <v>25</v>
      </c>
      <c r="C797" s="17" t="s">
        <v>19</v>
      </c>
      <c r="D797" s="18" t="s">
        <v>476</v>
      </c>
      <c r="E797" s="18">
        <v>40</v>
      </c>
      <c r="F797" s="18" t="s">
        <v>21</v>
      </c>
      <c r="G797" s="18" t="s">
        <v>22</v>
      </c>
      <c r="H797" s="18" t="s">
        <v>23</v>
      </c>
      <c r="I797" s="19">
        <v>7</v>
      </c>
      <c r="J797" s="20">
        <f t="shared" si="24"/>
        <v>280</v>
      </c>
      <c r="K797" s="106"/>
      <c r="L797" s="114"/>
      <c r="M797" s="114">
        <f>tblAquisições[[#This Row],[VALOR UNITARIO COMPRADO]]*tblAquisições[[#This Row],[QUANTIDADE COMPRADA]]</f>
        <v>0</v>
      </c>
      <c r="N797" s="110">
        <f>K797-tblAquisições[[#This Row],[QUANTIDADE PLANEJADA]]</f>
        <v>-40</v>
      </c>
      <c r="O797" s="106" t="str">
        <f t="shared" si="25"/>
        <v>Faltando Comprar</v>
      </c>
    </row>
    <row r="798" spans="1:15" ht="31.5">
      <c r="A798" s="16" t="s">
        <v>17</v>
      </c>
      <c r="B798" s="16" t="s">
        <v>27</v>
      </c>
      <c r="C798" s="17" t="s">
        <v>19</v>
      </c>
      <c r="D798" s="18" t="s">
        <v>476</v>
      </c>
      <c r="E798" s="18">
        <v>50</v>
      </c>
      <c r="F798" s="18" t="s">
        <v>21</v>
      </c>
      <c r="G798" s="18" t="s">
        <v>22</v>
      </c>
      <c r="H798" s="18" t="s">
        <v>23</v>
      </c>
      <c r="I798" s="19">
        <v>7</v>
      </c>
      <c r="J798" s="20">
        <f t="shared" si="24"/>
        <v>350</v>
      </c>
      <c r="K798" s="106"/>
      <c r="L798" s="114"/>
      <c r="M798" s="114">
        <f>tblAquisições[[#This Row],[VALOR UNITARIO COMPRADO]]*tblAquisições[[#This Row],[QUANTIDADE COMPRADA]]</f>
        <v>0</v>
      </c>
      <c r="N798" s="110">
        <f>K798-tblAquisições[[#This Row],[QUANTIDADE PLANEJADA]]</f>
        <v>-50</v>
      </c>
      <c r="O798" s="106" t="str">
        <f t="shared" si="25"/>
        <v>Faltando Comprar</v>
      </c>
    </row>
    <row r="799" spans="1:15" ht="31.5">
      <c r="A799" s="16" t="s">
        <v>17</v>
      </c>
      <c r="B799" s="16" t="s">
        <v>28</v>
      </c>
      <c r="C799" s="17" t="s">
        <v>19</v>
      </c>
      <c r="D799" s="18" t="s">
        <v>476</v>
      </c>
      <c r="E799" s="18">
        <v>60</v>
      </c>
      <c r="F799" s="18" t="s">
        <v>21</v>
      </c>
      <c r="G799" s="18" t="s">
        <v>22</v>
      </c>
      <c r="H799" s="18" t="s">
        <v>23</v>
      </c>
      <c r="I799" s="19">
        <v>7</v>
      </c>
      <c r="J799" s="20">
        <f t="shared" si="24"/>
        <v>420</v>
      </c>
      <c r="K799" s="106"/>
      <c r="L799" s="114"/>
      <c r="M799" s="114">
        <f>tblAquisições[[#This Row],[VALOR UNITARIO COMPRADO]]*tblAquisições[[#This Row],[QUANTIDADE COMPRADA]]</f>
        <v>0</v>
      </c>
      <c r="N799" s="110">
        <f>K799-tblAquisições[[#This Row],[QUANTIDADE PLANEJADA]]</f>
        <v>-60</v>
      </c>
      <c r="O799" s="106" t="str">
        <f t="shared" si="25"/>
        <v>Faltando Comprar</v>
      </c>
    </row>
    <row r="800" spans="1:15" ht="31.5">
      <c r="A800" s="16" t="s">
        <v>17</v>
      </c>
      <c r="B800" s="16" t="s">
        <v>26</v>
      </c>
      <c r="C800" s="17" t="s">
        <v>19</v>
      </c>
      <c r="D800" s="18" t="s">
        <v>477</v>
      </c>
      <c r="E800" s="18">
        <v>50</v>
      </c>
      <c r="F800" s="18" t="s">
        <v>21</v>
      </c>
      <c r="G800" s="18" t="s">
        <v>22</v>
      </c>
      <c r="H800" s="18" t="s">
        <v>23</v>
      </c>
      <c r="I800" s="19">
        <v>1.25</v>
      </c>
      <c r="J800" s="20">
        <f t="shared" si="24"/>
        <v>62.5</v>
      </c>
      <c r="K800" s="106"/>
      <c r="L800" s="114"/>
      <c r="M800" s="114">
        <f>tblAquisições[[#This Row],[VALOR UNITARIO COMPRADO]]*tblAquisições[[#This Row],[QUANTIDADE COMPRADA]]</f>
        <v>0</v>
      </c>
      <c r="N800" s="110">
        <f>K800-tblAquisições[[#This Row],[QUANTIDADE PLANEJADA]]</f>
        <v>-50</v>
      </c>
      <c r="O800" s="106" t="str">
        <f t="shared" si="25"/>
        <v>Faltando Comprar</v>
      </c>
    </row>
    <row r="801" spans="1:15" ht="31.5">
      <c r="A801" s="16" t="s">
        <v>17</v>
      </c>
      <c r="B801" s="16" t="s">
        <v>31</v>
      </c>
      <c r="C801" s="17" t="s">
        <v>19</v>
      </c>
      <c r="D801" s="18" t="s">
        <v>478</v>
      </c>
      <c r="E801" s="18">
        <v>20</v>
      </c>
      <c r="F801" s="18" t="s">
        <v>21</v>
      </c>
      <c r="G801" s="18" t="s">
        <v>22</v>
      </c>
      <c r="H801" s="18" t="s">
        <v>23</v>
      </c>
      <c r="I801" s="19">
        <v>7.88</v>
      </c>
      <c r="J801" s="20">
        <f t="shared" si="24"/>
        <v>157.6</v>
      </c>
      <c r="K801" s="106"/>
      <c r="L801" s="114"/>
      <c r="M801" s="114">
        <f>tblAquisições[[#This Row],[VALOR UNITARIO COMPRADO]]*tblAquisições[[#This Row],[QUANTIDADE COMPRADA]]</f>
        <v>0</v>
      </c>
      <c r="N801" s="110">
        <f>K801-tblAquisições[[#This Row],[QUANTIDADE PLANEJADA]]</f>
        <v>-20</v>
      </c>
      <c r="O801" s="106" t="str">
        <f t="shared" si="25"/>
        <v>Faltando Comprar</v>
      </c>
    </row>
    <row r="802" spans="1:15" ht="31.5">
      <c r="A802" s="16" t="s">
        <v>17</v>
      </c>
      <c r="B802" s="16" t="s">
        <v>18</v>
      </c>
      <c r="C802" s="17" t="s">
        <v>19</v>
      </c>
      <c r="D802" s="18" t="s">
        <v>479</v>
      </c>
      <c r="E802" s="18">
        <v>300</v>
      </c>
      <c r="F802" s="18" t="s">
        <v>21</v>
      </c>
      <c r="G802" s="18" t="s">
        <v>22</v>
      </c>
      <c r="H802" s="18" t="s">
        <v>83</v>
      </c>
      <c r="I802" s="19">
        <v>6.86</v>
      </c>
      <c r="J802" s="20">
        <f t="shared" si="24"/>
        <v>2058</v>
      </c>
      <c r="K802" s="106"/>
      <c r="L802" s="114"/>
      <c r="M802" s="114">
        <f>tblAquisições[[#This Row],[VALOR UNITARIO COMPRADO]]*tblAquisições[[#This Row],[QUANTIDADE COMPRADA]]</f>
        <v>0</v>
      </c>
      <c r="N802" s="110">
        <f>K802-tblAquisições[[#This Row],[QUANTIDADE PLANEJADA]]</f>
        <v>-300</v>
      </c>
      <c r="O802" s="106" t="str">
        <f t="shared" si="25"/>
        <v>Faltando Comprar</v>
      </c>
    </row>
    <row r="803" spans="1:15" ht="31.5">
      <c r="A803" s="16" t="s">
        <v>17</v>
      </c>
      <c r="B803" s="16" t="s">
        <v>24</v>
      </c>
      <c r="C803" s="17" t="s">
        <v>19</v>
      </c>
      <c r="D803" s="18" t="s">
        <v>479</v>
      </c>
      <c r="E803" s="18">
        <v>300</v>
      </c>
      <c r="F803" s="18" t="s">
        <v>21</v>
      </c>
      <c r="G803" s="18" t="s">
        <v>22</v>
      </c>
      <c r="H803" s="18" t="s">
        <v>83</v>
      </c>
      <c r="I803" s="19">
        <v>6.86</v>
      </c>
      <c r="J803" s="20">
        <f t="shared" si="24"/>
        <v>2058</v>
      </c>
      <c r="K803" s="106"/>
      <c r="L803" s="114"/>
      <c r="M803" s="114">
        <f>tblAquisições[[#This Row],[VALOR UNITARIO COMPRADO]]*tblAquisições[[#This Row],[QUANTIDADE COMPRADA]]</f>
        <v>0</v>
      </c>
      <c r="N803" s="110">
        <f>K803-tblAquisições[[#This Row],[QUANTIDADE PLANEJADA]]</f>
        <v>-300</v>
      </c>
      <c r="O803" s="106" t="str">
        <f t="shared" si="25"/>
        <v>Faltando Comprar</v>
      </c>
    </row>
    <row r="804" spans="1:15" ht="31.5">
      <c r="A804" s="16" t="s">
        <v>17</v>
      </c>
      <c r="B804" s="16" t="s">
        <v>25</v>
      </c>
      <c r="C804" s="17" t="s">
        <v>19</v>
      </c>
      <c r="D804" s="18" t="s">
        <v>479</v>
      </c>
      <c r="E804" s="18">
        <v>300</v>
      </c>
      <c r="F804" s="18" t="s">
        <v>21</v>
      </c>
      <c r="G804" s="18" t="s">
        <v>22</v>
      </c>
      <c r="H804" s="18" t="s">
        <v>83</v>
      </c>
      <c r="I804" s="19">
        <v>6.86</v>
      </c>
      <c r="J804" s="20">
        <f t="shared" si="24"/>
        <v>2058</v>
      </c>
      <c r="K804" s="106"/>
      <c r="L804" s="114"/>
      <c r="M804" s="114">
        <f>tblAquisições[[#This Row],[VALOR UNITARIO COMPRADO]]*tblAquisições[[#This Row],[QUANTIDADE COMPRADA]]</f>
        <v>0</v>
      </c>
      <c r="N804" s="110">
        <f>K804-tblAquisições[[#This Row],[QUANTIDADE PLANEJADA]]</f>
        <v>-300</v>
      </c>
      <c r="O804" s="106" t="str">
        <f t="shared" si="25"/>
        <v>Faltando Comprar</v>
      </c>
    </row>
    <row r="805" spans="1:15" ht="31.5">
      <c r="A805" s="16" t="s">
        <v>17</v>
      </c>
      <c r="B805" s="16" t="s">
        <v>18</v>
      </c>
      <c r="C805" s="17" t="s">
        <v>19</v>
      </c>
      <c r="D805" s="18" t="s">
        <v>480</v>
      </c>
      <c r="E805" s="18">
        <v>300</v>
      </c>
      <c r="F805" s="18" t="s">
        <v>21</v>
      </c>
      <c r="G805" s="18" t="s">
        <v>22</v>
      </c>
      <c r="H805" s="18" t="s">
        <v>83</v>
      </c>
      <c r="I805" s="19">
        <v>329.63</v>
      </c>
      <c r="J805" s="20">
        <f t="shared" si="24"/>
        <v>98889</v>
      </c>
      <c r="K805" s="106"/>
      <c r="L805" s="114"/>
      <c r="M805" s="114">
        <f>tblAquisições[[#This Row],[VALOR UNITARIO COMPRADO]]*tblAquisições[[#This Row],[QUANTIDADE COMPRADA]]</f>
        <v>0</v>
      </c>
      <c r="N805" s="110">
        <f>K805-tblAquisições[[#This Row],[QUANTIDADE PLANEJADA]]</f>
        <v>-300</v>
      </c>
      <c r="O805" s="106" t="str">
        <f t="shared" si="25"/>
        <v>Faltando Comprar</v>
      </c>
    </row>
    <row r="806" spans="1:15" ht="31.5">
      <c r="A806" s="16" t="s">
        <v>17</v>
      </c>
      <c r="B806" s="16" t="s">
        <v>24</v>
      </c>
      <c r="C806" s="17" t="s">
        <v>19</v>
      </c>
      <c r="D806" s="18" t="s">
        <v>480</v>
      </c>
      <c r="E806" s="18">
        <v>300</v>
      </c>
      <c r="F806" s="18" t="s">
        <v>21</v>
      </c>
      <c r="G806" s="18" t="s">
        <v>22</v>
      </c>
      <c r="H806" s="18" t="s">
        <v>83</v>
      </c>
      <c r="I806" s="19">
        <v>329.63</v>
      </c>
      <c r="J806" s="20">
        <f t="shared" si="24"/>
        <v>98889</v>
      </c>
      <c r="K806" s="106"/>
      <c r="L806" s="114"/>
      <c r="M806" s="114">
        <f>tblAquisições[[#This Row],[VALOR UNITARIO COMPRADO]]*tblAquisições[[#This Row],[QUANTIDADE COMPRADA]]</f>
        <v>0</v>
      </c>
      <c r="N806" s="110">
        <f>K806-tblAquisições[[#This Row],[QUANTIDADE PLANEJADA]]</f>
        <v>-300</v>
      </c>
      <c r="O806" s="106" t="str">
        <f t="shared" si="25"/>
        <v>Faltando Comprar</v>
      </c>
    </row>
    <row r="807" spans="1:15" ht="31.5">
      <c r="A807" s="16" t="s">
        <v>17</v>
      </c>
      <c r="B807" s="16" t="s">
        <v>25</v>
      </c>
      <c r="C807" s="17" t="s">
        <v>19</v>
      </c>
      <c r="D807" s="18" t="s">
        <v>480</v>
      </c>
      <c r="E807" s="18">
        <v>300</v>
      </c>
      <c r="F807" s="18" t="s">
        <v>21</v>
      </c>
      <c r="G807" s="18" t="s">
        <v>22</v>
      </c>
      <c r="H807" s="18" t="s">
        <v>83</v>
      </c>
      <c r="I807" s="19">
        <v>329.63</v>
      </c>
      <c r="J807" s="20">
        <f t="shared" si="24"/>
        <v>98889</v>
      </c>
      <c r="K807" s="106"/>
      <c r="L807" s="114"/>
      <c r="M807" s="114">
        <f>tblAquisições[[#This Row],[VALOR UNITARIO COMPRADO]]*tblAquisições[[#This Row],[QUANTIDADE COMPRADA]]</f>
        <v>0</v>
      </c>
      <c r="N807" s="110">
        <f>K807-tblAquisições[[#This Row],[QUANTIDADE PLANEJADA]]</f>
        <v>-300</v>
      </c>
      <c r="O807" s="106" t="str">
        <f t="shared" si="25"/>
        <v>Faltando Comprar</v>
      </c>
    </row>
    <row r="808" spans="1:15" ht="31.5">
      <c r="A808" s="16" t="s">
        <v>17</v>
      </c>
      <c r="B808" s="16" t="s">
        <v>27</v>
      </c>
      <c r="C808" s="17" t="s">
        <v>19</v>
      </c>
      <c r="D808" s="18" t="s">
        <v>480</v>
      </c>
      <c r="E808" s="18">
        <v>300</v>
      </c>
      <c r="F808" s="18" t="s">
        <v>21</v>
      </c>
      <c r="G808" s="18" t="s">
        <v>22</v>
      </c>
      <c r="H808" s="18" t="s">
        <v>83</v>
      </c>
      <c r="I808" s="19">
        <v>329.63</v>
      </c>
      <c r="J808" s="20">
        <f t="shared" si="24"/>
        <v>98889</v>
      </c>
      <c r="K808" s="106"/>
      <c r="L808" s="114"/>
      <c r="M808" s="114">
        <f>tblAquisições[[#This Row],[VALOR UNITARIO COMPRADO]]*tblAquisições[[#This Row],[QUANTIDADE COMPRADA]]</f>
        <v>0</v>
      </c>
      <c r="N808" s="110">
        <f>K808-tblAquisições[[#This Row],[QUANTIDADE PLANEJADA]]</f>
        <v>-300</v>
      </c>
      <c r="O808" s="106" t="str">
        <f t="shared" si="25"/>
        <v>Faltando Comprar</v>
      </c>
    </row>
    <row r="809" spans="1:15" ht="31.5">
      <c r="A809" s="16" t="s">
        <v>17</v>
      </c>
      <c r="B809" s="16" t="s">
        <v>18</v>
      </c>
      <c r="C809" s="17" t="s">
        <v>19</v>
      </c>
      <c r="D809" s="18" t="s">
        <v>481</v>
      </c>
      <c r="E809" s="18">
        <v>300</v>
      </c>
      <c r="F809" s="18" t="s">
        <v>21</v>
      </c>
      <c r="G809" s="18" t="s">
        <v>22</v>
      </c>
      <c r="H809" s="18" t="s">
        <v>83</v>
      </c>
      <c r="I809" s="19">
        <v>853.62</v>
      </c>
      <c r="J809" s="20">
        <f t="shared" si="24"/>
        <v>256086</v>
      </c>
      <c r="K809" s="106"/>
      <c r="L809" s="114"/>
      <c r="M809" s="114">
        <f>tblAquisições[[#This Row],[VALOR UNITARIO COMPRADO]]*tblAquisições[[#This Row],[QUANTIDADE COMPRADA]]</f>
        <v>0</v>
      </c>
      <c r="N809" s="110">
        <f>K809-tblAquisições[[#This Row],[QUANTIDADE PLANEJADA]]</f>
        <v>-300</v>
      </c>
      <c r="O809" s="106" t="str">
        <f t="shared" si="25"/>
        <v>Faltando Comprar</v>
      </c>
    </row>
    <row r="810" spans="1:15" ht="31.5">
      <c r="A810" s="16" t="s">
        <v>17</v>
      </c>
      <c r="B810" s="16" t="s">
        <v>24</v>
      </c>
      <c r="C810" s="17" t="s">
        <v>19</v>
      </c>
      <c r="D810" s="18" t="s">
        <v>481</v>
      </c>
      <c r="E810" s="18">
        <v>300</v>
      </c>
      <c r="F810" s="18" t="s">
        <v>21</v>
      </c>
      <c r="G810" s="18" t="s">
        <v>22</v>
      </c>
      <c r="H810" s="18" t="s">
        <v>83</v>
      </c>
      <c r="I810" s="19">
        <v>853.62</v>
      </c>
      <c r="J810" s="20">
        <f t="shared" si="24"/>
        <v>256086</v>
      </c>
      <c r="K810" s="106"/>
      <c r="L810" s="114"/>
      <c r="M810" s="114">
        <f>tblAquisições[[#This Row],[VALOR UNITARIO COMPRADO]]*tblAquisições[[#This Row],[QUANTIDADE COMPRADA]]</f>
        <v>0</v>
      </c>
      <c r="N810" s="110">
        <f>K810-tblAquisições[[#This Row],[QUANTIDADE PLANEJADA]]</f>
        <v>-300</v>
      </c>
      <c r="O810" s="106" t="str">
        <f t="shared" si="25"/>
        <v>Faltando Comprar</v>
      </c>
    </row>
    <row r="811" spans="1:15" ht="31.5">
      <c r="A811" s="16" t="s">
        <v>17</v>
      </c>
      <c r="B811" s="16" t="s">
        <v>25</v>
      </c>
      <c r="C811" s="17" t="s">
        <v>19</v>
      </c>
      <c r="D811" s="18" t="s">
        <v>481</v>
      </c>
      <c r="E811" s="18">
        <v>300</v>
      </c>
      <c r="F811" s="18" t="s">
        <v>21</v>
      </c>
      <c r="G811" s="18" t="s">
        <v>22</v>
      </c>
      <c r="H811" s="18" t="s">
        <v>83</v>
      </c>
      <c r="I811" s="19">
        <v>853.62</v>
      </c>
      <c r="J811" s="20">
        <f t="shared" si="24"/>
        <v>256086</v>
      </c>
      <c r="K811" s="106"/>
      <c r="L811" s="114"/>
      <c r="M811" s="114">
        <f>tblAquisições[[#This Row],[VALOR UNITARIO COMPRADO]]*tblAquisições[[#This Row],[QUANTIDADE COMPRADA]]</f>
        <v>0</v>
      </c>
      <c r="N811" s="110">
        <f>K811-tblAquisições[[#This Row],[QUANTIDADE PLANEJADA]]</f>
        <v>-300</v>
      </c>
      <c r="O811" s="106" t="str">
        <f t="shared" si="25"/>
        <v>Faltando Comprar</v>
      </c>
    </row>
    <row r="812" spans="1:15" ht="31.5">
      <c r="A812" s="16" t="s">
        <v>17</v>
      </c>
      <c r="B812" s="16" t="s">
        <v>27</v>
      </c>
      <c r="C812" s="17" t="s">
        <v>19</v>
      </c>
      <c r="D812" s="18" t="s">
        <v>481</v>
      </c>
      <c r="E812" s="18">
        <v>300</v>
      </c>
      <c r="F812" s="18" t="s">
        <v>21</v>
      </c>
      <c r="G812" s="18" t="s">
        <v>22</v>
      </c>
      <c r="H812" s="18" t="s">
        <v>83</v>
      </c>
      <c r="I812" s="19">
        <v>853.62</v>
      </c>
      <c r="J812" s="20">
        <f t="shared" si="24"/>
        <v>256086</v>
      </c>
      <c r="K812" s="106"/>
      <c r="L812" s="114"/>
      <c r="M812" s="114">
        <f>tblAquisições[[#This Row],[VALOR UNITARIO COMPRADO]]*tblAquisições[[#This Row],[QUANTIDADE COMPRADA]]</f>
        <v>0</v>
      </c>
      <c r="N812" s="110">
        <f>K812-tblAquisições[[#This Row],[QUANTIDADE PLANEJADA]]</f>
        <v>-300</v>
      </c>
      <c r="O812" s="106" t="str">
        <f t="shared" si="25"/>
        <v>Faltando Comprar</v>
      </c>
    </row>
    <row r="813" spans="1:15" ht="31.5">
      <c r="A813" s="16" t="s">
        <v>17</v>
      </c>
      <c r="B813" s="16" t="s">
        <v>34</v>
      </c>
      <c r="C813" s="17" t="s">
        <v>19</v>
      </c>
      <c r="D813" s="18" t="s">
        <v>482</v>
      </c>
      <c r="E813" s="18">
        <v>20</v>
      </c>
      <c r="F813" s="18" t="s">
        <v>21</v>
      </c>
      <c r="G813" s="18" t="s">
        <v>22</v>
      </c>
      <c r="H813" s="18" t="s">
        <v>23</v>
      </c>
      <c r="I813" s="19">
        <v>19.760000000000002</v>
      </c>
      <c r="J813" s="20">
        <f t="shared" si="24"/>
        <v>395.20000000000005</v>
      </c>
      <c r="K813" s="106"/>
      <c r="L813" s="114"/>
      <c r="M813" s="114">
        <f>tblAquisições[[#This Row],[VALOR UNITARIO COMPRADO]]*tblAquisições[[#This Row],[QUANTIDADE COMPRADA]]</f>
        <v>0</v>
      </c>
      <c r="N813" s="110">
        <f>K813-tblAquisições[[#This Row],[QUANTIDADE PLANEJADA]]</f>
        <v>-20</v>
      </c>
      <c r="O813" s="106" t="str">
        <f t="shared" si="25"/>
        <v>Faltando Comprar</v>
      </c>
    </row>
    <row r="814" spans="1:15" ht="31.5">
      <c r="A814" s="16" t="s">
        <v>17</v>
      </c>
      <c r="B814" s="16" t="s">
        <v>31</v>
      </c>
      <c r="C814" s="17" t="s">
        <v>19</v>
      </c>
      <c r="D814" s="18" t="s">
        <v>482</v>
      </c>
      <c r="E814" s="18">
        <v>50</v>
      </c>
      <c r="F814" s="18" t="s">
        <v>21</v>
      </c>
      <c r="G814" s="18" t="s">
        <v>22</v>
      </c>
      <c r="H814" s="18" t="s">
        <v>23</v>
      </c>
      <c r="I814" s="19">
        <v>19.760000000000002</v>
      </c>
      <c r="J814" s="20">
        <f t="shared" si="24"/>
        <v>988.00000000000011</v>
      </c>
      <c r="K814" s="106"/>
      <c r="L814" s="114"/>
      <c r="M814" s="114">
        <f>tblAquisições[[#This Row],[VALOR UNITARIO COMPRADO]]*tblAquisições[[#This Row],[QUANTIDADE COMPRADA]]</f>
        <v>0</v>
      </c>
      <c r="N814" s="110">
        <f>K814-tblAquisições[[#This Row],[QUANTIDADE PLANEJADA]]</f>
        <v>-50</v>
      </c>
      <c r="O814" s="106" t="str">
        <f t="shared" si="25"/>
        <v>Faltando Comprar</v>
      </c>
    </row>
    <row r="815" spans="1:15" ht="31.5">
      <c r="A815" s="16" t="s">
        <v>17</v>
      </c>
      <c r="B815" s="16" t="s">
        <v>41</v>
      </c>
      <c r="C815" s="17" t="s">
        <v>19</v>
      </c>
      <c r="D815" s="18" t="s">
        <v>482</v>
      </c>
      <c r="E815" s="18">
        <v>200</v>
      </c>
      <c r="F815" s="18" t="s">
        <v>21</v>
      </c>
      <c r="G815" s="18" t="s">
        <v>22</v>
      </c>
      <c r="H815" s="18" t="s">
        <v>23</v>
      </c>
      <c r="I815" s="19">
        <v>19.760000000000002</v>
      </c>
      <c r="J815" s="20">
        <f t="shared" si="24"/>
        <v>3952.0000000000005</v>
      </c>
      <c r="K815" s="106"/>
      <c r="L815" s="114"/>
      <c r="M815" s="114">
        <f>tblAquisições[[#This Row],[VALOR UNITARIO COMPRADO]]*tblAquisições[[#This Row],[QUANTIDADE COMPRADA]]</f>
        <v>0</v>
      </c>
      <c r="N815" s="110">
        <f>K815-tblAquisições[[#This Row],[QUANTIDADE PLANEJADA]]</f>
        <v>-200</v>
      </c>
      <c r="O815" s="106" t="str">
        <f t="shared" si="25"/>
        <v>Faltando Comprar</v>
      </c>
    </row>
    <row r="816" spans="1:15" ht="31.5">
      <c r="A816" s="16" t="s">
        <v>17</v>
      </c>
      <c r="B816" s="16" t="s">
        <v>28</v>
      </c>
      <c r="C816" s="17" t="s">
        <v>19</v>
      </c>
      <c r="D816" s="18" t="s">
        <v>482</v>
      </c>
      <c r="E816" s="18">
        <v>20</v>
      </c>
      <c r="F816" s="18" t="s">
        <v>21</v>
      </c>
      <c r="G816" s="18" t="s">
        <v>22</v>
      </c>
      <c r="H816" s="18" t="s">
        <v>23</v>
      </c>
      <c r="I816" s="19">
        <v>19.760000000000002</v>
      </c>
      <c r="J816" s="20">
        <f t="shared" si="24"/>
        <v>395.20000000000005</v>
      </c>
      <c r="K816" s="106"/>
      <c r="L816" s="114"/>
      <c r="M816" s="114">
        <f>tblAquisições[[#This Row],[VALOR UNITARIO COMPRADO]]*tblAquisições[[#This Row],[QUANTIDADE COMPRADA]]</f>
        <v>0</v>
      </c>
      <c r="N816" s="110">
        <f>K816-tblAquisições[[#This Row],[QUANTIDADE PLANEJADA]]</f>
        <v>-20</v>
      </c>
      <c r="O816" s="106" t="str">
        <f t="shared" si="25"/>
        <v>Faltando Comprar</v>
      </c>
    </row>
    <row r="817" spans="1:15" ht="31.5">
      <c r="A817" s="16" t="s">
        <v>17</v>
      </c>
      <c r="B817" s="16" t="s">
        <v>18</v>
      </c>
      <c r="C817" s="17" t="s">
        <v>19</v>
      </c>
      <c r="D817" s="18" t="s">
        <v>483</v>
      </c>
      <c r="E817" s="18">
        <v>600</v>
      </c>
      <c r="F817" s="18" t="s">
        <v>21</v>
      </c>
      <c r="G817" s="18" t="s">
        <v>22</v>
      </c>
      <c r="H817" s="18" t="s">
        <v>23</v>
      </c>
      <c r="I817" s="19">
        <v>16.78</v>
      </c>
      <c r="J817" s="20">
        <f t="shared" si="24"/>
        <v>10068</v>
      </c>
      <c r="K817" s="106"/>
      <c r="L817" s="114"/>
      <c r="M817" s="114">
        <f>tblAquisições[[#This Row],[VALOR UNITARIO COMPRADO]]*tblAquisições[[#This Row],[QUANTIDADE COMPRADA]]</f>
        <v>0</v>
      </c>
      <c r="N817" s="110">
        <f>K817-tblAquisições[[#This Row],[QUANTIDADE PLANEJADA]]</f>
        <v>-600</v>
      </c>
      <c r="O817" s="106" t="str">
        <f t="shared" si="25"/>
        <v>Faltando Comprar</v>
      </c>
    </row>
    <row r="818" spans="1:15" ht="31.5">
      <c r="A818" s="16" t="s">
        <v>17</v>
      </c>
      <c r="B818" s="16" t="s">
        <v>24</v>
      </c>
      <c r="C818" s="17" t="s">
        <v>19</v>
      </c>
      <c r="D818" s="18" t="s">
        <v>483</v>
      </c>
      <c r="E818" s="18">
        <v>600</v>
      </c>
      <c r="F818" s="18" t="s">
        <v>21</v>
      </c>
      <c r="G818" s="18" t="s">
        <v>22</v>
      </c>
      <c r="H818" s="18" t="s">
        <v>23</v>
      </c>
      <c r="I818" s="19">
        <v>16.78</v>
      </c>
      <c r="J818" s="20">
        <f t="shared" si="24"/>
        <v>10068</v>
      </c>
      <c r="K818" s="106"/>
      <c r="L818" s="114"/>
      <c r="M818" s="114">
        <f>tblAquisições[[#This Row],[VALOR UNITARIO COMPRADO]]*tblAquisições[[#This Row],[QUANTIDADE COMPRADA]]</f>
        <v>0</v>
      </c>
      <c r="N818" s="110">
        <f>K818-tblAquisições[[#This Row],[QUANTIDADE PLANEJADA]]</f>
        <v>-600</v>
      </c>
      <c r="O818" s="106" t="str">
        <f t="shared" si="25"/>
        <v>Faltando Comprar</v>
      </c>
    </row>
    <row r="819" spans="1:15" ht="31.5">
      <c r="A819" s="16" t="s">
        <v>17</v>
      </c>
      <c r="B819" s="16" t="s">
        <v>25</v>
      </c>
      <c r="C819" s="17" t="s">
        <v>19</v>
      </c>
      <c r="D819" s="18" t="s">
        <v>483</v>
      </c>
      <c r="E819" s="18">
        <v>600</v>
      </c>
      <c r="F819" s="18" t="s">
        <v>21</v>
      </c>
      <c r="G819" s="18" t="s">
        <v>22</v>
      </c>
      <c r="H819" s="18" t="s">
        <v>23</v>
      </c>
      <c r="I819" s="19">
        <v>16.78</v>
      </c>
      <c r="J819" s="20">
        <f t="shared" si="24"/>
        <v>10068</v>
      </c>
      <c r="K819" s="106"/>
      <c r="L819" s="114"/>
      <c r="M819" s="114">
        <f>tblAquisições[[#This Row],[VALOR UNITARIO COMPRADO]]*tblAquisições[[#This Row],[QUANTIDADE COMPRADA]]</f>
        <v>0</v>
      </c>
      <c r="N819" s="110">
        <f>K819-tblAquisições[[#This Row],[QUANTIDADE PLANEJADA]]</f>
        <v>-600</v>
      </c>
      <c r="O819" s="106" t="str">
        <f t="shared" si="25"/>
        <v>Faltando Comprar</v>
      </c>
    </row>
    <row r="820" spans="1:15" ht="31.5">
      <c r="A820" s="16" t="s">
        <v>17</v>
      </c>
      <c r="B820" s="16" t="s">
        <v>80</v>
      </c>
      <c r="C820" s="17" t="s">
        <v>19</v>
      </c>
      <c r="D820" s="18" t="s">
        <v>484</v>
      </c>
      <c r="E820" s="18">
        <v>4</v>
      </c>
      <c r="F820" s="18" t="s">
        <v>38</v>
      </c>
      <c r="G820" s="18" t="s">
        <v>39</v>
      </c>
      <c r="H820" s="21"/>
      <c r="I820" s="19">
        <v>3.65</v>
      </c>
      <c r="J820" s="20">
        <f t="shared" si="24"/>
        <v>14.6</v>
      </c>
      <c r="K820" s="106"/>
      <c r="L820" s="114"/>
      <c r="M820" s="114">
        <f>tblAquisições[[#This Row],[VALOR UNITARIO COMPRADO]]*tblAquisições[[#This Row],[QUANTIDADE COMPRADA]]</f>
        <v>0</v>
      </c>
      <c r="N820" s="110">
        <f>K820-tblAquisições[[#This Row],[QUANTIDADE PLANEJADA]]</f>
        <v>-4</v>
      </c>
      <c r="O820" s="106" t="str">
        <f t="shared" si="25"/>
        <v>Faltando Comprar</v>
      </c>
    </row>
    <row r="821" spans="1:15" ht="31.5">
      <c r="A821" s="16" t="s">
        <v>17</v>
      </c>
      <c r="B821" s="16" t="s">
        <v>28</v>
      </c>
      <c r="C821" s="17" t="s">
        <v>19</v>
      </c>
      <c r="D821" s="18" t="s">
        <v>485</v>
      </c>
      <c r="E821" s="18">
        <v>12</v>
      </c>
      <c r="F821" s="18" t="s">
        <v>21</v>
      </c>
      <c r="G821" s="18" t="s">
        <v>22</v>
      </c>
      <c r="H821" s="18" t="s">
        <v>23</v>
      </c>
      <c r="I821" s="19">
        <v>13.72</v>
      </c>
      <c r="J821" s="20">
        <f t="shared" si="24"/>
        <v>164.64000000000001</v>
      </c>
      <c r="K821" s="106"/>
      <c r="L821" s="114"/>
      <c r="M821" s="114">
        <f>tblAquisições[[#This Row],[VALOR UNITARIO COMPRADO]]*tblAquisições[[#This Row],[QUANTIDADE COMPRADA]]</f>
        <v>0</v>
      </c>
      <c r="N821" s="110">
        <f>K821-tblAquisições[[#This Row],[QUANTIDADE PLANEJADA]]</f>
        <v>-12</v>
      </c>
      <c r="O821" s="106" t="str">
        <f t="shared" si="25"/>
        <v>Faltando Comprar</v>
      </c>
    </row>
    <row r="822" spans="1:15" ht="47.25">
      <c r="A822" s="16" t="s">
        <v>17</v>
      </c>
      <c r="B822" s="16" t="s">
        <v>26</v>
      </c>
      <c r="C822" s="17" t="s">
        <v>19</v>
      </c>
      <c r="D822" s="18" t="s">
        <v>486</v>
      </c>
      <c r="E822" s="18">
        <v>6</v>
      </c>
      <c r="F822" s="18" t="s">
        <v>78</v>
      </c>
      <c r="G822" s="18" t="s">
        <v>22</v>
      </c>
      <c r="H822" s="18" t="s">
        <v>23</v>
      </c>
      <c r="I822" s="19">
        <v>130</v>
      </c>
      <c r="J822" s="20">
        <f t="shared" si="24"/>
        <v>780</v>
      </c>
      <c r="K822" s="106"/>
      <c r="L822" s="114"/>
      <c r="M822" s="114">
        <f>tblAquisições[[#This Row],[VALOR UNITARIO COMPRADO]]*tblAquisições[[#This Row],[QUANTIDADE COMPRADA]]</f>
        <v>0</v>
      </c>
      <c r="N822" s="110">
        <f>K822-tblAquisições[[#This Row],[QUANTIDADE PLANEJADA]]</f>
        <v>-6</v>
      </c>
      <c r="O822" s="106" t="str">
        <f t="shared" si="25"/>
        <v>Faltando Comprar</v>
      </c>
    </row>
    <row r="823" spans="1:15" ht="47.25">
      <c r="A823" s="16" t="s">
        <v>17</v>
      </c>
      <c r="B823" s="16" t="s">
        <v>28</v>
      </c>
      <c r="C823" s="17" t="s">
        <v>19</v>
      </c>
      <c r="D823" s="18" t="s">
        <v>487</v>
      </c>
      <c r="E823" s="18">
        <v>15</v>
      </c>
      <c r="F823" s="18" t="s">
        <v>78</v>
      </c>
      <c r="G823" s="18" t="s">
        <v>22</v>
      </c>
      <c r="H823" s="18" t="s">
        <v>23</v>
      </c>
      <c r="I823" s="19">
        <v>44.14</v>
      </c>
      <c r="J823" s="20">
        <f t="shared" si="24"/>
        <v>662.1</v>
      </c>
      <c r="K823" s="106"/>
      <c r="L823" s="114"/>
      <c r="M823" s="114">
        <f>tblAquisições[[#This Row],[VALOR UNITARIO COMPRADO]]*tblAquisições[[#This Row],[QUANTIDADE COMPRADA]]</f>
        <v>0</v>
      </c>
      <c r="N823" s="110">
        <f>K823-tblAquisições[[#This Row],[QUANTIDADE PLANEJADA]]</f>
        <v>-15</v>
      </c>
      <c r="O823" s="106" t="str">
        <f t="shared" si="25"/>
        <v>Faltando Comprar</v>
      </c>
    </row>
    <row r="824" spans="1:15" ht="47.25">
      <c r="A824" s="16" t="s">
        <v>17</v>
      </c>
      <c r="B824" s="16" t="s">
        <v>28</v>
      </c>
      <c r="C824" s="17" t="s">
        <v>19</v>
      </c>
      <c r="D824" s="18" t="s">
        <v>488</v>
      </c>
      <c r="E824" s="18">
        <v>10</v>
      </c>
      <c r="F824" s="18" t="s">
        <v>78</v>
      </c>
      <c r="G824" s="18" t="s">
        <v>22</v>
      </c>
      <c r="H824" s="18" t="s">
        <v>23</v>
      </c>
      <c r="I824" s="19">
        <v>16.809999999999999</v>
      </c>
      <c r="J824" s="20">
        <f t="shared" si="24"/>
        <v>168.1</v>
      </c>
      <c r="K824" s="106"/>
      <c r="L824" s="114"/>
      <c r="M824" s="114">
        <f>tblAquisições[[#This Row],[VALOR UNITARIO COMPRADO]]*tblAquisições[[#This Row],[QUANTIDADE COMPRADA]]</f>
        <v>0</v>
      </c>
      <c r="N824" s="110">
        <f>K824-tblAquisições[[#This Row],[QUANTIDADE PLANEJADA]]</f>
        <v>-10</v>
      </c>
      <c r="O824" s="106" t="str">
        <f t="shared" si="25"/>
        <v>Faltando Comprar</v>
      </c>
    </row>
    <row r="825" spans="1:15" ht="47.25">
      <c r="A825" s="16" t="s">
        <v>17</v>
      </c>
      <c r="B825" s="16" t="s">
        <v>28</v>
      </c>
      <c r="C825" s="17" t="s">
        <v>19</v>
      </c>
      <c r="D825" s="18" t="s">
        <v>489</v>
      </c>
      <c r="E825" s="18">
        <v>20</v>
      </c>
      <c r="F825" s="18" t="s">
        <v>78</v>
      </c>
      <c r="G825" s="18" t="s">
        <v>22</v>
      </c>
      <c r="H825" s="18" t="s">
        <v>23</v>
      </c>
      <c r="I825" s="19">
        <v>41.48</v>
      </c>
      <c r="J825" s="20">
        <f t="shared" si="24"/>
        <v>829.59999999999991</v>
      </c>
      <c r="K825" s="106"/>
      <c r="L825" s="114"/>
      <c r="M825" s="114">
        <f>tblAquisições[[#This Row],[VALOR UNITARIO COMPRADO]]*tblAquisições[[#This Row],[QUANTIDADE COMPRADA]]</f>
        <v>0</v>
      </c>
      <c r="N825" s="110">
        <f>K825-tblAquisições[[#This Row],[QUANTIDADE PLANEJADA]]</f>
        <v>-20</v>
      </c>
      <c r="O825" s="106" t="str">
        <f t="shared" si="25"/>
        <v>Faltando Comprar</v>
      </c>
    </row>
    <row r="826" spans="1:15" ht="47.25">
      <c r="A826" s="16" t="s">
        <v>17</v>
      </c>
      <c r="B826" s="16" t="s">
        <v>28</v>
      </c>
      <c r="C826" s="17" t="s">
        <v>19</v>
      </c>
      <c r="D826" s="18" t="s">
        <v>490</v>
      </c>
      <c r="E826" s="18">
        <v>70</v>
      </c>
      <c r="F826" s="18" t="s">
        <v>313</v>
      </c>
      <c r="G826" s="18" t="s">
        <v>22</v>
      </c>
      <c r="H826" s="18" t="s">
        <v>23</v>
      </c>
      <c r="I826" s="19">
        <v>40.72</v>
      </c>
      <c r="J826" s="20">
        <f t="shared" si="24"/>
        <v>2850.4</v>
      </c>
      <c r="K826" s="106"/>
      <c r="L826" s="114"/>
      <c r="M826" s="114">
        <f>tblAquisições[[#This Row],[VALOR UNITARIO COMPRADO]]*tblAquisições[[#This Row],[QUANTIDADE COMPRADA]]</f>
        <v>0</v>
      </c>
      <c r="N826" s="110">
        <f>K826-tblAquisições[[#This Row],[QUANTIDADE PLANEJADA]]</f>
        <v>-70</v>
      </c>
      <c r="O826" s="106" t="str">
        <f t="shared" si="25"/>
        <v>Faltando Comprar</v>
      </c>
    </row>
    <row r="827" spans="1:15" ht="31.5">
      <c r="A827" s="16" t="s">
        <v>17</v>
      </c>
      <c r="B827" s="16" t="s">
        <v>28</v>
      </c>
      <c r="C827" s="17" t="s">
        <v>19</v>
      </c>
      <c r="D827" s="18" t="s">
        <v>491</v>
      </c>
      <c r="E827" s="18">
        <v>60</v>
      </c>
      <c r="F827" s="18" t="s">
        <v>21</v>
      </c>
      <c r="G827" s="18" t="s">
        <v>22</v>
      </c>
      <c r="H827" s="18" t="s">
        <v>53</v>
      </c>
      <c r="I827" s="19">
        <v>47</v>
      </c>
      <c r="J827" s="20">
        <f t="shared" si="24"/>
        <v>2820</v>
      </c>
      <c r="K827" s="106"/>
      <c r="L827" s="114"/>
      <c r="M827" s="114">
        <f>tblAquisições[[#This Row],[VALOR UNITARIO COMPRADO]]*tblAquisições[[#This Row],[QUANTIDADE COMPRADA]]</f>
        <v>0</v>
      </c>
      <c r="N827" s="110">
        <f>K827-tblAquisições[[#This Row],[QUANTIDADE PLANEJADA]]</f>
        <v>-60</v>
      </c>
      <c r="O827" s="106" t="str">
        <f t="shared" si="25"/>
        <v>Faltando Comprar</v>
      </c>
    </row>
    <row r="828" spans="1:15" ht="31.5">
      <c r="A828" s="16" t="s">
        <v>17</v>
      </c>
      <c r="B828" s="16" t="s">
        <v>80</v>
      </c>
      <c r="C828" s="17" t="s">
        <v>19</v>
      </c>
      <c r="D828" s="18" t="s">
        <v>492</v>
      </c>
      <c r="E828" s="18">
        <v>6</v>
      </c>
      <c r="F828" s="18" t="s">
        <v>272</v>
      </c>
      <c r="G828" s="18" t="s">
        <v>39</v>
      </c>
      <c r="H828" s="21"/>
      <c r="I828" s="19">
        <v>9.91</v>
      </c>
      <c r="J828" s="20">
        <f t="shared" si="24"/>
        <v>59.46</v>
      </c>
      <c r="K828" s="106"/>
      <c r="L828" s="114"/>
      <c r="M828" s="114">
        <f>tblAquisições[[#This Row],[VALOR UNITARIO COMPRADO]]*tblAquisições[[#This Row],[QUANTIDADE COMPRADA]]</f>
        <v>0</v>
      </c>
      <c r="N828" s="110">
        <f>K828-tblAquisições[[#This Row],[QUANTIDADE PLANEJADA]]</f>
        <v>-6</v>
      </c>
      <c r="O828" s="106" t="str">
        <f t="shared" si="25"/>
        <v>Faltando Comprar</v>
      </c>
    </row>
    <row r="829" spans="1:15" ht="31.5">
      <c r="A829" s="16" t="s">
        <v>17</v>
      </c>
      <c r="B829" s="16" t="s">
        <v>28</v>
      </c>
      <c r="C829" s="17" t="s">
        <v>19</v>
      </c>
      <c r="D829" s="18" t="s">
        <v>493</v>
      </c>
      <c r="E829" s="18">
        <v>2</v>
      </c>
      <c r="F829" s="18" t="s">
        <v>324</v>
      </c>
      <c r="G829" s="18" t="s">
        <v>22</v>
      </c>
      <c r="H829" s="18" t="s">
        <v>65</v>
      </c>
      <c r="I829" s="19">
        <v>9.91</v>
      </c>
      <c r="J829" s="20">
        <f t="shared" si="24"/>
        <v>19.82</v>
      </c>
      <c r="K829" s="106"/>
      <c r="L829" s="114"/>
      <c r="M829" s="114">
        <f>tblAquisições[[#This Row],[VALOR UNITARIO COMPRADO]]*tblAquisições[[#This Row],[QUANTIDADE COMPRADA]]</f>
        <v>0</v>
      </c>
      <c r="N829" s="110">
        <f>K829-tblAquisições[[#This Row],[QUANTIDADE PLANEJADA]]</f>
        <v>-2</v>
      </c>
      <c r="O829" s="106" t="str">
        <f t="shared" si="25"/>
        <v>Faltando Comprar</v>
      </c>
    </row>
    <row r="830" spans="1:15" ht="47.25">
      <c r="A830" s="16" t="s">
        <v>17</v>
      </c>
      <c r="B830" s="16" t="s">
        <v>18</v>
      </c>
      <c r="C830" s="17" t="s">
        <v>19</v>
      </c>
      <c r="D830" s="18" t="s">
        <v>494</v>
      </c>
      <c r="E830" s="18">
        <v>15</v>
      </c>
      <c r="F830" s="18" t="s">
        <v>131</v>
      </c>
      <c r="G830" s="18" t="s">
        <v>22</v>
      </c>
      <c r="H830" s="18" t="s">
        <v>23</v>
      </c>
      <c r="I830" s="19">
        <v>21.3</v>
      </c>
      <c r="J830" s="20">
        <f t="shared" si="24"/>
        <v>319.5</v>
      </c>
      <c r="K830" s="106"/>
      <c r="L830" s="114"/>
      <c r="M830" s="114">
        <f>tblAquisições[[#This Row],[VALOR UNITARIO COMPRADO]]*tblAquisições[[#This Row],[QUANTIDADE COMPRADA]]</f>
        <v>0</v>
      </c>
      <c r="N830" s="110">
        <f>K830-tblAquisições[[#This Row],[QUANTIDADE PLANEJADA]]</f>
        <v>-15</v>
      </c>
      <c r="O830" s="106" t="str">
        <f t="shared" si="25"/>
        <v>Faltando Comprar</v>
      </c>
    </row>
    <row r="831" spans="1:15" ht="47.25">
      <c r="A831" s="16" t="s">
        <v>17</v>
      </c>
      <c r="B831" s="16" t="s">
        <v>24</v>
      </c>
      <c r="C831" s="17" t="s">
        <v>19</v>
      </c>
      <c r="D831" s="18" t="s">
        <v>494</v>
      </c>
      <c r="E831" s="18">
        <v>15</v>
      </c>
      <c r="F831" s="18" t="s">
        <v>131</v>
      </c>
      <c r="G831" s="18" t="s">
        <v>22</v>
      </c>
      <c r="H831" s="18" t="s">
        <v>23</v>
      </c>
      <c r="I831" s="19">
        <v>21.3</v>
      </c>
      <c r="J831" s="20">
        <f t="shared" si="24"/>
        <v>319.5</v>
      </c>
      <c r="K831" s="106"/>
      <c r="L831" s="114"/>
      <c r="M831" s="114">
        <f>tblAquisições[[#This Row],[VALOR UNITARIO COMPRADO]]*tblAquisições[[#This Row],[QUANTIDADE COMPRADA]]</f>
        <v>0</v>
      </c>
      <c r="N831" s="110">
        <f>K831-tblAquisições[[#This Row],[QUANTIDADE PLANEJADA]]</f>
        <v>-15</v>
      </c>
      <c r="O831" s="106" t="str">
        <f t="shared" si="25"/>
        <v>Faltando Comprar</v>
      </c>
    </row>
    <row r="832" spans="1:15" ht="47.25">
      <c r="A832" s="16" t="s">
        <v>17</v>
      </c>
      <c r="B832" s="16" t="s">
        <v>25</v>
      </c>
      <c r="C832" s="17" t="s">
        <v>19</v>
      </c>
      <c r="D832" s="18" t="s">
        <v>494</v>
      </c>
      <c r="E832" s="18">
        <v>15</v>
      </c>
      <c r="F832" s="18" t="s">
        <v>131</v>
      </c>
      <c r="G832" s="18" t="s">
        <v>22</v>
      </c>
      <c r="H832" s="18" t="s">
        <v>23</v>
      </c>
      <c r="I832" s="19">
        <v>21.3</v>
      </c>
      <c r="J832" s="20">
        <f t="shared" si="24"/>
        <v>319.5</v>
      </c>
      <c r="K832" s="106"/>
      <c r="L832" s="114"/>
      <c r="M832" s="114">
        <f>tblAquisições[[#This Row],[VALOR UNITARIO COMPRADO]]*tblAquisições[[#This Row],[QUANTIDADE COMPRADA]]</f>
        <v>0</v>
      </c>
      <c r="N832" s="110">
        <f>K832-tblAquisições[[#This Row],[QUANTIDADE PLANEJADA]]</f>
        <v>-15</v>
      </c>
      <c r="O832" s="106" t="str">
        <f t="shared" si="25"/>
        <v>Faltando Comprar</v>
      </c>
    </row>
    <row r="833" spans="1:15" ht="47.25">
      <c r="A833" s="16" t="s">
        <v>17</v>
      </c>
      <c r="B833" s="16" t="s">
        <v>27</v>
      </c>
      <c r="C833" s="17" t="s">
        <v>19</v>
      </c>
      <c r="D833" s="18" t="s">
        <v>494</v>
      </c>
      <c r="E833" s="18">
        <v>10</v>
      </c>
      <c r="F833" s="18" t="s">
        <v>131</v>
      </c>
      <c r="G833" s="18" t="s">
        <v>22</v>
      </c>
      <c r="H833" s="18" t="s">
        <v>23</v>
      </c>
      <c r="I833" s="19">
        <v>21.3</v>
      </c>
      <c r="J833" s="20">
        <f t="shared" si="24"/>
        <v>213</v>
      </c>
      <c r="K833" s="106"/>
      <c r="L833" s="114"/>
      <c r="M833" s="114">
        <f>tblAquisições[[#This Row],[VALOR UNITARIO COMPRADO]]*tblAquisições[[#This Row],[QUANTIDADE COMPRADA]]</f>
        <v>0</v>
      </c>
      <c r="N833" s="110">
        <f>K833-tblAquisições[[#This Row],[QUANTIDADE PLANEJADA]]</f>
        <v>-10</v>
      </c>
      <c r="O833" s="106" t="str">
        <f t="shared" si="25"/>
        <v>Faltando Comprar</v>
      </c>
    </row>
    <row r="834" spans="1:15" ht="47.25">
      <c r="A834" s="16" t="s">
        <v>17</v>
      </c>
      <c r="B834" s="16" t="s">
        <v>28</v>
      </c>
      <c r="C834" s="17" t="s">
        <v>19</v>
      </c>
      <c r="D834" s="18" t="s">
        <v>494</v>
      </c>
      <c r="E834" s="18">
        <v>12</v>
      </c>
      <c r="F834" s="18" t="s">
        <v>131</v>
      </c>
      <c r="G834" s="18" t="s">
        <v>22</v>
      </c>
      <c r="H834" s="18" t="s">
        <v>23</v>
      </c>
      <c r="I834" s="19">
        <v>21.3</v>
      </c>
      <c r="J834" s="20">
        <f t="shared" ref="J834:J897" si="26">E834*I834</f>
        <v>255.60000000000002</v>
      </c>
      <c r="K834" s="106"/>
      <c r="L834" s="114"/>
      <c r="M834" s="114">
        <f>tblAquisições[[#This Row],[VALOR UNITARIO COMPRADO]]*tblAquisições[[#This Row],[QUANTIDADE COMPRADA]]</f>
        <v>0</v>
      </c>
      <c r="N834" s="110">
        <f>K834-tblAquisições[[#This Row],[QUANTIDADE PLANEJADA]]</f>
        <v>-12</v>
      </c>
      <c r="O834" s="106" t="str">
        <f t="shared" ref="O834:O897" si="27">IF(K834=E834,"OK",IF(K834&lt;E834,"Faltando Comprar","Excedente"))</f>
        <v>Faltando Comprar</v>
      </c>
    </row>
    <row r="835" spans="1:15" ht="31.5">
      <c r="A835" s="16" t="s">
        <v>17</v>
      </c>
      <c r="B835" s="16" t="s">
        <v>27</v>
      </c>
      <c r="C835" s="17" t="s">
        <v>19</v>
      </c>
      <c r="D835" s="18" t="s">
        <v>495</v>
      </c>
      <c r="E835" s="18">
        <v>40</v>
      </c>
      <c r="F835" s="18" t="s">
        <v>21</v>
      </c>
      <c r="G835" s="18" t="s">
        <v>22</v>
      </c>
      <c r="H835" s="18" t="s">
        <v>23</v>
      </c>
      <c r="I835" s="19">
        <v>11.63</v>
      </c>
      <c r="J835" s="20">
        <f t="shared" si="26"/>
        <v>465.20000000000005</v>
      </c>
      <c r="K835" s="106"/>
      <c r="L835" s="114"/>
      <c r="M835" s="114">
        <f>tblAquisições[[#This Row],[VALOR UNITARIO COMPRADO]]*tblAquisições[[#This Row],[QUANTIDADE COMPRADA]]</f>
        <v>0</v>
      </c>
      <c r="N835" s="110">
        <f>K835-tblAquisições[[#This Row],[QUANTIDADE PLANEJADA]]</f>
        <v>-40</v>
      </c>
      <c r="O835" s="106" t="str">
        <f t="shared" si="27"/>
        <v>Faltando Comprar</v>
      </c>
    </row>
    <row r="836" spans="1:15" ht="47.25">
      <c r="A836" s="16" t="s">
        <v>17</v>
      </c>
      <c r="B836" s="16" t="s">
        <v>34</v>
      </c>
      <c r="C836" s="17" t="s">
        <v>19</v>
      </c>
      <c r="D836" s="18" t="s">
        <v>496</v>
      </c>
      <c r="E836" s="18">
        <v>10</v>
      </c>
      <c r="F836" s="18" t="s">
        <v>71</v>
      </c>
      <c r="G836" s="18" t="s">
        <v>22</v>
      </c>
      <c r="H836" s="18" t="s">
        <v>23</v>
      </c>
      <c r="I836" s="19">
        <v>25.06</v>
      </c>
      <c r="J836" s="20">
        <f t="shared" si="26"/>
        <v>250.6</v>
      </c>
      <c r="K836" s="106"/>
      <c r="L836" s="114"/>
      <c r="M836" s="114">
        <f>tblAquisições[[#This Row],[VALOR UNITARIO COMPRADO]]*tblAquisições[[#This Row],[QUANTIDADE COMPRADA]]</f>
        <v>0</v>
      </c>
      <c r="N836" s="110">
        <f>K836-tblAquisições[[#This Row],[QUANTIDADE PLANEJADA]]</f>
        <v>-10</v>
      </c>
      <c r="O836" s="106" t="str">
        <f t="shared" si="27"/>
        <v>Faltando Comprar</v>
      </c>
    </row>
    <row r="837" spans="1:15" ht="47.25">
      <c r="A837" s="16" t="s">
        <v>17</v>
      </c>
      <c r="B837" s="16" t="s">
        <v>18</v>
      </c>
      <c r="C837" s="17" t="s">
        <v>19</v>
      </c>
      <c r="D837" s="18" t="s">
        <v>497</v>
      </c>
      <c r="E837" s="18">
        <v>200</v>
      </c>
      <c r="F837" s="18" t="s">
        <v>78</v>
      </c>
      <c r="G837" s="18" t="s">
        <v>22</v>
      </c>
      <c r="H837" s="18" t="s">
        <v>23</v>
      </c>
      <c r="I837" s="19">
        <v>2.34</v>
      </c>
      <c r="J837" s="20">
        <f t="shared" si="26"/>
        <v>468</v>
      </c>
      <c r="K837" s="106"/>
      <c r="L837" s="114"/>
      <c r="M837" s="114">
        <f>tblAquisições[[#This Row],[VALOR UNITARIO COMPRADO]]*tblAquisições[[#This Row],[QUANTIDADE COMPRADA]]</f>
        <v>0</v>
      </c>
      <c r="N837" s="110">
        <f>K837-tblAquisições[[#This Row],[QUANTIDADE PLANEJADA]]</f>
        <v>-200</v>
      </c>
      <c r="O837" s="106" t="str">
        <f t="shared" si="27"/>
        <v>Faltando Comprar</v>
      </c>
    </row>
    <row r="838" spans="1:15" ht="47.25">
      <c r="A838" s="16" t="s">
        <v>17</v>
      </c>
      <c r="B838" s="16" t="s">
        <v>24</v>
      </c>
      <c r="C838" s="17" t="s">
        <v>19</v>
      </c>
      <c r="D838" s="18" t="s">
        <v>497</v>
      </c>
      <c r="E838" s="18">
        <v>200</v>
      </c>
      <c r="F838" s="18" t="s">
        <v>78</v>
      </c>
      <c r="G838" s="18" t="s">
        <v>22</v>
      </c>
      <c r="H838" s="18" t="s">
        <v>23</v>
      </c>
      <c r="I838" s="19">
        <v>2.34</v>
      </c>
      <c r="J838" s="20">
        <f t="shared" si="26"/>
        <v>468</v>
      </c>
      <c r="K838" s="106"/>
      <c r="L838" s="114"/>
      <c r="M838" s="114">
        <f>tblAquisições[[#This Row],[VALOR UNITARIO COMPRADO]]*tblAquisições[[#This Row],[QUANTIDADE COMPRADA]]</f>
        <v>0</v>
      </c>
      <c r="N838" s="110">
        <f>K838-tblAquisições[[#This Row],[QUANTIDADE PLANEJADA]]</f>
        <v>-200</v>
      </c>
      <c r="O838" s="106" t="str">
        <f t="shared" si="27"/>
        <v>Faltando Comprar</v>
      </c>
    </row>
    <row r="839" spans="1:15" ht="47.25">
      <c r="A839" s="16" t="s">
        <v>17</v>
      </c>
      <c r="B839" s="16" t="s">
        <v>25</v>
      </c>
      <c r="C839" s="17" t="s">
        <v>19</v>
      </c>
      <c r="D839" s="18" t="s">
        <v>497</v>
      </c>
      <c r="E839" s="18">
        <v>200</v>
      </c>
      <c r="F839" s="18" t="s">
        <v>78</v>
      </c>
      <c r="G839" s="18" t="s">
        <v>22</v>
      </c>
      <c r="H839" s="18" t="s">
        <v>23</v>
      </c>
      <c r="I839" s="19">
        <v>2.34</v>
      </c>
      <c r="J839" s="20">
        <f t="shared" si="26"/>
        <v>468</v>
      </c>
      <c r="K839" s="106"/>
      <c r="L839" s="114"/>
      <c r="M839" s="114">
        <f>tblAquisições[[#This Row],[VALOR UNITARIO COMPRADO]]*tblAquisições[[#This Row],[QUANTIDADE COMPRADA]]</f>
        <v>0</v>
      </c>
      <c r="N839" s="110">
        <f>K839-tblAquisições[[#This Row],[QUANTIDADE PLANEJADA]]</f>
        <v>-200</v>
      </c>
      <c r="O839" s="106" t="str">
        <f t="shared" si="27"/>
        <v>Faltando Comprar</v>
      </c>
    </row>
    <row r="840" spans="1:15" ht="47.25">
      <c r="A840" s="16" t="s">
        <v>17</v>
      </c>
      <c r="B840" s="16" t="s">
        <v>26</v>
      </c>
      <c r="C840" s="17" t="s">
        <v>19</v>
      </c>
      <c r="D840" s="18" t="s">
        <v>498</v>
      </c>
      <c r="E840" s="18">
        <v>10</v>
      </c>
      <c r="F840" s="18" t="s">
        <v>58</v>
      </c>
      <c r="G840" s="18" t="s">
        <v>22</v>
      </c>
      <c r="H840" s="18" t="s">
        <v>65</v>
      </c>
      <c r="I840" s="19">
        <v>6.4</v>
      </c>
      <c r="J840" s="20">
        <f t="shared" si="26"/>
        <v>64</v>
      </c>
      <c r="K840" s="106"/>
      <c r="L840" s="114"/>
      <c r="M840" s="114">
        <f>tblAquisições[[#This Row],[VALOR UNITARIO COMPRADO]]*tblAquisições[[#This Row],[QUANTIDADE COMPRADA]]</f>
        <v>0</v>
      </c>
      <c r="N840" s="110">
        <f>K840-tblAquisições[[#This Row],[QUANTIDADE PLANEJADA]]</f>
        <v>-10</v>
      </c>
      <c r="O840" s="106" t="str">
        <f t="shared" si="27"/>
        <v>Faltando Comprar</v>
      </c>
    </row>
    <row r="841" spans="1:15" ht="47.25">
      <c r="A841" s="16" t="s">
        <v>17</v>
      </c>
      <c r="B841" s="16" t="s">
        <v>80</v>
      </c>
      <c r="C841" s="17" t="s">
        <v>19</v>
      </c>
      <c r="D841" s="18" t="s">
        <v>499</v>
      </c>
      <c r="E841" s="18">
        <v>10</v>
      </c>
      <c r="F841" s="18" t="s">
        <v>147</v>
      </c>
      <c r="G841" s="18" t="s">
        <v>39</v>
      </c>
      <c r="H841" s="18" t="s">
        <v>23</v>
      </c>
      <c r="I841" s="19">
        <v>26.85</v>
      </c>
      <c r="J841" s="20">
        <f t="shared" si="26"/>
        <v>268.5</v>
      </c>
      <c r="K841" s="106"/>
      <c r="L841" s="114"/>
      <c r="M841" s="114">
        <f>tblAquisições[[#This Row],[VALOR UNITARIO COMPRADO]]*tblAquisições[[#This Row],[QUANTIDADE COMPRADA]]</f>
        <v>0</v>
      </c>
      <c r="N841" s="110">
        <f>K841-tblAquisições[[#This Row],[QUANTIDADE PLANEJADA]]</f>
        <v>-10</v>
      </c>
      <c r="O841" s="106" t="str">
        <f t="shared" si="27"/>
        <v>Faltando Comprar</v>
      </c>
    </row>
    <row r="842" spans="1:15" ht="47.25">
      <c r="A842" s="16" t="s">
        <v>17</v>
      </c>
      <c r="B842" s="16" t="s">
        <v>28</v>
      </c>
      <c r="C842" s="17" t="s">
        <v>19</v>
      </c>
      <c r="D842" s="18" t="s">
        <v>500</v>
      </c>
      <c r="E842" s="18">
        <v>50</v>
      </c>
      <c r="F842" s="18" t="s">
        <v>78</v>
      </c>
      <c r="G842" s="18" t="s">
        <v>22</v>
      </c>
      <c r="H842" s="18" t="s">
        <v>65</v>
      </c>
      <c r="I842" s="19">
        <v>88.99</v>
      </c>
      <c r="J842" s="20">
        <f t="shared" si="26"/>
        <v>4449.5</v>
      </c>
      <c r="K842" s="106"/>
      <c r="L842" s="114"/>
      <c r="M842" s="114">
        <f>tblAquisições[[#This Row],[VALOR UNITARIO COMPRADO]]*tblAquisições[[#This Row],[QUANTIDADE COMPRADA]]</f>
        <v>0</v>
      </c>
      <c r="N842" s="110">
        <f>K842-tblAquisições[[#This Row],[QUANTIDADE PLANEJADA]]</f>
        <v>-50</v>
      </c>
      <c r="O842" s="106" t="str">
        <f t="shared" si="27"/>
        <v>Faltando Comprar</v>
      </c>
    </row>
    <row r="843" spans="1:15" ht="47.25">
      <c r="A843" s="16" t="s">
        <v>17</v>
      </c>
      <c r="B843" s="16" t="s">
        <v>80</v>
      </c>
      <c r="C843" s="17" t="s">
        <v>19</v>
      </c>
      <c r="D843" s="18" t="s">
        <v>501</v>
      </c>
      <c r="E843" s="18">
        <v>6</v>
      </c>
      <c r="F843" s="18" t="s">
        <v>147</v>
      </c>
      <c r="G843" s="18" t="s">
        <v>39</v>
      </c>
      <c r="H843" s="21"/>
      <c r="I843" s="19">
        <v>35</v>
      </c>
      <c r="J843" s="20">
        <f t="shared" si="26"/>
        <v>210</v>
      </c>
      <c r="K843" s="106"/>
      <c r="L843" s="114"/>
      <c r="M843" s="114">
        <f>tblAquisições[[#This Row],[VALOR UNITARIO COMPRADO]]*tblAquisições[[#This Row],[QUANTIDADE COMPRADA]]</f>
        <v>0</v>
      </c>
      <c r="N843" s="110">
        <f>K843-tblAquisições[[#This Row],[QUANTIDADE PLANEJADA]]</f>
        <v>-6</v>
      </c>
      <c r="O843" s="106" t="str">
        <f t="shared" si="27"/>
        <v>Faltando Comprar</v>
      </c>
    </row>
    <row r="844" spans="1:15" ht="31.5">
      <c r="A844" s="16" t="s">
        <v>17</v>
      </c>
      <c r="B844" s="16" t="s">
        <v>26</v>
      </c>
      <c r="C844" s="17" t="s">
        <v>19</v>
      </c>
      <c r="D844" s="18" t="s">
        <v>502</v>
      </c>
      <c r="E844" s="18">
        <v>1</v>
      </c>
      <c r="F844" s="18" t="s">
        <v>21</v>
      </c>
      <c r="G844" s="18" t="s">
        <v>22</v>
      </c>
      <c r="H844" s="18" t="s">
        <v>23</v>
      </c>
      <c r="I844" s="19">
        <v>45.8</v>
      </c>
      <c r="J844" s="20">
        <f t="shared" si="26"/>
        <v>45.8</v>
      </c>
      <c r="K844" s="106"/>
      <c r="L844" s="114"/>
      <c r="M844" s="114">
        <f>tblAquisições[[#This Row],[VALOR UNITARIO COMPRADO]]*tblAquisições[[#This Row],[QUANTIDADE COMPRADA]]</f>
        <v>0</v>
      </c>
      <c r="N844" s="110">
        <f>K844-tblAquisições[[#This Row],[QUANTIDADE PLANEJADA]]</f>
        <v>-1</v>
      </c>
      <c r="O844" s="106" t="str">
        <f t="shared" si="27"/>
        <v>Faltando Comprar</v>
      </c>
    </row>
    <row r="845" spans="1:15" ht="31.5">
      <c r="A845" s="16" t="s">
        <v>17</v>
      </c>
      <c r="B845" s="16" t="s">
        <v>28</v>
      </c>
      <c r="C845" s="17" t="s">
        <v>19</v>
      </c>
      <c r="D845" s="18" t="s">
        <v>502</v>
      </c>
      <c r="E845" s="18">
        <v>19</v>
      </c>
      <c r="F845" s="18" t="s">
        <v>21</v>
      </c>
      <c r="G845" s="18" t="s">
        <v>22</v>
      </c>
      <c r="H845" s="18" t="s">
        <v>23</v>
      </c>
      <c r="I845" s="19">
        <v>45.8</v>
      </c>
      <c r="J845" s="20">
        <f t="shared" si="26"/>
        <v>870.19999999999993</v>
      </c>
      <c r="K845" s="106"/>
      <c r="L845" s="114"/>
      <c r="M845" s="114">
        <f>tblAquisições[[#This Row],[VALOR UNITARIO COMPRADO]]*tblAquisições[[#This Row],[QUANTIDADE COMPRADA]]</f>
        <v>0</v>
      </c>
      <c r="N845" s="110">
        <f>K845-tblAquisições[[#This Row],[QUANTIDADE PLANEJADA]]</f>
        <v>-19</v>
      </c>
      <c r="O845" s="106" t="str">
        <f t="shared" si="27"/>
        <v>Faltando Comprar</v>
      </c>
    </row>
    <row r="846" spans="1:15" ht="47.25">
      <c r="A846" s="16" t="s">
        <v>17</v>
      </c>
      <c r="B846" s="16" t="s">
        <v>28</v>
      </c>
      <c r="C846" s="17" t="s">
        <v>19</v>
      </c>
      <c r="D846" s="18" t="s">
        <v>503</v>
      </c>
      <c r="E846" s="18">
        <v>10</v>
      </c>
      <c r="F846" s="18" t="s">
        <v>78</v>
      </c>
      <c r="G846" s="18" t="s">
        <v>22</v>
      </c>
      <c r="H846" s="18" t="s">
        <v>53</v>
      </c>
      <c r="I846" s="19">
        <v>766.47</v>
      </c>
      <c r="J846" s="20">
        <f t="shared" si="26"/>
        <v>7664.7000000000007</v>
      </c>
      <c r="K846" s="106"/>
      <c r="L846" s="114"/>
      <c r="M846" s="114">
        <f>tblAquisições[[#This Row],[VALOR UNITARIO COMPRADO]]*tblAquisições[[#This Row],[QUANTIDADE COMPRADA]]</f>
        <v>0</v>
      </c>
      <c r="N846" s="110">
        <f>K846-tblAquisições[[#This Row],[QUANTIDADE PLANEJADA]]</f>
        <v>-10</v>
      </c>
      <c r="O846" s="106" t="str">
        <f t="shared" si="27"/>
        <v>Faltando Comprar</v>
      </c>
    </row>
    <row r="847" spans="1:15" ht="47.25">
      <c r="A847" s="16" t="s">
        <v>17</v>
      </c>
      <c r="B847" s="16" t="s">
        <v>34</v>
      </c>
      <c r="C847" s="17" t="s">
        <v>19</v>
      </c>
      <c r="D847" s="18" t="s">
        <v>504</v>
      </c>
      <c r="E847" s="18">
        <v>12</v>
      </c>
      <c r="F847" s="18" t="s">
        <v>78</v>
      </c>
      <c r="G847" s="18" t="s">
        <v>22</v>
      </c>
      <c r="H847" s="18" t="s">
        <v>23</v>
      </c>
      <c r="I847" s="19">
        <v>29.4</v>
      </c>
      <c r="J847" s="20">
        <f t="shared" si="26"/>
        <v>352.79999999999995</v>
      </c>
      <c r="K847" s="106"/>
      <c r="L847" s="114"/>
      <c r="M847" s="114">
        <f>tblAquisições[[#This Row],[VALOR UNITARIO COMPRADO]]*tblAquisições[[#This Row],[QUANTIDADE COMPRADA]]</f>
        <v>0</v>
      </c>
      <c r="N847" s="110">
        <f>K847-tblAquisições[[#This Row],[QUANTIDADE PLANEJADA]]</f>
        <v>-12</v>
      </c>
      <c r="O847" s="106" t="str">
        <f t="shared" si="27"/>
        <v>Faltando Comprar</v>
      </c>
    </row>
    <row r="848" spans="1:15" ht="31.5">
      <c r="A848" s="16" t="s">
        <v>17</v>
      </c>
      <c r="B848" s="16" t="s">
        <v>80</v>
      </c>
      <c r="C848" s="17" t="s">
        <v>19</v>
      </c>
      <c r="D848" s="18" t="s">
        <v>505</v>
      </c>
      <c r="E848" s="18">
        <v>10</v>
      </c>
      <c r="F848" s="18" t="s">
        <v>272</v>
      </c>
      <c r="G848" s="18" t="s">
        <v>39</v>
      </c>
      <c r="H848" s="21"/>
      <c r="I848" s="19">
        <v>14.35</v>
      </c>
      <c r="J848" s="20">
        <f t="shared" si="26"/>
        <v>143.5</v>
      </c>
      <c r="K848" s="106"/>
      <c r="L848" s="114"/>
      <c r="M848" s="114">
        <f>tblAquisições[[#This Row],[VALOR UNITARIO COMPRADO]]*tblAquisições[[#This Row],[QUANTIDADE COMPRADA]]</f>
        <v>0</v>
      </c>
      <c r="N848" s="110">
        <f>K848-tblAquisições[[#This Row],[QUANTIDADE PLANEJADA]]</f>
        <v>-10</v>
      </c>
      <c r="O848" s="106" t="str">
        <f t="shared" si="27"/>
        <v>Faltando Comprar</v>
      </c>
    </row>
    <row r="849" spans="1:15" ht="31.5">
      <c r="A849" s="16" t="s">
        <v>17</v>
      </c>
      <c r="B849" s="16" t="s">
        <v>28</v>
      </c>
      <c r="C849" s="17" t="s">
        <v>19</v>
      </c>
      <c r="D849" s="18" t="s">
        <v>506</v>
      </c>
      <c r="E849" s="18">
        <v>25</v>
      </c>
      <c r="F849" s="18" t="s">
        <v>324</v>
      </c>
      <c r="G849" s="18" t="s">
        <v>22</v>
      </c>
      <c r="H849" s="18" t="s">
        <v>23</v>
      </c>
      <c r="I849" s="19">
        <v>14.35</v>
      </c>
      <c r="J849" s="20">
        <f t="shared" si="26"/>
        <v>358.75</v>
      </c>
      <c r="K849" s="106"/>
      <c r="L849" s="114"/>
      <c r="M849" s="114">
        <f>tblAquisições[[#This Row],[VALOR UNITARIO COMPRADO]]*tblAquisições[[#This Row],[QUANTIDADE COMPRADA]]</f>
        <v>0</v>
      </c>
      <c r="N849" s="110">
        <f>K849-tblAquisições[[#This Row],[QUANTIDADE PLANEJADA]]</f>
        <v>-25</v>
      </c>
      <c r="O849" s="106" t="str">
        <f t="shared" si="27"/>
        <v>Faltando Comprar</v>
      </c>
    </row>
    <row r="850" spans="1:15" ht="31.5">
      <c r="A850" s="16" t="s">
        <v>17</v>
      </c>
      <c r="B850" s="16" t="s">
        <v>80</v>
      </c>
      <c r="C850" s="17" t="s">
        <v>19</v>
      </c>
      <c r="D850" s="18" t="s">
        <v>507</v>
      </c>
      <c r="E850" s="18">
        <v>4</v>
      </c>
      <c r="F850" s="18" t="s">
        <v>38</v>
      </c>
      <c r="G850" s="18" t="s">
        <v>39</v>
      </c>
      <c r="H850" s="18" t="s">
        <v>23</v>
      </c>
      <c r="I850" s="19">
        <v>2.1800000000000002</v>
      </c>
      <c r="J850" s="20">
        <f t="shared" si="26"/>
        <v>8.7200000000000006</v>
      </c>
      <c r="K850" s="106"/>
      <c r="L850" s="114"/>
      <c r="M850" s="114">
        <f>tblAquisições[[#This Row],[VALOR UNITARIO COMPRADO]]*tblAquisições[[#This Row],[QUANTIDADE COMPRADA]]</f>
        <v>0</v>
      </c>
      <c r="N850" s="110">
        <f>K850-tblAquisições[[#This Row],[QUANTIDADE PLANEJADA]]</f>
        <v>-4</v>
      </c>
      <c r="O850" s="106" t="str">
        <f t="shared" si="27"/>
        <v>Faltando Comprar</v>
      </c>
    </row>
    <row r="851" spans="1:15" ht="31.5">
      <c r="A851" s="16" t="s">
        <v>17</v>
      </c>
      <c r="B851" s="16" t="s">
        <v>41</v>
      </c>
      <c r="C851" s="17" t="s">
        <v>19</v>
      </c>
      <c r="D851" s="18" t="s">
        <v>508</v>
      </c>
      <c r="E851" s="18">
        <v>50</v>
      </c>
      <c r="F851" s="18" t="s">
        <v>21</v>
      </c>
      <c r="G851" s="18" t="s">
        <v>22</v>
      </c>
      <c r="H851" s="18" t="s">
        <v>23</v>
      </c>
      <c r="I851" s="19">
        <v>2.1800000000000002</v>
      </c>
      <c r="J851" s="20">
        <f t="shared" si="26"/>
        <v>109.00000000000001</v>
      </c>
      <c r="K851" s="106"/>
      <c r="L851" s="114"/>
      <c r="M851" s="114">
        <f>tblAquisições[[#This Row],[VALOR UNITARIO COMPRADO]]*tblAquisições[[#This Row],[QUANTIDADE COMPRADA]]</f>
        <v>0</v>
      </c>
      <c r="N851" s="110">
        <f>K851-tblAquisições[[#This Row],[QUANTIDADE PLANEJADA]]</f>
        <v>-50</v>
      </c>
      <c r="O851" s="106" t="str">
        <f t="shared" si="27"/>
        <v>Faltando Comprar</v>
      </c>
    </row>
    <row r="852" spans="1:15" ht="31.5">
      <c r="A852" s="16" t="s">
        <v>17</v>
      </c>
      <c r="B852" s="16" t="s">
        <v>28</v>
      </c>
      <c r="C852" s="17" t="s">
        <v>19</v>
      </c>
      <c r="D852" s="18" t="s">
        <v>509</v>
      </c>
      <c r="E852" s="18">
        <v>2</v>
      </c>
      <c r="F852" s="18" t="s">
        <v>324</v>
      </c>
      <c r="G852" s="18" t="s">
        <v>22</v>
      </c>
      <c r="H852" s="18" t="s">
        <v>65</v>
      </c>
      <c r="I852" s="19">
        <v>15.35</v>
      </c>
      <c r="J852" s="20">
        <f t="shared" si="26"/>
        <v>30.7</v>
      </c>
      <c r="K852" s="106"/>
      <c r="L852" s="114"/>
      <c r="M852" s="114">
        <f>tblAquisições[[#This Row],[VALOR UNITARIO COMPRADO]]*tblAquisições[[#This Row],[QUANTIDADE COMPRADA]]</f>
        <v>0</v>
      </c>
      <c r="N852" s="110">
        <f>K852-tblAquisições[[#This Row],[QUANTIDADE PLANEJADA]]</f>
        <v>-2</v>
      </c>
      <c r="O852" s="106" t="str">
        <f t="shared" si="27"/>
        <v>Faltando Comprar</v>
      </c>
    </row>
    <row r="853" spans="1:15" ht="31.5">
      <c r="A853" s="16" t="s">
        <v>17</v>
      </c>
      <c r="B853" s="16" t="s">
        <v>26</v>
      </c>
      <c r="C853" s="17" t="s">
        <v>19</v>
      </c>
      <c r="D853" s="18" t="s">
        <v>510</v>
      </c>
      <c r="E853" s="18">
        <v>10</v>
      </c>
      <c r="F853" s="18" t="s">
        <v>21</v>
      </c>
      <c r="G853" s="18" t="s">
        <v>22</v>
      </c>
      <c r="H853" s="18" t="s">
        <v>23</v>
      </c>
      <c r="I853" s="19">
        <v>27.1</v>
      </c>
      <c r="J853" s="20">
        <f t="shared" si="26"/>
        <v>271</v>
      </c>
      <c r="K853" s="106"/>
      <c r="L853" s="114"/>
      <c r="M853" s="114">
        <f>tblAquisições[[#This Row],[VALOR UNITARIO COMPRADO]]*tblAquisições[[#This Row],[QUANTIDADE COMPRADA]]</f>
        <v>0</v>
      </c>
      <c r="N853" s="110">
        <f>K853-tblAquisições[[#This Row],[QUANTIDADE PLANEJADA]]</f>
        <v>-10</v>
      </c>
      <c r="O853" s="106" t="str">
        <f t="shared" si="27"/>
        <v>Faltando Comprar</v>
      </c>
    </row>
    <row r="854" spans="1:15" ht="31.5">
      <c r="A854" s="16" t="s">
        <v>17</v>
      </c>
      <c r="B854" s="16" t="s">
        <v>26</v>
      </c>
      <c r="C854" s="17" t="s">
        <v>19</v>
      </c>
      <c r="D854" s="18" t="s">
        <v>511</v>
      </c>
      <c r="E854" s="18">
        <v>5</v>
      </c>
      <c r="F854" s="18" t="s">
        <v>21</v>
      </c>
      <c r="G854" s="18" t="s">
        <v>22</v>
      </c>
      <c r="H854" s="18" t="s">
        <v>23</v>
      </c>
      <c r="I854" s="19">
        <v>165</v>
      </c>
      <c r="J854" s="20">
        <f t="shared" si="26"/>
        <v>825</v>
      </c>
      <c r="K854" s="106"/>
      <c r="L854" s="114"/>
      <c r="M854" s="114">
        <f>tblAquisições[[#This Row],[VALOR UNITARIO COMPRADO]]*tblAquisições[[#This Row],[QUANTIDADE COMPRADA]]</f>
        <v>0</v>
      </c>
      <c r="N854" s="110">
        <f>K854-tblAquisições[[#This Row],[QUANTIDADE PLANEJADA]]</f>
        <v>-5</v>
      </c>
      <c r="O854" s="106" t="str">
        <f t="shared" si="27"/>
        <v>Faltando Comprar</v>
      </c>
    </row>
    <row r="855" spans="1:15" ht="47.25">
      <c r="A855" s="16" t="s">
        <v>17</v>
      </c>
      <c r="B855" s="16" t="s">
        <v>34</v>
      </c>
      <c r="C855" s="17" t="s">
        <v>19</v>
      </c>
      <c r="D855" s="18" t="s">
        <v>512</v>
      </c>
      <c r="E855" s="18">
        <v>20</v>
      </c>
      <c r="F855" s="18" t="s">
        <v>131</v>
      </c>
      <c r="G855" s="18" t="s">
        <v>22</v>
      </c>
      <c r="H855" s="18" t="s">
        <v>23</v>
      </c>
      <c r="I855" s="19">
        <v>14.55</v>
      </c>
      <c r="J855" s="20">
        <f t="shared" si="26"/>
        <v>291</v>
      </c>
      <c r="K855" s="106"/>
      <c r="L855" s="114"/>
      <c r="M855" s="114">
        <f>tblAquisições[[#This Row],[VALOR UNITARIO COMPRADO]]*tblAquisições[[#This Row],[QUANTIDADE COMPRADA]]</f>
        <v>0</v>
      </c>
      <c r="N855" s="110">
        <f>K855-tblAquisições[[#This Row],[QUANTIDADE PLANEJADA]]</f>
        <v>-20</v>
      </c>
      <c r="O855" s="106" t="str">
        <f t="shared" si="27"/>
        <v>Faltando Comprar</v>
      </c>
    </row>
    <row r="856" spans="1:15" ht="31.5">
      <c r="A856" s="16" t="s">
        <v>17</v>
      </c>
      <c r="B856" s="16" t="s">
        <v>18</v>
      </c>
      <c r="C856" s="17" t="s">
        <v>19</v>
      </c>
      <c r="D856" s="18" t="s">
        <v>513</v>
      </c>
      <c r="E856" s="18">
        <v>4</v>
      </c>
      <c r="F856" s="18" t="s">
        <v>21</v>
      </c>
      <c r="G856" s="18" t="s">
        <v>22</v>
      </c>
      <c r="H856" s="18" t="s">
        <v>23</v>
      </c>
      <c r="I856" s="19">
        <v>207.54</v>
      </c>
      <c r="J856" s="20">
        <f t="shared" si="26"/>
        <v>830.16</v>
      </c>
      <c r="K856" s="106"/>
      <c r="L856" s="114"/>
      <c r="M856" s="114">
        <f>tblAquisições[[#This Row],[VALOR UNITARIO COMPRADO]]*tblAquisições[[#This Row],[QUANTIDADE COMPRADA]]</f>
        <v>0</v>
      </c>
      <c r="N856" s="110">
        <f>K856-tblAquisições[[#This Row],[QUANTIDADE PLANEJADA]]</f>
        <v>-4</v>
      </c>
      <c r="O856" s="106" t="str">
        <f t="shared" si="27"/>
        <v>Faltando Comprar</v>
      </c>
    </row>
    <row r="857" spans="1:15" ht="31.5">
      <c r="A857" s="16" t="s">
        <v>17</v>
      </c>
      <c r="B857" s="16" t="s">
        <v>24</v>
      </c>
      <c r="C857" s="17" t="s">
        <v>19</v>
      </c>
      <c r="D857" s="18" t="s">
        <v>513</v>
      </c>
      <c r="E857" s="18">
        <v>4</v>
      </c>
      <c r="F857" s="18" t="s">
        <v>21</v>
      </c>
      <c r="G857" s="18" t="s">
        <v>22</v>
      </c>
      <c r="H857" s="18" t="s">
        <v>23</v>
      </c>
      <c r="I857" s="19">
        <v>207.54</v>
      </c>
      <c r="J857" s="20">
        <f t="shared" si="26"/>
        <v>830.16</v>
      </c>
      <c r="K857" s="106"/>
      <c r="L857" s="114"/>
      <c r="M857" s="114">
        <f>tblAquisições[[#This Row],[VALOR UNITARIO COMPRADO]]*tblAquisições[[#This Row],[QUANTIDADE COMPRADA]]</f>
        <v>0</v>
      </c>
      <c r="N857" s="110">
        <f>K857-tblAquisições[[#This Row],[QUANTIDADE PLANEJADA]]</f>
        <v>-4</v>
      </c>
      <c r="O857" s="106" t="str">
        <f t="shared" si="27"/>
        <v>Faltando Comprar</v>
      </c>
    </row>
    <row r="858" spans="1:15" ht="31.5">
      <c r="A858" s="16" t="s">
        <v>17</v>
      </c>
      <c r="B858" s="16" t="s">
        <v>25</v>
      </c>
      <c r="C858" s="17" t="s">
        <v>19</v>
      </c>
      <c r="D858" s="18" t="s">
        <v>513</v>
      </c>
      <c r="E858" s="18">
        <v>4</v>
      </c>
      <c r="F858" s="18" t="s">
        <v>21</v>
      </c>
      <c r="G858" s="18" t="s">
        <v>22</v>
      </c>
      <c r="H858" s="18" t="s">
        <v>23</v>
      </c>
      <c r="I858" s="19">
        <v>207.54</v>
      </c>
      <c r="J858" s="20">
        <f t="shared" si="26"/>
        <v>830.16</v>
      </c>
      <c r="K858" s="106"/>
      <c r="L858" s="114"/>
      <c r="M858" s="114">
        <f>tblAquisições[[#This Row],[VALOR UNITARIO COMPRADO]]*tblAquisições[[#This Row],[QUANTIDADE COMPRADA]]</f>
        <v>0</v>
      </c>
      <c r="N858" s="110">
        <f>K858-tblAquisições[[#This Row],[QUANTIDADE PLANEJADA]]</f>
        <v>-4</v>
      </c>
      <c r="O858" s="106" t="str">
        <f t="shared" si="27"/>
        <v>Faltando Comprar</v>
      </c>
    </row>
    <row r="859" spans="1:15" ht="31.5">
      <c r="A859" s="16" t="s">
        <v>17</v>
      </c>
      <c r="B859" s="16" t="s">
        <v>27</v>
      </c>
      <c r="C859" s="17" t="s">
        <v>19</v>
      </c>
      <c r="D859" s="18" t="s">
        <v>513</v>
      </c>
      <c r="E859" s="18">
        <v>2</v>
      </c>
      <c r="F859" s="18" t="s">
        <v>21</v>
      </c>
      <c r="G859" s="18" t="s">
        <v>22</v>
      </c>
      <c r="H859" s="18" t="s">
        <v>23</v>
      </c>
      <c r="I859" s="19">
        <v>207.54</v>
      </c>
      <c r="J859" s="20">
        <f t="shared" si="26"/>
        <v>415.08</v>
      </c>
      <c r="K859" s="106"/>
      <c r="L859" s="114"/>
      <c r="M859" s="114">
        <f>tblAquisições[[#This Row],[VALOR UNITARIO COMPRADO]]*tblAquisições[[#This Row],[QUANTIDADE COMPRADA]]</f>
        <v>0</v>
      </c>
      <c r="N859" s="110">
        <f>K859-tblAquisições[[#This Row],[QUANTIDADE PLANEJADA]]</f>
        <v>-2</v>
      </c>
      <c r="O859" s="106" t="str">
        <f t="shared" si="27"/>
        <v>Faltando Comprar</v>
      </c>
    </row>
    <row r="860" spans="1:15" ht="31.5">
      <c r="A860" s="16" t="s">
        <v>17</v>
      </c>
      <c r="B860" s="16" t="s">
        <v>26</v>
      </c>
      <c r="C860" s="17" t="s">
        <v>19</v>
      </c>
      <c r="D860" s="18" t="s">
        <v>514</v>
      </c>
      <c r="E860" s="18">
        <v>8</v>
      </c>
      <c r="F860" s="18" t="s">
        <v>21</v>
      </c>
      <c r="G860" s="18" t="s">
        <v>22</v>
      </c>
      <c r="H860" s="18" t="s">
        <v>23</v>
      </c>
      <c r="I860" s="19">
        <v>92.33</v>
      </c>
      <c r="J860" s="20">
        <f t="shared" si="26"/>
        <v>738.64</v>
      </c>
      <c r="K860" s="106"/>
      <c r="L860" s="114"/>
      <c r="M860" s="114">
        <f>tblAquisições[[#This Row],[VALOR UNITARIO COMPRADO]]*tblAquisições[[#This Row],[QUANTIDADE COMPRADA]]</f>
        <v>0</v>
      </c>
      <c r="N860" s="110">
        <f>K860-tblAquisições[[#This Row],[QUANTIDADE PLANEJADA]]</f>
        <v>-8</v>
      </c>
      <c r="O860" s="106" t="str">
        <f t="shared" si="27"/>
        <v>Faltando Comprar</v>
      </c>
    </row>
    <row r="861" spans="1:15" ht="47.25">
      <c r="A861" s="16" t="s">
        <v>17</v>
      </c>
      <c r="B861" s="16" t="s">
        <v>34</v>
      </c>
      <c r="C861" s="17" t="s">
        <v>19</v>
      </c>
      <c r="D861" s="18" t="s">
        <v>515</v>
      </c>
      <c r="E861" s="18">
        <v>50</v>
      </c>
      <c r="F861" s="18" t="s">
        <v>313</v>
      </c>
      <c r="G861" s="18" t="s">
        <v>22</v>
      </c>
      <c r="H861" s="18" t="s">
        <v>23</v>
      </c>
      <c r="I861" s="19">
        <v>6.76</v>
      </c>
      <c r="J861" s="20">
        <f t="shared" si="26"/>
        <v>338</v>
      </c>
      <c r="K861" s="106"/>
      <c r="L861" s="114"/>
      <c r="M861" s="114">
        <f>tblAquisições[[#This Row],[VALOR UNITARIO COMPRADO]]*tblAquisições[[#This Row],[QUANTIDADE COMPRADA]]</f>
        <v>0</v>
      </c>
      <c r="N861" s="110">
        <f>K861-tblAquisições[[#This Row],[QUANTIDADE PLANEJADA]]</f>
        <v>-50</v>
      </c>
      <c r="O861" s="106" t="str">
        <f t="shared" si="27"/>
        <v>Faltando Comprar</v>
      </c>
    </row>
    <row r="862" spans="1:15" ht="47.25">
      <c r="A862" s="16" t="s">
        <v>17</v>
      </c>
      <c r="B862" s="16" t="s">
        <v>41</v>
      </c>
      <c r="C862" s="17" t="s">
        <v>19</v>
      </c>
      <c r="D862" s="18" t="s">
        <v>515</v>
      </c>
      <c r="E862" s="18">
        <v>1</v>
      </c>
      <c r="F862" s="18" t="s">
        <v>313</v>
      </c>
      <c r="G862" s="18" t="s">
        <v>22</v>
      </c>
      <c r="H862" s="18" t="s">
        <v>23</v>
      </c>
      <c r="I862" s="19">
        <v>6.76</v>
      </c>
      <c r="J862" s="20">
        <f t="shared" si="26"/>
        <v>6.76</v>
      </c>
      <c r="K862" s="106"/>
      <c r="L862" s="114"/>
      <c r="M862" s="114">
        <f>tblAquisições[[#This Row],[VALOR UNITARIO COMPRADO]]*tblAquisições[[#This Row],[QUANTIDADE COMPRADA]]</f>
        <v>0</v>
      </c>
      <c r="N862" s="110">
        <f>K862-tblAquisições[[#This Row],[QUANTIDADE PLANEJADA]]</f>
        <v>-1</v>
      </c>
      <c r="O862" s="106" t="str">
        <f t="shared" si="27"/>
        <v>Faltando Comprar</v>
      </c>
    </row>
    <row r="863" spans="1:15" ht="47.25">
      <c r="A863" s="16" t="s">
        <v>17</v>
      </c>
      <c r="B863" s="16" t="s">
        <v>28</v>
      </c>
      <c r="C863" s="17" t="s">
        <v>19</v>
      </c>
      <c r="D863" s="18" t="s">
        <v>516</v>
      </c>
      <c r="E863" s="18">
        <v>10</v>
      </c>
      <c r="F863" s="18" t="s">
        <v>131</v>
      </c>
      <c r="G863" s="18" t="s">
        <v>22</v>
      </c>
      <c r="H863" s="18" t="s">
        <v>23</v>
      </c>
      <c r="I863" s="19">
        <v>28.42</v>
      </c>
      <c r="J863" s="20">
        <f t="shared" si="26"/>
        <v>284.20000000000005</v>
      </c>
      <c r="K863" s="106"/>
      <c r="L863" s="114"/>
      <c r="M863" s="114">
        <f>tblAquisições[[#This Row],[VALOR UNITARIO COMPRADO]]*tblAquisições[[#This Row],[QUANTIDADE COMPRADA]]</f>
        <v>0</v>
      </c>
      <c r="N863" s="110">
        <f>K863-tblAquisições[[#This Row],[QUANTIDADE PLANEJADA]]</f>
        <v>-10</v>
      </c>
      <c r="O863" s="106" t="str">
        <f t="shared" si="27"/>
        <v>Faltando Comprar</v>
      </c>
    </row>
    <row r="864" spans="1:15" ht="31.5">
      <c r="A864" s="16" t="s">
        <v>17</v>
      </c>
      <c r="B864" s="16" t="s">
        <v>28</v>
      </c>
      <c r="C864" s="17" t="s">
        <v>19</v>
      </c>
      <c r="D864" s="18" t="s">
        <v>517</v>
      </c>
      <c r="E864" s="18">
        <v>3</v>
      </c>
      <c r="F864" s="18" t="s">
        <v>21</v>
      </c>
      <c r="G864" s="18" t="s">
        <v>22</v>
      </c>
      <c r="H864" s="18" t="s">
        <v>23</v>
      </c>
      <c r="I864" s="19">
        <v>3259.22</v>
      </c>
      <c r="J864" s="20">
        <f t="shared" si="26"/>
        <v>9777.66</v>
      </c>
      <c r="K864" s="106"/>
      <c r="L864" s="114"/>
      <c r="M864" s="114">
        <f>tblAquisições[[#This Row],[VALOR UNITARIO COMPRADO]]*tblAquisições[[#This Row],[QUANTIDADE COMPRADA]]</f>
        <v>0</v>
      </c>
      <c r="N864" s="110">
        <f>K864-tblAquisições[[#This Row],[QUANTIDADE PLANEJADA]]</f>
        <v>-3</v>
      </c>
      <c r="O864" s="106" t="str">
        <f t="shared" si="27"/>
        <v>Faltando Comprar</v>
      </c>
    </row>
    <row r="865" spans="1:15" ht="47.25">
      <c r="A865" s="16" t="s">
        <v>17</v>
      </c>
      <c r="B865" s="16" t="s">
        <v>28</v>
      </c>
      <c r="C865" s="17" t="s">
        <v>19</v>
      </c>
      <c r="D865" s="18" t="s">
        <v>518</v>
      </c>
      <c r="E865" s="18">
        <v>50</v>
      </c>
      <c r="F865" s="18" t="s">
        <v>78</v>
      </c>
      <c r="G865" s="18" t="s">
        <v>22</v>
      </c>
      <c r="H865" s="18" t="s">
        <v>23</v>
      </c>
      <c r="I865" s="19">
        <v>169.96</v>
      </c>
      <c r="J865" s="20">
        <f t="shared" si="26"/>
        <v>8498</v>
      </c>
      <c r="K865" s="106"/>
      <c r="L865" s="114"/>
      <c r="M865" s="114">
        <f>tblAquisições[[#This Row],[VALOR UNITARIO COMPRADO]]*tblAquisições[[#This Row],[QUANTIDADE COMPRADA]]</f>
        <v>0</v>
      </c>
      <c r="N865" s="110">
        <f>K865-tblAquisições[[#This Row],[QUANTIDADE PLANEJADA]]</f>
        <v>-50</v>
      </c>
      <c r="O865" s="106" t="str">
        <f t="shared" si="27"/>
        <v>Faltando Comprar</v>
      </c>
    </row>
    <row r="866" spans="1:15" ht="47.25">
      <c r="A866" s="16" t="s">
        <v>17</v>
      </c>
      <c r="B866" s="16" t="s">
        <v>28</v>
      </c>
      <c r="C866" s="17" t="s">
        <v>19</v>
      </c>
      <c r="D866" s="18" t="s">
        <v>519</v>
      </c>
      <c r="E866" s="18">
        <v>10</v>
      </c>
      <c r="F866" s="18" t="s">
        <v>78</v>
      </c>
      <c r="G866" s="18" t="s">
        <v>22</v>
      </c>
      <c r="H866" s="18" t="s">
        <v>53</v>
      </c>
      <c r="I866" s="19">
        <v>275.63</v>
      </c>
      <c r="J866" s="20">
        <f t="shared" si="26"/>
        <v>2756.3</v>
      </c>
      <c r="K866" s="106"/>
      <c r="L866" s="114"/>
      <c r="M866" s="114">
        <f>tblAquisições[[#This Row],[VALOR UNITARIO COMPRADO]]*tblAquisições[[#This Row],[QUANTIDADE COMPRADA]]</f>
        <v>0</v>
      </c>
      <c r="N866" s="110">
        <f>K866-tblAquisições[[#This Row],[QUANTIDADE PLANEJADA]]</f>
        <v>-10</v>
      </c>
      <c r="O866" s="106" t="str">
        <f t="shared" si="27"/>
        <v>Faltando Comprar</v>
      </c>
    </row>
    <row r="867" spans="1:15" ht="47.25">
      <c r="A867" s="16" t="s">
        <v>17</v>
      </c>
      <c r="B867" s="16" t="s">
        <v>26</v>
      </c>
      <c r="C867" s="17" t="s">
        <v>19</v>
      </c>
      <c r="D867" s="18" t="s">
        <v>520</v>
      </c>
      <c r="E867" s="18">
        <v>8</v>
      </c>
      <c r="F867" s="18" t="s">
        <v>78</v>
      </c>
      <c r="G867" s="18" t="s">
        <v>22</v>
      </c>
      <c r="H867" s="18" t="s">
        <v>23</v>
      </c>
      <c r="I867" s="19">
        <v>265</v>
      </c>
      <c r="J867" s="20">
        <f t="shared" si="26"/>
        <v>2120</v>
      </c>
      <c r="K867" s="106"/>
      <c r="L867" s="114"/>
      <c r="M867" s="114">
        <f>tblAquisições[[#This Row],[VALOR UNITARIO COMPRADO]]*tblAquisições[[#This Row],[QUANTIDADE COMPRADA]]</f>
        <v>0</v>
      </c>
      <c r="N867" s="110">
        <f>K867-tblAquisições[[#This Row],[QUANTIDADE PLANEJADA]]</f>
        <v>-8</v>
      </c>
      <c r="O867" s="106" t="str">
        <f t="shared" si="27"/>
        <v>Faltando Comprar</v>
      </c>
    </row>
    <row r="868" spans="1:15" ht="31.5">
      <c r="A868" s="16" t="s">
        <v>17</v>
      </c>
      <c r="B868" s="16" t="s">
        <v>80</v>
      </c>
      <c r="C868" s="17" t="s">
        <v>19</v>
      </c>
      <c r="D868" s="18" t="s">
        <v>521</v>
      </c>
      <c r="E868" s="18">
        <v>10</v>
      </c>
      <c r="F868" s="18" t="s">
        <v>82</v>
      </c>
      <c r="G868" s="18" t="s">
        <v>39</v>
      </c>
      <c r="H868" s="21"/>
      <c r="I868" s="19">
        <v>130</v>
      </c>
      <c r="J868" s="20">
        <f t="shared" si="26"/>
        <v>1300</v>
      </c>
      <c r="K868" s="106"/>
      <c r="L868" s="114"/>
      <c r="M868" s="114">
        <f>tblAquisições[[#This Row],[VALOR UNITARIO COMPRADO]]*tblAquisições[[#This Row],[QUANTIDADE COMPRADA]]</f>
        <v>0</v>
      </c>
      <c r="N868" s="110">
        <f>K868-tblAquisições[[#This Row],[QUANTIDADE PLANEJADA]]</f>
        <v>-10</v>
      </c>
      <c r="O868" s="106" t="str">
        <f t="shared" si="27"/>
        <v>Faltando Comprar</v>
      </c>
    </row>
    <row r="869" spans="1:15" ht="47.25">
      <c r="A869" s="16" t="s">
        <v>17</v>
      </c>
      <c r="B869" s="16" t="s">
        <v>31</v>
      </c>
      <c r="C869" s="17" t="s">
        <v>19</v>
      </c>
      <c r="D869" s="18" t="s">
        <v>522</v>
      </c>
      <c r="E869" s="18">
        <v>20</v>
      </c>
      <c r="F869" s="18" t="s">
        <v>78</v>
      </c>
      <c r="G869" s="18" t="s">
        <v>22</v>
      </c>
      <c r="H869" s="18" t="s">
        <v>83</v>
      </c>
      <c r="I869" s="19">
        <v>656</v>
      </c>
      <c r="J869" s="20">
        <f t="shared" si="26"/>
        <v>13120</v>
      </c>
      <c r="K869" s="106"/>
      <c r="L869" s="114"/>
      <c r="M869" s="114">
        <f>tblAquisições[[#This Row],[VALOR UNITARIO COMPRADO]]*tblAquisições[[#This Row],[QUANTIDADE COMPRADA]]</f>
        <v>0</v>
      </c>
      <c r="N869" s="110">
        <f>K869-tblAquisições[[#This Row],[QUANTIDADE PLANEJADA]]</f>
        <v>-20</v>
      </c>
      <c r="O869" s="106" t="str">
        <f t="shared" si="27"/>
        <v>Faltando Comprar</v>
      </c>
    </row>
    <row r="870" spans="1:15" ht="47.25">
      <c r="A870" s="16" t="s">
        <v>17</v>
      </c>
      <c r="B870" s="16" t="s">
        <v>18</v>
      </c>
      <c r="C870" s="17" t="s">
        <v>19</v>
      </c>
      <c r="D870" s="18" t="s">
        <v>522</v>
      </c>
      <c r="E870" s="18">
        <v>35</v>
      </c>
      <c r="F870" s="18" t="s">
        <v>78</v>
      </c>
      <c r="G870" s="18" t="s">
        <v>22</v>
      </c>
      <c r="H870" s="18" t="s">
        <v>53</v>
      </c>
      <c r="I870" s="19">
        <v>656</v>
      </c>
      <c r="J870" s="20">
        <f t="shared" si="26"/>
        <v>22960</v>
      </c>
      <c r="K870" s="106"/>
      <c r="L870" s="114"/>
      <c r="M870" s="114">
        <f>tblAquisições[[#This Row],[VALOR UNITARIO COMPRADO]]*tblAquisições[[#This Row],[QUANTIDADE COMPRADA]]</f>
        <v>0</v>
      </c>
      <c r="N870" s="110">
        <f>K870-tblAquisições[[#This Row],[QUANTIDADE PLANEJADA]]</f>
        <v>-35</v>
      </c>
      <c r="O870" s="106" t="str">
        <f t="shared" si="27"/>
        <v>Faltando Comprar</v>
      </c>
    </row>
    <row r="871" spans="1:15" ht="47.25">
      <c r="A871" s="16" t="s">
        <v>17</v>
      </c>
      <c r="B871" s="16" t="s">
        <v>24</v>
      </c>
      <c r="C871" s="17" t="s">
        <v>19</v>
      </c>
      <c r="D871" s="18" t="s">
        <v>522</v>
      </c>
      <c r="E871" s="18">
        <v>35</v>
      </c>
      <c r="F871" s="18" t="s">
        <v>78</v>
      </c>
      <c r="G871" s="18" t="s">
        <v>22</v>
      </c>
      <c r="H871" s="18" t="s">
        <v>53</v>
      </c>
      <c r="I871" s="19">
        <v>656</v>
      </c>
      <c r="J871" s="20">
        <f t="shared" si="26"/>
        <v>22960</v>
      </c>
      <c r="K871" s="106"/>
      <c r="L871" s="114"/>
      <c r="M871" s="114">
        <f>tblAquisições[[#This Row],[VALOR UNITARIO COMPRADO]]*tblAquisições[[#This Row],[QUANTIDADE COMPRADA]]</f>
        <v>0</v>
      </c>
      <c r="N871" s="110">
        <f>K871-tblAquisições[[#This Row],[QUANTIDADE PLANEJADA]]</f>
        <v>-35</v>
      </c>
      <c r="O871" s="106" t="str">
        <f t="shared" si="27"/>
        <v>Faltando Comprar</v>
      </c>
    </row>
    <row r="872" spans="1:15" ht="47.25">
      <c r="A872" s="16" t="s">
        <v>17</v>
      </c>
      <c r="B872" s="16" t="s">
        <v>25</v>
      </c>
      <c r="C872" s="17" t="s">
        <v>19</v>
      </c>
      <c r="D872" s="18" t="s">
        <v>522</v>
      </c>
      <c r="E872" s="18">
        <v>35</v>
      </c>
      <c r="F872" s="18" t="s">
        <v>78</v>
      </c>
      <c r="G872" s="18" t="s">
        <v>22</v>
      </c>
      <c r="H872" s="18" t="s">
        <v>53</v>
      </c>
      <c r="I872" s="19">
        <v>656</v>
      </c>
      <c r="J872" s="20">
        <f t="shared" si="26"/>
        <v>22960</v>
      </c>
      <c r="K872" s="106"/>
      <c r="L872" s="114"/>
      <c r="M872" s="114">
        <f>tblAquisições[[#This Row],[VALOR UNITARIO COMPRADO]]*tblAquisições[[#This Row],[QUANTIDADE COMPRADA]]</f>
        <v>0</v>
      </c>
      <c r="N872" s="110">
        <f>K872-tblAquisições[[#This Row],[QUANTIDADE PLANEJADA]]</f>
        <v>-35</v>
      </c>
      <c r="O872" s="106" t="str">
        <f t="shared" si="27"/>
        <v>Faltando Comprar</v>
      </c>
    </row>
    <row r="873" spans="1:15" ht="47.25">
      <c r="A873" s="16" t="s">
        <v>17</v>
      </c>
      <c r="B873" s="16" t="s">
        <v>28</v>
      </c>
      <c r="C873" s="17" t="s">
        <v>19</v>
      </c>
      <c r="D873" s="18" t="s">
        <v>523</v>
      </c>
      <c r="E873" s="18">
        <v>10</v>
      </c>
      <c r="F873" s="18" t="s">
        <v>118</v>
      </c>
      <c r="G873" s="18" t="s">
        <v>22</v>
      </c>
      <c r="H873" s="18" t="s">
        <v>23</v>
      </c>
      <c r="I873" s="19">
        <v>12.36</v>
      </c>
      <c r="J873" s="20">
        <f t="shared" si="26"/>
        <v>123.6</v>
      </c>
      <c r="K873" s="106"/>
      <c r="L873" s="114"/>
      <c r="M873" s="114">
        <f>tblAquisições[[#This Row],[VALOR UNITARIO COMPRADO]]*tblAquisições[[#This Row],[QUANTIDADE COMPRADA]]</f>
        <v>0</v>
      </c>
      <c r="N873" s="110">
        <f>K873-tblAquisições[[#This Row],[QUANTIDADE PLANEJADA]]</f>
        <v>-10</v>
      </c>
      <c r="O873" s="106" t="str">
        <f t="shared" si="27"/>
        <v>Faltando Comprar</v>
      </c>
    </row>
    <row r="874" spans="1:15" ht="47.25">
      <c r="A874" s="16" t="s">
        <v>17</v>
      </c>
      <c r="B874" s="16" t="s">
        <v>80</v>
      </c>
      <c r="C874" s="17" t="s">
        <v>19</v>
      </c>
      <c r="D874" s="18" t="s">
        <v>524</v>
      </c>
      <c r="E874" s="18">
        <v>1</v>
      </c>
      <c r="F874" s="18" t="s">
        <v>147</v>
      </c>
      <c r="G874" s="18" t="s">
        <v>39</v>
      </c>
      <c r="H874" s="21"/>
      <c r="I874" s="19">
        <v>847.45</v>
      </c>
      <c r="J874" s="20">
        <f t="shared" si="26"/>
        <v>847.45</v>
      </c>
      <c r="K874" s="106"/>
      <c r="L874" s="114"/>
      <c r="M874" s="114">
        <f>tblAquisições[[#This Row],[VALOR UNITARIO COMPRADO]]*tblAquisições[[#This Row],[QUANTIDADE COMPRADA]]</f>
        <v>0</v>
      </c>
      <c r="N874" s="110">
        <f>K874-tblAquisições[[#This Row],[QUANTIDADE PLANEJADA]]</f>
        <v>-1</v>
      </c>
      <c r="O874" s="106" t="str">
        <f t="shared" si="27"/>
        <v>Faltando Comprar</v>
      </c>
    </row>
    <row r="875" spans="1:15" ht="47.25">
      <c r="A875" s="16" t="s">
        <v>17</v>
      </c>
      <c r="B875" s="16" t="s">
        <v>26</v>
      </c>
      <c r="C875" s="17" t="s">
        <v>19</v>
      </c>
      <c r="D875" s="18" t="s">
        <v>525</v>
      </c>
      <c r="E875" s="18">
        <v>10</v>
      </c>
      <c r="F875" s="18" t="s">
        <v>313</v>
      </c>
      <c r="G875" s="18" t="s">
        <v>22</v>
      </c>
      <c r="H875" s="18" t="s">
        <v>23</v>
      </c>
      <c r="I875" s="19">
        <v>48.08</v>
      </c>
      <c r="J875" s="20">
        <f t="shared" si="26"/>
        <v>480.79999999999995</v>
      </c>
      <c r="K875" s="106"/>
      <c r="L875" s="114"/>
      <c r="M875" s="114">
        <f>tblAquisições[[#This Row],[VALOR UNITARIO COMPRADO]]*tblAquisições[[#This Row],[QUANTIDADE COMPRADA]]</f>
        <v>0</v>
      </c>
      <c r="N875" s="110">
        <f>K875-tblAquisições[[#This Row],[QUANTIDADE PLANEJADA]]</f>
        <v>-10</v>
      </c>
      <c r="O875" s="106" t="str">
        <f t="shared" si="27"/>
        <v>Faltando Comprar</v>
      </c>
    </row>
    <row r="876" spans="1:15" ht="47.25">
      <c r="A876" s="16" t="s">
        <v>17</v>
      </c>
      <c r="B876" s="16" t="s">
        <v>28</v>
      </c>
      <c r="C876" s="17" t="s">
        <v>19</v>
      </c>
      <c r="D876" s="18" t="s">
        <v>526</v>
      </c>
      <c r="E876" s="18">
        <v>6</v>
      </c>
      <c r="F876" s="18" t="s">
        <v>78</v>
      </c>
      <c r="G876" s="18" t="s">
        <v>22</v>
      </c>
      <c r="H876" s="18" t="s">
        <v>83</v>
      </c>
      <c r="I876" s="19">
        <v>10.84</v>
      </c>
      <c r="J876" s="20">
        <f t="shared" si="26"/>
        <v>65.039999999999992</v>
      </c>
      <c r="K876" s="106"/>
      <c r="L876" s="114"/>
      <c r="M876" s="114">
        <f>tblAquisições[[#This Row],[VALOR UNITARIO COMPRADO]]*tblAquisições[[#This Row],[QUANTIDADE COMPRADA]]</f>
        <v>0</v>
      </c>
      <c r="N876" s="110">
        <f>K876-tblAquisições[[#This Row],[QUANTIDADE PLANEJADA]]</f>
        <v>-6</v>
      </c>
      <c r="O876" s="106" t="str">
        <f t="shared" si="27"/>
        <v>Faltando Comprar</v>
      </c>
    </row>
    <row r="877" spans="1:15" ht="31.5">
      <c r="A877" s="16" t="s">
        <v>17</v>
      </c>
      <c r="B877" s="16" t="s">
        <v>26</v>
      </c>
      <c r="C877" s="17" t="s">
        <v>19</v>
      </c>
      <c r="D877" s="18" t="s">
        <v>527</v>
      </c>
      <c r="E877" s="18">
        <v>120</v>
      </c>
      <c r="F877" s="18" t="s">
        <v>30</v>
      </c>
      <c r="G877" s="18" t="s">
        <v>22</v>
      </c>
      <c r="H877" s="18" t="s">
        <v>83</v>
      </c>
      <c r="I877" s="19">
        <v>72.5</v>
      </c>
      <c r="J877" s="20">
        <f t="shared" si="26"/>
        <v>8700</v>
      </c>
      <c r="K877" s="106"/>
      <c r="L877" s="114"/>
      <c r="M877" s="114">
        <f>tblAquisições[[#This Row],[VALOR UNITARIO COMPRADO]]*tblAquisições[[#This Row],[QUANTIDADE COMPRADA]]</f>
        <v>0</v>
      </c>
      <c r="N877" s="110">
        <f>K877-tblAquisições[[#This Row],[QUANTIDADE PLANEJADA]]</f>
        <v>-120</v>
      </c>
      <c r="O877" s="106" t="str">
        <f t="shared" si="27"/>
        <v>Faltando Comprar</v>
      </c>
    </row>
    <row r="878" spans="1:15" ht="31.5">
      <c r="A878" s="16" t="s">
        <v>17</v>
      </c>
      <c r="B878" s="16" t="s">
        <v>18</v>
      </c>
      <c r="C878" s="17" t="s">
        <v>19</v>
      </c>
      <c r="D878" s="18" t="s">
        <v>528</v>
      </c>
      <c r="E878" s="18">
        <v>150</v>
      </c>
      <c r="F878" s="18" t="s">
        <v>30</v>
      </c>
      <c r="G878" s="18" t="s">
        <v>22</v>
      </c>
      <c r="H878" s="18" t="s">
        <v>83</v>
      </c>
      <c r="I878" s="19">
        <v>7</v>
      </c>
      <c r="J878" s="20">
        <f t="shared" si="26"/>
        <v>1050</v>
      </c>
      <c r="K878" s="106"/>
      <c r="L878" s="114"/>
      <c r="M878" s="114">
        <f>tblAquisições[[#This Row],[VALOR UNITARIO COMPRADO]]*tblAquisições[[#This Row],[QUANTIDADE COMPRADA]]</f>
        <v>0</v>
      </c>
      <c r="N878" s="110">
        <f>K878-tblAquisições[[#This Row],[QUANTIDADE PLANEJADA]]</f>
        <v>-150</v>
      </c>
      <c r="O878" s="106" t="str">
        <f t="shared" si="27"/>
        <v>Faltando Comprar</v>
      </c>
    </row>
    <row r="879" spans="1:15" ht="31.5">
      <c r="A879" s="16" t="s">
        <v>17</v>
      </c>
      <c r="B879" s="16" t="s">
        <v>24</v>
      </c>
      <c r="C879" s="17" t="s">
        <v>19</v>
      </c>
      <c r="D879" s="18" t="s">
        <v>528</v>
      </c>
      <c r="E879" s="18">
        <v>150</v>
      </c>
      <c r="F879" s="18" t="s">
        <v>30</v>
      </c>
      <c r="G879" s="18" t="s">
        <v>22</v>
      </c>
      <c r="H879" s="18" t="s">
        <v>83</v>
      </c>
      <c r="I879" s="19">
        <v>7</v>
      </c>
      <c r="J879" s="20">
        <f t="shared" si="26"/>
        <v>1050</v>
      </c>
      <c r="K879" s="106"/>
      <c r="L879" s="114"/>
      <c r="M879" s="114">
        <f>tblAquisições[[#This Row],[VALOR UNITARIO COMPRADO]]*tblAquisições[[#This Row],[QUANTIDADE COMPRADA]]</f>
        <v>0</v>
      </c>
      <c r="N879" s="110">
        <f>K879-tblAquisições[[#This Row],[QUANTIDADE PLANEJADA]]</f>
        <v>-150</v>
      </c>
      <c r="O879" s="106" t="str">
        <f t="shared" si="27"/>
        <v>Faltando Comprar</v>
      </c>
    </row>
    <row r="880" spans="1:15" ht="31.5">
      <c r="A880" s="16" t="s">
        <v>17</v>
      </c>
      <c r="B880" s="16" t="s">
        <v>25</v>
      </c>
      <c r="C880" s="17" t="s">
        <v>19</v>
      </c>
      <c r="D880" s="18" t="s">
        <v>528</v>
      </c>
      <c r="E880" s="18">
        <v>150</v>
      </c>
      <c r="F880" s="18" t="s">
        <v>30</v>
      </c>
      <c r="G880" s="18" t="s">
        <v>22</v>
      </c>
      <c r="H880" s="18" t="s">
        <v>83</v>
      </c>
      <c r="I880" s="19">
        <v>7</v>
      </c>
      <c r="J880" s="20">
        <f t="shared" si="26"/>
        <v>1050</v>
      </c>
      <c r="K880" s="106"/>
      <c r="L880" s="114"/>
      <c r="M880" s="114">
        <f>tblAquisições[[#This Row],[VALOR UNITARIO COMPRADO]]*tblAquisições[[#This Row],[QUANTIDADE COMPRADA]]</f>
        <v>0</v>
      </c>
      <c r="N880" s="110">
        <f>K880-tblAquisições[[#This Row],[QUANTIDADE PLANEJADA]]</f>
        <v>-150</v>
      </c>
      <c r="O880" s="106" t="str">
        <f t="shared" si="27"/>
        <v>Faltando Comprar</v>
      </c>
    </row>
    <row r="881" spans="1:15" ht="31.5">
      <c r="A881" s="16" t="s">
        <v>17</v>
      </c>
      <c r="B881" s="16" t="s">
        <v>31</v>
      </c>
      <c r="C881" s="17" t="s">
        <v>19</v>
      </c>
      <c r="D881" s="18" t="s">
        <v>529</v>
      </c>
      <c r="E881" s="18">
        <v>20</v>
      </c>
      <c r="F881" s="18" t="s">
        <v>21</v>
      </c>
      <c r="G881" s="18" t="s">
        <v>22</v>
      </c>
      <c r="H881" s="18" t="s">
        <v>23</v>
      </c>
      <c r="I881" s="19">
        <v>26.43</v>
      </c>
      <c r="J881" s="20">
        <f t="shared" si="26"/>
        <v>528.6</v>
      </c>
      <c r="K881" s="106"/>
      <c r="L881" s="114"/>
      <c r="M881" s="114">
        <f>tblAquisições[[#This Row],[VALOR UNITARIO COMPRADO]]*tblAquisições[[#This Row],[QUANTIDADE COMPRADA]]</f>
        <v>0</v>
      </c>
      <c r="N881" s="110">
        <f>K881-tblAquisições[[#This Row],[QUANTIDADE PLANEJADA]]</f>
        <v>-20</v>
      </c>
      <c r="O881" s="106" t="str">
        <f t="shared" si="27"/>
        <v>Faltando Comprar</v>
      </c>
    </row>
    <row r="882" spans="1:15" ht="31.5">
      <c r="A882" s="16" t="s">
        <v>17</v>
      </c>
      <c r="B882" s="16" t="s">
        <v>18</v>
      </c>
      <c r="C882" s="17" t="s">
        <v>19</v>
      </c>
      <c r="D882" s="18" t="s">
        <v>530</v>
      </c>
      <c r="E882" s="18">
        <v>150</v>
      </c>
      <c r="F882" s="18" t="s">
        <v>30</v>
      </c>
      <c r="G882" s="18" t="s">
        <v>22</v>
      </c>
      <c r="H882" s="18" t="s">
        <v>83</v>
      </c>
      <c r="I882" s="19">
        <v>6.34</v>
      </c>
      <c r="J882" s="20">
        <f t="shared" si="26"/>
        <v>951</v>
      </c>
      <c r="K882" s="106"/>
      <c r="L882" s="114"/>
      <c r="M882" s="114">
        <f>tblAquisições[[#This Row],[VALOR UNITARIO COMPRADO]]*tblAquisições[[#This Row],[QUANTIDADE COMPRADA]]</f>
        <v>0</v>
      </c>
      <c r="N882" s="110">
        <f>K882-tblAquisições[[#This Row],[QUANTIDADE PLANEJADA]]</f>
        <v>-150</v>
      </c>
      <c r="O882" s="106" t="str">
        <f t="shared" si="27"/>
        <v>Faltando Comprar</v>
      </c>
    </row>
    <row r="883" spans="1:15" ht="31.5">
      <c r="A883" s="16" t="s">
        <v>17</v>
      </c>
      <c r="B883" s="16" t="s">
        <v>24</v>
      </c>
      <c r="C883" s="17" t="s">
        <v>19</v>
      </c>
      <c r="D883" s="18" t="s">
        <v>530</v>
      </c>
      <c r="E883" s="18">
        <v>150</v>
      </c>
      <c r="F883" s="18" t="s">
        <v>30</v>
      </c>
      <c r="G883" s="18" t="s">
        <v>22</v>
      </c>
      <c r="H883" s="18" t="s">
        <v>83</v>
      </c>
      <c r="I883" s="19">
        <v>6.34</v>
      </c>
      <c r="J883" s="20">
        <f t="shared" si="26"/>
        <v>951</v>
      </c>
      <c r="K883" s="106"/>
      <c r="L883" s="114"/>
      <c r="M883" s="114">
        <f>tblAquisições[[#This Row],[VALOR UNITARIO COMPRADO]]*tblAquisições[[#This Row],[QUANTIDADE COMPRADA]]</f>
        <v>0</v>
      </c>
      <c r="N883" s="110">
        <f>K883-tblAquisições[[#This Row],[QUANTIDADE PLANEJADA]]</f>
        <v>-150</v>
      </c>
      <c r="O883" s="106" t="str">
        <f t="shared" si="27"/>
        <v>Faltando Comprar</v>
      </c>
    </row>
    <row r="884" spans="1:15" ht="31.5">
      <c r="A884" s="16" t="s">
        <v>17</v>
      </c>
      <c r="B884" s="16" t="s">
        <v>25</v>
      </c>
      <c r="C884" s="17" t="s">
        <v>19</v>
      </c>
      <c r="D884" s="18" t="s">
        <v>530</v>
      </c>
      <c r="E884" s="18">
        <v>150</v>
      </c>
      <c r="F884" s="18" t="s">
        <v>30</v>
      </c>
      <c r="G884" s="18" t="s">
        <v>22</v>
      </c>
      <c r="H884" s="18" t="s">
        <v>83</v>
      </c>
      <c r="I884" s="19">
        <v>6.34</v>
      </c>
      <c r="J884" s="20">
        <f t="shared" si="26"/>
        <v>951</v>
      </c>
      <c r="K884" s="106"/>
      <c r="L884" s="114"/>
      <c r="M884" s="114">
        <f>tblAquisições[[#This Row],[VALOR UNITARIO COMPRADO]]*tblAquisições[[#This Row],[QUANTIDADE COMPRADA]]</f>
        <v>0</v>
      </c>
      <c r="N884" s="110">
        <f>K884-tblAquisições[[#This Row],[QUANTIDADE PLANEJADA]]</f>
        <v>-150</v>
      </c>
      <c r="O884" s="106" t="str">
        <f t="shared" si="27"/>
        <v>Faltando Comprar</v>
      </c>
    </row>
    <row r="885" spans="1:15" ht="47.25">
      <c r="A885" s="16" t="s">
        <v>17</v>
      </c>
      <c r="B885" s="16" t="s">
        <v>80</v>
      </c>
      <c r="C885" s="17" t="s">
        <v>19</v>
      </c>
      <c r="D885" s="18" t="s">
        <v>531</v>
      </c>
      <c r="E885" s="18">
        <v>60</v>
      </c>
      <c r="F885" s="18" t="s">
        <v>96</v>
      </c>
      <c r="G885" s="18" t="s">
        <v>39</v>
      </c>
      <c r="H885" s="18" t="s">
        <v>23</v>
      </c>
      <c r="I885" s="19">
        <v>2.29</v>
      </c>
      <c r="J885" s="20">
        <f t="shared" si="26"/>
        <v>137.4</v>
      </c>
      <c r="K885" s="106"/>
      <c r="L885" s="114"/>
      <c r="M885" s="114">
        <f>tblAquisições[[#This Row],[VALOR UNITARIO COMPRADO]]*tblAquisições[[#This Row],[QUANTIDADE COMPRADA]]</f>
        <v>0</v>
      </c>
      <c r="N885" s="110">
        <f>K885-tblAquisições[[#This Row],[QUANTIDADE PLANEJADA]]</f>
        <v>-60</v>
      </c>
      <c r="O885" s="106" t="str">
        <f t="shared" si="27"/>
        <v>Faltando Comprar</v>
      </c>
    </row>
    <row r="886" spans="1:15" ht="31.5">
      <c r="A886" s="16" t="s">
        <v>17</v>
      </c>
      <c r="B886" s="16" t="s">
        <v>17</v>
      </c>
      <c r="C886" s="17" t="s">
        <v>19</v>
      </c>
      <c r="D886" s="18" t="s">
        <v>532</v>
      </c>
      <c r="E886" s="18">
        <v>30</v>
      </c>
      <c r="F886" s="18" t="s">
        <v>38</v>
      </c>
      <c r="G886" s="18" t="s">
        <v>39</v>
      </c>
      <c r="H886" s="18" t="s">
        <v>23</v>
      </c>
      <c r="I886" s="19">
        <v>87.24</v>
      </c>
      <c r="J886" s="20">
        <f t="shared" si="26"/>
        <v>2617.1999999999998</v>
      </c>
      <c r="K886" s="106"/>
      <c r="L886" s="114"/>
      <c r="M886" s="114">
        <f>tblAquisições[[#This Row],[VALOR UNITARIO COMPRADO]]*tblAquisições[[#This Row],[QUANTIDADE COMPRADA]]</f>
        <v>0</v>
      </c>
      <c r="N886" s="110">
        <f>K886-tblAquisições[[#This Row],[QUANTIDADE PLANEJADA]]</f>
        <v>-30</v>
      </c>
      <c r="O886" s="106" t="str">
        <f t="shared" si="27"/>
        <v>Faltando Comprar</v>
      </c>
    </row>
    <row r="887" spans="1:15" ht="31.5">
      <c r="A887" s="16" t="s">
        <v>17</v>
      </c>
      <c r="B887" s="16" t="s">
        <v>18</v>
      </c>
      <c r="C887" s="17" t="s">
        <v>19</v>
      </c>
      <c r="D887" s="18" t="s">
        <v>533</v>
      </c>
      <c r="E887" s="18">
        <v>10</v>
      </c>
      <c r="F887" s="18" t="s">
        <v>21</v>
      </c>
      <c r="G887" s="18" t="s">
        <v>22</v>
      </c>
      <c r="H887" s="18" t="s">
        <v>23</v>
      </c>
      <c r="I887" s="19">
        <v>87.24</v>
      </c>
      <c r="J887" s="20">
        <f t="shared" si="26"/>
        <v>872.4</v>
      </c>
      <c r="K887" s="106"/>
      <c r="L887" s="114"/>
      <c r="M887" s="114">
        <f>tblAquisições[[#This Row],[VALOR UNITARIO COMPRADO]]*tblAquisições[[#This Row],[QUANTIDADE COMPRADA]]</f>
        <v>0</v>
      </c>
      <c r="N887" s="110">
        <f>K887-tblAquisições[[#This Row],[QUANTIDADE PLANEJADA]]</f>
        <v>-10</v>
      </c>
      <c r="O887" s="106" t="str">
        <f t="shared" si="27"/>
        <v>Faltando Comprar</v>
      </c>
    </row>
    <row r="888" spans="1:15" ht="31.5">
      <c r="A888" s="16" t="s">
        <v>17</v>
      </c>
      <c r="B888" s="16" t="s">
        <v>24</v>
      </c>
      <c r="C888" s="17" t="s">
        <v>19</v>
      </c>
      <c r="D888" s="18" t="s">
        <v>533</v>
      </c>
      <c r="E888" s="18">
        <v>10</v>
      </c>
      <c r="F888" s="18" t="s">
        <v>21</v>
      </c>
      <c r="G888" s="18" t="s">
        <v>22</v>
      </c>
      <c r="H888" s="18" t="s">
        <v>23</v>
      </c>
      <c r="I888" s="19">
        <v>87.24</v>
      </c>
      <c r="J888" s="20">
        <f t="shared" si="26"/>
        <v>872.4</v>
      </c>
      <c r="K888" s="106"/>
      <c r="L888" s="114"/>
      <c r="M888" s="114">
        <f>tblAquisições[[#This Row],[VALOR UNITARIO COMPRADO]]*tblAquisições[[#This Row],[QUANTIDADE COMPRADA]]</f>
        <v>0</v>
      </c>
      <c r="N888" s="110">
        <f>K888-tblAquisições[[#This Row],[QUANTIDADE PLANEJADA]]</f>
        <v>-10</v>
      </c>
      <c r="O888" s="106" t="str">
        <f t="shared" si="27"/>
        <v>Faltando Comprar</v>
      </c>
    </row>
    <row r="889" spans="1:15" ht="31.5">
      <c r="A889" s="16" t="s">
        <v>17</v>
      </c>
      <c r="B889" s="16" t="s">
        <v>25</v>
      </c>
      <c r="C889" s="17" t="s">
        <v>19</v>
      </c>
      <c r="D889" s="18" t="s">
        <v>533</v>
      </c>
      <c r="E889" s="18">
        <v>10</v>
      </c>
      <c r="F889" s="18" t="s">
        <v>21</v>
      </c>
      <c r="G889" s="18" t="s">
        <v>22</v>
      </c>
      <c r="H889" s="18" t="s">
        <v>23</v>
      </c>
      <c r="I889" s="19">
        <v>87.24</v>
      </c>
      <c r="J889" s="20">
        <f t="shared" si="26"/>
        <v>872.4</v>
      </c>
      <c r="K889" s="106"/>
      <c r="L889" s="114"/>
      <c r="M889" s="114">
        <f>tblAquisições[[#This Row],[VALOR UNITARIO COMPRADO]]*tblAquisições[[#This Row],[QUANTIDADE COMPRADA]]</f>
        <v>0</v>
      </c>
      <c r="N889" s="110">
        <f>K889-tblAquisições[[#This Row],[QUANTIDADE PLANEJADA]]</f>
        <v>-10</v>
      </c>
      <c r="O889" s="106" t="str">
        <f t="shared" si="27"/>
        <v>Faltando Comprar</v>
      </c>
    </row>
    <row r="890" spans="1:15" ht="31.5">
      <c r="A890" s="16" t="s">
        <v>17</v>
      </c>
      <c r="B890" s="16" t="s">
        <v>41</v>
      </c>
      <c r="C890" s="17" t="s">
        <v>19</v>
      </c>
      <c r="D890" s="18" t="s">
        <v>533</v>
      </c>
      <c r="E890" s="18">
        <v>10</v>
      </c>
      <c r="F890" s="18" t="s">
        <v>21</v>
      </c>
      <c r="G890" s="18" t="s">
        <v>22</v>
      </c>
      <c r="H890" s="18" t="s">
        <v>23</v>
      </c>
      <c r="I890" s="19">
        <v>87.24</v>
      </c>
      <c r="J890" s="20">
        <f t="shared" si="26"/>
        <v>872.4</v>
      </c>
      <c r="K890" s="106"/>
      <c r="L890" s="114"/>
      <c r="M890" s="114">
        <f>tblAquisições[[#This Row],[VALOR UNITARIO COMPRADO]]*tblAquisições[[#This Row],[QUANTIDADE COMPRADA]]</f>
        <v>0</v>
      </c>
      <c r="N890" s="110">
        <f>K890-tblAquisições[[#This Row],[QUANTIDADE PLANEJADA]]</f>
        <v>-10</v>
      </c>
      <c r="O890" s="106" t="str">
        <f t="shared" si="27"/>
        <v>Faltando Comprar</v>
      </c>
    </row>
    <row r="891" spans="1:15" ht="31.5">
      <c r="A891" s="16" t="s">
        <v>17</v>
      </c>
      <c r="B891" s="16" t="s">
        <v>27</v>
      </c>
      <c r="C891" s="17" t="s">
        <v>19</v>
      </c>
      <c r="D891" s="18" t="s">
        <v>533</v>
      </c>
      <c r="E891" s="18">
        <v>10</v>
      </c>
      <c r="F891" s="18" t="s">
        <v>21</v>
      </c>
      <c r="G891" s="18" t="s">
        <v>22</v>
      </c>
      <c r="H891" s="18" t="s">
        <v>23</v>
      </c>
      <c r="I891" s="19">
        <v>87.24</v>
      </c>
      <c r="J891" s="20">
        <f t="shared" si="26"/>
        <v>872.4</v>
      </c>
      <c r="K891" s="106"/>
      <c r="L891" s="114"/>
      <c r="M891" s="114">
        <f>tblAquisições[[#This Row],[VALOR UNITARIO COMPRADO]]*tblAquisições[[#This Row],[QUANTIDADE COMPRADA]]</f>
        <v>0</v>
      </c>
      <c r="N891" s="110">
        <f>K891-tblAquisições[[#This Row],[QUANTIDADE PLANEJADA]]</f>
        <v>-10</v>
      </c>
      <c r="O891" s="106" t="str">
        <f t="shared" si="27"/>
        <v>Faltando Comprar</v>
      </c>
    </row>
    <row r="892" spans="1:15" ht="31.5">
      <c r="A892" s="16" t="s">
        <v>17</v>
      </c>
      <c r="B892" s="16" t="s">
        <v>28</v>
      </c>
      <c r="C892" s="17" t="s">
        <v>19</v>
      </c>
      <c r="D892" s="18" t="s">
        <v>533</v>
      </c>
      <c r="E892" s="18">
        <v>30</v>
      </c>
      <c r="F892" s="18" t="s">
        <v>21</v>
      </c>
      <c r="G892" s="18" t="s">
        <v>22</v>
      </c>
      <c r="H892" s="18" t="s">
        <v>23</v>
      </c>
      <c r="I892" s="19">
        <v>87.24</v>
      </c>
      <c r="J892" s="20">
        <f t="shared" si="26"/>
        <v>2617.1999999999998</v>
      </c>
      <c r="K892" s="106"/>
      <c r="L892" s="114"/>
      <c r="M892" s="114">
        <f>tblAquisições[[#This Row],[VALOR UNITARIO COMPRADO]]*tblAquisições[[#This Row],[QUANTIDADE COMPRADA]]</f>
        <v>0</v>
      </c>
      <c r="N892" s="110">
        <f>K892-tblAquisições[[#This Row],[QUANTIDADE PLANEJADA]]</f>
        <v>-30</v>
      </c>
      <c r="O892" s="106" t="str">
        <f t="shared" si="27"/>
        <v>Faltando Comprar</v>
      </c>
    </row>
    <row r="893" spans="1:15" ht="47.25">
      <c r="A893" s="16" t="s">
        <v>17</v>
      </c>
      <c r="B893" s="16" t="s">
        <v>18</v>
      </c>
      <c r="C893" s="17" t="s">
        <v>19</v>
      </c>
      <c r="D893" s="18" t="s">
        <v>534</v>
      </c>
      <c r="E893" s="18">
        <v>10</v>
      </c>
      <c r="F893" s="18" t="s">
        <v>222</v>
      </c>
      <c r="G893" s="18" t="s">
        <v>127</v>
      </c>
      <c r="H893" s="18" t="s">
        <v>23</v>
      </c>
      <c r="I893" s="19">
        <v>2251.89</v>
      </c>
      <c r="J893" s="20">
        <f t="shared" si="26"/>
        <v>22518.899999999998</v>
      </c>
      <c r="K893" s="106"/>
      <c r="L893" s="114"/>
      <c r="M893" s="114">
        <f>tblAquisições[[#This Row],[VALOR UNITARIO COMPRADO]]*tblAquisições[[#This Row],[QUANTIDADE COMPRADA]]</f>
        <v>0</v>
      </c>
      <c r="N893" s="110">
        <f>K893-tblAquisições[[#This Row],[QUANTIDADE PLANEJADA]]</f>
        <v>-10</v>
      </c>
      <c r="O893" s="106" t="str">
        <f t="shared" si="27"/>
        <v>Faltando Comprar</v>
      </c>
    </row>
    <row r="894" spans="1:15" ht="47.25">
      <c r="A894" s="16" t="s">
        <v>17</v>
      </c>
      <c r="B894" s="16" t="s">
        <v>24</v>
      </c>
      <c r="C894" s="17" t="s">
        <v>19</v>
      </c>
      <c r="D894" s="18" t="s">
        <v>534</v>
      </c>
      <c r="E894" s="18">
        <v>10</v>
      </c>
      <c r="F894" s="18" t="s">
        <v>222</v>
      </c>
      <c r="G894" s="18" t="s">
        <v>127</v>
      </c>
      <c r="H894" s="18" t="s">
        <v>23</v>
      </c>
      <c r="I894" s="19">
        <v>2251.89</v>
      </c>
      <c r="J894" s="20">
        <f t="shared" si="26"/>
        <v>22518.899999999998</v>
      </c>
      <c r="K894" s="106"/>
      <c r="L894" s="114"/>
      <c r="M894" s="114">
        <f>tblAquisições[[#This Row],[VALOR UNITARIO COMPRADO]]*tblAquisições[[#This Row],[QUANTIDADE COMPRADA]]</f>
        <v>0</v>
      </c>
      <c r="N894" s="110">
        <f>K894-tblAquisições[[#This Row],[QUANTIDADE PLANEJADA]]</f>
        <v>-10</v>
      </c>
      <c r="O894" s="106" t="str">
        <f t="shared" si="27"/>
        <v>Faltando Comprar</v>
      </c>
    </row>
    <row r="895" spans="1:15" ht="47.25">
      <c r="A895" s="16" t="s">
        <v>17</v>
      </c>
      <c r="B895" s="16" t="s">
        <v>25</v>
      </c>
      <c r="C895" s="17" t="s">
        <v>19</v>
      </c>
      <c r="D895" s="18" t="s">
        <v>534</v>
      </c>
      <c r="E895" s="18">
        <v>10</v>
      </c>
      <c r="F895" s="18" t="s">
        <v>222</v>
      </c>
      <c r="G895" s="18" t="s">
        <v>127</v>
      </c>
      <c r="H895" s="18" t="s">
        <v>23</v>
      </c>
      <c r="I895" s="19">
        <v>2251.89</v>
      </c>
      <c r="J895" s="20">
        <f t="shared" si="26"/>
        <v>22518.899999999998</v>
      </c>
      <c r="K895" s="106"/>
      <c r="L895" s="114"/>
      <c r="M895" s="114">
        <f>tblAquisições[[#This Row],[VALOR UNITARIO COMPRADO]]*tblAquisições[[#This Row],[QUANTIDADE COMPRADA]]</f>
        <v>0</v>
      </c>
      <c r="N895" s="110">
        <f>K895-tblAquisições[[#This Row],[QUANTIDADE PLANEJADA]]</f>
        <v>-10</v>
      </c>
      <c r="O895" s="106" t="str">
        <f t="shared" si="27"/>
        <v>Faltando Comprar</v>
      </c>
    </row>
    <row r="896" spans="1:15" ht="47.25">
      <c r="A896" s="16" t="s">
        <v>17</v>
      </c>
      <c r="B896" s="16" t="s">
        <v>41</v>
      </c>
      <c r="C896" s="17" t="s">
        <v>19</v>
      </c>
      <c r="D896" s="18" t="s">
        <v>534</v>
      </c>
      <c r="E896" s="18">
        <v>6</v>
      </c>
      <c r="F896" s="18" t="s">
        <v>222</v>
      </c>
      <c r="G896" s="18" t="s">
        <v>127</v>
      </c>
      <c r="H896" s="18" t="s">
        <v>23</v>
      </c>
      <c r="I896" s="19">
        <v>2251.89</v>
      </c>
      <c r="J896" s="20">
        <f t="shared" si="26"/>
        <v>13511.34</v>
      </c>
      <c r="K896" s="106"/>
      <c r="L896" s="114"/>
      <c r="M896" s="114">
        <f>tblAquisições[[#This Row],[VALOR UNITARIO COMPRADO]]*tblAquisições[[#This Row],[QUANTIDADE COMPRADA]]</f>
        <v>0</v>
      </c>
      <c r="N896" s="110">
        <f>K896-tblAquisições[[#This Row],[QUANTIDADE PLANEJADA]]</f>
        <v>-6</v>
      </c>
      <c r="O896" s="106" t="str">
        <f t="shared" si="27"/>
        <v>Faltando Comprar</v>
      </c>
    </row>
    <row r="897" spans="1:15" ht="47.25">
      <c r="A897" s="16" t="s">
        <v>17</v>
      </c>
      <c r="B897" s="16" t="s">
        <v>28</v>
      </c>
      <c r="C897" s="17" t="s">
        <v>19</v>
      </c>
      <c r="D897" s="18" t="s">
        <v>534</v>
      </c>
      <c r="E897" s="18">
        <v>5</v>
      </c>
      <c r="F897" s="18" t="s">
        <v>222</v>
      </c>
      <c r="G897" s="18" t="s">
        <v>127</v>
      </c>
      <c r="H897" s="18" t="s">
        <v>23</v>
      </c>
      <c r="I897" s="19">
        <v>2251.89</v>
      </c>
      <c r="J897" s="20">
        <f t="shared" si="26"/>
        <v>11259.449999999999</v>
      </c>
      <c r="K897" s="106"/>
      <c r="L897" s="114"/>
      <c r="M897" s="114">
        <f>tblAquisições[[#This Row],[VALOR UNITARIO COMPRADO]]*tblAquisições[[#This Row],[QUANTIDADE COMPRADA]]</f>
        <v>0</v>
      </c>
      <c r="N897" s="110">
        <f>K897-tblAquisições[[#This Row],[QUANTIDADE PLANEJADA]]</f>
        <v>-5</v>
      </c>
      <c r="O897" s="106" t="str">
        <f t="shared" si="27"/>
        <v>Faltando Comprar</v>
      </c>
    </row>
    <row r="898" spans="1:15" ht="31.5">
      <c r="A898" s="16" t="s">
        <v>17</v>
      </c>
      <c r="B898" s="16" t="s">
        <v>18</v>
      </c>
      <c r="C898" s="17" t="s">
        <v>19</v>
      </c>
      <c r="D898" s="18" t="s">
        <v>535</v>
      </c>
      <c r="E898" s="18">
        <v>10</v>
      </c>
      <c r="F898" s="18" t="s">
        <v>21</v>
      </c>
      <c r="G898" s="18" t="s">
        <v>22</v>
      </c>
      <c r="H898" s="18" t="s">
        <v>23</v>
      </c>
      <c r="I898" s="19">
        <v>9.11</v>
      </c>
      <c r="J898" s="20">
        <f t="shared" ref="J898:J961" si="28">E898*I898</f>
        <v>91.1</v>
      </c>
      <c r="K898" s="106"/>
      <c r="L898" s="114"/>
      <c r="M898" s="114">
        <f>tblAquisições[[#This Row],[VALOR UNITARIO COMPRADO]]*tblAquisições[[#This Row],[QUANTIDADE COMPRADA]]</f>
        <v>0</v>
      </c>
      <c r="N898" s="110">
        <f>K898-tblAquisições[[#This Row],[QUANTIDADE PLANEJADA]]</f>
        <v>-10</v>
      </c>
      <c r="O898" s="106" t="str">
        <f t="shared" ref="O898:O961" si="29">IF(K898=E898,"OK",IF(K898&lt;E898,"Faltando Comprar","Excedente"))</f>
        <v>Faltando Comprar</v>
      </c>
    </row>
    <row r="899" spans="1:15" ht="31.5">
      <c r="A899" s="16" t="s">
        <v>17</v>
      </c>
      <c r="B899" s="16" t="s">
        <v>24</v>
      </c>
      <c r="C899" s="17" t="s">
        <v>19</v>
      </c>
      <c r="D899" s="18" t="s">
        <v>535</v>
      </c>
      <c r="E899" s="18">
        <v>10</v>
      </c>
      <c r="F899" s="18" t="s">
        <v>21</v>
      </c>
      <c r="G899" s="18" t="s">
        <v>22</v>
      </c>
      <c r="H899" s="18" t="s">
        <v>23</v>
      </c>
      <c r="I899" s="19">
        <v>9.11</v>
      </c>
      <c r="J899" s="20">
        <f t="shared" si="28"/>
        <v>91.1</v>
      </c>
      <c r="K899" s="106"/>
      <c r="L899" s="114"/>
      <c r="M899" s="114">
        <f>tblAquisições[[#This Row],[VALOR UNITARIO COMPRADO]]*tblAquisições[[#This Row],[QUANTIDADE COMPRADA]]</f>
        <v>0</v>
      </c>
      <c r="N899" s="110">
        <f>K899-tblAquisições[[#This Row],[QUANTIDADE PLANEJADA]]</f>
        <v>-10</v>
      </c>
      <c r="O899" s="106" t="str">
        <f t="shared" si="29"/>
        <v>Faltando Comprar</v>
      </c>
    </row>
    <row r="900" spans="1:15" ht="31.5">
      <c r="A900" s="16" t="s">
        <v>17</v>
      </c>
      <c r="B900" s="16" t="s">
        <v>25</v>
      </c>
      <c r="C900" s="17" t="s">
        <v>19</v>
      </c>
      <c r="D900" s="18" t="s">
        <v>535</v>
      </c>
      <c r="E900" s="18">
        <v>10</v>
      </c>
      <c r="F900" s="18" t="s">
        <v>21</v>
      </c>
      <c r="G900" s="18" t="s">
        <v>22</v>
      </c>
      <c r="H900" s="18" t="s">
        <v>23</v>
      </c>
      <c r="I900" s="19">
        <v>9.11</v>
      </c>
      <c r="J900" s="20">
        <f t="shared" si="28"/>
        <v>91.1</v>
      </c>
      <c r="K900" s="106"/>
      <c r="L900" s="114"/>
      <c r="M900" s="114">
        <f>tblAquisições[[#This Row],[VALOR UNITARIO COMPRADO]]*tblAquisições[[#This Row],[QUANTIDADE COMPRADA]]</f>
        <v>0</v>
      </c>
      <c r="N900" s="110">
        <f>K900-tblAquisições[[#This Row],[QUANTIDADE PLANEJADA]]</f>
        <v>-10</v>
      </c>
      <c r="O900" s="106" t="str">
        <f t="shared" si="29"/>
        <v>Faltando Comprar</v>
      </c>
    </row>
    <row r="901" spans="1:15" ht="31.5">
      <c r="A901" s="16" t="s">
        <v>17</v>
      </c>
      <c r="B901" s="16" t="s">
        <v>92</v>
      </c>
      <c r="C901" s="17" t="s">
        <v>19</v>
      </c>
      <c r="D901" s="18" t="s">
        <v>536</v>
      </c>
      <c r="E901" s="18">
        <v>1200</v>
      </c>
      <c r="F901" s="18" t="s">
        <v>38</v>
      </c>
      <c r="G901" s="18" t="s">
        <v>39</v>
      </c>
      <c r="H901" s="18" t="s">
        <v>23</v>
      </c>
      <c r="I901" s="19">
        <v>2.35</v>
      </c>
      <c r="J901" s="20">
        <f t="shared" si="28"/>
        <v>2820</v>
      </c>
      <c r="K901" s="106"/>
      <c r="L901" s="114"/>
      <c r="M901" s="114">
        <f>tblAquisições[[#This Row],[VALOR UNITARIO COMPRADO]]*tblAquisições[[#This Row],[QUANTIDADE COMPRADA]]</f>
        <v>0</v>
      </c>
      <c r="N901" s="110">
        <f>K901-tblAquisições[[#This Row],[QUANTIDADE PLANEJADA]]</f>
        <v>-1200</v>
      </c>
      <c r="O901" s="106" t="str">
        <f t="shared" si="29"/>
        <v>Faltando Comprar</v>
      </c>
    </row>
    <row r="902" spans="1:15" ht="31.5">
      <c r="A902" s="16" t="s">
        <v>17</v>
      </c>
      <c r="B902" s="16" t="s">
        <v>80</v>
      </c>
      <c r="C902" s="17" t="s">
        <v>19</v>
      </c>
      <c r="D902" s="18" t="s">
        <v>536</v>
      </c>
      <c r="E902" s="18">
        <v>1000</v>
      </c>
      <c r="F902" s="18" t="s">
        <v>38</v>
      </c>
      <c r="G902" s="18" t="s">
        <v>39</v>
      </c>
      <c r="H902" s="18" t="s">
        <v>23</v>
      </c>
      <c r="I902" s="19">
        <v>2.35</v>
      </c>
      <c r="J902" s="20">
        <f t="shared" si="28"/>
        <v>2350</v>
      </c>
      <c r="K902" s="106"/>
      <c r="L902" s="114"/>
      <c r="M902" s="114">
        <f>tblAquisições[[#This Row],[VALOR UNITARIO COMPRADO]]*tblAquisições[[#This Row],[QUANTIDADE COMPRADA]]</f>
        <v>0</v>
      </c>
      <c r="N902" s="110">
        <f>K902-tblAquisições[[#This Row],[QUANTIDADE PLANEJADA]]</f>
        <v>-1000</v>
      </c>
      <c r="O902" s="106" t="str">
        <f t="shared" si="29"/>
        <v>Faltando Comprar</v>
      </c>
    </row>
    <row r="903" spans="1:15" ht="31.5">
      <c r="A903" s="16" t="s">
        <v>17</v>
      </c>
      <c r="B903" s="16" t="s">
        <v>28</v>
      </c>
      <c r="C903" s="17" t="s">
        <v>19</v>
      </c>
      <c r="D903" s="18" t="s">
        <v>537</v>
      </c>
      <c r="E903" s="18">
        <v>30</v>
      </c>
      <c r="F903" s="18" t="s">
        <v>21</v>
      </c>
      <c r="G903" s="18" t="s">
        <v>22</v>
      </c>
      <c r="H903" s="18" t="s">
        <v>65</v>
      </c>
      <c r="I903" s="24">
        <v>150</v>
      </c>
      <c r="J903" s="20">
        <f t="shared" si="28"/>
        <v>4500</v>
      </c>
      <c r="K903" s="106"/>
      <c r="L903" s="114"/>
      <c r="M903" s="114">
        <f>tblAquisições[[#This Row],[VALOR UNITARIO COMPRADO]]*tblAquisições[[#This Row],[QUANTIDADE COMPRADA]]</f>
        <v>0</v>
      </c>
      <c r="N903" s="110">
        <f>K903-tblAquisições[[#This Row],[QUANTIDADE PLANEJADA]]</f>
        <v>-30</v>
      </c>
      <c r="O903" s="106" t="str">
        <f t="shared" si="29"/>
        <v>Faltando Comprar</v>
      </c>
    </row>
    <row r="904" spans="1:15" ht="47.25">
      <c r="A904" s="16" t="s">
        <v>17</v>
      </c>
      <c r="B904" s="16" t="s">
        <v>18</v>
      </c>
      <c r="C904" s="17" t="s">
        <v>19</v>
      </c>
      <c r="D904" s="18" t="s">
        <v>538</v>
      </c>
      <c r="E904" s="18">
        <v>60</v>
      </c>
      <c r="F904" s="18" t="s">
        <v>78</v>
      </c>
      <c r="G904" s="18" t="s">
        <v>22</v>
      </c>
      <c r="H904" s="18" t="s">
        <v>23</v>
      </c>
      <c r="I904" s="19">
        <v>4.0999999999999996</v>
      </c>
      <c r="J904" s="20">
        <f t="shared" si="28"/>
        <v>245.99999999999997</v>
      </c>
      <c r="K904" s="106"/>
      <c r="L904" s="114"/>
      <c r="M904" s="114">
        <f>tblAquisições[[#This Row],[VALOR UNITARIO COMPRADO]]*tblAquisições[[#This Row],[QUANTIDADE COMPRADA]]</f>
        <v>0</v>
      </c>
      <c r="N904" s="110">
        <f>K904-tblAquisições[[#This Row],[QUANTIDADE PLANEJADA]]</f>
        <v>-60</v>
      </c>
      <c r="O904" s="106" t="str">
        <f t="shared" si="29"/>
        <v>Faltando Comprar</v>
      </c>
    </row>
    <row r="905" spans="1:15" ht="47.25">
      <c r="A905" s="16" t="s">
        <v>17</v>
      </c>
      <c r="B905" s="16" t="s">
        <v>24</v>
      </c>
      <c r="C905" s="17" t="s">
        <v>19</v>
      </c>
      <c r="D905" s="18" t="s">
        <v>538</v>
      </c>
      <c r="E905" s="18">
        <v>60</v>
      </c>
      <c r="F905" s="18" t="s">
        <v>78</v>
      </c>
      <c r="G905" s="18" t="s">
        <v>22</v>
      </c>
      <c r="H905" s="18" t="s">
        <v>23</v>
      </c>
      <c r="I905" s="19">
        <v>4.0999999999999996</v>
      </c>
      <c r="J905" s="20">
        <f t="shared" si="28"/>
        <v>245.99999999999997</v>
      </c>
      <c r="K905" s="106"/>
      <c r="L905" s="114"/>
      <c r="M905" s="114">
        <f>tblAquisições[[#This Row],[VALOR UNITARIO COMPRADO]]*tblAquisições[[#This Row],[QUANTIDADE COMPRADA]]</f>
        <v>0</v>
      </c>
      <c r="N905" s="110">
        <f>K905-tblAquisições[[#This Row],[QUANTIDADE PLANEJADA]]</f>
        <v>-60</v>
      </c>
      <c r="O905" s="106" t="str">
        <f t="shared" si="29"/>
        <v>Faltando Comprar</v>
      </c>
    </row>
    <row r="906" spans="1:15" ht="47.25">
      <c r="A906" s="16" t="s">
        <v>17</v>
      </c>
      <c r="B906" s="16" t="s">
        <v>25</v>
      </c>
      <c r="C906" s="17" t="s">
        <v>19</v>
      </c>
      <c r="D906" s="18" t="s">
        <v>538</v>
      </c>
      <c r="E906" s="18">
        <v>60</v>
      </c>
      <c r="F906" s="18" t="s">
        <v>78</v>
      </c>
      <c r="G906" s="18" t="s">
        <v>22</v>
      </c>
      <c r="H906" s="18" t="s">
        <v>23</v>
      </c>
      <c r="I906" s="19">
        <v>4.0999999999999996</v>
      </c>
      <c r="J906" s="20">
        <f t="shared" si="28"/>
        <v>245.99999999999997</v>
      </c>
      <c r="K906" s="106"/>
      <c r="L906" s="114"/>
      <c r="M906" s="114">
        <f>tblAquisições[[#This Row],[VALOR UNITARIO COMPRADO]]*tblAquisições[[#This Row],[QUANTIDADE COMPRADA]]</f>
        <v>0</v>
      </c>
      <c r="N906" s="110">
        <f>K906-tblAquisições[[#This Row],[QUANTIDADE PLANEJADA]]</f>
        <v>-60</v>
      </c>
      <c r="O906" s="106" t="str">
        <f t="shared" si="29"/>
        <v>Faltando Comprar</v>
      </c>
    </row>
    <row r="907" spans="1:15" ht="31.5">
      <c r="A907" s="16" t="s">
        <v>17</v>
      </c>
      <c r="B907" s="16" t="s">
        <v>18</v>
      </c>
      <c r="C907" s="17" t="s">
        <v>19</v>
      </c>
      <c r="D907" s="18" t="s">
        <v>539</v>
      </c>
      <c r="E907" s="18">
        <v>10</v>
      </c>
      <c r="F907" s="18" t="s">
        <v>30</v>
      </c>
      <c r="G907" s="18" t="s">
        <v>22</v>
      </c>
      <c r="H907" s="18" t="s">
        <v>23</v>
      </c>
      <c r="I907" s="19">
        <v>187.22</v>
      </c>
      <c r="J907" s="20">
        <f t="shared" si="28"/>
        <v>1872.2</v>
      </c>
      <c r="K907" s="106"/>
      <c r="L907" s="114"/>
      <c r="M907" s="114">
        <f>tblAquisições[[#This Row],[VALOR UNITARIO COMPRADO]]*tblAquisições[[#This Row],[QUANTIDADE COMPRADA]]</f>
        <v>0</v>
      </c>
      <c r="N907" s="110">
        <f>K907-tblAquisições[[#This Row],[QUANTIDADE PLANEJADA]]</f>
        <v>-10</v>
      </c>
      <c r="O907" s="106" t="str">
        <f t="shared" si="29"/>
        <v>Faltando Comprar</v>
      </c>
    </row>
    <row r="908" spans="1:15" ht="31.5">
      <c r="A908" s="16" t="s">
        <v>17</v>
      </c>
      <c r="B908" s="16" t="s">
        <v>24</v>
      </c>
      <c r="C908" s="17" t="s">
        <v>19</v>
      </c>
      <c r="D908" s="18" t="s">
        <v>539</v>
      </c>
      <c r="E908" s="18">
        <v>10</v>
      </c>
      <c r="F908" s="18" t="s">
        <v>30</v>
      </c>
      <c r="G908" s="18" t="s">
        <v>22</v>
      </c>
      <c r="H908" s="18" t="s">
        <v>23</v>
      </c>
      <c r="I908" s="19">
        <v>187.22</v>
      </c>
      <c r="J908" s="20">
        <f t="shared" si="28"/>
        <v>1872.2</v>
      </c>
      <c r="K908" s="106"/>
      <c r="L908" s="114"/>
      <c r="M908" s="114">
        <f>tblAquisições[[#This Row],[VALOR UNITARIO COMPRADO]]*tblAquisições[[#This Row],[QUANTIDADE COMPRADA]]</f>
        <v>0</v>
      </c>
      <c r="N908" s="110">
        <f>K908-tblAquisições[[#This Row],[QUANTIDADE PLANEJADA]]</f>
        <v>-10</v>
      </c>
      <c r="O908" s="106" t="str">
        <f t="shared" si="29"/>
        <v>Faltando Comprar</v>
      </c>
    </row>
    <row r="909" spans="1:15" ht="31.5">
      <c r="A909" s="16" t="s">
        <v>17</v>
      </c>
      <c r="B909" s="16" t="s">
        <v>25</v>
      </c>
      <c r="C909" s="17" t="s">
        <v>19</v>
      </c>
      <c r="D909" s="18" t="s">
        <v>539</v>
      </c>
      <c r="E909" s="18">
        <v>10</v>
      </c>
      <c r="F909" s="18" t="s">
        <v>30</v>
      </c>
      <c r="G909" s="18" t="s">
        <v>22</v>
      </c>
      <c r="H909" s="18" t="s">
        <v>23</v>
      </c>
      <c r="I909" s="19">
        <v>187.22</v>
      </c>
      <c r="J909" s="20">
        <f t="shared" si="28"/>
        <v>1872.2</v>
      </c>
      <c r="K909" s="106"/>
      <c r="L909" s="114"/>
      <c r="M909" s="114">
        <f>tblAquisições[[#This Row],[VALOR UNITARIO COMPRADO]]*tblAquisições[[#This Row],[QUANTIDADE COMPRADA]]</f>
        <v>0</v>
      </c>
      <c r="N909" s="110">
        <f>K909-tblAquisições[[#This Row],[QUANTIDADE PLANEJADA]]</f>
        <v>-10</v>
      </c>
      <c r="O909" s="106" t="str">
        <f t="shared" si="29"/>
        <v>Faltando Comprar</v>
      </c>
    </row>
    <row r="910" spans="1:15" ht="31.5">
      <c r="A910" s="16" t="s">
        <v>17</v>
      </c>
      <c r="B910" s="16" t="s">
        <v>27</v>
      </c>
      <c r="C910" s="17" t="s">
        <v>19</v>
      </c>
      <c r="D910" s="18" t="s">
        <v>539</v>
      </c>
      <c r="E910" s="18">
        <v>10</v>
      </c>
      <c r="F910" s="18" t="s">
        <v>30</v>
      </c>
      <c r="G910" s="18" t="s">
        <v>22</v>
      </c>
      <c r="H910" s="18" t="s">
        <v>23</v>
      </c>
      <c r="I910" s="19">
        <v>187.22</v>
      </c>
      <c r="J910" s="20">
        <f t="shared" si="28"/>
        <v>1872.2</v>
      </c>
      <c r="K910" s="106"/>
      <c r="L910" s="114"/>
      <c r="M910" s="114">
        <f>tblAquisições[[#This Row],[VALOR UNITARIO COMPRADO]]*tblAquisições[[#This Row],[QUANTIDADE COMPRADA]]</f>
        <v>0</v>
      </c>
      <c r="N910" s="110">
        <f>K910-tblAquisições[[#This Row],[QUANTIDADE PLANEJADA]]</f>
        <v>-10</v>
      </c>
      <c r="O910" s="106" t="str">
        <f t="shared" si="29"/>
        <v>Faltando Comprar</v>
      </c>
    </row>
    <row r="911" spans="1:15" ht="31.5">
      <c r="A911" s="16" t="s">
        <v>17</v>
      </c>
      <c r="B911" s="16" t="s">
        <v>80</v>
      </c>
      <c r="C911" s="17" t="s">
        <v>19</v>
      </c>
      <c r="D911" s="18" t="s">
        <v>540</v>
      </c>
      <c r="E911" s="18">
        <v>10</v>
      </c>
      <c r="F911" s="18" t="s">
        <v>38</v>
      </c>
      <c r="G911" s="18" t="s">
        <v>39</v>
      </c>
      <c r="H911" s="18" t="s">
        <v>23</v>
      </c>
      <c r="I911" s="19">
        <v>45.75</v>
      </c>
      <c r="J911" s="20">
        <f t="shared" si="28"/>
        <v>457.5</v>
      </c>
      <c r="K911" s="106"/>
      <c r="L911" s="114"/>
      <c r="M911" s="114">
        <f>tblAquisições[[#This Row],[VALOR UNITARIO COMPRADO]]*tblAquisições[[#This Row],[QUANTIDADE COMPRADA]]</f>
        <v>0</v>
      </c>
      <c r="N911" s="110">
        <f>K911-tblAquisições[[#This Row],[QUANTIDADE PLANEJADA]]</f>
        <v>-10</v>
      </c>
      <c r="O911" s="106" t="str">
        <f t="shared" si="29"/>
        <v>Faltando Comprar</v>
      </c>
    </row>
    <row r="912" spans="1:15" ht="31.5">
      <c r="A912" s="16" t="s">
        <v>17</v>
      </c>
      <c r="B912" s="16" t="s">
        <v>41</v>
      </c>
      <c r="C912" s="17" t="s">
        <v>19</v>
      </c>
      <c r="D912" s="18" t="s">
        <v>541</v>
      </c>
      <c r="E912" s="18">
        <v>100</v>
      </c>
      <c r="F912" s="18" t="s">
        <v>21</v>
      </c>
      <c r="G912" s="18" t="s">
        <v>22</v>
      </c>
      <c r="H912" s="18" t="s">
        <v>23</v>
      </c>
      <c r="I912" s="19">
        <v>45.75</v>
      </c>
      <c r="J912" s="20">
        <f t="shared" si="28"/>
        <v>4575</v>
      </c>
      <c r="K912" s="106"/>
      <c r="L912" s="114"/>
      <c r="M912" s="114">
        <f>tblAquisições[[#This Row],[VALOR UNITARIO COMPRADO]]*tblAquisições[[#This Row],[QUANTIDADE COMPRADA]]</f>
        <v>0</v>
      </c>
      <c r="N912" s="110">
        <f>K912-tblAquisições[[#This Row],[QUANTIDADE PLANEJADA]]</f>
        <v>-100</v>
      </c>
      <c r="O912" s="106" t="str">
        <f t="shared" si="29"/>
        <v>Faltando Comprar</v>
      </c>
    </row>
    <row r="913" spans="1:15" ht="31.5">
      <c r="A913" s="16" t="s">
        <v>17</v>
      </c>
      <c r="B913" s="16" t="s">
        <v>28</v>
      </c>
      <c r="C913" s="17" t="s">
        <v>19</v>
      </c>
      <c r="D913" s="18" t="s">
        <v>541</v>
      </c>
      <c r="E913" s="18">
        <v>10</v>
      </c>
      <c r="F913" s="18" t="s">
        <v>21</v>
      </c>
      <c r="G913" s="18" t="s">
        <v>22</v>
      </c>
      <c r="H913" s="18" t="s">
        <v>23</v>
      </c>
      <c r="I913" s="19">
        <v>45.75</v>
      </c>
      <c r="J913" s="20">
        <f t="shared" si="28"/>
        <v>457.5</v>
      </c>
      <c r="K913" s="106"/>
      <c r="L913" s="114"/>
      <c r="M913" s="114">
        <f>tblAquisições[[#This Row],[VALOR UNITARIO COMPRADO]]*tblAquisições[[#This Row],[QUANTIDADE COMPRADA]]</f>
        <v>0</v>
      </c>
      <c r="N913" s="110">
        <f>K913-tblAquisições[[#This Row],[QUANTIDADE PLANEJADA]]</f>
        <v>-10</v>
      </c>
      <c r="O913" s="106" t="str">
        <f t="shared" si="29"/>
        <v>Faltando Comprar</v>
      </c>
    </row>
    <row r="914" spans="1:15" ht="31.5">
      <c r="A914" s="16" t="s">
        <v>17</v>
      </c>
      <c r="B914" s="16" t="s">
        <v>34</v>
      </c>
      <c r="C914" s="17" t="s">
        <v>19</v>
      </c>
      <c r="D914" s="18" t="s">
        <v>542</v>
      </c>
      <c r="E914" s="18">
        <v>2</v>
      </c>
      <c r="F914" s="18" t="s">
        <v>21</v>
      </c>
      <c r="G914" s="18" t="s">
        <v>22</v>
      </c>
      <c r="H914" s="18" t="s">
        <v>23</v>
      </c>
      <c r="I914" s="19">
        <v>1953</v>
      </c>
      <c r="J914" s="20">
        <f t="shared" si="28"/>
        <v>3906</v>
      </c>
      <c r="K914" s="106"/>
      <c r="L914" s="114"/>
      <c r="M914" s="114">
        <f>tblAquisições[[#This Row],[VALOR UNITARIO COMPRADO]]*tblAquisições[[#This Row],[QUANTIDADE COMPRADA]]</f>
        <v>0</v>
      </c>
      <c r="N914" s="110">
        <f>K914-tblAquisições[[#This Row],[QUANTIDADE PLANEJADA]]</f>
        <v>-2</v>
      </c>
      <c r="O914" s="106" t="str">
        <f t="shared" si="29"/>
        <v>Faltando Comprar</v>
      </c>
    </row>
    <row r="915" spans="1:15" ht="47.25">
      <c r="A915" s="16" t="s">
        <v>17</v>
      </c>
      <c r="B915" s="16" t="s">
        <v>59</v>
      </c>
      <c r="C915" s="17" t="s">
        <v>19</v>
      </c>
      <c r="D915" s="18" t="s">
        <v>543</v>
      </c>
      <c r="E915" s="18">
        <v>6</v>
      </c>
      <c r="F915" s="18" t="s">
        <v>313</v>
      </c>
      <c r="G915" s="18" t="s">
        <v>22</v>
      </c>
      <c r="H915" s="18" t="s">
        <v>65</v>
      </c>
      <c r="I915" s="19">
        <v>5.21</v>
      </c>
      <c r="J915" s="20">
        <f t="shared" si="28"/>
        <v>31.259999999999998</v>
      </c>
      <c r="K915" s="106"/>
      <c r="L915" s="114"/>
      <c r="M915" s="114">
        <f>tblAquisições[[#This Row],[VALOR UNITARIO COMPRADO]]*tblAquisições[[#This Row],[QUANTIDADE COMPRADA]]</f>
        <v>0</v>
      </c>
      <c r="N915" s="110">
        <f>K915-tblAquisições[[#This Row],[QUANTIDADE PLANEJADA]]</f>
        <v>-6</v>
      </c>
      <c r="O915" s="106" t="str">
        <f t="shared" si="29"/>
        <v>Faltando Comprar</v>
      </c>
    </row>
    <row r="916" spans="1:15" ht="47.25">
      <c r="A916" s="16" t="s">
        <v>17</v>
      </c>
      <c r="B916" s="16" t="s">
        <v>28</v>
      </c>
      <c r="C916" s="17" t="s">
        <v>19</v>
      </c>
      <c r="D916" s="18" t="s">
        <v>544</v>
      </c>
      <c r="E916" s="18">
        <v>4</v>
      </c>
      <c r="F916" s="18" t="s">
        <v>78</v>
      </c>
      <c r="G916" s="18" t="s">
        <v>22</v>
      </c>
      <c r="H916" s="18" t="s">
        <v>65</v>
      </c>
      <c r="I916" s="19">
        <v>81.66</v>
      </c>
      <c r="J916" s="20">
        <f t="shared" si="28"/>
        <v>326.64</v>
      </c>
      <c r="K916" s="106"/>
      <c r="L916" s="114"/>
      <c r="M916" s="114">
        <f>tblAquisições[[#This Row],[VALOR UNITARIO COMPRADO]]*tblAquisições[[#This Row],[QUANTIDADE COMPRADA]]</f>
        <v>0</v>
      </c>
      <c r="N916" s="110">
        <f>K916-tblAquisições[[#This Row],[QUANTIDADE PLANEJADA]]</f>
        <v>-4</v>
      </c>
      <c r="O916" s="106" t="str">
        <f t="shared" si="29"/>
        <v>Faltando Comprar</v>
      </c>
    </row>
    <row r="917" spans="1:15" ht="47.25">
      <c r="A917" s="16" t="s">
        <v>17</v>
      </c>
      <c r="B917" s="16" t="s">
        <v>34</v>
      </c>
      <c r="C917" s="17" t="s">
        <v>19</v>
      </c>
      <c r="D917" s="18" t="s">
        <v>545</v>
      </c>
      <c r="E917" s="18">
        <v>50</v>
      </c>
      <c r="F917" s="18" t="s">
        <v>78</v>
      </c>
      <c r="G917" s="18" t="s">
        <v>22</v>
      </c>
      <c r="H917" s="18" t="s">
        <v>23</v>
      </c>
      <c r="I917" s="19">
        <v>9.9</v>
      </c>
      <c r="J917" s="20">
        <f t="shared" si="28"/>
        <v>495</v>
      </c>
      <c r="K917" s="106"/>
      <c r="L917" s="114"/>
      <c r="M917" s="114">
        <f>tblAquisições[[#This Row],[VALOR UNITARIO COMPRADO]]*tblAquisições[[#This Row],[QUANTIDADE COMPRADA]]</f>
        <v>0</v>
      </c>
      <c r="N917" s="110">
        <f>K917-tblAquisições[[#This Row],[QUANTIDADE PLANEJADA]]</f>
        <v>-50</v>
      </c>
      <c r="O917" s="106" t="str">
        <f t="shared" si="29"/>
        <v>Faltando Comprar</v>
      </c>
    </row>
    <row r="918" spans="1:15" ht="47.25">
      <c r="A918" s="16" t="s">
        <v>17</v>
      </c>
      <c r="B918" s="16" t="s">
        <v>18</v>
      </c>
      <c r="C918" s="17" t="s">
        <v>19</v>
      </c>
      <c r="D918" s="18" t="s">
        <v>546</v>
      </c>
      <c r="E918" s="18">
        <v>10</v>
      </c>
      <c r="F918" s="18" t="s">
        <v>71</v>
      </c>
      <c r="G918" s="18" t="s">
        <v>22</v>
      </c>
      <c r="H918" s="18" t="s">
        <v>23</v>
      </c>
      <c r="I918" s="19">
        <v>75.02</v>
      </c>
      <c r="J918" s="20">
        <f t="shared" si="28"/>
        <v>750.19999999999993</v>
      </c>
      <c r="K918" s="106"/>
      <c r="L918" s="114"/>
      <c r="M918" s="114">
        <f>tblAquisições[[#This Row],[VALOR UNITARIO COMPRADO]]*tblAquisições[[#This Row],[QUANTIDADE COMPRADA]]</f>
        <v>0</v>
      </c>
      <c r="N918" s="110">
        <f>K918-tblAquisições[[#This Row],[QUANTIDADE PLANEJADA]]</f>
        <v>-10</v>
      </c>
      <c r="O918" s="106" t="str">
        <f t="shared" si="29"/>
        <v>Faltando Comprar</v>
      </c>
    </row>
    <row r="919" spans="1:15" ht="47.25">
      <c r="A919" s="16" t="s">
        <v>17</v>
      </c>
      <c r="B919" s="16" t="s">
        <v>24</v>
      </c>
      <c r="C919" s="17" t="s">
        <v>19</v>
      </c>
      <c r="D919" s="18" t="s">
        <v>546</v>
      </c>
      <c r="E919" s="18">
        <v>10</v>
      </c>
      <c r="F919" s="18" t="s">
        <v>71</v>
      </c>
      <c r="G919" s="18" t="s">
        <v>22</v>
      </c>
      <c r="H919" s="18" t="s">
        <v>23</v>
      </c>
      <c r="I919" s="19">
        <v>75.02</v>
      </c>
      <c r="J919" s="20">
        <f t="shared" si="28"/>
        <v>750.19999999999993</v>
      </c>
      <c r="K919" s="106"/>
      <c r="L919" s="114"/>
      <c r="M919" s="114">
        <f>tblAquisições[[#This Row],[VALOR UNITARIO COMPRADO]]*tblAquisições[[#This Row],[QUANTIDADE COMPRADA]]</f>
        <v>0</v>
      </c>
      <c r="N919" s="110">
        <f>K919-tblAquisições[[#This Row],[QUANTIDADE PLANEJADA]]</f>
        <v>-10</v>
      </c>
      <c r="O919" s="106" t="str">
        <f t="shared" si="29"/>
        <v>Faltando Comprar</v>
      </c>
    </row>
    <row r="920" spans="1:15" ht="47.25">
      <c r="A920" s="16" t="s">
        <v>17</v>
      </c>
      <c r="B920" s="16" t="s">
        <v>25</v>
      </c>
      <c r="C920" s="17" t="s">
        <v>19</v>
      </c>
      <c r="D920" s="18" t="s">
        <v>546</v>
      </c>
      <c r="E920" s="18">
        <v>10</v>
      </c>
      <c r="F920" s="18" t="s">
        <v>71</v>
      </c>
      <c r="G920" s="18" t="s">
        <v>22</v>
      </c>
      <c r="H920" s="18" t="s">
        <v>23</v>
      </c>
      <c r="I920" s="19">
        <v>75.02</v>
      </c>
      <c r="J920" s="20">
        <f t="shared" si="28"/>
        <v>750.19999999999993</v>
      </c>
      <c r="K920" s="106"/>
      <c r="L920" s="114"/>
      <c r="M920" s="114">
        <f>tblAquisições[[#This Row],[VALOR UNITARIO COMPRADO]]*tblAquisições[[#This Row],[QUANTIDADE COMPRADA]]</f>
        <v>0</v>
      </c>
      <c r="N920" s="110">
        <f>K920-tblAquisições[[#This Row],[QUANTIDADE PLANEJADA]]</f>
        <v>-10</v>
      </c>
      <c r="O920" s="106" t="str">
        <f t="shared" si="29"/>
        <v>Faltando Comprar</v>
      </c>
    </row>
    <row r="921" spans="1:15" ht="47.25">
      <c r="A921" s="16" t="s">
        <v>17</v>
      </c>
      <c r="B921" s="16" t="s">
        <v>28</v>
      </c>
      <c r="C921" s="17" t="s">
        <v>19</v>
      </c>
      <c r="D921" s="18" t="s">
        <v>546</v>
      </c>
      <c r="E921" s="18">
        <v>12</v>
      </c>
      <c r="F921" s="18" t="s">
        <v>71</v>
      </c>
      <c r="G921" s="18" t="s">
        <v>22</v>
      </c>
      <c r="H921" s="18" t="s">
        <v>23</v>
      </c>
      <c r="I921" s="19">
        <v>75.02</v>
      </c>
      <c r="J921" s="20">
        <f t="shared" si="28"/>
        <v>900.24</v>
      </c>
      <c r="K921" s="106"/>
      <c r="L921" s="114"/>
      <c r="M921" s="114">
        <f>tblAquisições[[#This Row],[VALOR UNITARIO COMPRADO]]*tblAquisições[[#This Row],[QUANTIDADE COMPRADA]]</f>
        <v>0</v>
      </c>
      <c r="N921" s="110">
        <f>K921-tblAquisições[[#This Row],[QUANTIDADE PLANEJADA]]</f>
        <v>-12</v>
      </c>
      <c r="O921" s="106" t="str">
        <f t="shared" si="29"/>
        <v>Faltando Comprar</v>
      </c>
    </row>
    <row r="922" spans="1:15" ht="47.25">
      <c r="A922" s="16" t="s">
        <v>17</v>
      </c>
      <c r="B922" s="16" t="s">
        <v>26</v>
      </c>
      <c r="C922" s="17" t="s">
        <v>19</v>
      </c>
      <c r="D922" s="18" t="s">
        <v>547</v>
      </c>
      <c r="E922" s="18">
        <v>12</v>
      </c>
      <c r="F922" s="18" t="s">
        <v>58</v>
      </c>
      <c r="G922" s="18" t="s">
        <v>22</v>
      </c>
      <c r="H922" s="18" t="s">
        <v>23</v>
      </c>
      <c r="I922" s="19">
        <v>16.510000000000002</v>
      </c>
      <c r="J922" s="20">
        <f t="shared" si="28"/>
        <v>198.12</v>
      </c>
      <c r="K922" s="106"/>
      <c r="L922" s="114"/>
      <c r="M922" s="114">
        <f>tblAquisições[[#This Row],[VALOR UNITARIO COMPRADO]]*tblAquisições[[#This Row],[QUANTIDADE COMPRADA]]</f>
        <v>0</v>
      </c>
      <c r="N922" s="110">
        <f>K922-tblAquisições[[#This Row],[QUANTIDADE PLANEJADA]]</f>
        <v>-12</v>
      </c>
      <c r="O922" s="106" t="str">
        <f t="shared" si="29"/>
        <v>Faltando Comprar</v>
      </c>
    </row>
    <row r="923" spans="1:15" ht="31.5">
      <c r="A923" s="16" t="s">
        <v>17</v>
      </c>
      <c r="B923" s="16" t="s">
        <v>80</v>
      </c>
      <c r="C923" s="17" t="s">
        <v>19</v>
      </c>
      <c r="D923" s="18" t="s">
        <v>548</v>
      </c>
      <c r="E923" s="18">
        <v>150</v>
      </c>
      <c r="F923" s="18" t="s">
        <v>82</v>
      </c>
      <c r="G923" s="18" t="s">
        <v>39</v>
      </c>
      <c r="H923" s="18" t="s">
        <v>83</v>
      </c>
      <c r="I923" s="19">
        <v>50.67</v>
      </c>
      <c r="J923" s="20">
        <f t="shared" si="28"/>
        <v>7600.5</v>
      </c>
      <c r="K923" s="106"/>
      <c r="L923" s="114"/>
      <c r="M923" s="114">
        <f>tblAquisições[[#This Row],[VALOR UNITARIO COMPRADO]]*tblAquisições[[#This Row],[QUANTIDADE COMPRADA]]</f>
        <v>0</v>
      </c>
      <c r="N923" s="110">
        <f>K923-tblAquisições[[#This Row],[QUANTIDADE PLANEJADA]]</f>
        <v>-150</v>
      </c>
      <c r="O923" s="106" t="str">
        <f t="shared" si="29"/>
        <v>Faltando Comprar</v>
      </c>
    </row>
    <row r="924" spans="1:15" ht="47.25">
      <c r="A924" s="16" t="s">
        <v>17</v>
      </c>
      <c r="B924" s="16" t="s">
        <v>72</v>
      </c>
      <c r="C924" s="17" t="s">
        <v>19</v>
      </c>
      <c r="D924" s="18" t="s">
        <v>549</v>
      </c>
      <c r="E924" s="18">
        <v>1</v>
      </c>
      <c r="F924" s="18" t="s">
        <v>58</v>
      </c>
      <c r="G924" s="18" t="s">
        <v>22</v>
      </c>
      <c r="H924" s="18" t="s">
        <v>65</v>
      </c>
      <c r="I924" s="19">
        <v>1.63</v>
      </c>
      <c r="J924" s="20">
        <f t="shared" si="28"/>
        <v>1.63</v>
      </c>
      <c r="K924" s="106"/>
      <c r="L924" s="114"/>
      <c r="M924" s="114">
        <f>tblAquisições[[#This Row],[VALOR UNITARIO COMPRADO]]*tblAquisições[[#This Row],[QUANTIDADE COMPRADA]]</f>
        <v>0</v>
      </c>
      <c r="N924" s="110">
        <f>K924-tblAquisições[[#This Row],[QUANTIDADE PLANEJADA]]</f>
        <v>-1</v>
      </c>
      <c r="O924" s="106" t="str">
        <f t="shared" si="29"/>
        <v>Faltando Comprar</v>
      </c>
    </row>
    <row r="925" spans="1:15" ht="31.5">
      <c r="A925" s="16" t="s">
        <v>17</v>
      </c>
      <c r="B925" s="16" t="s">
        <v>26</v>
      </c>
      <c r="C925" s="17" t="s">
        <v>19</v>
      </c>
      <c r="D925" s="18" t="s">
        <v>550</v>
      </c>
      <c r="E925" s="18">
        <v>20</v>
      </c>
      <c r="F925" s="18" t="s">
        <v>21</v>
      </c>
      <c r="G925" s="18" t="s">
        <v>22</v>
      </c>
      <c r="H925" s="18" t="s">
        <v>23</v>
      </c>
      <c r="I925" s="19">
        <v>20</v>
      </c>
      <c r="J925" s="20">
        <f t="shared" si="28"/>
        <v>400</v>
      </c>
      <c r="K925" s="106"/>
      <c r="L925" s="114"/>
      <c r="M925" s="114">
        <f>tblAquisições[[#This Row],[VALOR UNITARIO COMPRADO]]*tblAquisições[[#This Row],[QUANTIDADE COMPRADA]]</f>
        <v>0</v>
      </c>
      <c r="N925" s="110">
        <f>K925-tblAquisições[[#This Row],[QUANTIDADE PLANEJADA]]</f>
        <v>-20</v>
      </c>
      <c r="O925" s="106" t="str">
        <f t="shared" si="29"/>
        <v>Faltando Comprar</v>
      </c>
    </row>
    <row r="926" spans="1:15" ht="31.5">
      <c r="A926" s="16" t="s">
        <v>17</v>
      </c>
      <c r="B926" s="16" t="s">
        <v>28</v>
      </c>
      <c r="C926" s="17" t="s">
        <v>19</v>
      </c>
      <c r="D926" s="18" t="s">
        <v>551</v>
      </c>
      <c r="E926" s="18">
        <v>100</v>
      </c>
      <c r="F926" s="18" t="s">
        <v>21</v>
      </c>
      <c r="G926" s="18" t="s">
        <v>22</v>
      </c>
      <c r="H926" s="18" t="s">
        <v>23</v>
      </c>
      <c r="I926" s="19">
        <v>0.88</v>
      </c>
      <c r="J926" s="20">
        <f t="shared" si="28"/>
        <v>88</v>
      </c>
      <c r="K926" s="106"/>
      <c r="L926" s="114"/>
      <c r="M926" s="114">
        <f>tblAquisições[[#This Row],[VALOR UNITARIO COMPRADO]]*tblAquisições[[#This Row],[QUANTIDADE COMPRADA]]</f>
        <v>0</v>
      </c>
      <c r="N926" s="110">
        <f>K926-tblAquisições[[#This Row],[QUANTIDADE PLANEJADA]]</f>
        <v>-100</v>
      </c>
      <c r="O926" s="106" t="str">
        <f t="shared" si="29"/>
        <v>Faltando Comprar</v>
      </c>
    </row>
    <row r="927" spans="1:15" ht="31.5">
      <c r="A927" s="16" t="s">
        <v>17</v>
      </c>
      <c r="B927" s="16" t="s">
        <v>28</v>
      </c>
      <c r="C927" s="17" t="s">
        <v>19</v>
      </c>
      <c r="D927" s="18" t="s">
        <v>552</v>
      </c>
      <c r="E927" s="18">
        <v>10</v>
      </c>
      <c r="F927" s="18" t="s">
        <v>21</v>
      </c>
      <c r="G927" s="18" t="s">
        <v>22</v>
      </c>
      <c r="H927" s="18" t="s">
        <v>23</v>
      </c>
      <c r="I927" s="19">
        <v>39.14</v>
      </c>
      <c r="J927" s="20">
        <f t="shared" si="28"/>
        <v>391.4</v>
      </c>
      <c r="K927" s="106"/>
      <c r="L927" s="114"/>
      <c r="M927" s="114">
        <f>tblAquisições[[#This Row],[VALOR UNITARIO COMPRADO]]*tblAquisições[[#This Row],[QUANTIDADE COMPRADA]]</f>
        <v>0</v>
      </c>
      <c r="N927" s="110">
        <f>K927-tblAquisições[[#This Row],[QUANTIDADE PLANEJADA]]</f>
        <v>-10</v>
      </c>
      <c r="O927" s="106" t="str">
        <f t="shared" si="29"/>
        <v>Faltando Comprar</v>
      </c>
    </row>
    <row r="928" spans="1:15" ht="31.5">
      <c r="A928" s="16" t="s">
        <v>17</v>
      </c>
      <c r="B928" s="16" t="s">
        <v>26</v>
      </c>
      <c r="C928" s="17" t="s">
        <v>19</v>
      </c>
      <c r="D928" s="18" t="s">
        <v>553</v>
      </c>
      <c r="E928" s="18">
        <v>30</v>
      </c>
      <c r="F928" s="18" t="s">
        <v>30</v>
      </c>
      <c r="G928" s="18" t="s">
        <v>22</v>
      </c>
      <c r="H928" s="18" t="s">
        <v>23</v>
      </c>
      <c r="I928" s="19">
        <v>32.5</v>
      </c>
      <c r="J928" s="20">
        <f t="shared" si="28"/>
        <v>975</v>
      </c>
      <c r="K928" s="106"/>
      <c r="L928" s="114"/>
      <c r="M928" s="114">
        <f>tblAquisições[[#This Row],[VALOR UNITARIO COMPRADO]]*tblAquisições[[#This Row],[QUANTIDADE COMPRADA]]</f>
        <v>0</v>
      </c>
      <c r="N928" s="110">
        <f>K928-tblAquisições[[#This Row],[QUANTIDADE PLANEJADA]]</f>
        <v>-30</v>
      </c>
      <c r="O928" s="106" t="str">
        <f t="shared" si="29"/>
        <v>Faltando Comprar</v>
      </c>
    </row>
    <row r="929" spans="1:15" ht="31.5">
      <c r="A929" s="16" t="s">
        <v>17</v>
      </c>
      <c r="B929" s="16" t="s">
        <v>26</v>
      </c>
      <c r="C929" s="17" t="s">
        <v>19</v>
      </c>
      <c r="D929" s="18" t="s">
        <v>554</v>
      </c>
      <c r="E929" s="18">
        <v>40</v>
      </c>
      <c r="F929" s="18" t="s">
        <v>30</v>
      </c>
      <c r="G929" s="18" t="s">
        <v>22</v>
      </c>
      <c r="H929" s="18" t="s">
        <v>23</v>
      </c>
      <c r="I929" s="19">
        <v>34</v>
      </c>
      <c r="J929" s="20">
        <f t="shared" si="28"/>
        <v>1360</v>
      </c>
      <c r="K929" s="106"/>
      <c r="L929" s="114"/>
      <c r="M929" s="114">
        <f>tblAquisições[[#This Row],[VALOR UNITARIO COMPRADO]]*tblAquisições[[#This Row],[QUANTIDADE COMPRADA]]</f>
        <v>0</v>
      </c>
      <c r="N929" s="110">
        <f>K929-tblAquisições[[#This Row],[QUANTIDADE PLANEJADA]]</f>
        <v>-40</v>
      </c>
      <c r="O929" s="106" t="str">
        <f t="shared" si="29"/>
        <v>Faltando Comprar</v>
      </c>
    </row>
    <row r="930" spans="1:15" ht="31.5">
      <c r="A930" s="16" t="s">
        <v>17</v>
      </c>
      <c r="B930" s="16" t="s">
        <v>26</v>
      </c>
      <c r="C930" s="17" t="s">
        <v>19</v>
      </c>
      <c r="D930" s="18" t="s">
        <v>555</v>
      </c>
      <c r="E930" s="18">
        <v>50</v>
      </c>
      <c r="F930" s="18" t="s">
        <v>30</v>
      </c>
      <c r="G930" s="18" t="s">
        <v>22</v>
      </c>
      <c r="H930" s="18" t="s">
        <v>23</v>
      </c>
      <c r="I930" s="19">
        <v>37.5</v>
      </c>
      <c r="J930" s="20">
        <f t="shared" si="28"/>
        <v>1875</v>
      </c>
      <c r="K930" s="106"/>
      <c r="L930" s="114"/>
      <c r="M930" s="114">
        <f>tblAquisições[[#This Row],[VALOR UNITARIO COMPRADO]]*tblAquisições[[#This Row],[QUANTIDADE COMPRADA]]</f>
        <v>0</v>
      </c>
      <c r="N930" s="110">
        <f>K930-tblAquisições[[#This Row],[QUANTIDADE PLANEJADA]]</f>
        <v>-50</v>
      </c>
      <c r="O930" s="106" t="str">
        <f t="shared" si="29"/>
        <v>Faltando Comprar</v>
      </c>
    </row>
    <row r="931" spans="1:15" ht="31.5">
      <c r="A931" s="16" t="s">
        <v>17</v>
      </c>
      <c r="B931" s="16" t="s">
        <v>26</v>
      </c>
      <c r="C931" s="17" t="s">
        <v>19</v>
      </c>
      <c r="D931" s="18" t="s">
        <v>556</v>
      </c>
      <c r="E931" s="18">
        <v>50</v>
      </c>
      <c r="F931" s="18" t="s">
        <v>30</v>
      </c>
      <c r="G931" s="18" t="s">
        <v>22</v>
      </c>
      <c r="H931" s="18" t="s">
        <v>23</v>
      </c>
      <c r="I931" s="19">
        <v>30</v>
      </c>
      <c r="J931" s="20">
        <f t="shared" si="28"/>
        <v>1500</v>
      </c>
      <c r="K931" s="106"/>
      <c r="L931" s="114"/>
      <c r="M931" s="114">
        <f>tblAquisições[[#This Row],[VALOR UNITARIO COMPRADO]]*tblAquisições[[#This Row],[QUANTIDADE COMPRADA]]</f>
        <v>0</v>
      </c>
      <c r="N931" s="110">
        <f>K931-tblAquisições[[#This Row],[QUANTIDADE PLANEJADA]]</f>
        <v>-50</v>
      </c>
      <c r="O931" s="106" t="str">
        <f t="shared" si="29"/>
        <v>Faltando Comprar</v>
      </c>
    </row>
    <row r="932" spans="1:15" ht="31.5">
      <c r="A932" s="16" t="s">
        <v>17</v>
      </c>
      <c r="B932" s="16" t="s">
        <v>26</v>
      </c>
      <c r="C932" s="17" t="s">
        <v>19</v>
      </c>
      <c r="D932" s="18" t="s">
        <v>557</v>
      </c>
      <c r="E932" s="18">
        <v>50</v>
      </c>
      <c r="F932" s="18" t="s">
        <v>30</v>
      </c>
      <c r="G932" s="18" t="s">
        <v>22</v>
      </c>
      <c r="H932" s="18" t="s">
        <v>23</v>
      </c>
      <c r="I932" s="19">
        <v>31</v>
      </c>
      <c r="J932" s="20">
        <f t="shared" si="28"/>
        <v>1550</v>
      </c>
      <c r="K932" s="106"/>
      <c r="L932" s="114"/>
      <c r="M932" s="114">
        <f>tblAquisições[[#This Row],[VALOR UNITARIO COMPRADO]]*tblAquisições[[#This Row],[QUANTIDADE COMPRADA]]</f>
        <v>0</v>
      </c>
      <c r="N932" s="110">
        <f>K932-tblAquisições[[#This Row],[QUANTIDADE PLANEJADA]]</f>
        <v>-50</v>
      </c>
      <c r="O932" s="106" t="str">
        <f t="shared" si="29"/>
        <v>Faltando Comprar</v>
      </c>
    </row>
    <row r="933" spans="1:15" ht="31.5">
      <c r="A933" s="16" t="s">
        <v>17</v>
      </c>
      <c r="B933" s="16" t="s">
        <v>18</v>
      </c>
      <c r="C933" s="17" t="s">
        <v>19</v>
      </c>
      <c r="D933" s="18" t="s">
        <v>558</v>
      </c>
      <c r="E933" s="18">
        <v>30</v>
      </c>
      <c r="F933" s="18" t="s">
        <v>30</v>
      </c>
      <c r="G933" s="18" t="s">
        <v>22</v>
      </c>
      <c r="H933" s="18" t="s">
        <v>23</v>
      </c>
      <c r="I933" s="19">
        <v>12.74</v>
      </c>
      <c r="J933" s="20">
        <f t="shared" si="28"/>
        <v>382.2</v>
      </c>
      <c r="K933" s="106"/>
      <c r="L933" s="114"/>
      <c r="M933" s="114">
        <f>tblAquisições[[#This Row],[VALOR UNITARIO COMPRADO]]*tblAquisições[[#This Row],[QUANTIDADE COMPRADA]]</f>
        <v>0</v>
      </c>
      <c r="N933" s="110">
        <f>K933-tblAquisições[[#This Row],[QUANTIDADE PLANEJADA]]</f>
        <v>-30</v>
      </c>
      <c r="O933" s="106" t="str">
        <f t="shared" si="29"/>
        <v>Faltando Comprar</v>
      </c>
    </row>
    <row r="934" spans="1:15" ht="31.5">
      <c r="A934" s="16" t="s">
        <v>17</v>
      </c>
      <c r="B934" s="16" t="s">
        <v>24</v>
      </c>
      <c r="C934" s="17" t="s">
        <v>19</v>
      </c>
      <c r="D934" s="18" t="s">
        <v>558</v>
      </c>
      <c r="E934" s="18">
        <v>30</v>
      </c>
      <c r="F934" s="18" t="s">
        <v>30</v>
      </c>
      <c r="G934" s="18" t="s">
        <v>22</v>
      </c>
      <c r="H934" s="18" t="s">
        <v>23</v>
      </c>
      <c r="I934" s="19">
        <v>12.74</v>
      </c>
      <c r="J934" s="20">
        <f t="shared" si="28"/>
        <v>382.2</v>
      </c>
      <c r="K934" s="106"/>
      <c r="L934" s="114"/>
      <c r="M934" s="114">
        <f>tblAquisições[[#This Row],[VALOR UNITARIO COMPRADO]]*tblAquisições[[#This Row],[QUANTIDADE COMPRADA]]</f>
        <v>0</v>
      </c>
      <c r="N934" s="110">
        <f>K934-tblAquisições[[#This Row],[QUANTIDADE PLANEJADA]]</f>
        <v>-30</v>
      </c>
      <c r="O934" s="106" t="str">
        <f t="shared" si="29"/>
        <v>Faltando Comprar</v>
      </c>
    </row>
    <row r="935" spans="1:15" ht="31.5">
      <c r="A935" s="16" t="s">
        <v>17</v>
      </c>
      <c r="B935" s="16" t="s">
        <v>25</v>
      </c>
      <c r="C935" s="17" t="s">
        <v>19</v>
      </c>
      <c r="D935" s="18" t="s">
        <v>558</v>
      </c>
      <c r="E935" s="18">
        <v>30</v>
      </c>
      <c r="F935" s="18" t="s">
        <v>30</v>
      </c>
      <c r="G935" s="18" t="s">
        <v>22</v>
      </c>
      <c r="H935" s="18" t="s">
        <v>23</v>
      </c>
      <c r="I935" s="19">
        <v>12.74</v>
      </c>
      <c r="J935" s="20">
        <f t="shared" si="28"/>
        <v>382.2</v>
      </c>
      <c r="K935" s="106"/>
      <c r="L935" s="114"/>
      <c r="M935" s="114">
        <f>tblAquisições[[#This Row],[VALOR UNITARIO COMPRADO]]*tblAquisições[[#This Row],[QUANTIDADE COMPRADA]]</f>
        <v>0</v>
      </c>
      <c r="N935" s="110">
        <f>K935-tblAquisições[[#This Row],[QUANTIDADE PLANEJADA]]</f>
        <v>-30</v>
      </c>
      <c r="O935" s="106" t="str">
        <f t="shared" si="29"/>
        <v>Faltando Comprar</v>
      </c>
    </row>
    <row r="936" spans="1:15" ht="31.5">
      <c r="A936" s="16" t="s">
        <v>17</v>
      </c>
      <c r="B936" s="16" t="s">
        <v>26</v>
      </c>
      <c r="C936" s="17" t="s">
        <v>19</v>
      </c>
      <c r="D936" s="18" t="s">
        <v>558</v>
      </c>
      <c r="E936" s="18">
        <v>10</v>
      </c>
      <c r="F936" s="18" t="s">
        <v>30</v>
      </c>
      <c r="G936" s="18" t="s">
        <v>22</v>
      </c>
      <c r="H936" s="18" t="s">
        <v>23</v>
      </c>
      <c r="I936" s="19">
        <v>12.74</v>
      </c>
      <c r="J936" s="20">
        <f t="shared" si="28"/>
        <v>127.4</v>
      </c>
      <c r="K936" s="106"/>
      <c r="L936" s="114"/>
      <c r="M936" s="114">
        <f>tblAquisições[[#This Row],[VALOR UNITARIO COMPRADO]]*tblAquisições[[#This Row],[QUANTIDADE COMPRADA]]</f>
        <v>0</v>
      </c>
      <c r="N936" s="110">
        <f>K936-tblAquisições[[#This Row],[QUANTIDADE PLANEJADA]]</f>
        <v>-10</v>
      </c>
      <c r="O936" s="106" t="str">
        <f t="shared" si="29"/>
        <v>Faltando Comprar</v>
      </c>
    </row>
    <row r="937" spans="1:15" ht="31.5">
      <c r="A937" s="16" t="s">
        <v>17</v>
      </c>
      <c r="B937" s="16" t="s">
        <v>18</v>
      </c>
      <c r="C937" s="17" t="s">
        <v>19</v>
      </c>
      <c r="D937" s="18" t="s">
        <v>559</v>
      </c>
      <c r="E937" s="18">
        <v>30</v>
      </c>
      <c r="F937" s="18" t="s">
        <v>30</v>
      </c>
      <c r="G937" s="18" t="s">
        <v>22</v>
      </c>
      <c r="H937" s="18" t="s">
        <v>23</v>
      </c>
      <c r="I937" s="19">
        <v>12.57</v>
      </c>
      <c r="J937" s="20">
        <f t="shared" si="28"/>
        <v>377.1</v>
      </c>
      <c r="K937" s="106"/>
      <c r="L937" s="114"/>
      <c r="M937" s="114">
        <f>tblAquisições[[#This Row],[VALOR UNITARIO COMPRADO]]*tblAquisições[[#This Row],[QUANTIDADE COMPRADA]]</f>
        <v>0</v>
      </c>
      <c r="N937" s="110">
        <f>K937-tblAquisições[[#This Row],[QUANTIDADE PLANEJADA]]</f>
        <v>-30</v>
      </c>
      <c r="O937" s="106" t="str">
        <f t="shared" si="29"/>
        <v>Faltando Comprar</v>
      </c>
    </row>
    <row r="938" spans="1:15" ht="31.5">
      <c r="A938" s="16" t="s">
        <v>17</v>
      </c>
      <c r="B938" s="16" t="s">
        <v>24</v>
      </c>
      <c r="C938" s="17" t="s">
        <v>19</v>
      </c>
      <c r="D938" s="18" t="s">
        <v>559</v>
      </c>
      <c r="E938" s="18">
        <v>30</v>
      </c>
      <c r="F938" s="18" t="s">
        <v>30</v>
      </c>
      <c r="G938" s="18" t="s">
        <v>22</v>
      </c>
      <c r="H938" s="18" t="s">
        <v>23</v>
      </c>
      <c r="I938" s="19">
        <v>12.57</v>
      </c>
      <c r="J938" s="20">
        <f t="shared" si="28"/>
        <v>377.1</v>
      </c>
      <c r="K938" s="106"/>
      <c r="L938" s="114"/>
      <c r="M938" s="114">
        <f>tblAquisições[[#This Row],[VALOR UNITARIO COMPRADO]]*tblAquisições[[#This Row],[QUANTIDADE COMPRADA]]</f>
        <v>0</v>
      </c>
      <c r="N938" s="110">
        <f>K938-tblAquisições[[#This Row],[QUANTIDADE PLANEJADA]]</f>
        <v>-30</v>
      </c>
      <c r="O938" s="106" t="str">
        <f t="shared" si="29"/>
        <v>Faltando Comprar</v>
      </c>
    </row>
    <row r="939" spans="1:15" ht="31.5">
      <c r="A939" s="16" t="s">
        <v>17</v>
      </c>
      <c r="B939" s="16" t="s">
        <v>25</v>
      </c>
      <c r="C939" s="17" t="s">
        <v>19</v>
      </c>
      <c r="D939" s="18" t="s">
        <v>559</v>
      </c>
      <c r="E939" s="18">
        <v>30</v>
      </c>
      <c r="F939" s="18" t="s">
        <v>30</v>
      </c>
      <c r="G939" s="18" t="s">
        <v>22</v>
      </c>
      <c r="H939" s="18" t="s">
        <v>23</v>
      </c>
      <c r="I939" s="19">
        <v>12.57</v>
      </c>
      <c r="J939" s="20">
        <f t="shared" si="28"/>
        <v>377.1</v>
      </c>
      <c r="K939" s="106"/>
      <c r="L939" s="114"/>
      <c r="M939" s="114">
        <f>tblAquisições[[#This Row],[VALOR UNITARIO COMPRADO]]*tblAquisições[[#This Row],[QUANTIDADE COMPRADA]]</f>
        <v>0</v>
      </c>
      <c r="N939" s="110">
        <f>K939-tblAquisições[[#This Row],[QUANTIDADE PLANEJADA]]</f>
        <v>-30</v>
      </c>
      <c r="O939" s="106" t="str">
        <f t="shared" si="29"/>
        <v>Faltando Comprar</v>
      </c>
    </row>
    <row r="940" spans="1:15" ht="31.5">
      <c r="A940" s="16" t="s">
        <v>17</v>
      </c>
      <c r="B940" s="16" t="s">
        <v>26</v>
      </c>
      <c r="C940" s="17" t="s">
        <v>19</v>
      </c>
      <c r="D940" s="18" t="s">
        <v>559</v>
      </c>
      <c r="E940" s="18">
        <v>10</v>
      </c>
      <c r="F940" s="18" t="s">
        <v>30</v>
      </c>
      <c r="G940" s="18" t="s">
        <v>22</v>
      </c>
      <c r="H940" s="18" t="s">
        <v>23</v>
      </c>
      <c r="I940" s="19">
        <v>12.57</v>
      </c>
      <c r="J940" s="20">
        <f t="shared" si="28"/>
        <v>125.7</v>
      </c>
      <c r="K940" s="106"/>
      <c r="L940" s="114"/>
      <c r="M940" s="114">
        <f>tblAquisições[[#This Row],[VALOR UNITARIO COMPRADO]]*tblAquisições[[#This Row],[QUANTIDADE COMPRADA]]</f>
        <v>0</v>
      </c>
      <c r="N940" s="110">
        <f>K940-tblAquisições[[#This Row],[QUANTIDADE PLANEJADA]]</f>
        <v>-10</v>
      </c>
      <c r="O940" s="106" t="str">
        <f t="shared" si="29"/>
        <v>Faltando Comprar</v>
      </c>
    </row>
    <row r="941" spans="1:15" ht="31.5">
      <c r="A941" s="16" t="s">
        <v>17</v>
      </c>
      <c r="B941" s="16" t="s">
        <v>26</v>
      </c>
      <c r="C941" s="17" t="s">
        <v>19</v>
      </c>
      <c r="D941" s="18" t="s">
        <v>560</v>
      </c>
      <c r="E941" s="18">
        <v>10</v>
      </c>
      <c r="F941" s="18" t="s">
        <v>30</v>
      </c>
      <c r="G941" s="18" t="s">
        <v>22</v>
      </c>
      <c r="H941" s="18" t="s">
        <v>23</v>
      </c>
      <c r="I941" s="19">
        <v>54.74</v>
      </c>
      <c r="J941" s="20">
        <f t="shared" si="28"/>
        <v>547.4</v>
      </c>
      <c r="K941" s="106"/>
      <c r="L941" s="114"/>
      <c r="M941" s="114">
        <f>tblAquisições[[#This Row],[VALOR UNITARIO COMPRADO]]*tblAquisições[[#This Row],[QUANTIDADE COMPRADA]]</f>
        <v>0</v>
      </c>
      <c r="N941" s="110">
        <f>K941-tblAquisições[[#This Row],[QUANTIDADE PLANEJADA]]</f>
        <v>-10</v>
      </c>
      <c r="O941" s="106" t="str">
        <f t="shared" si="29"/>
        <v>Faltando Comprar</v>
      </c>
    </row>
    <row r="942" spans="1:15" ht="31.5">
      <c r="A942" s="16" t="s">
        <v>17</v>
      </c>
      <c r="B942" s="16" t="s">
        <v>18</v>
      </c>
      <c r="C942" s="17" t="s">
        <v>19</v>
      </c>
      <c r="D942" s="18" t="s">
        <v>561</v>
      </c>
      <c r="E942" s="18">
        <v>20</v>
      </c>
      <c r="F942" s="18" t="s">
        <v>30</v>
      </c>
      <c r="G942" s="18" t="s">
        <v>22</v>
      </c>
      <c r="H942" s="18" t="s">
        <v>23</v>
      </c>
      <c r="I942" s="19">
        <v>56.55</v>
      </c>
      <c r="J942" s="20">
        <f t="shared" si="28"/>
        <v>1131</v>
      </c>
      <c r="K942" s="106"/>
      <c r="L942" s="114"/>
      <c r="M942" s="114">
        <f>tblAquisições[[#This Row],[VALOR UNITARIO COMPRADO]]*tblAquisições[[#This Row],[QUANTIDADE COMPRADA]]</f>
        <v>0</v>
      </c>
      <c r="N942" s="110">
        <f>K942-tblAquisições[[#This Row],[QUANTIDADE PLANEJADA]]</f>
        <v>-20</v>
      </c>
      <c r="O942" s="106" t="str">
        <f t="shared" si="29"/>
        <v>Faltando Comprar</v>
      </c>
    </row>
    <row r="943" spans="1:15" ht="31.5">
      <c r="A943" s="16" t="s">
        <v>17</v>
      </c>
      <c r="B943" s="16" t="s">
        <v>24</v>
      </c>
      <c r="C943" s="17" t="s">
        <v>19</v>
      </c>
      <c r="D943" s="18" t="s">
        <v>561</v>
      </c>
      <c r="E943" s="18">
        <v>20</v>
      </c>
      <c r="F943" s="18" t="s">
        <v>30</v>
      </c>
      <c r="G943" s="18" t="s">
        <v>22</v>
      </c>
      <c r="H943" s="18" t="s">
        <v>23</v>
      </c>
      <c r="I943" s="19">
        <v>56.55</v>
      </c>
      <c r="J943" s="20">
        <f t="shared" si="28"/>
        <v>1131</v>
      </c>
      <c r="K943" s="106"/>
      <c r="L943" s="114"/>
      <c r="M943" s="114">
        <f>tblAquisições[[#This Row],[VALOR UNITARIO COMPRADO]]*tblAquisições[[#This Row],[QUANTIDADE COMPRADA]]</f>
        <v>0</v>
      </c>
      <c r="N943" s="110">
        <f>K943-tblAquisições[[#This Row],[QUANTIDADE PLANEJADA]]</f>
        <v>-20</v>
      </c>
      <c r="O943" s="106" t="str">
        <f t="shared" si="29"/>
        <v>Faltando Comprar</v>
      </c>
    </row>
    <row r="944" spans="1:15" ht="31.5">
      <c r="A944" s="16" t="s">
        <v>17</v>
      </c>
      <c r="B944" s="16" t="s">
        <v>25</v>
      </c>
      <c r="C944" s="17" t="s">
        <v>19</v>
      </c>
      <c r="D944" s="18" t="s">
        <v>561</v>
      </c>
      <c r="E944" s="18">
        <v>20</v>
      </c>
      <c r="F944" s="18" t="s">
        <v>30</v>
      </c>
      <c r="G944" s="18" t="s">
        <v>22</v>
      </c>
      <c r="H944" s="18" t="s">
        <v>23</v>
      </c>
      <c r="I944" s="19">
        <v>56.55</v>
      </c>
      <c r="J944" s="20">
        <f t="shared" si="28"/>
        <v>1131</v>
      </c>
      <c r="K944" s="106"/>
      <c r="L944" s="114"/>
      <c r="M944" s="114">
        <f>tblAquisições[[#This Row],[VALOR UNITARIO COMPRADO]]*tblAquisições[[#This Row],[QUANTIDADE COMPRADA]]</f>
        <v>0</v>
      </c>
      <c r="N944" s="110">
        <f>K944-tblAquisições[[#This Row],[QUANTIDADE PLANEJADA]]</f>
        <v>-20</v>
      </c>
      <c r="O944" s="106" t="str">
        <f t="shared" si="29"/>
        <v>Faltando Comprar</v>
      </c>
    </row>
    <row r="945" spans="1:15" ht="31.5">
      <c r="A945" s="16" t="s">
        <v>17</v>
      </c>
      <c r="B945" s="16" t="s">
        <v>18</v>
      </c>
      <c r="C945" s="17" t="s">
        <v>19</v>
      </c>
      <c r="D945" s="18" t="s">
        <v>562</v>
      </c>
      <c r="E945" s="18">
        <v>20</v>
      </c>
      <c r="F945" s="18" t="s">
        <v>30</v>
      </c>
      <c r="G945" s="18" t="s">
        <v>22</v>
      </c>
      <c r="H945" s="18" t="s">
        <v>23</v>
      </c>
      <c r="I945" s="19">
        <v>64</v>
      </c>
      <c r="J945" s="20">
        <f t="shared" si="28"/>
        <v>1280</v>
      </c>
      <c r="K945" s="106"/>
      <c r="L945" s="114"/>
      <c r="M945" s="114">
        <f>tblAquisições[[#This Row],[VALOR UNITARIO COMPRADO]]*tblAquisições[[#This Row],[QUANTIDADE COMPRADA]]</f>
        <v>0</v>
      </c>
      <c r="N945" s="110">
        <f>K945-tblAquisições[[#This Row],[QUANTIDADE PLANEJADA]]</f>
        <v>-20</v>
      </c>
      <c r="O945" s="106" t="str">
        <f t="shared" si="29"/>
        <v>Faltando Comprar</v>
      </c>
    </row>
    <row r="946" spans="1:15" ht="31.5">
      <c r="A946" s="16" t="s">
        <v>17</v>
      </c>
      <c r="B946" s="16" t="s">
        <v>24</v>
      </c>
      <c r="C946" s="17" t="s">
        <v>19</v>
      </c>
      <c r="D946" s="18" t="s">
        <v>562</v>
      </c>
      <c r="E946" s="18">
        <v>20</v>
      </c>
      <c r="F946" s="18" t="s">
        <v>30</v>
      </c>
      <c r="G946" s="18" t="s">
        <v>22</v>
      </c>
      <c r="H946" s="18" t="s">
        <v>23</v>
      </c>
      <c r="I946" s="19">
        <v>64</v>
      </c>
      <c r="J946" s="20">
        <f t="shared" si="28"/>
        <v>1280</v>
      </c>
      <c r="K946" s="106"/>
      <c r="L946" s="114"/>
      <c r="M946" s="114">
        <f>tblAquisições[[#This Row],[VALOR UNITARIO COMPRADO]]*tblAquisições[[#This Row],[QUANTIDADE COMPRADA]]</f>
        <v>0</v>
      </c>
      <c r="N946" s="110">
        <f>K946-tblAquisições[[#This Row],[QUANTIDADE PLANEJADA]]</f>
        <v>-20</v>
      </c>
      <c r="O946" s="106" t="str">
        <f t="shared" si="29"/>
        <v>Faltando Comprar</v>
      </c>
    </row>
    <row r="947" spans="1:15" ht="31.5">
      <c r="A947" s="16" t="s">
        <v>17</v>
      </c>
      <c r="B947" s="16" t="s">
        <v>25</v>
      </c>
      <c r="C947" s="17" t="s">
        <v>19</v>
      </c>
      <c r="D947" s="18" t="s">
        <v>562</v>
      </c>
      <c r="E947" s="18">
        <v>20</v>
      </c>
      <c r="F947" s="18" t="s">
        <v>30</v>
      </c>
      <c r="G947" s="18" t="s">
        <v>22</v>
      </c>
      <c r="H947" s="18" t="s">
        <v>23</v>
      </c>
      <c r="I947" s="19">
        <v>64</v>
      </c>
      <c r="J947" s="20">
        <f t="shared" si="28"/>
        <v>1280</v>
      </c>
      <c r="K947" s="106"/>
      <c r="L947" s="114"/>
      <c r="M947" s="114">
        <f>tblAquisições[[#This Row],[VALOR UNITARIO COMPRADO]]*tblAquisições[[#This Row],[QUANTIDADE COMPRADA]]</f>
        <v>0</v>
      </c>
      <c r="N947" s="110">
        <f>K947-tblAquisições[[#This Row],[QUANTIDADE PLANEJADA]]</f>
        <v>-20</v>
      </c>
      <c r="O947" s="106" t="str">
        <f t="shared" si="29"/>
        <v>Faltando Comprar</v>
      </c>
    </row>
    <row r="948" spans="1:15" ht="31.5">
      <c r="A948" s="16" t="s">
        <v>17</v>
      </c>
      <c r="B948" s="16" t="s">
        <v>18</v>
      </c>
      <c r="C948" s="17" t="s">
        <v>19</v>
      </c>
      <c r="D948" s="18" t="s">
        <v>563</v>
      </c>
      <c r="E948" s="18">
        <v>30</v>
      </c>
      <c r="F948" s="18" t="s">
        <v>21</v>
      </c>
      <c r="G948" s="18" t="s">
        <v>22</v>
      </c>
      <c r="H948" s="18" t="s">
        <v>23</v>
      </c>
      <c r="I948" s="19">
        <v>16.440000000000001</v>
      </c>
      <c r="J948" s="20">
        <f t="shared" si="28"/>
        <v>493.20000000000005</v>
      </c>
      <c r="K948" s="106"/>
      <c r="L948" s="114"/>
      <c r="M948" s="114">
        <f>tblAquisições[[#This Row],[VALOR UNITARIO COMPRADO]]*tblAquisições[[#This Row],[QUANTIDADE COMPRADA]]</f>
        <v>0</v>
      </c>
      <c r="N948" s="110">
        <f>K948-tblAquisições[[#This Row],[QUANTIDADE PLANEJADA]]</f>
        <v>-30</v>
      </c>
      <c r="O948" s="106" t="str">
        <f t="shared" si="29"/>
        <v>Faltando Comprar</v>
      </c>
    </row>
    <row r="949" spans="1:15" ht="31.5">
      <c r="A949" s="16" t="s">
        <v>17</v>
      </c>
      <c r="B949" s="16" t="s">
        <v>24</v>
      </c>
      <c r="C949" s="17" t="s">
        <v>19</v>
      </c>
      <c r="D949" s="18" t="s">
        <v>563</v>
      </c>
      <c r="E949" s="18">
        <v>30</v>
      </c>
      <c r="F949" s="18" t="s">
        <v>21</v>
      </c>
      <c r="G949" s="18" t="s">
        <v>22</v>
      </c>
      <c r="H949" s="18" t="s">
        <v>23</v>
      </c>
      <c r="I949" s="19">
        <v>16.440000000000001</v>
      </c>
      <c r="J949" s="20">
        <f t="shared" si="28"/>
        <v>493.20000000000005</v>
      </c>
      <c r="K949" s="106"/>
      <c r="L949" s="114"/>
      <c r="M949" s="114">
        <f>tblAquisições[[#This Row],[VALOR UNITARIO COMPRADO]]*tblAquisições[[#This Row],[QUANTIDADE COMPRADA]]</f>
        <v>0</v>
      </c>
      <c r="N949" s="110">
        <f>K949-tblAquisições[[#This Row],[QUANTIDADE PLANEJADA]]</f>
        <v>-30</v>
      </c>
      <c r="O949" s="106" t="str">
        <f t="shared" si="29"/>
        <v>Faltando Comprar</v>
      </c>
    </row>
    <row r="950" spans="1:15" ht="31.5">
      <c r="A950" s="16" t="s">
        <v>17</v>
      </c>
      <c r="B950" s="16" t="s">
        <v>25</v>
      </c>
      <c r="C950" s="17" t="s">
        <v>19</v>
      </c>
      <c r="D950" s="18" t="s">
        <v>563</v>
      </c>
      <c r="E950" s="18">
        <v>30</v>
      </c>
      <c r="F950" s="18" t="s">
        <v>21</v>
      </c>
      <c r="G950" s="18" t="s">
        <v>22</v>
      </c>
      <c r="H950" s="18" t="s">
        <v>23</v>
      </c>
      <c r="I950" s="19">
        <v>16.440000000000001</v>
      </c>
      <c r="J950" s="20">
        <f t="shared" si="28"/>
        <v>493.20000000000005</v>
      </c>
      <c r="K950" s="106"/>
      <c r="L950" s="114"/>
      <c r="M950" s="114">
        <f>tblAquisições[[#This Row],[VALOR UNITARIO COMPRADO]]*tblAquisições[[#This Row],[QUANTIDADE COMPRADA]]</f>
        <v>0</v>
      </c>
      <c r="N950" s="110">
        <f>K950-tblAquisições[[#This Row],[QUANTIDADE PLANEJADA]]</f>
        <v>-30</v>
      </c>
      <c r="O950" s="106" t="str">
        <f t="shared" si="29"/>
        <v>Faltando Comprar</v>
      </c>
    </row>
    <row r="951" spans="1:15" ht="31.5">
      <c r="A951" s="16" t="s">
        <v>17</v>
      </c>
      <c r="B951" s="16" t="s">
        <v>18</v>
      </c>
      <c r="C951" s="17" t="s">
        <v>19</v>
      </c>
      <c r="D951" s="18" t="s">
        <v>564</v>
      </c>
      <c r="E951" s="18">
        <v>20</v>
      </c>
      <c r="F951" s="18" t="s">
        <v>21</v>
      </c>
      <c r="G951" s="18" t="s">
        <v>22</v>
      </c>
      <c r="H951" s="18" t="s">
        <v>23</v>
      </c>
      <c r="I951" s="19">
        <v>40.96</v>
      </c>
      <c r="J951" s="20">
        <f t="shared" si="28"/>
        <v>819.2</v>
      </c>
      <c r="K951" s="106"/>
      <c r="L951" s="114"/>
      <c r="M951" s="114">
        <f>tblAquisições[[#This Row],[VALOR UNITARIO COMPRADO]]*tblAquisições[[#This Row],[QUANTIDADE COMPRADA]]</f>
        <v>0</v>
      </c>
      <c r="N951" s="110">
        <f>K951-tblAquisições[[#This Row],[QUANTIDADE PLANEJADA]]</f>
        <v>-20</v>
      </c>
      <c r="O951" s="106" t="str">
        <f t="shared" si="29"/>
        <v>Faltando Comprar</v>
      </c>
    </row>
    <row r="952" spans="1:15" ht="31.5">
      <c r="A952" s="16" t="s">
        <v>17</v>
      </c>
      <c r="B952" s="16" t="s">
        <v>24</v>
      </c>
      <c r="C952" s="17" t="s">
        <v>19</v>
      </c>
      <c r="D952" s="18" t="s">
        <v>564</v>
      </c>
      <c r="E952" s="18">
        <v>20</v>
      </c>
      <c r="F952" s="18" t="s">
        <v>21</v>
      </c>
      <c r="G952" s="18" t="s">
        <v>22</v>
      </c>
      <c r="H952" s="18" t="s">
        <v>23</v>
      </c>
      <c r="I952" s="19">
        <v>40.96</v>
      </c>
      <c r="J952" s="20">
        <f t="shared" si="28"/>
        <v>819.2</v>
      </c>
      <c r="K952" s="106"/>
      <c r="L952" s="114"/>
      <c r="M952" s="114">
        <f>tblAquisições[[#This Row],[VALOR UNITARIO COMPRADO]]*tblAquisições[[#This Row],[QUANTIDADE COMPRADA]]</f>
        <v>0</v>
      </c>
      <c r="N952" s="110">
        <f>K952-tblAquisições[[#This Row],[QUANTIDADE PLANEJADA]]</f>
        <v>-20</v>
      </c>
      <c r="O952" s="106" t="str">
        <f t="shared" si="29"/>
        <v>Faltando Comprar</v>
      </c>
    </row>
    <row r="953" spans="1:15" ht="31.5">
      <c r="A953" s="16" t="s">
        <v>17</v>
      </c>
      <c r="B953" s="16" t="s">
        <v>25</v>
      </c>
      <c r="C953" s="17" t="s">
        <v>19</v>
      </c>
      <c r="D953" s="18" t="s">
        <v>564</v>
      </c>
      <c r="E953" s="18">
        <v>20</v>
      </c>
      <c r="F953" s="18" t="s">
        <v>21</v>
      </c>
      <c r="G953" s="18" t="s">
        <v>22</v>
      </c>
      <c r="H953" s="18" t="s">
        <v>23</v>
      </c>
      <c r="I953" s="19">
        <v>40.96</v>
      </c>
      <c r="J953" s="20">
        <f t="shared" si="28"/>
        <v>819.2</v>
      </c>
      <c r="K953" s="106"/>
      <c r="L953" s="114"/>
      <c r="M953" s="114">
        <f>tblAquisições[[#This Row],[VALOR UNITARIO COMPRADO]]*tblAquisições[[#This Row],[QUANTIDADE COMPRADA]]</f>
        <v>0</v>
      </c>
      <c r="N953" s="110">
        <f>K953-tblAquisições[[#This Row],[QUANTIDADE PLANEJADA]]</f>
        <v>-20</v>
      </c>
      <c r="O953" s="106" t="str">
        <f t="shared" si="29"/>
        <v>Faltando Comprar</v>
      </c>
    </row>
    <row r="954" spans="1:15" ht="31.5">
      <c r="A954" s="16" t="s">
        <v>17</v>
      </c>
      <c r="B954" s="16" t="s">
        <v>28</v>
      </c>
      <c r="C954" s="17" t="s">
        <v>19</v>
      </c>
      <c r="D954" s="18" t="s">
        <v>564</v>
      </c>
      <c r="E954" s="18">
        <v>45</v>
      </c>
      <c r="F954" s="18" t="s">
        <v>21</v>
      </c>
      <c r="G954" s="18" t="s">
        <v>22</v>
      </c>
      <c r="H954" s="18" t="s">
        <v>23</v>
      </c>
      <c r="I954" s="19">
        <v>40.96</v>
      </c>
      <c r="J954" s="20">
        <f t="shared" si="28"/>
        <v>1843.2</v>
      </c>
      <c r="K954" s="106"/>
      <c r="L954" s="114"/>
      <c r="M954" s="114">
        <f>tblAquisições[[#This Row],[VALOR UNITARIO COMPRADO]]*tblAquisições[[#This Row],[QUANTIDADE COMPRADA]]</f>
        <v>0</v>
      </c>
      <c r="N954" s="110">
        <f>K954-tblAquisições[[#This Row],[QUANTIDADE PLANEJADA]]</f>
        <v>-45</v>
      </c>
      <c r="O954" s="106" t="str">
        <f t="shared" si="29"/>
        <v>Faltando Comprar</v>
      </c>
    </row>
    <row r="955" spans="1:15" ht="47.25">
      <c r="A955" s="16" t="s">
        <v>17</v>
      </c>
      <c r="B955" s="16" t="s">
        <v>28</v>
      </c>
      <c r="C955" s="17" t="s">
        <v>19</v>
      </c>
      <c r="D955" s="18" t="s">
        <v>565</v>
      </c>
      <c r="E955" s="18">
        <v>6</v>
      </c>
      <c r="F955" s="18" t="s">
        <v>313</v>
      </c>
      <c r="G955" s="18" t="s">
        <v>22</v>
      </c>
      <c r="H955" s="18" t="s">
        <v>23</v>
      </c>
      <c r="I955" s="19">
        <v>16.87</v>
      </c>
      <c r="J955" s="20">
        <f t="shared" si="28"/>
        <v>101.22</v>
      </c>
      <c r="K955" s="106"/>
      <c r="L955" s="114"/>
      <c r="M955" s="114">
        <f>tblAquisições[[#This Row],[VALOR UNITARIO COMPRADO]]*tblAquisições[[#This Row],[QUANTIDADE COMPRADA]]</f>
        <v>0</v>
      </c>
      <c r="N955" s="110">
        <f>K955-tblAquisições[[#This Row],[QUANTIDADE PLANEJADA]]</f>
        <v>-6</v>
      </c>
      <c r="O955" s="106" t="str">
        <f t="shared" si="29"/>
        <v>Faltando Comprar</v>
      </c>
    </row>
    <row r="956" spans="1:15" ht="47.25">
      <c r="A956" s="16" t="s">
        <v>17</v>
      </c>
      <c r="B956" s="16" t="s">
        <v>27</v>
      </c>
      <c r="C956" s="17" t="s">
        <v>19</v>
      </c>
      <c r="D956" s="18" t="s">
        <v>566</v>
      </c>
      <c r="E956" s="18">
        <v>40</v>
      </c>
      <c r="F956" s="18" t="s">
        <v>239</v>
      </c>
      <c r="G956" s="18" t="s">
        <v>22</v>
      </c>
      <c r="H956" s="18" t="s">
        <v>23</v>
      </c>
      <c r="I956" s="19">
        <v>32.04</v>
      </c>
      <c r="J956" s="20">
        <f t="shared" si="28"/>
        <v>1281.5999999999999</v>
      </c>
      <c r="K956" s="106"/>
      <c r="L956" s="114"/>
      <c r="M956" s="114">
        <f>tblAquisições[[#This Row],[VALOR UNITARIO COMPRADO]]*tblAquisições[[#This Row],[QUANTIDADE COMPRADA]]</f>
        <v>0</v>
      </c>
      <c r="N956" s="110">
        <f>K956-tblAquisições[[#This Row],[QUANTIDADE PLANEJADA]]</f>
        <v>-40</v>
      </c>
      <c r="O956" s="106" t="str">
        <f t="shared" si="29"/>
        <v>Faltando Comprar</v>
      </c>
    </row>
    <row r="957" spans="1:15" ht="31.5">
      <c r="A957" s="16" t="s">
        <v>17</v>
      </c>
      <c r="B957" s="16" t="s">
        <v>80</v>
      </c>
      <c r="C957" s="17" t="s">
        <v>19</v>
      </c>
      <c r="D957" s="18" t="s">
        <v>567</v>
      </c>
      <c r="E957" s="18">
        <v>1000</v>
      </c>
      <c r="F957" s="18" t="s">
        <v>38</v>
      </c>
      <c r="G957" s="18" t="s">
        <v>39</v>
      </c>
      <c r="H957" s="18" t="s">
        <v>23</v>
      </c>
      <c r="I957" s="19">
        <v>0.72</v>
      </c>
      <c r="J957" s="20">
        <f t="shared" si="28"/>
        <v>720</v>
      </c>
      <c r="K957" s="106"/>
      <c r="L957" s="114"/>
      <c r="M957" s="114">
        <f>tblAquisições[[#This Row],[VALOR UNITARIO COMPRADO]]*tblAquisições[[#This Row],[QUANTIDADE COMPRADA]]</f>
        <v>0</v>
      </c>
      <c r="N957" s="110">
        <f>K957-tblAquisições[[#This Row],[QUANTIDADE PLANEJADA]]</f>
        <v>-1000</v>
      </c>
      <c r="O957" s="106" t="str">
        <f t="shared" si="29"/>
        <v>Faltando Comprar</v>
      </c>
    </row>
    <row r="958" spans="1:15" ht="31.5">
      <c r="A958" s="16" t="s">
        <v>17</v>
      </c>
      <c r="B958" s="16" t="s">
        <v>18</v>
      </c>
      <c r="C958" s="17" t="s">
        <v>19</v>
      </c>
      <c r="D958" s="18" t="s">
        <v>568</v>
      </c>
      <c r="E958" s="18">
        <v>1500</v>
      </c>
      <c r="F958" s="18" t="s">
        <v>21</v>
      </c>
      <c r="G958" s="18" t="s">
        <v>22</v>
      </c>
      <c r="H958" s="18" t="s">
        <v>23</v>
      </c>
      <c r="I958" s="19">
        <v>0.72</v>
      </c>
      <c r="J958" s="20">
        <f t="shared" si="28"/>
        <v>1080</v>
      </c>
      <c r="K958" s="106"/>
      <c r="L958" s="114"/>
      <c r="M958" s="114">
        <f>tblAquisições[[#This Row],[VALOR UNITARIO COMPRADO]]*tblAquisições[[#This Row],[QUANTIDADE COMPRADA]]</f>
        <v>0</v>
      </c>
      <c r="N958" s="110">
        <f>K958-tblAquisições[[#This Row],[QUANTIDADE PLANEJADA]]</f>
        <v>-1500</v>
      </c>
      <c r="O958" s="106" t="str">
        <f t="shared" si="29"/>
        <v>Faltando Comprar</v>
      </c>
    </row>
    <row r="959" spans="1:15" ht="31.5">
      <c r="A959" s="16" t="s">
        <v>17</v>
      </c>
      <c r="B959" s="16" t="s">
        <v>24</v>
      </c>
      <c r="C959" s="17" t="s">
        <v>19</v>
      </c>
      <c r="D959" s="18" t="s">
        <v>568</v>
      </c>
      <c r="E959" s="18">
        <v>1500</v>
      </c>
      <c r="F959" s="18" t="s">
        <v>21</v>
      </c>
      <c r="G959" s="18" t="s">
        <v>22</v>
      </c>
      <c r="H959" s="18" t="s">
        <v>23</v>
      </c>
      <c r="I959" s="19">
        <v>0.72</v>
      </c>
      <c r="J959" s="20">
        <f t="shared" si="28"/>
        <v>1080</v>
      </c>
      <c r="K959" s="106"/>
      <c r="L959" s="114"/>
      <c r="M959" s="114">
        <f>tblAquisições[[#This Row],[VALOR UNITARIO COMPRADO]]*tblAquisições[[#This Row],[QUANTIDADE COMPRADA]]</f>
        <v>0</v>
      </c>
      <c r="N959" s="110">
        <f>K959-tblAquisições[[#This Row],[QUANTIDADE PLANEJADA]]</f>
        <v>-1500</v>
      </c>
      <c r="O959" s="106" t="str">
        <f t="shared" si="29"/>
        <v>Faltando Comprar</v>
      </c>
    </row>
    <row r="960" spans="1:15" ht="31.5">
      <c r="A960" s="16" t="s">
        <v>17</v>
      </c>
      <c r="B960" s="16" t="s">
        <v>25</v>
      </c>
      <c r="C960" s="17" t="s">
        <v>19</v>
      </c>
      <c r="D960" s="18" t="s">
        <v>568</v>
      </c>
      <c r="E960" s="18">
        <v>1500</v>
      </c>
      <c r="F960" s="18" t="s">
        <v>21</v>
      </c>
      <c r="G960" s="18" t="s">
        <v>22</v>
      </c>
      <c r="H960" s="18" t="s">
        <v>23</v>
      </c>
      <c r="I960" s="19">
        <v>0.72</v>
      </c>
      <c r="J960" s="20">
        <f t="shared" si="28"/>
        <v>1080</v>
      </c>
      <c r="K960" s="106"/>
      <c r="L960" s="114"/>
      <c r="M960" s="114">
        <f>tblAquisições[[#This Row],[VALOR UNITARIO COMPRADO]]*tblAquisições[[#This Row],[QUANTIDADE COMPRADA]]</f>
        <v>0</v>
      </c>
      <c r="N960" s="110">
        <f>K960-tblAquisições[[#This Row],[QUANTIDADE PLANEJADA]]</f>
        <v>-1500</v>
      </c>
      <c r="O960" s="106" t="str">
        <f t="shared" si="29"/>
        <v>Faltando Comprar</v>
      </c>
    </row>
    <row r="961" spans="1:15" ht="31.5">
      <c r="A961" s="16" t="s">
        <v>17</v>
      </c>
      <c r="B961" s="16" t="s">
        <v>27</v>
      </c>
      <c r="C961" s="17" t="s">
        <v>19</v>
      </c>
      <c r="D961" s="18" t="s">
        <v>568</v>
      </c>
      <c r="E961" s="18">
        <v>1500</v>
      </c>
      <c r="F961" s="18" t="s">
        <v>21</v>
      </c>
      <c r="G961" s="18" t="s">
        <v>22</v>
      </c>
      <c r="H961" s="18" t="s">
        <v>23</v>
      </c>
      <c r="I961" s="19">
        <v>0.72</v>
      </c>
      <c r="J961" s="20">
        <f t="shared" si="28"/>
        <v>1080</v>
      </c>
      <c r="K961" s="106"/>
      <c r="L961" s="114"/>
      <c r="M961" s="114">
        <f>tblAquisições[[#This Row],[VALOR UNITARIO COMPRADO]]*tblAquisições[[#This Row],[QUANTIDADE COMPRADA]]</f>
        <v>0</v>
      </c>
      <c r="N961" s="110">
        <f>K961-tblAquisições[[#This Row],[QUANTIDADE PLANEJADA]]</f>
        <v>-1500</v>
      </c>
      <c r="O961" s="106" t="str">
        <f t="shared" si="29"/>
        <v>Faltando Comprar</v>
      </c>
    </row>
    <row r="962" spans="1:15" ht="31.5">
      <c r="A962" s="16" t="s">
        <v>17</v>
      </c>
      <c r="B962" s="16" t="s">
        <v>28</v>
      </c>
      <c r="C962" s="17" t="s">
        <v>19</v>
      </c>
      <c r="D962" s="18" t="s">
        <v>568</v>
      </c>
      <c r="E962" s="18">
        <v>100</v>
      </c>
      <c r="F962" s="18" t="s">
        <v>21</v>
      </c>
      <c r="G962" s="18" t="s">
        <v>22</v>
      </c>
      <c r="H962" s="18" t="s">
        <v>23</v>
      </c>
      <c r="I962" s="19">
        <v>0.72</v>
      </c>
      <c r="J962" s="20">
        <f t="shared" ref="J962:J1025" si="30">E962*I962</f>
        <v>72</v>
      </c>
      <c r="K962" s="106"/>
      <c r="L962" s="114"/>
      <c r="M962" s="114">
        <f>tblAquisições[[#This Row],[VALOR UNITARIO COMPRADO]]*tblAquisições[[#This Row],[QUANTIDADE COMPRADA]]</f>
        <v>0</v>
      </c>
      <c r="N962" s="110">
        <f>K962-tblAquisições[[#This Row],[QUANTIDADE PLANEJADA]]</f>
        <v>-100</v>
      </c>
      <c r="O962" s="106" t="str">
        <f t="shared" ref="O962:O1025" si="31">IF(K962=E962,"OK",IF(K962&lt;E962,"Faltando Comprar","Excedente"))</f>
        <v>Faltando Comprar</v>
      </c>
    </row>
    <row r="963" spans="1:15" ht="47.25">
      <c r="A963" s="16" t="s">
        <v>17</v>
      </c>
      <c r="B963" s="16" t="s">
        <v>59</v>
      </c>
      <c r="C963" s="17" t="s">
        <v>19</v>
      </c>
      <c r="D963" s="18" t="s">
        <v>569</v>
      </c>
      <c r="E963" s="18">
        <v>10</v>
      </c>
      <c r="F963" s="18" t="s">
        <v>58</v>
      </c>
      <c r="G963" s="18" t="s">
        <v>22</v>
      </c>
      <c r="H963" s="18" t="s">
        <v>65</v>
      </c>
      <c r="I963" s="19">
        <v>32.9</v>
      </c>
      <c r="J963" s="20">
        <f t="shared" si="30"/>
        <v>329</v>
      </c>
      <c r="K963" s="106"/>
      <c r="L963" s="114"/>
      <c r="M963" s="114">
        <f>tblAquisições[[#This Row],[VALOR UNITARIO COMPRADO]]*tblAquisições[[#This Row],[QUANTIDADE COMPRADA]]</f>
        <v>0</v>
      </c>
      <c r="N963" s="110">
        <f>K963-tblAquisições[[#This Row],[QUANTIDADE PLANEJADA]]</f>
        <v>-10</v>
      </c>
      <c r="O963" s="106" t="str">
        <f t="shared" si="31"/>
        <v>Faltando Comprar</v>
      </c>
    </row>
    <row r="964" spans="1:15" ht="31.5">
      <c r="A964" s="16" t="s">
        <v>17</v>
      </c>
      <c r="B964" s="16" t="s">
        <v>26</v>
      </c>
      <c r="C964" s="17" t="s">
        <v>19</v>
      </c>
      <c r="D964" s="18" t="s">
        <v>570</v>
      </c>
      <c r="E964" s="18">
        <v>3</v>
      </c>
      <c r="F964" s="18" t="s">
        <v>170</v>
      </c>
      <c r="G964" s="18" t="s">
        <v>22</v>
      </c>
      <c r="H964" s="18" t="s">
        <v>23</v>
      </c>
      <c r="I964" s="19">
        <v>406.33</v>
      </c>
      <c r="J964" s="20">
        <f t="shared" si="30"/>
        <v>1218.99</v>
      </c>
      <c r="K964" s="106"/>
      <c r="L964" s="114"/>
      <c r="M964" s="114">
        <f>tblAquisições[[#This Row],[VALOR UNITARIO COMPRADO]]*tblAquisições[[#This Row],[QUANTIDADE COMPRADA]]</f>
        <v>0</v>
      </c>
      <c r="N964" s="110">
        <f>K964-tblAquisições[[#This Row],[QUANTIDADE PLANEJADA]]</f>
        <v>-3</v>
      </c>
      <c r="O964" s="106" t="str">
        <f t="shared" si="31"/>
        <v>Faltando Comprar</v>
      </c>
    </row>
    <row r="965" spans="1:15" ht="31.5">
      <c r="A965" s="16" t="s">
        <v>17</v>
      </c>
      <c r="B965" s="16" t="s">
        <v>26</v>
      </c>
      <c r="C965" s="17" t="s">
        <v>19</v>
      </c>
      <c r="D965" s="18" t="s">
        <v>571</v>
      </c>
      <c r="E965" s="18">
        <v>200</v>
      </c>
      <c r="F965" s="18" t="s">
        <v>21</v>
      </c>
      <c r="G965" s="18" t="s">
        <v>22</v>
      </c>
      <c r="H965" s="18" t="s">
        <v>23</v>
      </c>
      <c r="I965" s="19">
        <v>12.14</v>
      </c>
      <c r="J965" s="20">
        <f t="shared" si="30"/>
        <v>2428</v>
      </c>
      <c r="K965" s="106"/>
      <c r="L965" s="114"/>
      <c r="M965" s="114">
        <f>tblAquisições[[#This Row],[VALOR UNITARIO COMPRADO]]*tblAquisições[[#This Row],[QUANTIDADE COMPRADA]]</f>
        <v>0</v>
      </c>
      <c r="N965" s="110">
        <f>K965-tblAquisições[[#This Row],[QUANTIDADE PLANEJADA]]</f>
        <v>-200</v>
      </c>
      <c r="O965" s="106" t="str">
        <f t="shared" si="31"/>
        <v>Faltando Comprar</v>
      </c>
    </row>
    <row r="966" spans="1:15" ht="31.5">
      <c r="A966" s="16" t="s">
        <v>17</v>
      </c>
      <c r="B966" s="16" t="s">
        <v>28</v>
      </c>
      <c r="C966" s="17" t="s">
        <v>19</v>
      </c>
      <c r="D966" s="18" t="s">
        <v>571</v>
      </c>
      <c r="E966" s="18">
        <v>200</v>
      </c>
      <c r="F966" s="18" t="s">
        <v>21</v>
      </c>
      <c r="G966" s="18" t="s">
        <v>22</v>
      </c>
      <c r="H966" s="18" t="s">
        <v>23</v>
      </c>
      <c r="I966" s="19">
        <v>12.14</v>
      </c>
      <c r="J966" s="20">
        <f t="shared" si="30"/>
        <v>2428</v>
      </c>
      <c r="K966" s="106"/>
      <c r="L966" s="114"/>
      <c r="M966" s="114">
        <f>tblAquisições[[#This Row],[VALOR UNITARIO COMPRADO]]*tblAquisições[[#This Row],[QUANTIDADE COMPRADA]]</f>
        <v>0</v>
      </c>
      <c r="N966" s="110">
        <f>K966-tblAquisições[[#This Row],[QUANTIDADE PLANEJADA]]</f>
        <v>-200</v>
      </c>
      <c r="O966" s="106" t="str">
        <f t="shared" si="31"/>
        <v>Faltando Comprar</v>
      </c>
    </row>
    <row r="967" spans="1:15" ht="31.5">
      <c r="A967" s="16" t="s">
        <v>17</v>
      </c>
      <c r="B967" s="16" t="s">
        <v>80</v>
      </c>
      <c r="C967" s="17" t="s">
        <v>19</v>
      </c>
      <c r="D967" s="18" t="s">
        <v>572</v>
      </c>
      <c r="E967" s="18">
        <v>10</v>
      </c>
      <c r="F967" s="18" t="s">
        <v>38</v>
      </c>
      <c r="G967" s="18" t="s">
        <v>39</v>
      </c>
      <c r="H967" s="18" t="s">
        <v>23</v>
      </c>
      <c r="I967" s="19">
        <v>114.49</v>
      </c>
      <c r="J967" s="20">
        <f t="shared" si="30"/>
        <v>1144.8999999999999</v>
      </c>
      <c r="K967" s="106"/>
      <c r="L967" s="114"/>
      <c r="M967" s="114">
        <f>tblAquisições[[#This Row],[VALOR UNITARIO COMPRADO]]*tblAquisições[[#This Row],[QUANTIDADE COMPRADA]]</f>
        <v>0</v>
      </c>
      <c r="N967" s="110">
        <f>K967-tblAquisições[[#This Row],[QUANTIDADE PLANEJADA]]</f>
        <v>-10</v>
      </c>
      <c r="O967" s="106" t="str">
        <f t="shared" si="31"/>
        <v>Faltando Comprar</v>
      </c>
    </row>
    <row r="968" spans="1:15" ht="31.5">
      <c r="A968" s="16" t="s">
        <v>17</v>
      </c>
      <c r="B968" s="16" t="s">
        <v>28</v>
      </c>
      <c r="C968" s="17" t="s">
        <v>19</v>
      </c>
      <c r="D968" s="18" t="s">
        <v>573</v>
      </c>
      <c r="E968" s="18">
        <v>60</v>
      </c>
      <c r="F968" s="18" t="s">
        <v>21</v>
      </c>
      <c r="G968" s="18" t="s">
        <v>22</v>
      </c>
      <c r="H968" s="18" t="s">
        <v>23</v>
      </c>
      <c r="I968" s="19">
        <v>114.49</v>
      </c>
      <c r="J968" s="20">
        <f t="shared" si="30"/>
        <v>6869.4</v>
      </c>
      <c r="K968" s="106"/>
      <c r="L968" s="114"/>
      <c r="M968" s="114">
        <f>tblAquisições[[#This Row],[VALOR UNITARIO COMPRADO]]*tblAquisições[[#This Row],[QUANTIDADE COMPRADA]]</f>
        <v>0</v>
      </c>
      <c r="N968" s="110">
        <f>K968-tblAquisições[[#This Row],[QUANTIDADE PLANEJADA]]</f>
        <v>-60</v>
      </c>
      <c r="O968" s="106" t="str">
        <f t="shared" si="31"/>
        <v>Faltando Comprar</v>
      </c>
    </row>
    <row r="969" spans="1:15" ht="31.5">
      <c r="A969" s="16" t="s">
        <v>17</v>
      </c>
      <c r="B969" s="16" t="s">
        <v>28</v>
      </c>
      <c r="C969" s="17" t="s">
        <v>19</v>
      </c>
      <c r="D969" s="18" t="s">
        <v>574</v>
      </c>
      <c r="E969" s="18">
        <v>6</v>
      </c>
      <c r="F969" s="18" t="s">
        <v>30</v>
      </c>
      <c r="G969" s="18" t="s">
        <v>22</v>
      </c>
      <c r="H969" s="18" t="s">
        <v>23</v>
      </c>
      <c r="I969" s="19">
        <v>19.920000000000002</v>
      </c>
      <c r="J969" s="20">
        <f t="shared" si="30"/>
        <v>119.52000000000001</v>
      </c>
      <c r="K969" s="106"/>
      <c r="L969" s="114"/>
      <c r="M969" s="114">
        <f>tblAquisições[[#This Row],[VALOR UNITARIO COMPRADO]]*tblAquisições[[#This Row],[QUANTIDADE COMPRADA]]</f>
        <v>0</v>
      </c>
      <c r="N969" s="110">
        <f>K969-tblAquisições[[#This Row],[QUANTIDADE PLANEJADA]]</f>
        <v>-6</v>
      </c>
      <c r="O969" s="106" t="str">
        <f t="shared" si="31"/>
        <v>Faltando Comprar</v>
      </c>
    </row>
    <row r="970" spans="1:15" ht="47.25">
      <c r="A970" s="16" t="s">
        <v>17</v>
      </c>
      <c r="B970" s="16" t="s">
        <v>28</v>
      </c>
      <c r="C970" s="17" t="s">
        <v>19</v>
      </c>
      <c r="D970" s="18" t="s">
        <v>575</v>
      </c>
      <c r="E970" s="18">
        <v>2</v>
      </c>
      <c r="F970" s="18" t="s">
        <v>78</v>
      </c>
      <c r="G970" s="18" t="s">
        <v>22</v>
      </c>
      <c r="H970" s="18" t="s">
        <v>23</v>
      </c>
      <c r="I970" s="19">
        <v>50.92</v>
      </c>
      <c r="J970" s="20">
        <f t="shared" si="30"/>
        <v>101.84</v>
      </c>
      <c r="K970" s="106"/>
      <c r="L970" s="114"/>
      <c r="M970" s="114">
        <f>tblAquisições[[#This Row],[VALOR UNITARIO COMPRADO]]*tblAquisições[[#This Row],[QUANTIDADE COMPRADA]]</f>
        <v>0</v>
      </c>
      <c r="N970" s="110">
        <f>K970-tblAquisições[[#This Row],[QUANTIDADE PLANEJADA]]</f>
        <v>-2</v>
      </c>
      <c r="O970" s="106" t="str">
        <f t="shared" si="31"/>
        <v>Faltando Comprar</v>
      </c>
    </row>
    <row r="971" spans="1:15" ht="31.5">
      <c r="A971" s="16" t="s">
        <v>17</v>
      </c>
      <c r="B971" s="16" t="s">
        <v>28</v>
      </c>
      <c r="C971" s="17" t="s">
        <v>19</v>
      </c>
      <c r="D971" s="18" t="s">
        <v>576</v>
      </c>
      <c r="E971" s="18">
        <v>12</v>
      </c>
      <c r="F971" s="18" t="s">
        <v>324</v>
      </c>
      <c r="G971" s="18" t="s">
        <v>22</v>
      </c>
      <c r="H971" s="18" t="s">
        <v>23</v>
      </c>
      <c r="I971" s="19">
        <v>43.89</v>
      </c>
      <c r="J971" s="20">
        <f t="shared" si="30"/>
        <v>526.68000000000006</v>
      </c>
      <c r="K971" s="106"/>
      <c r="L971" s="114"/>
      <c r="M971" s="114">
        <f>tblAquisições[[#This Row],[VALOR UNITARIO COMPRADO]]*tblAquisições[[#This Row],[QUANTIDADE COMPRADA]]</f>
        <v>0</v>
      </c>
      <c r="N971" s="110">
        <f>K971-tblAquisições[[#This Row],[QUANTIDADE PLANEJADA]]</f>
        <v>-12</v>
      </c>
      <c r="O971" s="106" t="str">
        <f t="shared" si="31"/>
        <v>Faltando Comprar</v>
      </c>
    </row>
    <row r="972" spans="1:15" ht="31.5">
      <c r="A972" s="16" t="s">
        <v>17</v>
      </c>
      <c r="B972" s="16" t="s">
        <v>27</v>
      </c>
      <c r="C972" s="17" t="s">
        <v>19</v>
      </c>
      <c r="D972" s="18" t="s">
        <v>577</v>
      </c>
      <c r="E972" s="18">
        <v>2</v>
      </c>
      <c r="F972" s="18" t="s">
        <v>30</v>
      </c>
      <c r="G972" s="18" t="s">
        <v>22</v>
      </c>
      <c r="H972" s="18" t="s">
        <v>23</v>
      </c>
      <c r="I972" s="19">
        <v>1375</v>
      </c>
      <c r="J972" s="20">
        <f t="shared" si="30"/>
        <v>2750</v>
      </c>
      <c r="K972" s="106"/>
      <c r="L972" s="114"/>
      <c r="M972" s="114">
        <f>tblAquisições[[#This Row],[VALOR UNITARIO COMPRADO]]*tblAquisições[[#This Row],[QUANTIDADE COMPRADA]]</f>
        <v>0</v>
      </c>
      <c r="N972" s="110">
        <f>K972-tblAquisições[[#This Row],[QUANTIDADE PLANEJADA]]</f>
        <v>-2</v>
      </c>
      <c r="O972" s="106" t="str">
        <f t="shared" si="31"/>
        <v>Faltando Comprar</v>
      </c>
    </row>
    <row r="973" spans="1:15" ht="47.25">
      <c r="A973" s="16" t="s">
        <v>17</v>
      </c>
      <c r="B973" s="16" t="s">
        <v>34</v>
      </c>
      <c r="C973" s="17" t="s">
        <v>19</v>
      </c>
      <c r="D973" s="18" t="s">
        <v>578</v>
      </c>
      <c r="E973" s="18">
        <v>2</v>
      </c>
      <c r="F973" s="18" t="s">
        <v>78</v>
      </c>
      <c r="G973" s="18" t="s">
        <v>22</v>
      </c>
      <c r="H973" s="18" t="s">
        <v>23</v>
      </c>
      <c r="I973" s="19">
        <v>27.6</v>
      </c>
      <c r="J973" s="20">
        <f t="shared" si="30"/>
        <v>55.2</v>
      </c>
      <c r="K973" s="106"/>
      <c r="L973" s="114"/>
      <c r="M973" s="114">
        <f>tblAquisições[[#This Row],[VALOR UNITARIO COMPRADO]]*tblAquisições[[#This Row],[QUANTIDADE COMPRADA]]</f>
        <v>0</v>
      </c>
      <c r="N973" s="110">
        <f>K973-tblAquisições[[#This Row],[QUANTIDADE PLANEJADA]]</f>
        <v>-2</v>
      </c>
      <c r="O973" s="106" t="str">
        <f t="shared" si="31"/>
        <v>Faltando Comprar</v>
      </c>
    </row>
    <row r="974" spans="1:15" ht="47.25">
      <c r="A974" s="16" t="s">
        <v>17</v>
      </c>
      <c r="B974" s="16" t="s">
        <v>31</v>
      </c>
      <c r="C974" s="17" t="s">
        <v>19</v>
      </c>
      <c r="D974" s="18" t="s">
        <v>578</v>
      </c>
      <c r="E974" s="18">
        <v>10</v>
      </c>
      <c r="F974" s="18" t="s">
        <v>78</v>
      </c>
      <c r="G974" s="18" t="s">
        <v>22</v>
      </c>
      <c r="H974" s="18" t="s">
        <v>23</v>
      </c>
      <c r="I974" s="19">
        <v>27.6</v>
      </c>
      <c r="J974" s="20">
        <f t="shared" si="30"/>
        <v>276</v>
      </c>
      <c r="K974" s="106"/>
      <c r="L974" s="114"/>
      <c r="M974" s="114">
        <f>tblAquisições[[#This Row],[VALOR UNITARIO COMPRADO]]*tblAquisições[[#This Row],[QUANTIDADE COMPRADA]]</f>
        <v>0</v>
      </c>
      <c r="N974" s="110">
        <f>K974-tblAquisições[[#This Row],[QUANTIDADE PLANEJADA]]</f>
        <v>-10</v>
      </c>
      <c r="O974" s="106" t="str">
        <f t="shared" si="31"/>
        <v>Faltando Comprar</v>
      </c>
    </row>
    <row r="975" spans="1:15" ht="47.25">
      <c r="A975" s="16" t="s">
        <v>17</v>
      </c>
      <c r="B975" s="16" t="s">
        <v>41</v>
      </c>
      <c r="C975" s="17" t="s">
        <v>19</v>
      </c>
      <c r="D975" s="18" t="s">
        <v>578</v>
      </c>
      <c r="E975" s="18">
        <v>3</v>
      </c>
      <c r="F975" s="18" t="s">
        <v>78</v>
      </c>
      <c r="G975" s="18" t="s">
        <v>22</v>
      </c>
      <c r="H975" s="18" t="s">
        <v>23</v>
      </c>
      <c r="I975" s="19">
        <v>27.6</v>
      </c>
      <c r="J975" s="20">
        <f t="shared" si="30"/>
        <v>82.800000000000011</v>
      </c>
      <c r="K975" s="106"/>
      <c r="L975" s="114"/>
      <c r="M975" s="114">
        <f>tblAquisições[[#This Row],[VALOR UNITARIO COMPRADO]]*tblAquisições[[#This Row],[QUANTIDADE COMPRADA]]</f>
        <v>0</v>
      </c>
      <c r="N975" s="110">
        <f>K975-tblAquisições[[#This Row],[QUANTIDADE PLANEJADA]]</f>
        <v>-3</v>
      </c>
      <c r="O975" s="106" t="str">
        <f t="shared" si="31"/>
        <v>Faltando Comprar</v>
      </c>
    </row>
    <row r="976" spans="1:15" ht="47.25">
      <c r="A976" s="16" t="s">
        <v>17</v>
      </c>
      <c r="B976" s="16" t="s">
        <v>28</v>
      </c>
      <c r="C976" s="17" t="s">
        <v>19</v>
      </c>
      <c r="D976" s="18" t="s">
        <v>578</v>
      </c>
      <c r="E976" s="18">
        <v>8</v>
      </c>
      <c r="F976" s="18" t="s">
        <v>78</v>
      </c>
      <c r="G976" s="18" t="s">
        <v>22</v>
      </c>
      <c r="H976" s="18" t="s">
        <v>23</v>
      </c>
      <c r="I976" s="19">
        <v>27.6</v>
      </c>
      <c r="J976" s="20">
        <f t="shared" si="30"/>
        <v>220.8</v>
      </c>
      <c r="K976" s="106"/>
      <c r="L976" s="114"/>
      <c r="M976" s="114">
        <f>tblAquisições[[#This Row],[VALOR UNITARIO COMPRADO]]*tblAquisições[[#This Row],[QUANTIDADE COMPRADA]]</f>
        <v>0</v>
      </c>
      <c r="N976" s="110">
        <f>K976-tblAquisições[[#This Row],[QUANTIDADE PLANEJADA]]</f>
        <v>-8</v>
      </c>
      <c r="O976" s="106" t="str">
        <f t="shared" si="31"/>
        <v>Faltando Comprar</v>
      </c>
    </row>
    <row r="977" spans="1:15" ht="47.25">
      <c r="A977" s="16" t="s">
        <v>17</v>
      </c>
      <c r="B977" s="16" t="s">
        <v>28</v>
      </c>
      <c r="C977" s="17" t="s">
        <v>19</v>
      </c>
      <c r="D977" s="18" t="s">
        <v>579</v>
      </c>
      <c r="E977" s="18">
        <v>15</v>
      </c>
      <c r="F977" s="18" t="s">
        <v>78</v>
      </c>
      <c r="G977" s="18" t="s">
        <v>22</v>
      </c>
      <c r="H977" s="18" t="s">
        <v>23</v>
      </c>
      <c r="I977" s="19">
        <v>28.11</v>
      </c>
      <c r="J977" s="20">
        <f t="shared" si="30"/>
        <v>421.65</v>
      </c>
      <c r="K977" s="106"/>
      <c r="L977" s="114"/>
      <c r="M977" s="114">
        <f>tblAquisições[[#This Row],[VALOR UNITARIO COMPRADO]]*tblAquisições[[#This Row],[QUANTIDADE COMPRADA]]</f>
        <v>0</v>
      </c>
      <c r="N977" s="110">
        <f>K977-tblAquisições[[#This Row],[QUANTIDADE PLANEJADA]]</f>
        <v>-15</v>
      </c>
      <c r="O977" s="106" t="str">
        <f t="shared" si="31"/>
        <v>Faltando Comprar</v>
      </c>
    </row>
    <row r="978" spans="1:15" ht="47.25">
      <c r="A978" s="16" t="s">
        <v>17</v>
      </c>
      <c r="B978" s="16" t="s">
        <v>80</v>
      </c>
      <c r="C978" s="17" t="s">
        <v>19</v>
      </c>
      <c r="D978" s="18" t="s">
        <v>580</v>
      </c>
      <c r="E978" s="18">
        <v>2</v>
      </c>
      <c r="F978" s="18" t="s">
        <v>147</v>
      </c>
      <c r="G978" s="18" t="s">
        <v>39</v>
      </c>
      <c r="H978" s="18" t="s">
        <v>23</v>
      </c>
      <c r="I978" s="19">
        <v>10.46</v>
      </c>
      <c r="J978" s="20">
        <f t="shared" si="30"/>
        <v>20.92</v>
      </c>
      <c r="K978" s="106"/>
      <c r="L978" s="114"/>
      <c r="M978" s="114">
        <f>tblAquisições[[#This Row],[VALOR UNITARIO COMPRADO]]*tblAquisições[[#This Row],[QUANTIDADE COMPRADA]]</f>
        <v>0</v>
      </c>
      <c r="N978" s="110">
        <f>K978-tblAquisições[[#This Row],[QUANTIDADE PLANEJADA]]</f>
        <v>-2</v>
      </c>
      <c r="O978" s="106" t="str">
        <f t="shared" si="31"/>
        <v>Faltando Comprar</v>
      </c>
    </row>
    <row r="979" spans="1:15" ht="47.25">
      <c r="A979" s="16" t="s">
        <v>17</v>
      </c>
      <c r="B979" s="16" t="s">
        <v>34</v>
      </c>
      <c r="C979" s="17" t="s">
        <v>19</v>
      </c>
      <c r="D979" s="18" t="s">
        <v>581</v>
      </c>
      <c r="E979" s="18">
        <v>2</v>
      </c>
      <c r="F979" s="18" t="s">
        <v>78</v>
      </c>
      <c r="G979" s="18" t="s">
        <v>22</v>
      </c>
      <c r="H979" s="18" t="s">
        <v>23</v>
      </c>
      <c r="I979" s="19">
        <v>33.590000000000003</v>
      </c>
      <c r="J979" s="20">
        <f t="shared" si="30"/>
        <v>67.180000000000007</v>
      </c>
      <c r="K979" s="106"/>
      <c r="L979" s="114"/>
      <c r="M979" s="114">
        <f>tblAquisições[[#This Row],[VALOR UNITARIO COMPRADO]]*tblAquisições[[#This Row],[QUANTIDADE COMPRADA]]</f>
        <v>0</v>
      </c>
      <c r="N979" s="110">
        <f>K979-tblAquisições[[#This Row],[QUANTIDADE PLANEJADA]]</f>
        <v>-2</v>
      </c>
      <c r="O979" s="106" t="str">
        <f t="shared" si="31"/>
        <v>Faltando Comprar</v>
      </c>
    </row>
    <row r="980" spans="1:15" ht="47.25">
      <c r="A980" s="16" t="s">
        <v>17</v>
      </c>
      <c r="B980" s="16" t="s">
        <v>18</v>
      </c>
      <c r="C980" s="17" t="s">
        <v>19</v>
      </c>
      <c r="D980" s="18" t="s">
        <v>582</v>
      </c>
      <c r="E980" s="18">
        <v>15</v>
      </c>
      <c r="F980" s="18" t="s">
        <v>78</v>
      </c>
      <c r="G980" s="18" t="s">
        <v>22</v>
      </c>
      <c r="H980" s="18" t="s">
        <v>23</v>
      </c>
      <c r="I980" s="19">
        <v>337.86</v>
      </c>
      <c r="J980" s="20">
        <f t="shared" si="30"/>
        <v>5067.9000000000005</v>
      </c>
      <c r="K980" s="106"/>
      <c r="L980" s="114"/>
      <c r="M980" s="114">
        <f>tblAquisições[[#This Row],[VALOR UNITARIO COMPRADO]]*tblAquisições[[#This Row],[QUANTIDADE COMPRADA]]</f>
        <v>0</v>
      </c>
      <c r="N980" s="110">
        <f>K980-tblAquisições[[#This Row],[QUANTIDADE PLANEJADA]]</f>
        <v>-15</v>
      </c>
      <c r="O980" s="106" t="str">
        <f t="shared" si="31"/>
        <v>Faltando Comprar</v>
      </c>
    </row>
    <row r="981" spans="1:15" ht="47.25">
      <c r="A981" s="16" t="s">
        <v>17</v>
      </c>
      <c r="B981" s="16" t="s">
        <v>24</v>
      </c>
      <c r="C981" s="17" t="s">
        <v>19</v>
      </c>
      <c r="D981" s="18" t="s">
        <v>582</v>
      </c>
      <c r="E981" s="18">
        <v>15</v>
      </c>
      <c r="F981" s="18" t="s">
        <v>78</v>
      </c>
      <c r="G981" s="18" t="s">
        <v>22</v>
      </c>
      <c r="H981" s="18" t="s">
        <v>23</v>
      </c>
      <c r="I981" s="19">
        <v>337.86</v>
      </c>
      <c r="J981" s="20">
        <f t="shared" si="30"/>
        <v>5067.9000000000005</v>
      </c>
      <c r="K981" s="106"/>
      <c r="L981" s="114"/>
      <c r="M981" s="114">
        <f>tblAquisições[[#This Row],[VALOR UNITARIO COMPRADO]]*tblAquisições[[#This Row],[QUANTIDADE COMPRADA]]</f>
        <v>0</v>
      </c>
      <c r="N981" s="110">
        <f>K981-tblAquisições[[#This Row],[QUANTIDADE PLANEJADA]]</f>
        <v>-15</v>
      </c>
      <c r="O981" s="106" t="str">
        <f t="shared" si="31"/>
        <v>Faltando Comprar</v>
      </c>
    </row>
    <row r="982" spans="1:15" ht="47.25">
      <c r="A982" s="16" t="s">
        <v>17</v>
      </c>
      <c r="B982" s="16" t="s">
        <v>25</v>
      </c>
      <c r="C982" s="17" t="s">
        <v>19</v>
      </c>
      <c r="D982" s="18" t="s">
        <v>582</v>
      </c>
      <c r="E982" s="18">
        <v>15</v>
      </c>
      <c r="F982" s="18" t="s">
        <v>78</v>
      </c>
      <c r="G982" s="18" t="s">
        <v>22</v>
      </c>
      <c r="H982" s="18" t="s">
        <v>23</v>
      </c>
      <c r="I982" s="19">
        <v>337.86</v>
      </c>
      <c r="J982" s="20">
        <f t="shared" si="30"/>
        <v>5067.9000000000005</v>
      </c>
      <c r="K982" s="106"/>
      <c r="L982" s="114"/>
      <c r="M982" s="114">
        <f>tblAquisições[[#This Row],[VALOR UNITARIO COMPRADO]]*tblAquisições[[#This Row],[QUANTIDADE COMPRADA]]</f>
        <v>0</v>
      </c>
      <c r="N982" s="110">
        <f>K982-tblAquisições[[#This Row],[QUANTIDADE PLANEJADA]]</f>
        <v>-15</v>
      </c>
      <c r="O982" s="106" t="str">
        <f t="shared" si="31"/>
        <v>Faltando Comprar</v>
      </c>
    </row>
    <row r="983" spans="1:15" ht="47.25">
      <c r="A983" s="16" t="s">
        <v>17</v>
      </c>
      <c r="B983" s="16" t="s">
        <v>26</v>
      </c>
      <c r="C983" s="17" t="s">
        <v>19</v>
      </c>
      <c r="D983" s="18" t="s">
        <v>583</v>
      </c>
      <c r="E983" s="18">
        <v>6</v>
      </c>
      <c r="F983" s="18" t="s">
        <v>58</v>
      </c>
      <c r="G983" s="18" t="s">
        <v>22</v>
      </c>
      <c r="H983" s="18" t="s">
        <v>23</v>
      </c>
      <c r="I983" s="19">
        <v>66.959999999999994</v>
      </c>
      <c r="J983" s="20">
        <f t="shared" si="30"/>
        <v>401.76</v>
      </c>
      <c r="K983" s="106"/>
      <c r="L983" s="114"/>
      <c r="M983" s="114">
        <f>tblAquisições[[#This Row],[VALOR UNITARIO COMPRADO]]*tblAquisições[[#This Row],[QUANTIDADE COMPRADA]]</f>
        <v>0</v>
      </c>
      <c r="N983" s="110">
        <f>K983-tblAquisições[[#This Row],[QUANTIDADE PLANEJADA]]</f>
        <v>-6</v>
      </c>
      <c r="O983" s="106" t="str">
        <f t="shared" si="31"/>
        <v>Faltando Comprar</v>
      </c>
    </row>
    <row r="984" spans="1:15" ht="47.25">
      <c r="A984" s="16" t="s">
        <v>17</v>
      </c>
      <c r="B984" s="16" t="s">
        <v>28</v>
      </c>
      <c r="C984" s="17" t="s">
        <v>19</v>
      </c>
      <c r="D984" s="18" t="s">
        <v>583</v>
      </c>
      <c r="E984" s="18">
        <v>50</v>
      </c>
      <c r="F984" s="18" t="s">
        <v>58</v>
      </c>
      <c r="G984" s="18" t="s">
        <v>22</v>
      </c>
      <c r="H984" s="18" t="s">
        <v>23</v>
      </c>
      <c r="I984" s="19">
        <v>66.959999999999994</v>
      </c>
      <c r="J984" s="20">
        <f t="shared" si="30"/>
        <v>3347.9999999999995</v>
      </c>
      <c r="K984" s="106"/>
      <c r="L984" s="114"/>
      <c r="M984" s="114">
        <f>tblAquisições[[#This Row],[VALOR UNITARIO COMPRADO]]*tblAquisições[[#This Row],[QUANTIDADE COMPRADA]]</f>
        <v>0</v>
      </c>
      <c r="N984" s="110">
        <f>K984-tblAquisições[[#This Row],[QUANTIDADE PLANEJADA]]</f>
        <v>-50</v>
      </c>
      <c r="O984" s="106" t="str">
        <f t="shared" si="31"/>
        <v>Faltando Comprar</v>
      </c>
    </row>
    <row r="985" spans="1:15" ht="47.25">
      <c r="A985" s="16" t="s">
        <v>17</v>
      </c>
      <c r="B985" s="16" t="s">
        <v>26</v>
      </c>
      <c r="C985" s="17" t="s">
        <v>19</v>
      </c>
      <c r="D985" s="18" t="s">
        <v>584</v>
      </c>
      <c r="E985" s="18">
        <v>24</v>
      </c>
      <c r="F985" s="18" t="s">
        <v>239</v>
      </c>
      <c r="G985" s="18" t="s">
        <v>22</v>
      </c>
      <c r="H985" s="18" t="s">
        <v>23</v>
      </c>
      <c r="I985" s="19">
        <v>21.79</v>
      </c>
      <c r="J985" s="20">
        <f t="shared" si="30"/>
        <v>522.96</v>
      </c>
      <c r="K985" s="106"/>
      <c r="L985" s="114"/>
      <c r="M985" s="114">
        <f>tblAquisições[[#This Row],[VALOR UNITARIO COMPRADO]]*tblAquisições[[#This Row],[QUANTIDADE COMPRADA]]</f>
        <v>0</v>
      </c>
      <c r="N985" s="110">
        <f>K985-tblAquisições[[#This Row],[QUANTIDADE PLANEJADA]]</f>
        <v>-24</v>
      </c>
      <c r="O985" s="106" t="str">
        <f t="shared" si="31"/>
        <v>Faltando Comprar</v>
      </c>
    </row>
    <row r="986" spans="1:15" ht="47.25">
      <c r="A986" s="16" t="s">
        <v>17</v>
      </c>
      <c r="B986" s="16" t="s">
        <v>28</v>
      </c>
      <c r="C986" s="17" t="s">
        <v>19</v>
      </c>
      <c r="D986" s="18" t="s">
        <v>584</v>
      </c>
      <c r="E986" s="18">
        <v>10</v>
      </c>
      <c r="F986" s="18" t="s">
        <v>239</v>
      </c>
      <c r="G986" s="18" t="s">
        <v>22</v>
      </c>
      <c r="H986" s="18" t="s">
        <v>23</v>
      </c>
      <c r="I986" s="19">
        <v>21.79</v>
      </c>
      <c r="J986" s="20">
        <f t="shared" si="30"/>
        <v>217.89999999999998</v>
      </c>
      <c r="K986" s="106"/>
      <c r="L986" s="114"/>
      <c r="M986" s="114">
        <f>tblAquisições[[#This Row],[VALOR UNITARIO COMPRADO]]*tblAquisições[[#This Row],[QUANTIDADE COMPRADA]]</f>
        <v>0</v>
      </c>
      <c r="N986" s="110">
        <f>K986-tblAquisições[[#This Row],[QUANTIDADE PLANEJADA]]</f>
        <v>-10</v>
      </c>
      <c r="O986" s="106" t="str">
        <f t="shared" si="31"/>
        <v>Faltando Comprar</v>
      </c>
    </row>
    <row r="987" spans="1:15" ht="31.5">
      <c r="A987" s="16" t="s">
        <v>17</v>
      </c>
      <c r="B987" s="16" t="s">
        <v>26</v>
      </c>
      <c r="C987" s="17" t="s">
        <v>19</v>
      </c>
      <c r="D987" s="18" t="s">
        <v>585</v>
      </c>
      <c r="E987" s="18">
        <v>12</v>
      </c>
      <c r="F987" s="18" t="s">
        <v>21</v>
      </c>
      <c r="G987" s="18" t="s">
        <v>22</v>
      </c>
      <c r="H987" s="18" t="s">
        <v>23</v>
      </c>
      <c r="I987" s="19">
        <v>47.515000000000001</v>
      </c>
      <c r="J987" s="20">
        <f t="shared" si="30"/>
        <v>570.18000000000006</v>
      </c>
      <c r="K987" s="106"/>
      <c r="L987" s="114"/>
      <c r="M987" s="114">
        <f>tblAquisições[[#This Row],[VALOR UNITARIO COMPRADO]]*tblAquisições[[#This Row],[QUANTIDADE COMPRADA]]</f>
        <v>0</v>
      </c>
      <c r="N987" s="110">
        <f>K987-tblAquisições[[#This Row],[QUANTIDADE PLANEJADA]]</f>
        <v>-12</v>
      </c>
      <c r="O987" s="106" t="str">
        <f t="shared" si="31"/>
        <v>Faltando Comprar</v>
      </c>
    </row>
    <row r="988" spans="1:15" ht="31.5">
      <c r="A988" s="16" t="s">
        <v>17</v>
      </c>
      <c r="B988" s="16" t="s">
        <v>28</v>
      </c>
      <c r="C988" s="17" t="s">
        <v>19</v>
      </c>
      <c r="D988" s="18" t="s">
        <v>585</v>
      </c>
      <c r="E988" s="18">
        <v>10</v>
      </c>
      <c r="F988" s="18" t="s">
        <v>21</v>
      </c>
      <c r="G988" s="18" t="s">
        <v>22</v>
      </c>
      <c r="H988" s="18" t="s">
        <v>23</v>
      </c>
      <c r="I988" s="19">
        <v>47.515000000000001</v>
      </c>
      <c r="J988" s="20">
        <f t="shared" si="30"/>
        <v>475.15</v>
      </c>
      <c r="K988" s="106"/>
      <c r="L988" s="114"/>
      <c r="M988" s="114">
        <f>tblAquisições[[#This Row],[VALOR UNITARIO COMPRADO]]*tblAquisições[[#This Row],[QUANTIDADE COMPRADA]]</f>
        <v>0</v>
      </c>
      <c r="N988" s="110">
        <f>K988-tblAquisições[[#This Row],[QUANTIDADE PLANEJADA]]</f>
        <v>-10</v>
      </c>
      <c r="O988" s="106" t="str">
        <f t="shared" si="31"/>
        <v>Faltando Comprar</v>
      </c>
    </row>
    <row r="989" spans="1:15" ht="47.25">
      <c r="A989" s="16" t="s">
        <v>17</v>
      </c>
      <c r="B989" s="16" t="s">
        <v>26</v>
      </c>
      <c r="C989" s="17" t="s">
        <v>19</v>
      </c>
      <c r="D989" s="18" t="s">
        <v>586</v>
      </c>
      <c r="E989" s="18">
        <v>4</v>
      </c>
      <c r="F989" s="18" t="s">
        <v>58</v>
      </c>
      <c r="G989" s="18" t="s">
        <v>22</v>
      </c>
      <c r="H989" s="18" t="s">
        <v>65</v>
      </c>
      <c r="I989" s="19">
        <v>123</v>
      </c>
      <c r="J989" s="20">
        <f t="shared" si="30"/>
        <v>492</v>
      </c>
      <c r="K989" s="106"/>
      <c r="L989" s="114"/>
      <c r="M989" s="114">
        <f>tblAquisições[[#This Row],[VALOR UNITARIO COMPRADO]]*tblAquisições[[#This Row],[QUANTIDADE COMPRADA]]</f>
        <v>0</v>
      </c>
      <c r="N989" s="110">
        <f>K989-tblAquisições[[#This Row],[QUANTIDADE PLANEJADA]]</f>
        <v>-4</v>
      </c>
      <c r="O989" s="106" t="str">
        <f t="shared" si="31"/>
        <v>Faltando Comprar</v>
      </c>
    </row>
    <row r="990" spans="1:15" ht="47.25">
      <c r="A990" s="16" t="s">
        <v>17</v>
      </c>
      <c r="B990" s="16" t="s">
        <v>28</v>
      </c>
      <c r="C990" s="17" t="s">
        <v>19</v>
      </c>
      <c r="D990" s="18" t="s">
        <v>586</v>
      </c>
      <c r="E990" s="18">
        <v>15</v>
      </c>
      <c r="F990" s="18" t="s">
        <v>58</v>
      </c>
      <c r="G990" s="18" t="s">
        <v>22</v>
      </c>
      <c r="H990" s="18" t="s">
        <v>65</v>
      </c>
      <c r="I990" s="19">
        <v>123</v>
      </c>
      <c r="J990" s="20">
        <f t="shared" si="30"/>
        <v>1845</v>
      </c>
      <c r="K990" s="106"/>
      <c r="L990" s="114"/>
      <c r="M990" s="114">
        <f>tblAquisições[[#This Row],[VALOR UNITARIO COMPRADO]]*tblAquisições[[#This Row],[QUANTIDADE COMPRADA]]</f>
        <v>0</v>
      </c>
      <c r="N990" s="110">
        <f>K990-tblAquisições[[#This Row],[QUANTIDADE PLANEJADA]]</f>
        <v>-15</v>
      </c>
      <c r="O990" s="106" t="str">
        <f t="shared" si="31"/>
        <v>Faltando Comprar</v>
      </c>
    </row>
    <row r="991" spans="1:15" ht="47.25">
      <c r="A991" s="16" t="s">
        <v>17</v>
      </c>
      <c r="B991" s="16" t="s">
        <v>72</v>
      </c>
      <c r="C991" s="17" t="s">
        <v>19</v>
      </c>
      <c r="D991" s="18" t="s">
        <v>587</v>
      </c>
      <c r="E991" s="18">
        <v>1</v>
      </c>
      <c r="F991" s="18" t="s">
        <v>58</v>
      </c>
      <c r="G991" s="18" t="s">
        <v>22</v>
      </c>
      <c r="H991" s="18" t="s">
        <v>65</v>
      </c>
      <c r="I991" s="19">
        <v>123</v>
      </c>
      <c r="J991" s="20">
        <f t="shared" si="30"/>
        <v>123</v>
      </c>
      <c r="K991" s="106"/>
      <c r="L991" s="114"/>
      <c r="M991" s="114">
        <f>tblAquisições[[#This Row],[VALOR UNITARIO COMPRADO]]*tblAquisições[[#This Row],[QUANTIDADE COMPRADA]]</f>
        <v>0</v>
      </c>
      <c r="N991" s="110">
        <f>K991-tblAquisições[[#This Row],[QUANTIDADE PLANEJADA]]</f>
        <v>-1</v>
      </c>
      <c r="O991" s="106" t="str">
        <f t="shared" si="31"/>
        <v>Faltando Comprar</v>
      </c>
    </row>
    <row r="992" spans="1:15" ht="31.5">
      <c r="A992" s="16" t="s">
        <v>17</v>
      </c>
      <c r="B992" s="16" t="s">
        <v>18</v>
      </c>
      <c r="C992" s="17" t="s">
        <v>19</v>
      </c>
      <c r="D992" s="18" t="s">
        <v>588</v>
      </c>
      <c r="E992" s="18">
        <v>10</v>
      </c>
      <c r="F992" s="18" t="s">
        <v>21</v>
      </c>
      <c r="G992" s="18" t="s">
        <v>22</v>
      </c>
      <c r="H992" s="18" t="s">
        <v>23</v>
      </c>
      <c r="I992" s="19">
        <v>3278.33</v>
      </c>
      <c r="J992" s="20">
        <f t="shared" si="30"/>
        <v>32783.300000000003</v>
      </c>
      <c r="K992" s="106"/>
      <c r="L992" s="114"/>
      <c r="M992" s="114">
        <f>tblAquisições[[#This Row],[VALOR UNITARIO COMPRADO]]*tblAquisições[[#This Row],[QUANTIDADE COMPRADA]]</f>
        <v>0</v>
      </c>
      <c r="N992" s="110">
        <f>K992-tblAquisições[[#This Row],[QUANTIDADE PLANEJADA]]</f>
        <v>-10</v>
      </c>
      <c r="O992" s="106" t="str">
        <f t="shared" si="31"/>
        <v>Faltando Comprar</v>
      </c>
    </row>
    <row r="993" spans="1:15" ht="31.5">
      <c r="A993" s="16" t="s">
        <v>17</v>
      </c>
      <c r="B993" s="16" t="s">
        <v>24</v>
      </c>
      <c r="C993" s="17" t="s">
        <v>19</v>
      </c>
      <c r="D993" s="18" t="s">
        <v>588</v>
      </c>
      <c r="E993" s="18">
        <v>10</v>
      </c>
      <c r="F993" s="18" t="s">
        <v>21</v>
      </c>
      <c r="G993" s="18" t="s">
        <v>22</v>
      </c>
      <c r="H993" s="18" t="s">
        <v>23</v>
      </c>
      <c r="I993" s="19">
        <v>3278.33</v>
      </c>
      <c r="J993" s="20">
        <f t="shared" si="30"/>
        <v>32783.300000000003</v>
      </c>
      <c r="K993" s="106"/>
      <c r="L993" s="114"/>
      <c r="M993" s="114">
        <f>tblAquisições[[#This Row],[VALOR UNITARIO COMPRADO]]*tblAquisições[[#This Row],[QUANTIDADE COMPRADA]]</f>
        <v>0</v>
      </c>
      <c r="N993" s="110">
        <f>K993-tblAquisições[[#This Row],[QUANTIDADE PLANEJADA]]</f>
        <v>-10</v>
      </c>
      <c r="O993" s="106" t="str">
        <f t="shared" si="31"/>
        <v>Faltando Comprar</v>
      </c>
    </row>
    <row r="994" spans="1:15" ht="31.5">
      <c r="A994" s="16" t="s">
        <v>17</v>
      </c>
      <c r="B994" s="16" t="s">
        <v>18</v>
      </c>
      <c r="C994" s="17" t="s">
        <v>19</v>
      </c>
      <c r="D994" s="18" t="s">
        <v>589</v>
      </c>
      <c r="E994" s="18">
        <v>15</v>
      </c>
      <c r="F994" s="18" t="s">
        <v>21</v>
      </c>
      <c r="G994" s="18" t="s">
        <v>22</v>
      </c>
      <c r="H994" s="18" t="s">
        <v>23</v>
      </c>
      <c r="I994" s="19">
        <v>804.09</v>
      </c>
      <c r="J994" s="20">
        <f t="shared" si="30"/>
        <v>12061.35</v>
      </c>
      <c r="K994" s="106"/>
      <c r="L994" s="114"/>
      <c r="M994" s="114">
        <f>tblAquisições[[#This Row],[VALOR UNITARIO COMPRADO]]*tblAquisições[[#This Row],[QUANTIDADE COMPRADA]]</f>
        <v>0</v>
      </c>
      <c r="N994" s="110">
        <f>K994-tblAquisições[[#This Row],[QUANTIDADE PLANEJADA]]</f>
        <v>-15</v>
      </c>
      <c r="O994" s="106" t="str">
        <f t="shared" si="31"/>
        <v>Faltando Comprar</v>
      </c>
    </row>
    <row r="995" spans="1:15" ht="31.5">
      <c r="A995" s="16" t="s">
        <v>17</v>
      </c>
      <c r="B995" s="16" t="s">
        <v>24</v>
      </c>
      <c r="C995" s="17" t="s">
        <v>19</v>
      </c>
      <c r="D995" s="18" t="s">
        <v>589</v>
      </c>
      <c r="E995" s="18">
        <v>15</v>
      </c>
      <c r="F995" s="18" t="s">
        <v>21</v>
      </c>
      <c r="G995" s="18" t="s">
        <v>22</v>
      </c>
      <c r="H995" s="18" t="s">
        <v>23</v>
      </c>
      <c r="I995" s="19">
        <v>804.09</v>
      </c>
      <c r="J995" s="20">
        <f t="shared" si="30"/>
        <v>12061.35</v>
      </c>
      <c r="K995" s="106"/>
      <c r="L995" s="114"/>
      <c r="M995" s="114">
        <f>tblAquisições[[#This Row],[VALOR UNITARIO COMPRADO]]*tblAquisições[[#This Row],[QUANTIDADE COMPRADA]]</f>
        <v>0</v>
      </c>
      <c r="N995" s="110">
        <f>K995-tblAquisições[[#This Row],[QUANTIDADE PLANEJADA]]</f>
        <v>-15</v>
      </c>
      <c r="O995" s="106" t="str">
        <f t="shared" si="31"/>
        <v>Faltando Comprar</v>
      </c>
    </row>
    <row r="996" spans="1:15" ht="31.5">
      <c r="A996" s="16" t="s">
        <v>17</v>
      </c>
      <c r="B996" s="16" t="s">
        <v>25</v>
      </c>
      <c r="C996" s="17" t="s">
        <v>19</v>
      </c>
      <c r="D996" s="18" t="s">
        <v>589</v>
      </c>
      <c r="E996" s="18">
        <v>15</v>
      </c>
      <c r="F996" s="18" t="s">
        <v>21</v>
      </c>
      <c r="G996" s="18" t="s">
        <v>22</v>
      </c>
      <c r="H996" s="18" t="s">
        <v>23</v>
      </c>
      <c r="I996" s="19">
        <v>804.09</v>
      </c>
      <c r="J996" s="20">
        <f t="shared" si="30"/>
        <v>12061.35</v>
      </c>
      <c r="K996" s="106"/>
      <c r="L996" s="114"/>
      <c r="M996" s="114">
        <f>tblAquisições[[#This Row],[VALOR UNITARIO COMPRADO]]*tblAquisições[[#This Row],[QUANTIDADE COMPRADA]]</f>
        <v>0</v>
      </c>
      <c r="N996" s="110">
        <f>K996-tblAquisições[[#This Row],[QUANTIDADE PLANEJADA]]</f>
        <v>-15</v>
      </c>
      <c r="O996" s="106" t="str">
        <f t="shared" si="31"/>
        <v>Faltando Comprar</v>
      </c>
    </row>
    <row r="997" spans="1:15" ht="31.5">
      <c r="A997" s="16" t="s">
        <v>17</v>
      </c>
      <c r="B997" s="16" t="s">
        <v>41</v>
      </c>
      <c r="C997" s="17" t="s">
        <v>19</v>
      </c>
      <c r="D997" s="18" t="s">
        <v>589</v>
      </c>
      <c r="E997" s="18">
        <v>20</v>
      </c>
      <c r="F997" s="18" t="s">
        <v>21</v>
      </c>
      <c r="G997" s="18" t="s">
        <v>22</v>
      </c>
      <c r="H997" s="18" t="s">
        <v>23</v>
      </c>
      <c r="I997" s="19">
        <v>804.09</v>
      </c>
      <c r="J997" s="20">
        <f t="shared" si="30"/>
        <v>16081.800000000001</v>
      </c>
      <c r="K997" s="106"/>
      <c r="L997" s="114"/>
      <c r="M997" s="114">
        <f>tblAquisições[[#This Row],[VALOR UNITARIO COMPRADO]]*tblAquisições[[#This Row],[QUANTIDADE COMPRADA]]</f>
        <v>0</v>
      </c>
      <c r="N997" s="110">
        <f>K997-tblAquisições[[#This Row],[QUANTIDADE PLANEJADA]]</f>
        <v>-20</v>
      </c>
      <c r="O997" s="106" t="str">
        <f t="shared" si="31"/>
        <v>Faltando Comprar</v>
      </c>
    </row>
    <row r="998" spans="1:15" ht="31.5">
      <c r="A998" s="16" t="s">
        <v>17</v>
      </c>
      <c r="B998" s="16" t="s">
        <v>28</v>
      </c>
      <c r="C998" s="17" t="s">
        <v>19</v>
      </c>
      <c r="D998" s="18" t="s">
        <v>589</v>
      </c>
      <c r="E998" s="18">
        <v>36</v>
      </c>
      <c r="F998" s="18" t="s">
        <v>21</v>
      </c>
      <c r="G998" s="18" t="s">
        <v>22</v>
      </c>
      <c r="H998" s="18" t="s">
        <v>23</v>
      </c>
      <c r="I998" s="19">
        <v>804.09</v>
      </c>
      <c r="J998" s="20">
        <f t="shared" si="30"/>
        <v>28947.24</v>
      </c>
      <c r="K998" s="106"/>
      <c r="L998" s="114"/>
      <c r="M998" s="114">
        <f>tblAquisições[[#This Row],[VALOR UNITARIO COMPRADO]]*tblAquisições[[#This Row],[QUANTIDADE COMPRADA]]</f>
        <v>0</v>
      </c>
      <c r="N998" s="110">
        <f>K998-tblAquisições[[#This Row],[QUANTIDADE PLANEJADA]]</f>
        <v>-36</v>
      </c>
      <c r="O998" s="106" t="str">
        <f t="shared" si="31"/>
        <v>Faltando Comprar</v>
      </c>
    </row>
    <row r="999" spans="1:15" ht="31.5">
      <c r="A999" s="16" t="s">
        <v>17</v>
      </c>
      <c r="B999" s="16" t="s">
        <v>92</v>
      </c>
      <c r="C999" s="17" t="s">
        <v>19</v>
      </c>
      <c r="D999" s="18" t="s">
        <v>590</v>
      </c>
      <c r="E999" s="18">
        <v>1000</v>
      </c>
      <c r="F999" s="18" t="s">
        <v>38</v>
      </c>
      <c r="G999" s="18" t="s">
        <v>39</v>
      </c>
      <c r="H999" s="18" t="s">
        <v>23</v>
      </c>
      <c r="I999" s="19">
        <v>0.82</v>
      </c>
      <c r="J999" s="20">
        <f t="shared" si="30"/>
        <v>820</v>
      </c>
      <c r="K999" s="106"/>
      <c r="L999" s="114"/>
      <c r="M999" s="114">
        <f>tblAquisições[[#This Row],[VALOR UNITARIO COMPRADO]]*tblAquisições[[#This Row],[QUANTIDADE COMPRADA]]</f>
        <v>0</v>
      </c>
      <c r="N999" s="110">
        <f>K999-tblAquisições[[#This Row],[QUANTIDADE PLANEJADA]]</f>
        <v>-1000</v>
      </c>
      <c r="O999" s="106" t="str">
        <f t="shared" si="31"/>
        <v>Faltando Comprar</v>
      </c>
    </row>
    <row r="1000" spans="1:15" ht="47.25">
      <c r="A1000" s="16" t="s">
        <v>17</v>
      </c>
      <c r="B1000" s="16" t="s">
        <v>80</v>
      </c>
      <c r="C1000" s="17" t="s">
        <v>19</v>
      </c>
      <c r="D1000" s="18" t="s">
        <v>591</v>
      </c>
      <c r="E1000" s="18">
        <v>4</v>
      </c>
      <c r="F1000" s="18" t="s">
        <v>147</v>
      </c>
      <c r="G1000" s="18" t="s">
        <v>39</v>
      </c>
      <c r="H1000" s="18" t="s">
        <v>23</v>
      </c>
      <c r="I1000" s="19">
        <v>134.69</v>
      </c>
      <c r="J1000" s="20">
        <f t="shared" si="30"/>
        <v>538.76</v>
      </c>
      <c r="K1000" s="106"/>
      <c r="L1000" s="114"/>
      <c r="M1000" s="114">
        <f>tblAquisições[[#This Row],[VALOR UNITARIO COMPRADO]]*tblAquisições[[#This Row],[QUANTIDADE COMPRADA]]</f>
        <v>0</v>
      </c>
      <c r="N1000" s="110">
        <f>K1000-tblAquisições[[#This Row],[QUANTIDADE PLANEJADA]]</f>
        <v>-4</v>
      </c>
      <c r="O1000" s="106" t="str">
        <f t="shared" si="31"/>
        <v>Faltando Comprar</v>
      </c>
    </row>
    <row r="1001" spans="1:15" ht="47.25">
      <c r="A1001" s="16" t="s">
        <v>17</v>
      </c>
      <c r="B1001" s="16" t="s">
        <v>28</v>
      </c>
      <c r="C1001" s="17" t="s">
        <v>19</v>
      </c>
      <c r="D1001" s="18" t="s">
        <v>592</v>
      </c>
      <c r="E1001" s="18">
        <v>10</v>
      </c>
      <c r="F1001" s="18" t="s">
        <v>78</v>
      </c>
      <c r="G1001" s="18" t="s">
        <v>22</v>
      </c>
      <c r="H1001" s="18" t="s">
        <v>23</v>
      </c>
      <c r="I1001" s="19">
        <v>134.69</v>
      </c>
      <c r="J1001" s="20">
        <f t="shared" si="30"/>
        <v>1346.9</v>
      </c>
      <c r="K1001" s="106"/>
      <c r="L1001" s="114"/>
      <c r="M1001" s="114">
        <f>tblAquisições[[#This Row],[VALOR UNITARIO COMPRADO]]*tblAquisições[[#This Row],[QUANTIDADE COMPRADA]]</f>
        <v>0</v>
      </c>
      <c r="N1001" s="110">
        <f>K1001-tblAquisições[[#This Row],[QUANTIDADE PLANEJADA]]</f>
        <v>-10</v>
      </c>
      <c r="O1001" s="106" t="str">
        <f t="shared" si="31"/>
        <v>Faltando Comprar</v>
      </c>
    </row>
    <row r="1002" spans="1:15" ht="47.25">
      <c r="A1002" s="16" t="s">
        <v>17</v>
      </c>
      <c r="B1002" s="16" t="s">
        <v>28</v>
      </c>
      <c r="C1002" s="17" t="s">
        <v>19</v>
      </c>
      <c r="D1002" s="18" t="s">
        <v>593</v>
      </c>
      <c r="E1002" s="18">
        <v>45</v>
      </c>
      <c r="F1002" s="18" t="s">
        <v>131</v>
      </c>
      <c r="G1002" s="18" t="s">
        <v>22</v>
      </c>
      <c r="H1002" s="18" t="s">
        <v>23</v>
      </c>
      <c r="I1002" s="19">
        <v>9.86</v>
      </c>
      <c r="J1002" s="20">
        <f t="shared" si="30"/>
        <v>443.7</v>
      </c>
      <c r="K1002" s="106"/>
      <c r="L1002" s="114"/>
      <c r="M1002" s="114">
        <f>tblAquisições[[#This Row],[VALOR UNITARIO COMPRADO]]*tblAquisições[[#This Row],[QUANTIDADE COMPRADA]]</f>
        <v>0</v>
      </c>
      <c r="N1002" s="110">
        <f>K1002-tblAquisições[[#This Row],[QUANTIDADE PLANEJADA]]</f>
        <v>-45</v>
      </c>
      <c r="O1002" s="106" t="str">
        <f t="shared" si="31"/>
        <v>Faltando Comprar</v>
      </c>
    </row>
    <row r="1003" spans="1:15" ht="47.25">
      <c r="A1003" s="16" t="s">
        <v>17</v>
      </c>
      <c r="B1003" s="16" t="s">
        <v>80</v>
      </c>
      <c r="C1003" s="17" t="s">
        <v>19</v>
      </c>
      <c r="D1003" s="18" t="s">
        <v>594</v>
      </c>
      <c r="E1003" s="18">
        <v>4</v>
      </c>
      <c r="F1003" s="18" t="s">
        <v>595</v>
      </c>
      <c r="G1003" s="18" t="s">
        <v>39</v>
      </c>
      <c r="H1003" s="18" t="s">
        <v>23</v>
      </c>
      <c r="I1003" s="19">
        <v>458.64</v>
      </c>
      <c r="J1003" s="20">
        <f t="shared" si="30"/>
        <v>1834.56</v>
      </c>
      <c r="K1003" s="106"/>
      <c r="L1003" s="114"/>
      <c r="M1003" s="114">
        <f>tblAquisições[[#This Row],[VALOR UNITARIO COMPRADO]]*tblAquisições[[#This Row],[QUANTIDADE COMPRADA]]</f>
        <v>0</v>
      </c>
      <c r="N1003" s="110">
        <f>K1003-tblAquisições[[#This Row],[QUANTIDADE PLANEJADA]]</f>
        <v>-4</v>
      </c>
      <c r="O1003" s="106" t="str">
        <f t="shared" si="31"/>
        <v>Faltando Comprar</v>
      </c>
    </row>
    <row r="1004" spans="1:15" ht="47.25">
      <c r="A1004" s="16" t="s">
        <v>17</v>
      </c>
      <c r="B1004" s="16" t="s">
        <v>31</v>
      </c>
      <c r="C1004" s="17" t="s">
        <v>19</v>
      </c>
      <c r="D1004" s="18" t="s">
        <v>596</v>
      </c>
      <c r="E1004" s="18">
        <v>2</v>
      </c>
      <c r="F1004" s="18" t="s">
        <v>391</v>
      </c>
      <c r="G1004" s="18" t="s">
        <v>22</v>
      </c>
      <c r="H1004" s="18" t="s">
        <v>23</v>
      </c>
      <c r="I1004" s="19">
        <v>458.64</v>
      </c>
      <c r="J1004" s="20">
        <f t="shared" si="30"/>
        <v>917.28</v>
      </c>
      <c r="K1004" s="106"/>
      <c r="L1004" s="114"/>
      <c r="M1004" s="114">
        <f>tblAquisições[[#This Row],[VALOR UNITARIO COMPRADO]]*tblAquisições[[#This Row],[QUANTIDADE COMPRADA]]</f>
        <v>0</v>
      </c>
      <c r="N1004" s="110">
        <f>K1004-tblAquisições[[#This Row],[QUANTIDADE PLANEJADA]]</f>
        <v>-2</v>
      </c>
      <c r="O1004" s="106" t="str">
        <f t="shared" si="31"/>
        <v>Faltando Comprar</v>
      </c>
    </row>
    <row r="1005" spans="1:15" ht="47.25">
      <c r="A1005" s="16" t="s">
        <v>17</v>
      </c>
      <c r="B1005" s="16" t="s">
        <v>18</v>
      </c>
      <c r="C1005" s="17" t="s">
        <v>19</v>
      </c>
      <c r="D1005" s="18" t="s">
        <v>596</v>
      </c>
      <c r="E1005" s="18">
        <v>30</v>
      </c>
      <c r="F1005" s="18" t="s">
        <v>391</v>
      </c>
      <c r="G1005" s="18" t="s">
        <v>22</v>
      </c>
      <c r="H1005" s="18" t="s">
        <v>23</v>
      </c>
      <c r="I1005" s="19">
        <v>458.64</v>
      </c>
      <c r="J1005" s="20">
        <f t="shared" si="30"/>
        <v>13759.199999999999</v>
      </c>
      <c r="K1005" s="106"/>
      <c r="L1005" s="114"/>
      <c r="M1005" s="114">
        <f>tblAquisições[[#This Row],[VALOR UNITARIO COMPRADO]]*tblAquisições[[#This Row],[QUANTIDADE COMPRADA]]</f>
        <v>0</v>
      </c>
      <c r="N1005" s="110">
        <f>K1005-tblAquisições[[#This Row],[QUANTIDADE PLANEJADA]]</f>
        <v>-30</v>
      </c>
      <c r="O1005" s="106" t="str">
        <f t="shared" si="31"/>
        <v>Faltando Comprar</v>
      </c>
    </row>
    <row r="1006" spans="1:15" ht="47.25">
      <c r="A1006" s="16" t="s">
        <v>17</v>
      </c>
      <c r="B1006" s="16" t="s">
        <v>24</v>
      </c>
      <c r="C1006" s="17" t="s">
        <v>19</v>
      </c>
      <c r="D1006" s="18" t="s">
        <v>596</v>
      </c>
      <c r="E1006" s="18">
        <v>30</v>
      </c>
      <c r="F1006" s="18" t="s">
        <v>391</v>
      </c>
      <c r="G1006" s="18" t="s">
        <v>22</v>
      </c>
      <c r="H1006" s="18" t="s">
        <v>23</v>
      </c>
      <c r="I1006" s="19">
        <v>458.64</v>
      </c>
      <c r="J1006" s="20">
        <f t="shared" si="30"/>
        <v>13759.199999999999</v>
      </c>
      <c r="K1006" s="106"/>
      <c r="L1006" s="114"/>
      <c r="M1006" s="114">
        <f>tblAquisições[[#This Row],[VALOR UNITARIO COMPRADO]]*tblAquisições[[#This Row],[QUANTIDADE COMPRADA]]</f>
        <v>0</v>
      </c>
      <c r="N1006" s="110">
        <f>K1006-tblAquisições[[#This Row],[QUANTIDADE PLANEJADA]]</f>
        <v>-30</v>
      </c>
      <c r="O1006" s="106" t="str">
        <f t="shared" si="31"/>
        <v>Faltando Comprar</v>
      </c>
    </row>
    <row r="1007" spans="1:15" ht="47.25">
      <c r="A1007" s="16" t="s">
        <v>17</v>
      </c>
      <c r="B1007" s="16" t="s">
        <v>25</v>
      </c>
      <c r="C1007" s="17" t="s">
        <v>19</v>
      </c>
      <c r="D1007" s="18" t="s">
        <v>596</v>
      </c>
      <c r="E1007" s="18">
        <v>30</v>
      </c>
      <c r="F1007" s="18" t="s">
        <v>391</v>
      </c>
      <c r="G1007" s="18" t="s">
        <v>22</v>
      </c>
      <c r="H1007" s="18" t="s">
        <v>23</v>
      </c>
      <c r="I1007" s="19">
        <v>458.64</v>
      </c>
      <c r="J1007" s="20">
        <f t="shared" si="30"/>
        <v>13759.199999999999</v>
      </c>
      <c r="K1007" s="106"/>
      <c r="L1007" s="114"/>
      <c r="M1007" s="114">
        <f>tblAquisições[[#This Row],[VALOR UNITARIO COMPRADO]]*tblAquisições[[#This Row],[QUANTIDADE COMPRADA]]</f>
        <v>0</v>
      </c>
      <c r="N1007" s="110">
        <f>K1007-tblAquisições[[#This Row],[QUANTIDADE PLANEJADA]]</f>
        <v>-30</v>
      </c>
      <c r="O1007" s="106" t="str">
        <f t="shared" si="31"/>
        <v>Faltando Comprar</v>
      </c>
    </row>
    <row r="1008" spans="1:15" ht="47.25">
      <c r="A1008" s="16" t="s">
        <v>17</v>
      </c>
      <c r="B1008" s="16" t="s">
        <v>27</v>
      </c>
      <c r="C1008" s="17" t="s">
        <v>19</v>
      </c>
      <c r="D1008" s="18" t="s">
        <v>596</v>
      </c>
      <c r="E1008" s="18">
        <v>30</v>
      </c>
      <c r="F1008" s="18" t="s">
        <v>391</v>
      </c>
      <c r="G1008" s="18" t="s">
        <v>22</v>
      </c>
      <c r="H1008" s="18" t="s">
        <v>23</v>
      </c>
      <c r="I1008" s="19">
        <v>458.64</v>
      </c>
      <c r="J1008" s="20">
        <f t="shared" si="30"/>
        <v>13759.199999999999</v>
      </c>
      <c r="K1008" s="106"/>
      <c r="L1008" s="114"/>
      <c r="M1008" s="114">
        <f>tblAquisições[[#This Row],[VALOR UNITARIO COMPRADO]]*tblAquisições[[#This Row],[QUANTIDADE COMPRADA]]</f>
        <v>0</v>
      </c>
      <c r="N1008" s="110">
        <f>K1008-tblAquisições[[#This Row],[QUANTIDADE PLANEJADA]]</f>
        <v>-30</v>
      </c>
      <c r="O1008" s="106" t="str">
        <f t="shared" si="31"/>
        <v>Faltando Comprar</v>
      </c>
    </row>
    <row r="1009" spans="1:15" ht="47.25">
      <c r="A1009" s="16" t="s">
        <v>17</v>
      </c>
      <c r="B1009" s="16" t="s">
        <v>28</v>
      </c>
      <c r="C1009" s="17" t="s">
        <v>19</v>
      </c>
      <c r="D1009" s="18" t="s">
        <v>596</v>
      </c>
      <c r="E1009" s="18">
        <v>3</v>
      </c>
      <c r="F1009" s="18" t="s">
        <v>391</v>
      </c>
      <c r="G1009" s="18" t="s">
        <v>22</v>
      </c>
      <c r="H1009" s="18" t="s">
        <v>53</v>
      </c>
      <c r="I1009" s="19">
        <v>458.64</v>
      </c>
      <c r="J1009" s="20">
        <f t="shared" si="30"/>
        <v>1375.92</v>
      </c>
      <c r="K1009" s="106"/>
      <c r="L1009" s="114"/>
      <c r="M1009" s="114">
        <f>tblAquisições[[#This Row],[VALOR UNITARIO COMPRADO]]*tblAquisições[[#This Row],[QUANTIDADE COMPRADA]]</f>
        <v>0</v>
      </c>
      <c r="N1009" s="110">
        <f>K1009-tblAquisições[[#This Row],[QUANTIDADE PLANEJADA]]</f>
        <v>-3</v>
      </c>
      <c r="O1009" s="106" t="str">
        <f t="shared" si="31"/>
        <v>Faltando Comprar</v>
      </c>
    </row>
    <row r="1010" spans="1:15" ht="31.5">
      <c r="A1010" s="16" t="s">
        <v>17</v>
      </c>
      <c r="B1010" s="16" t="s">
        <v>18</v>
      </c>
      <c r="C1010" s="17" t="s">
        <v>19</v>
      </c>
      <c r="D1010" s="18" t="s">
        <v>597</v>
      </c>
      <c r="E1010" s="18">
        <v>5</v>
      </c>
      <c r="F1010" s="18" t="s">
        <v>21</v>
      </c>
      <c r="G1010" s="18" t="s">
        <v>22</v>
      </c>
      <c r="H1010" s="18" t="s">
        <v>23</v>
      </c>
      <c r="I1010" s="19">
        <v>3259.22</v>
      </c>
      <c r="J1010" s="20">
        <f t="shared" si="30"/>
        <v>16296.099999999999</v>
      </c>
      <c r="K1010" s="106"/>
      <c r="L1010" s="114"/>
      <c r="M1010" s="114">
        <f>tblAquisições[[#This Row],[VALOR UNITARIO COMPRADO]]*tblAquisições[[#This Row],[QUANTIDADE COMPRADA]]</f>
        <v>0</v>
      </c>
      <c r="N1010" s="110">
        <f>K1010-tblAquisições[[#This Row],[QUANTIDADE PLANEJADA]]</f>
        <v>-5</v>
      </c>
      <c r="O1010" s="106" t="str">
        <f t="shared" si="31"/>
        <v>Faltando Comprar</v>
      </c>
    </row>
    <row r="1011" spans="1:15" ht="31.5">
      <c r="A1011" s="16" t="s">
        <v>17</v>
      </c>
      <c r="B1011" s="16" t="s">
        <v>24</v>
      </c>
      <c r="C1011" s="17" t="s">
        <v>19</v>
      </c>
      <c r="D1011" s="18" t="s">
        <v>597</v>
      </c>
      <c r="E1011" s="18">
        <v>5</v>
      </c>
      <c r="F1011" s="18" t="s">
        <v>21</v>
      </c>
      <c r="G1011" s="18" t="s">
        <v>22</v>
      </c>
      <c r="H1011" s="18" t="s">
        <v>23</v>
      </c>
      <c r="I1011" s="19">
        <v>3259.22</v>
      </c>
      <c r="J1011" s="20">
        <f t="shared" si="30"/>
        <v>16296.099999999999</v>
      </c>
      <c r="K1011" s="106"/>
      <c r="L1011" s="114"/>
      <c r="M1011" s="114">
        <f>tblAquisições[[#This Row],[VALOR UNITARIO COMPRADO]]*tblAquisições[[#This Row],[QUANTIDADE COMPRADA]]</f>
        <v>0</v>
      </c>
      <c r="N1011" s="110">
        <f>K1011-tblAquisições[[#This Row],[QUANTIDADE PLANEJADA]]</f>
        <v>-5</v>
      </c>
      <c r="O1011" s="106" t="str">
        <f t="shared" si="31"/>
        <v>Faltando Comprar</v>
      </c>
    </row>
    <row r="1012" spans="1:15" ht="47.25">
      <c r="A1012" s="16" t="s">
        <v>17</v>
      </c>
      <c r="B1012" s="16" t="s">
        <v>26</v>
      </c>
      <c r="C1012" s="17" t="s">
        <v>19</v>
      </c>
      <c r="D1012" s="18" t="s">
        <v>598</v>
      </c>
      <c r="E1012" s="18">
        <v>12</v>
      </c>
      <c r="F1012" s="18" t="s">
        <v>239</v>
      </c>
      <c r="G1012" s="18" t="s">
        <v>22</v>
      </c>
      <c r="H1012" s="18" t="s">
        <v>23</v>
      </c>
      <c r="I1012" s="19">
        <v>14.7</v>
      </c>
      <c r="J1012" s="20">
        <f t="shared" si="30"/>
        <v>176.39999999999998</v>
      </c>
      <c r="K1012" s="106"/>
      <c r="L1012" s="114"/>
      <c r="M1012" s="114">
        <f>tblAquisições[[#This Row],[VALOR UNITARIO COMPRADO]]*tblAquisições[[#This Row],[QUANTIDADE COMPRADA]]</f>
        <v>0</v>
      </c>
      <c r="N1012" s="110">
        <f>K1012-tblAquisições[[#This Row],[QUANTIDADE PLANEJADA]]</f>
        <v>-12</v>
      </c>
      <c r="O1012" s="106" t="str">
        <f t="shared" si="31"/>
        <v>Faltando Comprar</v>
      </c>
    </row>
    <row r="1013" spans="1:15" ht="47.25">
      <c r="A1013" s="16" t="s">
        <v>17</v>
      </c>
      <c r="B1013" s="16" t="s">
        <v>28</v>
      </c>
      <c r="C1013" s="17" t="s">
        <v>19</v>
      </c>
      <c r="D1013" s="18" t="s">
        <v>598</v>
      </c>
      <c r="E1013" s="18">
        <v>10</v>
      </c>
      <c r="F1013" s="18" t="s">
        <v>239</v>
      </c>
      <c r="G1013" s="18" t="s">
        <v>22</v>
      </c>
      <c r="H1013" s="18" t="s">
        <v>23</v>
      </c>
      <c r="I1013" s="19">
        <v>14.7</v>
      </c>
      <c r="J1013" s="20">
        <f t="shared" si="30"/>
        <v>147</v>
      </c>
      <c r="K1013" s="106"/>
      <c r="L1013" s="114"/>
      <c r="M1013" s="114">
        <f>tblAquisições[[#This Row],[VALOR UNITARIO COMPRADO]]*tblAquisições[[#This Row],[QUANTIDADE COMPRADA]]</f>
        <v>0</v>
      </c>
      <c r="N1013" s="110">
        <f>K1013-tblAquisições[[#This Row],[QUANTIDADE PLANEJADA]]</f>
        <v>-10</v>
      </c>
      <c r="O1013" s="106" t="str">
        <f t="shared" si="31"/>
        <v>Faltando Comprar</v>
      </c>
    </row>
    <row r="1014" spans="1:15" ht="31.5">
      <c r="A1014" s="16" t="s">
        <v>17</v>
      </c>
      <c r="B1014" s="16" t="s">
        <v>31</v>
      </c>
      <c r="C1014" s="17" t="s">
        <v>19</v>
      </c>
      <c r="D1014" s="18" t="s">
        <v>599</v>
      </c>
      <c r="E1014" s="18">
        <v>35</v>
      </c>
      <c r="F1014" s="18" t="s">
        <v>21</v>
      </c>
      <c r="G1014" s="18" t="s">
        <v>22</v>
      </c>
      <c r="H1014" s="18" t="s">
        <v>23</v>
      </c>
      <c r="I1014" s="19">
        <v>21.37</v>
      </c>
      <c r="J1014" s="20">
        <f t="shared" si="30"/>
        <v>747.95</v>
      </c>
      <c r="K1014" s="106"/>
      <c r="L1014" s="114"/>
      <c r="M1014" s="114">
        <f>tblAquisições[[#This Row],[VALOR UNITARIO COMPRADO]]*tblAquisições[[#This Row],[QUANTIDADE COMPRADA]]</f>
        <v>0</v>
      </c>
      <c r="N1014" s="110">
        <f>K1014-tblAquisições[[#This Row],[QUANTIDADE PLANEJADA]]</f>
        <v>-35</v>
      </c>
      <c r="O1014" s="106" t="str">
        <f t="shared" si="31"/>
        <v>Faltando Comprar</v>
      </c>
    </row>
    <row r="1015" spans="1:15" ht="31.5">
      <c r="A1015" s="16" t="s">
        <v>17</v>
      </c>
      <c r="B1015" s="16" t="s">
        <v>41</v>
      </c>
      <c r="C1015" s="17" t="s">
        <v>19</v>
      </c>
      <c r="D1015" s="18" t="s">
        <v>599</v>
      </c>
      <c r="E1015" s="18">
        <v>240</v>
      </c>
      <c r="F1015" s="18" t="s">
        <v>21</v>
      </c>
      <c r="G1015" s="18" t="s">
        <v>22</v>
      </c>
      <c r="H1015" s="18" t="s">
        <v>83</v>
      </c>
      <c r="I1015" s="19">
        <v>21.37</v>
      </c>
      <c r="J1015" s="20">
        <f t="shared" si="30"/>
        <v>5128.8</v>
      </c>
      <c r="K1015" s="106"/>
      <c r="L1015" s="114"/>
      <c r="M1015" s="114">
        <f>tblAquisições[[#This Row],[VALOR UNITARIO COMPRADO]]*tblAquisições[[#This Row],[QUANTIDADE COMPRADA]]</f>
        <v>0</v>
      </c>
      <c r="N1015" s="110">
        <f>K1015-tblAquisições[[#This Row],[QUANTIDADE PLANEJADA]]</f>
        <v>-240</v>
      </c>
      <c r="O1015" s="106" t="str">
        <f t="shared" si="31"/>
        <v>Faltando Comprar</v>
      </c>
    </row>
    <row r="1016" spans="1:15" ht="31.5">
      <c r="A1016" s="16" t="s">
        <v>17</v>
      </c>
      <c r="B1016" s="16" t="s">
        <v>26</v>
      </c>
      <c r="C1016" s="17" t="s">
        <v>19</v>
      </c>
      <c r="D1016" s="18" t="s">
        <v>599</v>
      </c>
      <c r="E1016" s="18">
        <v>5</v>
      </c>
      <c r="F1016" s="18" t="s">
        <v>21</v>
      </c>
      <c r="G1016" s="18" t="s">
        <v>22</v>
      </c>
      <c r="H1016" s="18" t="s">
        <v>23</v>
      </c>
      <c r="I1016" s="19">
        <v>21.37</v>
      </c>
      <c r="J1016" s="20">
        <f t="shared" si="30"/>
        <v>106.85000000000001</v>
      </c>
      <c r="K1016" s="106"/>
      <c r="L1016" s="114"/>
      <c r="M1016" s="114">
        <f>tblAquisições[[#This Row],[VALOR UNITARIO COMPRADO]]*tblAquisições[[#This Row],[QUANTIDADE COMPRADA]]</f>
        <v>0</v>
      </c>
      <c r="N1016" s="110">
        <f>K1016-tblAquisições[[#This Row],[QUANTIDADE PLANEJADA]]</f>
        <v>-5</v>
      </c>
      <c r="O1016" s="106" t="str">
        <f t="shared" si="31"/>
        <v>Faltando Comprar</v>
      </c>
    </row>
    <row r="1017" spans="1:15" ht="31.5">
      <c r="A1017" s="16" t="s">
        <v>17</v>
      </c>
      <c r="B1017" s="16" t="s">
        <v>28</v>
      </c>
      <c r="C1017" s="17" t="s">
        <v>19</v>
      </c>
      <c r="D1017" s="18" t="s">
        <v>600</v>
      </c>
      <c r="E1017" s="18">
        <v>300</v>
      </c>
      <c r="F1017" s="18" t="s">
        <v>21</v>
      </c>
      <c r="G1017" s="18" t="s">
        <v>22</v>
      </c>
      <c r="H1017" s="18" t="s">
        <v>83</v>
      </c>
      <c r="I1017" s="19">
        <v>6.11</v>
      </c>
      <c r="J1017" s="20">
        <f t="shared" si="30"/>
        <v>1833</v>
      </c>
      <c r="K1017" s="106"/>
      <c r="L1017" s="114"/>
      <c r="M1017" s="114">
        <f>tblAquisições[[#This Row],[VALOR UNITARIO COMPRADO]]*tblAquisições[[#This Row],[QUANTIDADE COMPRADA]]</f>
        <v>0</v>
      </c>
      <c r="N1017" s="110">
        <f>K1017-tblAquisições[[#This Row],[QUANTIDADE PLANEJADA]]</f>
        <v>-300</v>
      </c>
      <c r="O1017" s="106" t="str">
        <f t="shared" si="31"/>
        <v>Faltando Comprar</v>
      </c>
    </row>
    <row r="1018" spans="1:15" ht="31.5">
      <c r="A1018" s="16" t="s">
        <v>17</v>
      </c>
      <c r="B1018" s="16" t="s">
        <v>18</v>
      </c>
      <c r="C1018" s="17" t="s">
        <v>19</v>
      </c>
      <c r="D1018" s="18" t="s">
        <v>601</v>
      </c>
      <c r="E1018" s="18">
        <v>300</v>
      </c>
      <c r="F1018" s="18" t="s">
        <v>21</v>
      </c>
      <c r="G1018" s="18" t="s">
        <v>22</v>
      </c>
      <c r="H1018" s="18" t="s">
        <v>83</v>
      </c>
      <c r="I1018" s="19">
        <v>14.9</v>
      </c>
      <c r="J1018" s="20">
        <f t="shared" si="30"/>
        <v>4470</v>
      </c>
      <c r="K1018" s="106"/>
      <c r="L1018" s="114"/>
      <c r="M1018" s="114">
        <f>tblAquisições[[#This Row],[VALOR UNITARIO COMPRADO]]*tblAquisições[[#This Row],[QUANTIDADE COMPRADA]]</f>
        <v>0</v>
      </c>
      <c r="N1018" s="110">
        <f>K1018-tblAquisições[[#This Row],[QUANTIDADE PLANEJADA]]</f>
        <v>-300</v>
      </c>
      <c r="O1018" s="106" t="str">
        <f t="shared" si="31"/>
        <v>Faltando Comprar</v>
      </c>
    </row>
    <row r="1019" spans="1:15" ht="31.5">
      <c r="A1019" s="16" t="s">
        <v>17</v>
      </c>
      <c r="B1019" s="16" t="s">
        <v>24</v>
      </c>
      <c r="C1019" s="17" t="s">
        <v>19</v>
      </c>
      <c r="D1019" s="18" t="s">
        <v>601</v>
      </c>
      <c r="E1019" s="18">
        <v>300</v>
      </c>
      <c r="F1019" s="18" t="s">
        <v>21</v>
      </c>
      <c r="G1019" s="18" t="s">
        <v>22</v>
      </c>
      <c r="H1019" s="18" t="s">
        <v>83</v>
      </c>
      <c r="I1019" s="19">
        <v>14.9</v>
      </c>
      <c r="J1019" s="20">
        <f t="shared" si="30"/>
        <v>4470</v>
      </c>
      <c r="K1019" s="106"/>
      <c r="L1019" s="114"/>
      <c r="M1019" s="114">
        <f>tblAquisições[[#This Row],[VALOR UNITARIO COMPRADO]]*tblAquisições[[#This Row],[QUANTIDADE COMPRADA]]</f>
        <v>0</v>
      </c>
      <c r="N1019" s="110">
        <f>K1019-tblAquisições[[#This Row],[QUANTIDADE PLANEJADA]]</f>
        <v>-300</v>
      </c>
      <c r="O1019" s="106" t="str">
        <f t="shared" si="31"/>
        <v>Faltando Comprar</v>
      </c>
    </row>
    <row r="1020" spans="1:15" ht="31.5">
      <c r="A1020" s="16" t="s">
        <v>17</v>
      </c>
      <c r="B1020" s="16" t="s">
        <v>25</v>
      </c>
      <c r="C1020" s="17" t="s">
        <v>19</v>
      </c>
      <c r="D1020" s="18" t="s">
        <v>601</v>
      </c>
      <c r="E1020" s="18">
        <v>300</v>
      </c>
      <c r="F1020" s="18" t="s">
        <v>21</v>
      </c>
      <c r="G1020" s="18" t="s">
        <v>22</v>
      </c>
      <c r="H1020" s="18" t="s">
        <v>83</v>
      </c>
      <c r="I1020" s="19">
        <v>14.9</v>
      </c>
      <c r="J1020" s="20">
        <f t="shared" si="30"/>
        <v>4470</v>
      </c>
      <c r="K1020" s="106"/>
      <c r="L1020" s="114"/>
      <c r="M1020" s="114">
        <f>tblAquisições[[#This Row],[VALOR UNITARIO COMPRADO]]*tblAquisições[[#This Row],[QUANTIDADE COMPRADA]]</f>
        <v>0</v>
      </c>
      <c r="N1020" s="110">
        <f>K1020-tblAquisições[[#This Row],[QUANTIDADE PLANEJADA]]</f>
        <v>-300</v>
      </c>
      <c r="O1020" s="106" t="str">
        <f t="shared" si="31"/>
        <v>Faltando Comprar</v>
      </c>
    </row>
    <row r="1021" spans="1:15" ht="31.5">
      <c r="A1021" s="16" t="s">
        <v>17</v>
      </c>
      <c r="B1021" s="16" t="s">
        <v>28</v>
      </c>
      <c r="C1021" s="17" t="s">
        <v>19</v>
      </c>
      <c r="D1021" s="18" t="s">
        <v>601</v>
      </c>
      <c r="E1021" s="18">
        <v>300</v>
      </c>
      <c r="F1021" s="18" t="s">
        <v>21</v>
      </c>
      <c r="G1021" s="18" t="s">
        <v>22</v>
      </c>
      <c r="H1021" s="18" t="s">
        <v>83</v>
      </c>
      <c r="I1021" s="19">
        <v>14.9</v>
      </c>
      <c r="J1021" s="20">
        <f t="shared" si="30"/>
        <v>4470</v>
      </c>
      <c r="K1021" s="106"/>
      <c r="L1021" s="114"/>
      <c r="M1021" s="114">
        <f>tblAquisições[[#This Row],[VALOR UNITARIO COMPRADO]]*tblAquisições[[#This Row],[QUANTIDADE COMPRADA]]</f>
        <v>0</v>
      </c>
      <c r="N1021" s="110">
        <f>K1021-tblAquisições[[#This Row],[QUANTIDADE PLANEJADA]]</f>
        <v>-300</v>
      </c>
      <c r="O1021" s="106" t="str">
        <f t="shared" si="31"/>
        <v>Faltando Comprar</v>
      </c>
    </row>
    <row r="1022" spans="1:15" ht="31.5">
      <c r="A1022" s="16" t="s">
        <v>17</v>
      </c>
      <c r="B1022" s="16" t="s">
        <v>80</v>
      </c>
      <c r="C1022" s="17" t="s">
        <v>19</v>
      </c>
      <c r="D1022" s="18" t="s">
        <v>602</v>
      </c>
      <c r="E1022" s="18">
        <v>60</v>
      </c>
      <c r="F1022" s="18" t="s">
        <v>38</v>
      </c>
      <c r="G1022" s="18" t="s">
        <v>39</v>
      </c>
      <c r="H1022" s="18" t="s">
        <v>23</v>
      </c>
      <c r="I1022" s="19">
        <v>15.83</v>
      </c>
      <c r="J1022" s="20">
        <f t="shared" si="30"/>
        <v>949.8</v>
      </c>
      <c r="K1022" s="106"/>
      <c r="L1022" s="114"/>
      <c r="M1022" s="114">
        <f>tblAquisições[[#This Row],[VALOR UNITARIO COMPRADO]]*tblAquisições[[#This Row],[QUANTIDADE COMPRADA]]</f>
        <v>0</v>
      </c>
      <c r="N1022" s="110">
        <f>K1022-tblAquisições[[#This Row],[QUANTIDADE PLANEJADA]]</f>
        <v>-60</v>
      </c>
      <c r="O1022" s="106" t="str">
        <f t="shared" si="31"/>
        <v>Faltando Comprar</v>
      </c>
    </row>
    <row r="1023" spans="1:15" ht="31.5">
      <c r="A1023" s="16" t="s">
        <v>17</v>
      </c>
      <c r="B1023" s="16" t="s">
        <v>26</v>
      </c>
      <c r="C1023" s="17" t="s">
        <v>19</v>
      </c>
      <c r="D1023" s="18" t="s">
        <v>603</v>
      </c>
      <c r="E1023" s="18">
        <v>300</v>
      </c>
      <c r="F1023" s="18" t="s">
        <v>21</v>
      </c>
      <c r="G1023" s="18" t="s">
        <v>22</v>
      </c>
      <c r="H1023" s="18" t="s">
        <v>23</v>
      </c>
      <c r="I1023" s="19">
        <v>0.68</v>
      </c>
      <c r="J1023" s="20">
        <f t="shared" si="30"/>
        <v>204.00000000000003</v>
      </c>
      <c r="K1023" s="106"/>
      <c r="L1023" s="114"/>
      <c r="M1023" s="114">
        <f>tblAquisições[[#This Row],[VALOR UNITARIO COMPRADO]]*tblAquisições[[#This Row],[QUANTIDADE COMPRADA]]</f>
        <v>0</v>
      </c>
      <c r="N1023" s="110">
        <f>K1023-tblAquisições[[#This Row],[QUANTIDADE PLANEJADA]]</f>
        <v>-300</v>
      </c>
      <c r="O1023" s="106" t="str">
        <f t="shared" si="31"/>
        <v>Faltando Comprar</v>
      </c>
    </row>
    <row r="1024" spans="1:15" ht="31.5">
      <c r="A1024" s="16" t="s">
        <v>17</v>
      </c>
      <c r="B1024" s="16" t="s">
        <v>34</v>
      </c>
      <c r="C1024" s="17" t="s">
        <v>19</v>
      </c>
      <c r="D1024" s="18" t="s">
        <v>604</v>
      </c>
      <c r="E1024" s="18">
        <v>2</v>
      </c>
      <c r="F1024" s="18" t="s">
        <v>21</v>
      </c>
      <c r="G1024" s="18" t="s">
        <v>22</v>
      </c>
      <c r="H1024" s="18" t="s">
        <v>23</v>
      </c>
      <c r="I1024" s="19">
        <v>41.29</v>
      </c>
      <c r="J1024" s="20">
        <f t="shared" si="30"/>
        <v>82.58</v>
      </c>
      <c r="K1024" s="106"/>
      <c r="L1024" s="114"/>
      <c r="M1024" s="114">
        <f>tblAquisições[[#This Row],[VALOR UNITARIO COMPRADO]]*tblAquisições[[#This Row],[QUANTIDADE COMPRADA]]</f>
        <v>0</v>
      </c>
      <c r="N1024" s="110">
        <f>K1024-tblAquisições[[#This Row],[QUANTIDADE PLANEJADA]]</f>
        <v>-2</v>
      </c>
      <c r="O1024" s="106" t="str">
        <f t="shared" si="31"/>
        <v>Faltando Comprar</v>
      </c>
    </row>
    <row r="1025" spans="1:15" ht="31.5">
      <c r="A1025" s="16" t="s">
        <v>17</v>
      </c>
      <c r="B1025" s="16" t="s">
        <v>26</v>
      </c>
      <c r="C1025" s="17" t="s">
        <v>19</v>
      </c>
      <c r="D1025" s="18" t="s">
        <v>604</v>
      </c>
      <c r="E1025" s="18">
        <v>5</v>
      </c>
      <c r="F1025" s="18" t="s">
        <v>21</v>
      </c>
      <c r="G1025" s="18" t="s">
        <v>22</v>
      </c>
      <c r="H1025" s="18" t="s">
        <v>23</v>
      </c>
      <c r="I1025" s="19">
        <v>41.29</v>
      </c>
      <c r="J1025" s="20">
        <f t="shared" si="30"/>
        <v>206.45</v>
      </c>
      <c r="K1025" s="106"/>
      <c r="L1025" s="114"/>
      <c r="M1025" s="114">
        <f>tblAquisições[[#This Row],[VALOR UNITARIO COMPRADO]]*tblAquisições[[#This Row],[QUANTIDADE COMPRADA]]</f>
        <v>0</v>
      </c>
      <c r="N1025" s="110">
        <f>K1025-tblAquisições[[#This Row],[QUANTIDADE PLANEJADA]]</f>
        <v>-5</v>
      </c>
      <c r="O1025" s="106" t="str">
        <f t="shared" si="31"/>
        <v>Faltando Comprar</v>
      </c>
    </row>
    <row r="1026" spans="1:15" ht="31.5">
      <c r="A1026" s="16" t="s">
        <v>17</v>
      </c>
      <c r="B1026" s="16" t="s">
        <v>28</v>
      </c>
      <c r="C1026" s="17" t="s">
        <v>19</v>
      </c>
      <c r="D1026" s="18" t="s">
        <v>604</v>
      </c>
      <c r="E1026" s="18">
        <v>18</v>
      </c>
      <c r="F1026" s="18" t="s">
        <v>21</v>
      </c>
      <c r="G1026" s="18" t="s">
        <v>22</v>
      </c>
      <c r="H1026" s="18" t="s">
        <v>23</v>
      </c>
      <c r="I1026" s="19">
        <v>41.29</v>
      </c>
      <c r="J1026" s="20">
        <f t="shared" ref="J1026:J1089" si="32">E1026*I1026</f>
        <v>743.22</v>
      </c>
      <c r="K1026" s="106"/>
      <c r="L1026" s="114"/>
      <c r="M1026" s="114">
        <f>tblAquisições[[#This Row],[VALOR UNITARIO COMPRADO]]*tblAquisições[[#This Row],[QUANTIDADE COMPRADA]]</f>
        <v>0</v>
      </c>
      <c r="N1026" s="110">
        <f>K1026-tblAquisições[[#This Row],[QUANTIDADE PLANEJADA]]</f>
        <v>-18</v>
      </c>
      <c r="O1026" s="106" t="str">
        <f t="shared" ref="O1026:O1089" si="33">IF(K1026=E1026,"OK",IF(K1026&lt;E1026,"Faltando Comprar","Excedente"))</f>
        <v>Faltando Comprar</v>
      </c>
    </row>
    <row r="1027" spans="1:15" ht="31.5">
      <c r="A1027" s="16" t="s">
        <v>17</v>
      </c>
      <c r="B1027" s="16" t="s">
        <v>18</v>
      </c>
      <c r="C1027" s="17" t="s">
        <v>19</v>
      </c>
      <c r="D1027" s="18" t="s">
        <v>605</v>
      </c>
      <c r="E1027" s="18">
        <v>300</v>
      </c>
      <c r="F1027" s="18" t="s">
        <v>21</v>
      </c>
      <c r="G1027" s="18" t="s">
        <v>22</v>
      </c>
      <c r="H1027" s="18" t="s">
        <v>83</v>
      </c>
      <c r="I1027" s="19">
        <v>2.23</v>
      </c>
      <c r="J1027" s="20">
        <f t="shared" si="32"/>
        <v>669</v>
      </c>
      <c r="K1027" s="106"/>
      <c r="L1027" s="114"/>
      <c r="M1027" s="114">
        <f>tblAquisições[[#This Row],[VALOR UNITARIO COMPRADO]]*tblAquisições[[#This Row],[QUANTIDADE COMPRADA]]</f>
        <v>0</v>
      </c>
      <c r="N1027" s="110">
        <f>K1027-tblAquisições[[#This Row],[QUANTIDADE PLANEJADA]]</f>
        <v>-300</v>
      </c>
      <c r="O1027" s="106" t="str">
        <f t="shared" si="33"/>
        <v>Faltando Comprar</v>
      </c>
    </row>
    <row r="1028" spans="1:15" ht="31.5">
      <c r="A1028" s="16" t="s">
        <v>17</v>
      </c>
      <c r="B1028" s="16" t="s">
        <v>24</v>
      </c>
      <c r="C1028" s="17" t="s">
        <v>19</v>
      </c>
      <c r="D1028" s="18" t="s">
        <v>605</v>
      </c>
      <c r="E1028" s="18">
        <v>300</v>
      </c>
      <c r="F1028" s="18" t="s">
        <v>21</v>
      </c>
      <c r="G1028" s="18" t="s">
        <v>22</v>
      </c>
      <c r="H1028" s="18" t="s">
        <v>83</v>
      </c>
      <c r="I1028" s="19">
        <v>2.23</v>
      </c>
      <c r="J1028" s="20">
        <f t="shared" si="32"/>
        <v>669</v>
      </c>
      <c r="K1028" s="106"/>
      <c r="L1028" s="114"/>
      <c r="M1028" s="114">
        <f>tblAquisições[[#This Row],[VALOR UNITARIO COMPRADO]]*tblAquisições[[#This Row],[QUANTIDADE COMPRADA]]</f>
        <v>0</v>
      </c>
      <c r="N1028" s="110">
        <f>K1028-tblAquisições[[#This Row],[QUANTIDADE PLANEJADA]]</f>
        <v>-300</v>
      </c>
      <c r="O1028" s="106" t="str">
        <f t="shared" si="33"/>
        <v>Faltando Comprar</v>
      </c>
    </row>
    <row r="1029" spans="1:15" ht="31.5">
      <c r="A1029" s="16" t="s">
        <v>17</v>
      </c>
      <c r="B1029" s="16" t="s">
        <v>25</v>
      </c>
      <c r="C1029" s="17" t="s">
        <v>19</v>
      </c>
      <c r="D1029" s="18" t="s">
        <v>605</v>
      </c>
      <c r="E1029" s="18">
        <v>300</v>
      </c>
      <c r="F1029" s="18" t="s">
        <v>21</v>
      </c>
      <c r="G1029" s="18" t="s">
        <v>22</v>
      </c>
      <c r="H1029" s="18" t="s">
        <v>83</v>
      </c>
      <c r="I1029" s="19">
        <v>2.23</v>
      </c>
      <c r="J1029" s="20">
        <f t="shared" si="32"/>
        <v>669</v>
      </c>
      <c r="K1029" s="106"/>
      <c r="L1029" s="114"/>
      <c r="M1029" s="114">
        <f>tblAquisições[[#This Row],[VALOR UNITARIO COMPRADO]]*tblAquisições[[#This Row],[QUANTIDADE COMPRADA]]</f>
        <v>0</v>
      </c>
      <c r="N1029" s="110">
        <f>K1029-tblAquisições[[#This Row],[QUANTIDADE PLANEJADA]]</f>
        <v>-300</v>
      </c>
      <c r="O1029" s="106" t="str">
        <f t="shared" si="33"/>
        <v>Faltando Comprar</v>
      </c>
    </row>
    <row r="1030" spans="1:15" ht="31.5">
      <c r="A1030" s="16" t="s">
        <v>17</v>
      </c>
      <c r="B1030" s="16" t="s">
        <v>28</v>
      </c>
      <c r="C1030" s="17" t="s">
        <v>19</v>
      </c>
      <c r="D1030" s="18" t="s">
        <v>605</v>
      </c>
      <c r="E1030" s="18">
        <v>500</v>
      </c>
      <c r="F1030" s="18" t="s">
        <v>21</v>
      </c>
      <c r="G1030" s="18" t="s">
        <v>22</v>
      </c>
      <c r="H1030" s="18" t="s">
        <v>83</v>
      </c>
      <c r="I1030" s="19">
        <v>2.23</v>
      </c>
      <c r="J1030" s="20">
        <f t="shared" si="32"/>
        <v>1115</v>
      </c>
      <c r="K1030" s="106"/>
      <c r="L1030" s="114"/>
      <c r="M1030" s="114">
        <f>tblAquisições[[#This Row],[VALOR UNITARIO COMPRADO]]*tblAquisições[[#This Row],[QUANTIDADE COMPRADA]]</f>
        <v>0</v>
      </c>
      <c r="N1030" s="110">
        <f>K1030-tblAquisições[[#This Row],[QUANTIDADE PLANEJADA]]</f>
        <v>-500</v>
      </c>
      <c r="O1030" s="106" t="str">
        <f t="shared" si="33"/>
        <v>Faltando Comprar</v>
      </c>
    </row>
    <row r="1031" spans="1:15" ht="31.5">
      <c r="A1031" s="16" t="s">
        <v>17</v>
      </c>
      <c r="B1031" s="16" t="s">
        <v>18</v>
      </c>
      <c r="C1031" s="17" t="s">
        <v>19</v>
      </c>
      <c r="D1031" s="18" t="s">
        <v>606</v>
      </c>
      <c r="E1031" s="18">
        <v>200</v>
      </c>
      <c r="F1031" s="18" t="s">
        <v>21</v>
      </c>
      <c r="G1031" s="18" t="s">
        <v>22</v>
      </c>
      <c r="H1031" s="18" t="s">
        <v>83</v>
      </c>
      <c r="I1031" s="19">
        <v>4</v>
      </c>
      <c r="J1031" s="20">
        <f t="shared" si="32"/>
        <v>800</v>
      </c>
      <c r="K1031" s="106"/>
      <c r="L1031" s="114"/>
      <c r="M1031" s="114">
        <f>tblAquisições[[#This Row],[VALOR UNITARIO COMPRADO]]*tblAquisições[[#This Row],[QUANTIDADE COMPRADA]]</f>
        <v>0</v>
      </c>
      <c r="N1031" s="110">
        <f>K1031-tblAquisições[[#This Row],[QUANTIDADE PLANEJADA]]</f>
        <v>-200</v>
      </c>
      <c r="O1031" s="106" t="str">
        <f t="shared" si="33"/>
        <v>Faltando Comprar</v>
      </c>
    </row>
    <row r="1032" spans="1:15" ht="31.5">
      <c r="A1032" s="16" t="s">
        <v>17</v>
      </c>
      <c r="B1032" s="16" t="s">
        <v>24</v>
      </c>
      <c r="C1032" s="17" t="s">
        <v>19</v>
      </c>
      <c r="D1032" s="18" t="s">
        <v>606</v>
      </c>
      <c r="E1032" s="18">
        <v>200</v>
      </c>
      <c r="F1032" s="18" t="s">
        <v>21</v>
      </c>
      <c r="G1032" s="18" t="s">
        <v>22</v>
      </c>
      <c r="H1032" s="18" t="s">
        <v>83</v>
      </c>
      <c r="I1032" s="19">
        <v>4</v>
      </c>
      <c r="J1032" s="20">
        <f t="shared" si="32"/>
        <v>800</v>
      </c>
      <c r="K1032" s="106"/>
      <c r="L1032" s="114"/>
      <c r="M1032" s="114">
        <f>tblAquisições[[#This Row],[VALOR UNITARIO COMPRADO]]*tblAquisições[[#This Row],[QUANTIDADE COMPRADA]]</f>
        <v>0</v>
      </c>
      <c r="N1032" s="110">
        <f>K1032-tblAquisições[[#This Row],[QUANTIDADE PLANEJADA]]</f>
        <v>-200</v>
      </c>
      <c r="O1032" s="106" t="str">
        <f t="shared" si="33"/>
        <v>Faltando Comprar</v>
      </c>
    </row>
    <row r="1033" spans="1:15" ht="31.5">
      <c r="A1033" s="16" t="s">
        <v>17</v>
      </c>
      <c r="B1033" s="16" t="s">
        <v>25</v>
      </c>
      <c r="C1033" s="17" t="s">
        <v>19</v>
      </c>
      <c r="D1033" s="18" t="s">
        <v>606</v>
      </c>
      <c r="E1033" s="18">
        <v>200</v>
      </c>
      <c r="F1033" s="18" t="s">
        <v>21</v>
      </c>
      <c r="G1033" s="18" t="s">
        <v>22</v>
      </c>
      <c r="H1033" s="18" t="s">
        <v>83</v>
      </c>
      <c r="I1033" s="19">
        <v>4</v>
      </c>
      <c r="J1033" s="20">
        <f t="shared" si="32"/>
        <v>800</v>
      </c>
      <c r="K1033" s="106"/>
      <c r="L1033" s="114"/>
      <c r="M1033" s="114">
        <f>tblAquisições[[#This Row],[VALOR UNITARIO COMPRADO]]*tblAquisições[[#This Row],[QUANTIDADE COMPRADA]]</f>
        <v>0</v>
      </c>
      <c r="N1033" s="110">
        <f>K1033-tblAquisições[[#This Row],[QUANTIDADE PLANEJADA]]</f>
        <v>-200</v>
      </c>
      <c r="O1033" s="106" t="str">
        <f t="shared" si="33"/>
        <v>Faltando Comprar</v>
      </c>
    </row>
    <row r="1034" spans="1:15" ht="31.5">
      <c r="A1034" s="16" t="s">
        <v>17</v>
      </c>
      <c r="B1034" s="16" t="s">
        <v>28</v>
      </c>
      <c r="C1034" s="17" t="s">
        <v>19</v>
      </c>
      <c r="D1034" s="18" t="s">
        <v>606</v>
      </c>
      <c r="E1034" s="18">
        <v>700</v>
      </c>
      <c r="F1034" s="18" t="s">
        <v>21</v>
      </c>
      <c r="G1034" s="18" t="s">
        <v>22</v>
      </c>
      <c r="H1034" s="18" t="s">
        <v>83</v>
      </c>
      <c r="I1034" s="19">
        <v>4</v>
      </c>
      <c r="J1034" s="20">
        <f t="shared" si="32"/>
        <v>2800</v>
      </c>
      <c r="K1034" s="106"/>
      <c r="L1034" s="114"/>
      <c r="M1034" s="114">
        <f>tblAquisições[[#This Row],[VALOR UNITARIO COMPRADO]]*tblAquisições[[#This Row],[QUANTIDADE COMPRADA]]</f>
        <v>0</v>
      </c>
      <c r="N1034" s="110">
        <f>K1034-tblAquisições[[#This Row],[QUANTIDADE PLANEJADA]]</f>
        <v>-700</v>
      </c>
      <c r="O1034" s="106" t="str">
        <f t="shared" si="33"/>
        <v>Faltando Comprar</v>
      </c>
    </row>
    <row r="1035" spans="1:15" ht="31.5">
      <c r="A1035" s="16" t="s">
        <v>17</v>
      </c>
      <c r="B1035" s="16" t="s">
        <v>26</v>
      </c>
      <c r="C1035" s="17" t="s">
        <v>19</v>
      </c>
      <c r="D1035" s="18" t="s">
        <v>607</v>
      </c>
      <c r="E1035" s="18">
        <v>12</v>
      </c>
      <c r="F1035" s="18" t="s">
        <v>30</v>
      </c>
      <c r="G1035" s="18" t="s">
        <v>22</v>
      </c>
      <c r="H1035" s="18" t="s">
        <v>23</v>
      </c>
      <c r="I1035" s="19">
        <v>121.52</v>
      </c>
      <c r="J1035" s="20">
        <f t="shared" si="32"/>
        <v>1458.24</v>
      </c>
      <c r="K1035" s="106"/>
      <c r="L1035" s="114"/>
      <c r="M1035" s="114">
        <f>tblAquisições[[#This Row],[VALOR UNITARIO COMPRADO]]*tblAquisições[[#This Row],[QUANTIDADE COMPRADA]]</f>
        <v>0</v>
      </c>
      <c r="N1035" s="110">
        <f>K1035-tblAquisições[[#This Row],[QUANTIDADE PLANEJADA]]</f>
        <v>-12</v>
      </c>
      <c r="O1035" s="106" t="str">
        <f t="shared" si="33"/>
        <v>Faltando Comprar</v>
      </c>
    </row>
    <row r="1036" spans="1:15" ht="31.5">
      <c r="A1036" s="16" t="s">
        <v>17</v>
      </c>
      <c r="B1036" s="16" t="s">
        <v>26</v>
      </c>
      <c r="C1036" s="17" t="s">
        <v>19</v>
      </c>
      <c r="D1036" s="18" t="s">
        <v>608</v>
      </c>
      <c r="E1036" s="18">
        <v>8</v>
      </c>
      <c r="F1036" s="18" t="s">
        <v>30</v>
      </c>
      <c r="G1036" s="18" t="s">
        <v>22</v>
      </c>
      <c r="H1036" s="18" t="s">
        <v>23</v>
      </c>
      <c r="I1036" s="19">
        <v>29.72</v>
      </c>
      <c r="J1036" s="20">
        <f t="shared" si="32"/>
        <v>237.76</v>
      </c>
      <c r="K1036" s="106"/>
      <c r="L1036" s="114"/>
      <c r="M1036" s="114">
        <f>tblAquisições[[#This Row],[VALOR UNITARIO COMPRADO]]*tblAquisições[[#This Row],[QUANTIDADE COMPRADA]]</f>
        <v>0</v>
      </c>
      <c r="N1036" s="110">
        <f>K1036-tblAquisições[[#This Row],[QUANTIDADE PLANEJADA]]</f>
        <v>-8</v>
      </c>
      <c r="O1036" s="106" t="str">
        <f t="shared" si="33"/>
        <v>Faltando Comprar</v>
      </c>
    </row>
    <row r="1037" spans="1:15" ht="31.5">
      <c r="A1037" s="16" t="s">
        <v>17</v>
      </c>
      <c r="B1037" s="16" t="s">
        <v>26</v>
      </c>
      <c r="C1037" s="17" t="s">
        <v>19</v>
      </c>
      <c r="D1037" s="18" t="s">
        <v>609</v>
      </c>
      <c r="E1037" s="18">
        <v>80</v>
      </c>
      <c r="F1037" s="18" t="s">
        <v>30</v>
      </c>
      <c r="G1037" s="18" t="s">
        <v>22</v>
      </c>
      <c r="H1037" s="18" t="s">
        <v>83</v>
      </c>
      <c r="I1037" s="19">
        <v>139.88999999999999</v>
      </c>
      <c r="J1037" s="20">
        <f t="shared" si="32"/>
        <v>11191.199999999999</v>
      </c>
      <c r="K1037" s="106"/>
      <c r="L1037" s="114"/>
      <c r="M1037" s="114">
        <f>tblAquisições[[#This Row],[VALOR UNITARIO COMPRADO]]*tblAquisições[[#This Row],[QUANTIDADE COMPRADA]]</f>
        <v>0</v>
      </c>
      <c r="N1037" s="110">
        <f>K1037-tblAquisições[[#This Row],[QUANTIDADE PLANEJADA]]</f>
        <v>-80</v>
      </c>
      <c r="O1037" s="106" t="str">
        <f t="shared" si="33"/>
        <v>Faltando Comprar</v>
      </c>
    </row>
    <row r="1038" spans="1:15" ht="47.25">
      <c r="A1038" s="16" t="s">
        <v>17</v>
      </c>
      <c r="B1038" s="16" t="s">
        <v>80</v>
      </c>
      <c r="C1038" s="17" t="s">
        <v>19</v>
      </c>
      <c r="D1038" s="18" t="s">
        <v>610</v>
      </c>
      <c r="E1038" s="18">
        <v>30</v>
      </c>
      <c r="F1038" s="18" t="s">
        <v>96</v>
      </c>
      <c r="G1038" s="18" t="s">
        <v>39</v>
      </c>
      <c r="H1038" s="18" t="s">
        <v>23</v>
      </c>
      <c r="I1038" s="19">
        <v>12.12</v>
      </c>
      <c r="J1038" s="20">
        <f t="shared" si="32"/>
        <v>363.59999999999997</v>
      </c>
      <c r="K1038" s="106"/>
      <c r="L1038" s="114"/>
      <c r="M1038" s="114">
        <f>tblAquisições[[#This Row],[VALOR UNITARIO COMPRADO]]*tblAquisições[[#This Row],[QUANTIDADE COMPRADA]]</f>
        <v>0</v>
      </c>
      <c r="N1038" s="110">
        <f>K1038-tblAquisições[[#This Row],[QUANTIDADE PLANEJADA]]</f>
        <v>-30</v>
      </c>
      <c r="O1038" s="106" t="str">
        <f t="shared" si="33"/>
        <v>Faltando Comprar</v>
      </c>
    </row>
    <row r="1039" spans="1:15" ht="47.25">
      <c r="A1039" s="16" t="s">
        <v>17</v>
      </c>
      <c r="B1039" s="16" t="s">
        <v>26</v>
      </c>
      <c r="C1039" s="17" t="s">
        <v>19</v>
      </c>
      <c r="D1039" s="18" t="s">
        <v>611</v>
      </c>
      <c r="E1039" s="18">
        <v>10</v>
      </c>
      <c r="F1039" s="18" t="s">
        <v>58</v>
      </c>
      <c r="G1039" s="18" t="s">
        <v>22</v>
      </c>
      <c r="H1039" s="18" t="s">
        <v>23</v>
      </c>
      <c r="I1039" s="19">
        <v>29.89</v>
      </c>
      <c r="J1039" s="20">
        <f t="shared" si="32"/>
        <v>298.89999999999998</v>
      </c>
      <c r="K1039" s="106"/>
      <c r="L1039" s="114"/>
      <c r="M1039" s="114">
        <f>tblAquisições[[#This Row],[VALOR UNITARIO COMPRADO]]*tblAquisições[[#This Row],[QUANTIDADE COMPRADA]]</f>
        <v>0</v>
      </c>
      <c r="N1039" s="110">
        <f>K1039-tblAquisições[[#This Row],[QUANTIDADE PLANEJADA]]</f>
        <v>-10</v>
      </c>
      <c r="O1039" s="106" t="str">
        <f t="shared" si="33"/>
        <v>Faltando Comprar</v>
      </c>
    </row>
    <row r="1040" spans="1:15" ht="47.25">
      <c r="A1040" s="16" t="s">
        <v>17</v>
      </c>
      <c r="B1040" s="16" t="s">
        <v>72</v>
      </c>
      <c r="C1040" s="17" t="s">
        <v>19</v>
      </c>
      <c r="D1040" s="18" t="s">
        <v>612</v>
      </c>
      <c r="E1040" s="18">
        <v>5</v>
      </c>
      <c r="F1040" s="18" t="s">
        <v>58</v>
      </c>
      <c r="G1040" s="18" t="s">
        <v>22</v>
      </c>
      <c r="H1040" s="18" t="s">
        <v>23</v>
      </c>
      <c r="I1040" s="19">
        <v>11.1</v>
      </c>
      <c r="J1040" s="20">
        <f t="shared" si="32"/>
        <v>55.5</v>
      </c>
      <c r="K1040" s="106"/>
      <c r="L1040" s="114"/>
      <c r="M1040" s="114">
        <f>tblAquisições[[#This Row],[VALOR UNITARIO COMPRADO]]*tblAquisições[[#This Row],[QUANTIDADE COMPRADA]]</f>
        <v>0</v>
      </c>
      <c r="N1040" s="110">
        <f>K1040-tblAquisições[[#This Row],[QUANTIDADE PLANEJADA]]</f>
        <v>-5</v>
      </c>
      <c r="O1040" s="106" t="str">
        <f t="shared" si="33"/>
        <v>Faltando Comprar</v>
      </c>
    </row>
    <row r="1041" spans="1:15" ht="47.25">
      <c r="A1041" s="16" t="s">
        <v>17</v>
      </c>
      <c r="B1041" s="16" t="s">
        <v>28</v>
      </c>
      <c r="C1041" s="17" t="s">
        <v>19</v>
      </c>
      <c r="D1041" s="18" t="s">
        <v>613</v>
      </c>
      <c r="E1041" s="18">
        <v>10</v>
      </c>
      <c r="F1041" s="18" t="s">
        <v>78</v>
      </c>
      <c r="G1041" s="18" t="s">
        <v>22</v>
      </c>
      <c r="H1041" s="18" t="s">
        <v>53</v>
      </c>
      <c r="I1041" s="19">
        <v>509.9</v>
      </c>
      <c r="J1041" s="20">
        <f t="shared" si="32"/>
        <v>5099</v>
      </c>
      <c r="K1041" s="106"/>
      <c r="L1041" s="114"/>
      <c r="M1041" s="114">
        <f>tblAquisições[[#This Row],[VALOR UNITARIO COMPRADO]]*tblAquisições[[#This Row],[QUANTIDADE COMPRADA]]</f>
        <v>0</v>
      </c>
      <c r="N1041" s="110">
        <f>K1041-tblAquisições[[#This Row],[QUANTIDADE PLANEJADA]]</f>
        <v>-10</v>
      </c>
      <c r="O1041" s="106" t="str">
        <f t="shared" si="33"/>
        <v>Faltando Comprar</v>
      </c>
    </row>
    <row r="1042" spans="1:15" ht="47.25">
      <c r="A1042" s="16" t="s">
        <v>17</v>
      </c>
      <c r="B1042" s="16" t="s">
        <v>80</v>
      </c>
      <c r="C1042" s="17" t="s">
        <v>19</v>
      </c>
      <c r="D1042" s="18" t="s">
        <v>614</v>
      </c>
      <c r="E1042" s="18">
        <v>1</v>
      </c>
      <c r="F1042" s="18" t="s">
        <v>191</v>
      </c>
      <c r="G1042" s="18" t="s">
        <v>39</v>
      </c>
      <c r="H1042" s="18" t="s">
        <v>65</v>
      </c>
      <c r="I1042" s="24">
        <v>228</v>
      </c>
      <c r="J1042" s="20">
        <f t="shared" si="32"/>
        <v>228</v>
      </c>
      <c r="K1042" s="106"/>
      <c r="L1042" s="114"/>
      <c r="M1042" s="114">
        <f>tblAquisições[[#This Row],[VALOR UNITARIO COMPRADO]]*tblAquisições[[#This Row],[QUANTIDADE COMPRADA]]</f>
        <v>0</v>
      </c>
      <c r="N1042" s="110">
        <f>K1042-tblAquisições[[#This Row],[QUANTIDADE PLANEJADA]]</f>
        <v>-1</v>
      </c>
      <c r="O1042" s="106" t="str">
        <f t="shared" si="33"/>
        <v>Faltando Comprar</v>
      </c>
    </row>
    <row r="1043" spans="1:15" ht="47.25">
      <c r="A1043" s="16" t="s">
        <v>17</v>
      </c>
      <c r="B1043" s="16" t="s">
        <v>80</v>
      </c>
      <c r="C1043" s="17" t="s">
        <v>19</v>
      </c>
      <c r="D1043" s="18" t="s">
        <v>615</v>
      </c>
      <c r="E1043" s="18">
        <v>1</v>
      </c>
      <c r="F1043" s="18" t="s">
        <v>96</v>
      </c>
      <c r="G1043" s="18" t="s">
        <v>39</v>
      </c>
      <c r="H1043" s="18" t="s">
        <v>65</v>
      </c>
      <c r="I1043" s="24">
        <v>81.28</v>
      </c>
      <c r="J1043" s="20">
        <f t="shared" si="32"/>
        <v>81.28</v>
      </c>
      <c r="K1043" s="106"/>
      <c r="L1043" s="114"/>
      <c r="M1043" s="114">
        <f>tblAquisições[[#This Row],[VALOR UNITARIO COMPRADO]]*tblAquisições[[#This Row],[QUANTIDADE COMPRADA]]</f>
        <v>0</v>
      </c>
      <c r="N1043" s="110">
        <f>K1043-tblAquisições[[#This Row],[QUANTIDADE PLANEJADA]]</f>
        <v>-1</v>
      </c>
      <c r="O1043" s="106" t="str">
        <f t="shared" si="33"/>
        <v>Faltando Comprar</v>
      </c>
    </row>
    <row r="1044" spans="1:15" ht="47.25">
      <c r="A1044" s="16" t="s">
        <v>17</v>
      </c>
      <c r="B1044" s="16" t="s">
        <v>26</v>
      </c>
      <c r="C1044" s="17" t="s">
        <v>19</v>
      </c>
      <c r="D1044" s="18" t="s">
        <v>616</v>
      </c>
      <c r="E1044" s="18">
        <v>35</v>
      </c>
      <c r="F1044" s="18" t="s">
        <v>239</v>
      </c>
      <c r="G1044" s="18" t="s">
        <v>22</v>
      </c>
      <c r="H1044" s="18" t="s">
        <v>23</v>
      </c>
      <c r="I1044" s="19">
        <v>11.02</v>
      </c>
      <c r="J1044" s="20">
        <f t="shared" si="32"/>
        <v>385.7</v>
      </c>
      <c r="K1044" s="106"/>
      <c r="L1044" s="114"/>
      <c r="M1044" s="114">
        <f>tblAquisições[[#This Row],[VALOR UNITARIO COMPRADO]]*tblAquisições[[#This Row],[QUANTIDADE COMPRADA]]</f>
        <v>0</v>
      </c>
      <c r="N1044" s="110">
        <f>K1044-tblAquisições[[#This Row],[QUANTIDADE PLANEJADA]]</f>
        <v>-35</v>
      </c>
      <c r="O1044" s="106" t="str">
        <f t="shared" si="33"/>
        <v>Faltando Comprar</v>
      </c>
    </row>
    <row r="1045" spans="1:15" ht="47.25">
      <c r="A1045" s="16" t="s">
        <v>17</v>
      </c>
      <c r="B1045" s="16" t="s">
        <v>80</v>
      </c>
      <c r="C1045" s="17" t="s">
        <v>19</v>
      </c>
      <c r="D1045" s="18" t="s">
        <v>617</v>
      </c>
      <c r="E1045" s="18">
        <v>10</v>
      </c>
      <c r="F1045" s="18" t="s">
        <v>191</v>
      </c>
      <c r="G1045" s="18" t="s">
        <v>39</v>
      </c>
      <c r="H1045" s="18" t="s">
        <v>23</v>
      </c>
      <c r="I1045" s="19">
        <v>8.02</v>
      </c>
      <c r="J1045" s="20">
        <f t="shared" si="32"/>
        <v>80.199999999999989</v>
      </c>
      <c r="K1045" s="106"/>
      <c r="L1045" s="114"/>
      <c r="M1045" s="114">
        <f>tblAquisições[[#This Row],[VALOR UNITARIO COMPRADO]]*tblAquisições[[#This Row],[QUANTIDADE COMPRADA]]</f>
        <v>0</v>
      </c>
      <c r="N1045" s="110">
        <f>K1045-tblAquisições[[#This Row],[QUANTIDADE PLANEJADA]]</f>
        <v>-10</v>
      </c>
      <c r="O1045" s="106" t="str">
        <f t="shared" si="33"/>
        <v>Faltando Comprar</v>
      </c>
    </row>
    <row r="1046" spans="1:15" ht="31.5">
      <c r="A1046" s="16" t="s">
        <v>17</v>
      </c>
      <c r="B1046" s="16" t="s">
        <v>80</v>
      </c>
      <c r="C1046" s="17" t="s">
        <v>19</v>
      </c>
      <c r="D1046" s="18" t="s">
        <v>618</v>
      </c>
      <c r="E1046" s="18">
        <v>6</v>
      </c>
      <c r="F1046" s="18" t="s">
        <v>38</v>
      </c>
      <c r="G1046" s="18" t="s">
        <v>39</v>
      </c>
      <c r="H1046" s="18" t="s">
        <v>23</v>
      </c>
      <c r="I1046" s="19">
        <v>516.41999999999996</v>
      </c>
      <c r="J1046" s="20">
        <f t="shared" si="32"/>
        <v>3098.5199999999995</v>
      </c>
      <c r="K1046" s="106"/>
      <c r="L1046" s="114"/>
      <c r="M1046" s="114">
        <f>tblAquisições[[#This Row],[VALOR UNITARIO COMPRADO]]*tblAquisições[[#This Row],[QUANTIDADE COMPRADA]]</f>
        <v>0</v>
      </c>
      <c r="N1046" s="110">
        <f>K1046-tblAquisições[[#This Row],[QUANTIDADE PLANEJADA]]</f>
        <v>-6</v>
      </c>
      <c r="O1046" s="106" t="str">
        <f t="shared" si="33"/>
        <v>Faltando Comprar</v>
      </c>
    </row>
    <row r="1047" spans="1:15" ht="31.5">
      <c r="A1047" s="16" t="s">
        <v>17</v>
      </c>
      <c r="B1047" s="16" t="s">
        <v>18</v>
      </c>
      <c r="C1047" s="17" t="s">
        <v>19</v>
      </c>
      <c r="D1047" s="18" t="s">
        <v>619</v>
      </c>
      <c r="E1047" s="18">
        <v>10</v>
      </c>
      <c r="F1047" s="18" t="s">
        <v>21</v>
      </c>
      <c r="G1047" s="18" t="s">
        <v>22</v>
      </c>
      <c r="H1047" s="18" t="s">
        <v>23</v>
      </c>
      <c r="I1047" s="19">
        <v>516.41999999999996</v>
      </c>
      <c r="J1047" s="20">
        <f t="shared" si="32"/>
        <v>5164.2</v>
      </c>
      <c r="K1047" s="106"/>
      <c r="L1047" s="114"/>
      <c r="M1047" s="114">
        <f>tblAquisições[[#This Row],[VALOR UNITARIO COMPRADO]]*tblAquisições[[#This Row],[QUANTIDADE COMPRADA]]</f>
        <v>0</v>
      </c>
      <c r="N1047" s="110">
        <f>K1047-tblAquisições[[#This Row],[QUANTIDADE PLANEJADA]]</f>
        <v>-10</v>
      </c>
      <c r="O1047" s="106" t="str">
        <f t="shared" si="33"/>
        <v>Faltando Comprar</v>
      </c>
    </row>
    <row r="1048" spans="1:15" ht="31.5">
      <c r="A1048" s="16" t="s">
        <v>17</v>
      </c>
      <c r="B1048" s="16" t="s">
        <v>24</v>
      </c>
      <c r="C1048" s="17" t="s">
        <v>19</v>
      </c>
      <c r="D1048" s="18" t="s">
        <v>619</v>
      </c>
      <c r="E1048" s="18">
        <v>10</v>
      </c>
      <c r="F1048" s="18" t="s">
        <v>21</v>
      </c>
      <c r="G1048" s="18" t="s">
        <v>22</v>
      </c>
      <c r="H1048" s="18" t="s">
        <v>23</v>
      </c>
      <c r="I1048" s="19">
        <v>516.41999999999996</v>
      </c>
      <c r="J1048" s="20">
        <f t="shared" si="32"/>
        <v>5164.2</v>
      </c>
      <c r="K1048" s="106"/>
      <c r="L1048" s="114"/>
      <c r="M1048" s="114">
        <f>tblAquisições[[#This Row],[VALOR UNITARIO COMPRADO]]*tblAquisições[[#This Row],[QUANTIDADE COMPRADA]]</f>
        <v>0</v>
      </c>
      <c r="N1048" s="110">
        <f>K1048-tblAquisições[[#This Row],[QUANTIDADE PLANEJADA]]</f>
        <v>-10</v>
      </c>
      <c r="O1048" s="106" t="str">
        <f t="shared" si="33"/>
        <v>Faltando Comprar</v>
      </c>
    </row>
    <row r="1049" spans="1:15" ht="31.5">
      <c r="A1049" s="16" t="s">
        <v>17</v>
      </c>
      <c r="B1049" s="16" t="s">
        <v>25</v>
      </c>
      <c r="C1049" s="17" t="s">
        <v>19</v>
      </c>
      <c r="D1049" s="18" t="s">
        <v>619</v>
      </c>
      <c r="E1049" s="18">
        <v>10</v>
      </c>
      <c r="F1049" s="18" t="s">
        <v>21</v>
      </c>
      <c r="G1049" s="18" t="s">
        <v>22</v>
      </c>
      <c r="H1049" s="18" t="s">
        <v>23</v>
      </c>
      <c r="I1049" s="19">
        <v>516.41999999999996</v>
      </c>
      <c r="J1049" s="20">
        <f t="shared" si="32"/>
        <v>5164.2</v>
      </c>
      <c r="K1049" s="106"/>
      <c r="L1049" s="114"/>
      <c r="M1049" s="114">
        <f>tblAquisições[[#This Row],[VALOR UNITARIO COMPRADO]]*tblAquisições[[#This Row],[QUANTIDADE COMPRADA]]</f>
        <v>0</v>
      </c>
      <c r="N1049" s="110">
        <f>K1049-tblAquisições[[#This Row],[QUANTIDADE PLANEJADA]]</f>
        <v>-10</v>
      </c>
      <c r="O1049" s="106" t="str">
        <f t="shared" si="33"/>
        <v>Faltando Comprar</v>
      </c>
    </row>
    <row r="1050" spans="1:15" ht="31.5">
      <c r="A1050" s="16" t="s">
        <v>17</v>
      </c>
      <c r="B1050" s="16" t="s">
        <v>41</v>
      </c>
      <c r="C1050" s="17" t="s">
        <v>19</v>
      </c>
      <c r="D1050" s="18" t="s">
        <v>619</v>
      </c>
      <c r="E1050" s="18">
        <v>6</v>
      </c>
      <c r="F1050" s="18" t="s">
        <v>21</v>
      </c>
      <c r="G1050" s="18" t="s">
        <v>22</v>
      </c>
      <c r="H1050" s="18" t="s">
        <v>23</v>
      </c>
      <c r="I1050" s="19">
        <v>516.41999999999996</v>
      </c>
      <c r="J1050" s="20">
        <f t="shared" si="32"/>
        <v>3098.5199999999995</v>
      </c>
      <c r="K1050" s="106"/>
      <c r="L1050" s="114"/>
      <c r="M1050" s="114">
        <f>tblAquisições[[#This Row],[VALOR UNITARIO COMPRADO]]*tblAquisições[[#This Row],[QUANTIDADE COMPRADA]]</f>
        <v>0</v>
      </c>
      <c r="N1050" s="110">
        <f>K1050-tblAquisições[[#This Row],[QUANTIDADE PLANEJADA]]</f>
        <v>-6</v>
      </c>
      <c r="O1050" s="106" t="str">
        <f t="shared" si="33"/>
        <v>Faltando Comprar</v>
      </c>
    </row>
    <row r="1051" spans="1:15" ht="31.5">
      <c r="A1051" s="16" t="s">
        <v>17</v>
      </c>
      <c r="B1051" s="16" t="s">
        <v>26</v>
      </c>
      <c r="C1051" s="17" t="s">
        <v>19</v>
      </c>
      <c r="D1051" s="18" t="s">
        <v>619</v>
      </c>
      <c r="E1051" s="18">
        <v>5</v>
      </c>
      <c r="F1051" s="18" t="s">
        <v>21</v>
      </c>
      <c r="G1051" s="18" t="s">
        <v>22</v>
      </c>
      <c r="H1051" s="18" t="s">
        <v>23</v>
      </c>
      <c r="I1051" s="19">
        <v>516.41999999999996</v>
      </c>
      <c r="J1051" s="20">
        <f t="shared" si="32"/>
        <v>2582.1</v>
      </c>
      <c r="K1051" s="106"/>
      <c r="L1051" s="114"/>
      <c r="M1051" s="114">
        <f>tblAquisições[[#This Row],[VALOR UNITARIO COMPRADO]]*tblAquisições[[#This Row],[QUANTIDADE COMPRADA]]</f>
        <v>0</v>
      </c>
      <c r="N1051" s="110">
        <f>K1051-tblAquisições[[#This Row],[QUANTIDADE PLANEJADA]]</f>
        <v>-5</v>
      </c>
      <c r="O1051" s="106" t="str">
        <f t="shared" si="33"/>
        <v>Faltando Comprar</v>
      </c>
    </row>
    <row r="1052" spans="1:15" ht="31.5">
      <c r="A1052" s="16" t="s">
        <v>17</v>
      </c>
      <c r="B1052" s="16" t="s">
        <v>28</v>
      </c>
      <c r="C1052" s="17" t="s">
        <v>19</v>
      </c>
      <c r="D1052" s="18" t="s">
        <v>619</v>
      </c>
      <c r="E1052" s="18">
        <v>40</v>
      </c>
      <c r="F1052" s="18" t="s">
        <v>21</v>
      </c>
      <c r="G1052" s="18" t="s">
        <v>22</v>
      </c>
      <c r="H1052" s="18" t="s">
        <v>23</v>
      </c>
      <c r="I1052" s="19">
        <v>516.41999999999996</v>
      </c>
      <c r="J1052" s="20">
        <f t="shared" si="32"/>
        <v>20656.8</v>
      </c>
      <c r="K1052" s="106"/>
      <c r="L1052" s="114"/>
      <c r="M1052" s="114">
        <f>tblAquisições[[#This Row],[VALOR UNITARIO COMPRADO]]*tblAquisições[[#This Row],[QUANTIDADE COMPRADA]]</f>
        <v>0</v>
      </c>
      <c r="N1052" s="110">
        <f>K1052-tblAquisições[[#This Row],[QUANTIDADE PLANEJADA]]</f>
        <v>-40</v>
      </c>
      <c r="O1052" s="106" t="str">
        <f t="shared" si="33"/>
        <v>Faltando Comprar</v>
      </c>
    </row>
    <row r="1053" spans="1:15" ht="31.5">
      <c r="A1053" s="16" t="s">
        <v>17</v>
      </c>
      <c r="B1053" s="16" t="s">
        <v>28</v>
      </c>
      <c r="C1053" s="17" t="s">
        <v>19</v>
      </c>
      <c r="D1053" s="18" t="s">
        <v>620</v>
      </c>
      <c r="E1053" s="18">
        <v>20</v>
      </c>
      <c r="F1053" s="18" t="s">
        <v>21</v>
      </c>
      <c r="G1053" s="18" t="s">
        <v>22</v>
      </c>
      <c r="H1053" s="18" t="s">
        <v>23</v>
      </c>
      <c r="I1053" s="19">
        <v>4.3099999999999996</v>
      </c>
      <c r="J1053" s="20">
        <f t="shared" si="32"/>
        <v>86.199999999999989</v>
      </c>
      <c r="K1053" s="106"/>
      <c r="L1053" s="114"/>
      <c r="M1053" s="114">
        <f>tblAquisições[[#This Row],[VALOR UNITARIO COMPRADO]]*tblAquisições[[#This Row],[QUANTIDADE COMPRADA]]</f>
        <v>0</v>
      </c>
      <c r="N1053" s="110">
        <f>K1053-tblAquisições[[#This Row],[QUANTIDADE PLANEJADA]]</f>
        <v>-20</v>
      </c>
      <c r="O1053" s="106" t="str">
        <f t="shared" si="33"/>
        <v>Faltando Comprar</v>
      </c>
    </row>
    <row r="1054" spans="1:15" ht="31.5">
      <c r="A1054" s="16" t="s">
        <v>17</v>
      </c>
      <c r="B1054" s="16" t="s">
        <v>28</v>
      </c>
      <c r="C1054" s="17" t="s">
        <v>19</v>
      </c>
      <c r="D1054" s="18" t="s">
        <v>621</v>
      </c>
      <c r="E1054" s="18">
        <v>360</v>
      </c>
      <c r="F1054" s="18" t="s">
        <v>21</v>
      </c>
      <c r="G1054" s="18" t="s">
        <v>22</v>
      </c>
      <c r="H1054" s="18" t="s">
        <v>23</v>
      </c>
      <c r="I1054" s="19">
        <v>0.75</v>
      </c>
      <c r="J1054" s="20">
        <f t="shared" si="32"/>
        <v>270</v>
      </c>
      <c r="K1054" s="106"/>
      <c r="L1054" s="114"/>
      <c r="M1054" s="114">
        <f>tblAquisições[[#This Row],[VALOR UNITARIO COMPRADO]]*tblAquisições[[#This Row],[QUANTIDADE COMPRADA]]</f>
        <v>0</v>
      </c>
      <c r="N1054" s="110">
        <f>K1054-tblAquisições[[#This Row],[QUANTIDADE PLANEJADA]]</f>
        <v>-360</v>
      </c>
      <c r="O1054" s="106" t="str">
        <f t="shared" si="33"/>
        <v>Faltando Comprar</v>
      </c>
    </row>
    <row r="1055" spans="1:15" ht="31.5">
      <c r="A1055" s="16" t="s">
        <v>17</v>
      </c>
      <c r="B1055" s="16" t="s">
        <v>17</v>
      </c>
      <c r="C1055" s="17" t="s">
        <v>19</v>
      </c>
      <c r="D1055" s="18" t="s">
        <v>622</v>
      </c>
      <c r="E1055" s="18">
        <v>3500</v>
      </c>
      <c r="F1055" s="18" t="s">
        <v>38</v>
      </c>
      <c r="G1055" s="18" t="s">
        <v>39</v>
      </c>
      <c r="H1055" s="18" t="s">
        <v>23</v>
      </c>
      <c r="I1055" s="19">
        <v>0.5</v>
      </c>
      <c r="J1055" s="20">
        <f t="shared" si="32"/>
        <v>1750</v>
      </c>
      <c r="K1055" s="106"/>
      <c r="L1055" s="114"/>
      <c r="M1055" s="114">
        <f>tblAquisições[[#This Row],[VALOR UNITARIO COMPRADO]]*tblAquisições[[#This Row],[QUANTIDADE COMPRADA]]</f>
        <v>0</v>
      </c>
      <c r="N1055" s="110">
        <f>K1055-tblAquisições[[#This Row],[QUANTIDADE PLANEJADA]]</f>
        <v>-3500</v>
      </c>
      <c r="O1055" s="106" t="str">
        <f t="shared" si="33"/>
        <v>Faltando Comprar</v>
      </c>
    </row>
    <row r="1056" spans="1:15" ht="31.5">
      <c r="A1056" s="16" t="s">
        <v>17</v>
      </c>
      <c r="B1056" s="16" t="s">
        <v>80</v>
      </c>
      <c r="C1056" s="17" t="s">
        <v>19</v>
      </c>
      <c r="D1056" s="18" t="s">
        <v>622</v>
      </c>
      <c r="E1056" s="18">
        <v>3500</v>
      </c>
      <c r="F1056" s="18" t="s">
        <v>38</v>
      </c>
      <c r="G1056" s="18" t="s">
        <v>39</v>
      </c>
      <c r="H1056" s="18" t="s">
        <v>23</v>
      </c>
      <c r="I1056" s="19">
        <v>0.5</v>
      </c>
      <c r="J1056" s="20">
        <f t="shared" si="32"/>
        <v>1750</v>
      </c>
      <c r="K1056" s="106"/>
      <c r="L1056" s="114"/>
      <c r="M1056" s="114">
        <f>tblAquisições[[#This Row],[VALOR UNITARIO COMPRADO]]*tblAquisições[[#This Row],[QUANTIDADE COMPRADA]]</f>
        <v>0</v>
      </c>
      <c r="N1056" s="110">
        <f>K1056-tblAquisições[[#This Row],[QUANTIDADE PLANEJADA]]</f>
        <v>-3500</v>
      </c>
      <c r="O1056" s="106" t="str">
        <f t="shared" si="33"/>
        <v>Faltando Comprar</v>
      </c>
    </row>
    <row r="1057" spans="1:15" ht="31.5">
      <c r="A1057" s="16" t="s">
        <v>17</v>
      </c>
      <c r="B1057" s="16" t="s">
        <v>80</v>
      </c>
      <c r="C1057" s="17" t="s">
        <v>19</v>
      </c>
      <c r="D1057" s="18" t="s">
        <v>623</v>
      </c>
      <c r="E1057" s="18">
        <v>30</v>
      </c>
      <c r="F1057" s="18" t="s">
        <v>38</v>
      </c>
      <c r="G1057" s="18" t="s">
        <v>39</v>
      </c>
      <c r="H1057" s="21"/>
      <c r="I1057" s="19">
        <v>8.9600000000000009</v>
      </c>
      <c r="J1057" s="20">
        <f t="shared" si="32"/>
        <v>268.8</v>
      </c>
      <c r="K1057" s="106"/>
      <c r="L1057" s="114"/>
      <c r="M1057" s="114">
        <f>tblAquisições[[#This Row],[VALOR UNITARIO COMPRADO]]*tblAquisições[[#This Row],[QUANTIDADE COMPRADA]]</f>
        <v>0</v>
      </c>
      <c r="N1057" s="110">
        <f>K1057-tblAquisições[[#This Row],[QUANTIDADE PLANEJADA]]</f>
        <v>-30</v>
      </c>
      <c r="O1057" s="106" t="str">
        <f t="shared" si="33"/>
        <v>Faltando Comprar</v>
      </c>
    </row>
    <row r="1058" spans="1:15" ht="31.5">
      <c r="A1058" s="16" t="s">
        <v>17</v>
      </c>
      <c r="B1058" s="16" t="s">
        <v>26</v>
      </c>
      <c r="C1058" s="17" t="s">
        <v>19</v>
      </c>
      <c r="D1058" s="18" t="s">
        <v>624</v>
      </c>
      <c r="E1058" s="18">
        <v>20</v>
      </c>
      <c r="F1058" s="18" t="s">
        <v>30</v>
      </c>
      <c r="G1058" s="18" t="s">
        <v>22</v>
      </c>
      <c r="H1058" s="18" t="s">
        <v>23</v>
      </c>
      <c r="I1058" s="19">
        <v>47.48</v>
      </c>
      <c r="J1058" s="20">
        <f t="shared" si="32"/>
        <v>949.59999999999991</v>
      </c>
      <c r="K1058" s="106"/>
      <c r="L1058" s="114"/>
      <c r="M1058" s="114">
        <f>tblAquisições[[#This Row],[VALOR UNITARIO COMPRADO]]*tblAquisições[[#This Row],[QUANTIDADE COMPRADA]]</f>
        <v>0</v>
      </c>
      <c r="N1058" s="110">
        <f>K1058-tblAquisições[[#This Row],[QUANTIDADE PLANEJADA]]</f>
        <v>-20</v>
      </c>
      <c r="O1058" s="106" t="str">
        <f t="shared" si="33"/>
        <v>Faltando Comprar</v>
      </c>
    </row>
    <row r="1059" spans="1:15" ht="47.25">
      <c r="A1059" s="16" t="s">
        <v>17</v>
      </c>
      <c r="B1059" s="16" t="s">
        <v>28</v>
      </c>
      <c r="C1059" s="17" t="s">
        <v>19</v>
      </c>
      <c r="D1059" s="18" t="s">
        <v>625</v>
      </c>
      <c r="E1059" s="18">
        <v>25</v>
      </c>
      <c r="F1059" s="18" t="s">
        <v>78</v>
      </c>
      <c r="G1059" s="18" t="s">
        <v>22</v>
      </c>
      <c r="H1059" s="18" t="s">
        <v>23</v>
      </c>
      <c r="I1059" s="19">
        <v>12.38</v>
      </c>
      <c r="J1059" s="20">
        <f t="shared" si="32"/>
        <v>309.5</v>
      </c>
      <c r="K1059" s="106"/>
      <c r="L1059" s="114"/>
      <c r="M1059" s="114">
        <f>tblAquisições[[#This Row],[VALOR UNITARIO COMPRADO]]*tblAquisições[[#This Row],[QUANTIDADE COMPRADA]]</f>
        <v>0</v>
      </c>
      <c r="N1059" s="110">
        <f>K1059-tblAquisições[[#This Row],[QUANTIDADE PLANEJADA]]</f>
        <v>-25</v>
      </c>
      <c r="O1059" s="106" t="str">
        <f t="shared" si="33"/>
        <v>Faltando Comprar</v>
      </c>
    </row>
    <row r="1060" spans="1:15" ht="47.25">
      <c r="A1060" s="16" t="s">
        <v>17</v>
      </c>
      <c r="B1060" s="16" t="s">
        <v>34</v>
      </c>
      <c r="C1060" s="17" t="s">
        <v>19</v>
      </c>
      <c r="D1060" s="18" t="s">
        <v>626</v>
      </c>
      <c r="E1060" s="18">
        <v>2</v>
      </c>
      <c r="F1060" s="18" t="s">
        <v>78</v>
      </c>
      <c r="G1060" s="18" t="s">
        <v>22</v>
      </c>
      <c r="H1060" s="18" t="s">
        <v>23</v>
      </c>
      <c r="I1060" s="19">
        <v>38.28</v>
      </c>
      <c r="J1060" s="20">
        <f t="shared" si="32"/>
        <v>76.56</v>
      </c>
      <c r="K1060" s="106"/>
      <c r="L1060" s="114"/>
      <c r="M1060" s="114">
        <f>tblAquisições[[#This Row],[VALOR UNITARIO COMPRADO]]*tblAquisições[[#This Row],[QUANTIDADE COMPRADA]]</f>
        <v>0</v>
      </c>
      <c r="N1060" s="110">
        <f>K1060-tblAquisições[[#This Row],[QUANTIDADE PLANEJADA]]</f>
        <v>-2</v>
      </c>
      <c r="O1060" s="106" t="str">
        <f t="shared" si="33"/>
        <v>Faltando Comprar</v>
      </c>
    </row>
    <row r="1061" spans="1:15" ht="47.25">
      <c r="A1061" s="16" t="s">
        <v>17</v>
      </c>
      <c r="B1061" s="16" t="s">
        <v>28</v>
      </c>
      <c r="C1061" s="17" t="s">
        <v>19</v>
      </c>
      <c r="D1061" s="18" t="s">
        <v>626</v>
      </c>
      <c r="E1061" s="18">
        <v>15</v>
      </c>
      <c r="F1061" s="18" t="s">
        <v>78</v>
      </c>
      <c r="G1061" s="18" t="s">
        <v>22</v>
      </c>
      <c r="H1061" s="18" t="s">
        <v>23</v>
      </c>
      <c r="I1061" s="19">
        <v>38.28</v>
      </c>
      <c r="J1061" s="20">
        <f t="shared" si="32"/>
        <v>574.20000000000005</v>
      </c>
      <c r="K1061" s="106"/>
      <c r="L1061" s="114"/>
      <c r="M1061" s="114">
        <f>tblAquisições[[#This Row],[VALOR UNITARIO COMPRADO]]*tblAquisições[[#This Row],[QUANTIDADE COMPRADA]]</f>
        <v>0</v>
      </c>
      <c r="N1061" s="110">
        <f>K1061-tblAquisições[[#This Row],[QUANTIDADE PLANEJADA]]</f>
        <v>-15</v>
      </c>
      <c r="O1061" s="106" t="str">
        <f t="shared" si="33"/>
        <v>Faltando Comprar</v>
      </c>
    </row>
    <row r="1062" spans="1:15" ht="47.25">
      <c r="A1062" s="16" t="s">
        <v>17</v>
      </c>
      <c r="B1062" s="16" t="s">
        <v>28</v>
      </c>
      <c r="C1062" s="17" t="s">
        <v>19</v>
      </c>
      <c r="D1062" s="18" t="s">
        <v>627</v>
      </c>
      <c r="E1062" s="18">
        <v>10</v>
      </c>
      <c r="F1062" s="18" t="s">
        <v>78</v>
      </c>
      <c r="G1062" s="18" t="s">
        <v>22</v>
      </c>
      <c r="H1062" s="18" t="s">
        <v>23</v>
      </c>
      <c r="I1062" s="19">
        <v>16.510000000000002</v>
      </c>
      <c r="J1062" s="20">
        <f t="shared" si="32"/>
        <v>165.10000000000002</v>
      </c>
      <c r="K1062" s="106"/>
      <c r="L1062" s="114"/>
      <c r="M1062" s="114">
        <f>tblAquisições[[#This Row],[VALOR UNITARIO COMPRADO]]*tblAquisições[[#This Row],[QUANTIDADE COMPRADA]]</f>
        <v>0</v>
      </c>
      <c r="N1062" s="110">
        <f>K1062-tblAquisições[[#This Row],[QUANTIDADE PLANEJADA]]</f>
        <v>-10</v>
      </c>
      <c r="O1062" s="106" t="str">
        <f t="shared" si="33"/>
        <v>Faltando Comprar</v>
      </c>
    </row>
    <row r="1063" spans="1:15" ht="47.25">
      <c r="A1063" s="16" t="s">
        <v>17</v>
      </c>
      <c r="B1063" s="16" t="s">
        <v>34</v>
      </c>
      <c r="C1063" s="17" t="s">
        <v>19</v>
      </c>
      <c r="D1063" s="18" t="s">
        <v>628</v>
      </c>
      <c r="E1063" s="18">
        <v>20</v>
      </c>
      <c r="F1063" s="18" t="s">
        <v>78</v>
      </c>
      <c r="G1063" s="18" t="s">
        <v>22</v>
      </c>
      <c r="H1063" s="18" t="s">
        <v>23</v>
      </c>
      <c r="I1063" s="19">
        <v>15.89</v>
      </c>
      <c r="J1063" s="20">
        <f t="shared" si="32"/>
        <v>317.8</v>
      </c>
      <c r="K1063" s="106"/>
      <c r="L1063" s="114"/>
      <c r="M1063" s="114">
        <f>tblAquisições[[#This Row],[VALOR UNITARIO COMPRADO]]*tblAquisições[[#This Row],[QUANTIDADE COMPRADA]]</f>
        <v>0</v>
      </c>
      <c r="N1063" s="110">
        <f>K1063-tblAquisições[[#This Row],[QUANTIDADE PLANEJADA]]</f>
        <v>-20</v>
      </c>
      <c r="O1063" s="106" t="str">
        <f t="shared" si="33"/>
        <v>Faltando Comprar</v>
      </c>
    </row>
    <row r="1064" spans="1:15" ht="47.25">
      <c r="A1064" s="16" t="s">
        <v>17</v>
      </c>
      <c r="B1064" s="16" t="s">
        <v>31</v>
      </c>
      <c r="C1064" s="17" t="s">
        <v>19</v>
      </c>
      <c r="D1064" s="18" t="s">
        <v>628</v>
      </c>
      <c r="E1064" s="18">
        <v>20</v>
      </c>
      <c r="F1064" s="18" t="s">
        <v>78</v>
      </c>
      <c r="G1064" s="18" t="s">
        <v>22</v>
      </c>
      <c r="H1064" s="18" t="s">
        <v>83</v>
      </c>
      <c r="I1064" s="19">
        <v>15.89</v>
      </c>
      <c r="J1064" s="20">
        <f t="shared" si="32"/>
        <v>317.8</v>
      </c>
      <c r="K1064" s="106"/>
      <c r="L1064" s="114"/>
      <c r="M1064" s="114">
        <f>tblAquisições[[#This Row],[VALOR UNITARIO COMPRADO]]*tblAquisições[[#This Row],[QUANTIDADE COMPRADA]]</f>
        <v>0</v>
      </c>
      <c r="N1064" s="110">
        <f>K1064-tblAquisições[[#This Row],[QUANTIDADE PLANEJADA]]</f>
        <v>-20</v>
      </c>
      <c r="O1064" s="106" t="str">
        <f t="shared" si="33"/>
        <v>Faltando Comprar</v>
      </c>
    </row>
    <row r="1065" spans="1:15" ht="47.25">
      <c r="A1065" s="16" t="s">
        <v>17</v>
      </c>
      <c r="B1065" s="16" t="s">
        <v>80</v>
      </c>
      <c r="C1065" s="17" t="s">
        <v>19</v>
      </c>
      <c r="D1065" s="18" t="s">
        <v>629</v>
      </c>
      <c r="E1065" s="18">
        <v>1</v>
      </c>
      <c r="F1065" s="18" t="s">
        <v>147</v>
      </c>
      <c r="G1065" s="18" t="s">
        <v>39</v>
      </c>
      <c r="H1065" s="18" t="s">
        <v>23</v>
      </c>
      <c r="I1065" s="19">
        <v>40.81</v>
      </c>
      <c r="J1065" s="20">
        <f t="shared" si="32"/>
        <v>40.81</v>
      </c>
      <c r="K1065" s="106"/>
      <c r="L1065" s="114"/>
      <c r="M1065" s="114">
        <f>tblAquisições[[#This Row],[VALOR UNITARIO COMPRADO]]*tblAquisições[[#This Row],[QUANTIDADE COMPRADA]]</f>
        <v>0</v>
      </c>
      <c r="N1065" s="110">
        <f>K1065-tblAquisições[[#This Row],[QUANTIDADE PLANEJADA]]</f>
        <v>-1</v>
      </c>
      <c r="O1065" s="106" t="str">
        <f t="shared" si="33"/>
        <v>Faltando Comprar</v>
      </c>
    </row>
    <row r="1066" spans="1:15" ht="47.25">
      <c r="A1066" s="16" t="s">
        <v>17</v>
      </c>
      <c r="B1066" s="16" t="s">
        <v>80</v>
      </c>
      <c r="C1066" s="17" t="s">
        <v>19</v>
      </c>
      <c r="D1066" s="18" t="s">
        <v>630</v>
      </c>
      <c r="E1066" s="18">
        <v>1</v>
      </c>
      <c r="F1066" s="18" t="s">
        <v>147</v>
      </c>
      <c r="G1066" s="18" t="s">
        <v>39</v>
      </c>
      <c r="H1066" s="18" t="s">
        <v>23</v>
      </c>
      <c r="I1066" s="19">
        <v>524.16</v>
      </c>
      <c r="J1066" s="20">
        <f t="shared" si="32"/>
        <v>524.16</v>
      </c>
      <c r="K1066" s="106"/>
      <c r="L1066" s="114"/>
      <c r="M1066" s="114">
        <f>tblAquisições[[#This Row],[VALOR UNITARIO COMPRADO]]*tblAquisições[[#This Row],[QUANTIDADE COMPRADA]]</f>
        <v>0</v>
      </c>
      <c r="N1066" s="110">
        <f>K1066-tblAquisições[[#This Row],[QUANTIDADE PLANEJADA]]</f>
        <v>-1</v>
      </c>
      <c r="O1066" s="106" t="str">
        <f t="shared" si="33"/>
        <v>Faltando Comprar</v>
      </c>
    </row>
    <row r="1067" spans="1:15" ht="47.25">
      <c r="A1067" s="16" t="s">
        <v>17</v>
      </c>
      <c r="B1067" s="16" t="s">
        <v>28</v>
      </c>
      <c r="C1067" s="17" t="s">
        <v>19</v>
      </c>
      <c r="D1067" s="18" t="s">
        <v>631</v>
      </c>
      <c r="E1067" s="18">
        <v>1</v>
      </c>
      <c r="F1067" s="18" t="s">
        <v>78</v>
      </c>
      <c r="G1067" s="18" t="s">
        <v>22</v>
      </c>
      <c r="H1067" s="18" t="s">
        <v>23</v>
      </c>
      <c r="I1067" s="19">
        <v>524.16</v>
      </c>
      <c r="J1067" s="20">
        <f t="shared" si="32"/>
        <v>524.16</v>
      </c>
      <c r="K1067" s="106"/>
      <c r="L1067" s="114"/>
      <c r="M1067" s="114">
        <f>tblAquisições[[#This Row],[VALOR UNITARIO COMPRADO]]*tblAquisições[[#This Row],[QUANTIDADE COMPRADA]]</f>
        <v>0</v>
      </c>
      <c r="N1067" s="110">
        <f>K1067-tblAquisições[[#This Row],[QUANTIDADE PLANEJADA]]</f>
        <v>-1</v>
      </c>
      <c r="O1067" s="106" t="str">
        <f t="shared" si="33"/>
        <v>Faltando Comprar</v>
      </c>
    </row>
    <row r="1068" spans="1:15" ht="31.5">
      <c r="A1068" s="16" t="s">
        <v>17</v>
      </c>
      <c r="B1068" s="16" t="s">
        <v>28</v>
      </c>
      <c r="C1068" s="17" t="s">
        <v>19</v>
      </c>
      <c r="D1068" s="18" t="s">
        <v>632</v>
      </c>
      <c r="E1068" s="18">
        <v>100</v>
      </c>
      <c r="F1068" s="18" t="s">
        <v>21</v>
      </c>
      <c r="G1068" s="18" t="s">
        <v>22</v>
      </c>
      <c r="H1068" s="18" t="s">
        <v>23</v>
      </c>
      <c r="I1068" s="19">
        <v>5.34</v>
      </c>
      <c r="J1068" s="20">
        <f t="shared" si="32"/>
        <v>534</v>
      </c>
      <c r="K1068" s="106"/>
      <c r="L1068" s="114"/>
      <c r="M1068" s="114">
        <f>tblAquisições[[#This Row],[VALOR UNITARIO COMPRADO]]*tblAquisições[[#This Row],[QUANTIDADE COMPRADA]]</f>
        <v>0</v>
      </c>
      <c r="N1068" s="110">
        <f>K1068-tblAquisições[[#This Row],[QUANTIDADE PLANEJADA]]</f>
        <v>-100</v>
      </c>
      <c r="O1068" s="106" t="str">
        <f t="shared" si="33"/>
        <v>Faltando Comprar</v>
      </c>
    </row>
    <row r="1069" spans="1:15" ht="31.5">
      <c r="A1069" s="16" t="s">
        <v>17</v>
      </c>
      <c r="B1069" s="16" t="s">
        <v>34</v>
      </c>
      <c r="C1069" s="17" t="s">
        <v>19</v>
      </c>
      <c r="D1069" s="18" t="s">
        <v>633</v>
      </c>
      <c r="E1069" s="18">
        <v>15</v>
      </c>
      <c r="F1069" s="18" t="s">
        <v>21</v>
      </c>
      <c r="G1069" s="18" t="s">
        <v>22</v>
      </c>
      <c r="H1069" s="18" t="s">
        <v>23</v>
      </c>
      <c r="I1069" s="19">
        <v>4.74</v>
      </c>
      <c r="J1069" s="20">
        <f t="shared" si="32"/>
        <v>71.100000000000009</v>
      </c>
      <c r="K1069" s="106"/>
      <c r="L1069" s="114"/>
      <c r="M1069" s="114">
        <f>tblAquisições[[#This Row],[VALOR UNITARIO COMPRADO]]*tblAquisições[[#This Row],[QUANTIDADE COMPRADA]]</f>
        <v>0</v>
      </c>
      <c r="N1069" s="110">
        <f>K1069-tblAquisições[[#This Row],[QUANTIDADE PLANEJADA]]</f>
        <v>-15</v>
      </c>
      <c r="O1069" s="106" t="str">
        <f t="shared" si="33"/>
        <v>Faltando Comprar</v>
      </c>
    </row>
    <row r="1070" spans="1:15" ht="31.5">
      <c r="A1070" s="16" t="s">
        <v>17</v>
      </c>
      <c r="B1070" s="16" t="s">
        <v>41</v>
      </c>
      <c r="C1070" s="17" t="s">
        <v>19</v>
      </c>
      <c r="D1070" s="18" t="s">
        <v>634</v>
      </c>
      <c r="E1070" s="18">
        <v>20</v>
      </c>
      <c r="F1070" s="18" t="s">
        <v>21</v>
      </c>
      <c r="G1070" s="18" t="s">
        <v>22</v>
      </c>
      <c r="H1070" s="18" t="s">
        <v>23</v>
      </c>
      <c r="I1070" s="19">
        <v>34.51</v>
      </c>
      <c r="J1070" s="20">
        <f t="shared" si="32"/>
        <v>690.19999999999993</v>
      </c>
      <c r="K1070" s="106"/>
      <c r="L1070" s="114"/>
      <c r="M1070" s="114">
        <f>tblAquisições[[#This Row],[VALOR UNITARIO COMPRADO]]*tblAquisições[[#This Row],[QUANTIDADE COMPRADA]]</f>
        <v>0</v>
      </c>
      <c r="N1070" s="110">
        <f>K1070-tblAquisições[[#This Row],[QUANTIDADE PLANEJADA]]</f>
        <v>-20</v>
      </c>
      <c r="O1070" s="106" t="str">
        <f t="shared" si="33"/>
        <v>Faltando Comprar</v>
      </c>
    </row>
    <row r="1071" spans="1:15" ht="31.5">
      <c r="A1071" s="16" t="s">
        <v>17</v>
      </c>
      <c r="B1071" s="16" t="s">
        <v>28</v>
      </c>
      <c r="C1071" s="17" t="s">
        <v>19</v>
      </c>
      <c r="D1071" s="18" t="s">
        <v>634</v>
      </c>
      <c r="E1071" s="18">
        <v>70</v>
      </c>
      <c r="F1071" s="18" t="s">
        <v>21</v>
      </c>
      <c r="G1071" s="18" t="s">
        <v>22</v>
      </c>
      <c r="H1071" s="18" t="s">
        <v>23</v>
      </c>
      <c r="I1071" s="19">
        <v>34.51</v>
      </c>
      <c r="J1071" s="20">
        <f t="shared" si="32"/>
        <v>2415.6999999999998</v>
      </c>
      <c r="K1071" s="106"/>
      <c r="L1071" s="114"/>
      <c r="M1071" s="114">
        <f>tblAquisições[[#This Row],[VALOR UNITARIO COMPRADO]]*tblAquisições[[#This Row],[QUANTIDADE COMPRADA]]</f>
        <v>0</v>
      </c>
      <c r="N1071" s="110">
        <f>K1071-tblAquisições[[#This Row],[QUANTIDADE PLANEJADA]]</f>
        <v>-70</v>
      </c>
      <c r="O1071" s="106" t="str">
        <f t="shared" si="33"/>
        <v>Faltando Comprar</v>
      </c>
    </row>
    <row r="1072" spans="1:15" ht="47.25">
      <c r="A1072" s="16" t="s">
        <v>17</v>
      </c>
      <c r="B1072" s="16" t="s">
        <v>34</v>
      </c>
      <c r="C1072" s="17" t="s">
        <v>19</v>
      </c>
      <c r="D1072" s="18" t="s">
        <v>635</v>
      </c>
      <c r="E1072" s="18">
        <v>2</v>
      </c>
      <c r="F1072" s="18" t="s">
        <v>78</v>
      </c>
      <c r="G1072" s="18" t="s">
        <v>22</v>
      </c>
      <c r="H1072" s="18" t="s">
        <v>23</v>
      </c>
      <c r="I1072" s="19">
        <v>39.06</v>
      </c>
      <c r="J1072" s="20">
        <f t="shared" si="32"/>
        <v>78.12</v>
      </c>
      <c r="K1072" s="106"/>
      <c r="L1072" s="114"/>
      <c r="M1072" s="114">
        <f>tblAquisições[[#This Row],[VALOR UNITARIO COMPRADO]]*tblAquisições[[#This Row],[QUANTIDADE COMPRADA]]</f>
        <v>0</v>
      </c>
      <c r="N1072" s="110">
        <f>K1072-tblAquisições[[#This Row],[QUANTIDADE PLANEJADA]]</f>
        <v>-2</v>
      </c>
      <c r="O1072" s="106" t="str">
        <f t="shared" si="33"/>
        <v>Faltando Comprar</v>
      </c>
    </row>
    <row r="1073" spans="1:15" ht="31.5">
      <c r="A1073" s="16" t="s">
        <v>17</v>
      </c>
      <c r="B1073" s="16" t="s">
        <v>92</v>
      </c>
      <c r="C1073" s="17" t="s">
        <v>19</v>
      </c>
      <c r="D1073" s="18" t="s">
        <v>636</v>
      </c>
      <c r="E1073" s="18">
        <v>1200</v>
      </c>
      <c r="F1073" s="18" t="s">
        <v>38</v>
      </c>
      <c r="G1073" s="18" t="s">
        <v>39</v>
      </c>
      <c r="H1073" s="18" t="s">
        <v>23</v>
      </c>
      <c r="I1073" s="19">
        <v>132.22</v>
      </c>
      <c r="J1073" s="20">
        <f t="shared" si="32"/>
        <v>158664</v>
      </c>
      <c r="K1073" s="106"/>
      <c r="L1073" s="114"/>
      <c r="M1073" s="114">
        <f>tblAquisições[[#This Row],[VALOR UNITARIO COMPRADO]]*tblAquisições[[#This Row],[QUANTIDADE COMPRADA]]</f>
        <v>0</v>
      </c>
      <c r="N1073" s="110">
        <f>K1073-tblAquisições[[#This Row],[QUANTIDADE PLANEJADA]]</f>
        <v>-1200</v>
      </c>
      <c r="O1073" s="106" t="str">
        <f t="shared" si="33"/>
        <v>Faltando Comprar</v>
      </c>
    </row>
    <row r="1074" spans="1:15" ht="31.5">
      <c r="A1074" s="16" t="s">
        <v>17</v>
      </c>
      <c r="B1074" s="16" t="s">
        <v>18</v>
      </c>
      <c r="C1074" s="17" t="s">
        <v>19</v>
      </c>
      <c r="D1074" s="18" t="s">
        <v>637</v>
      </c>
      <c r="E1074" s="18">
        <v>30</v>
      </c>
      <c r="F1074" s="18" t="s">
        <v>21</v>
      </c>
      <c r="G1074" s="18" t="s">
        <v>22</v>
      </c>
      <c r="H1074" s="18" t="s">
        <v>23</v>
      </c>
      <c r="I1074" s="19">
        <v>16</v>
      </c>
      <c r="J1074" s="20">
        <f t="shared" si="32"/>
        <v>480</v>
      </c>
      <c r="K1074" s="106"/>
      <c r="L1074" s="114"/>
      <c r="M1074" s="114">
        <f>tblAquisições[[#This Row],[VALOR UNITARIO COMPRADO]]*tblAquisições[[#This Row],[QUANTIDADE COMPRADA]]</f>
        <v>0</v>
      </c>
      <c r="N1074" s="110">
        <f>K1074-tblAquisições[[#This Row],[QUANTIDADE PLANEJADA]]</f>
        <v>-30</v>
      </c>
      <c r="O1074" s="106" t="str">
        <f t="shared" si="33"/>
        <v>Faltando Comprar</v>
      </c>
    </row>
    <row r="1075" spans="1:15" ht="31.5">
      <c r="A1075" s="16" t="s">
        <v>17</v>
      </c>
      <c r="B1075" s="16" t="s">
        <v>24</v>
      </c>
      <c r="C1075" s="17" t="s">
        <v>19</v>
      </c>
      <c r="D1075" s="18" t="s">
        <v>637</v>
      </c>
      <c r="E1075" s="18">
        <v>30</v>
      </c>
      <c r="F1075" s="18" t="s">
        <v>21</v>
      </c>
      <c r="G1075" s="18" t="s">
        <v>22</v>
      </c>
      <c r="H1075" s="18" t="s">
        <v>23</v>
      </c>
      <c r="I1075" s="19">
        <v>16</v>
      </c>
      <c r="J1075" s="20">
        <f t="shared" si="32"/>
        <v>480</v>
      </c>
      <c r="K1075" s="106"/>
      <c r="L1075" s="114"/>
      <c r="M1075" s="114">
        <f>tblAquisições[[#This Row],[VALOR UNITARIO COMPRADO]]*tblAquisições[[#This Row],[QUANTIDADE COMPRADA]]</f>
        <v>0</v>
      </c>
      <c r="N1075" s="110">
        <f>K1075-tblAquisições[[#This Row],[QUANTIDADE PLANEJADA]]</f>
        <v>-30</v>
      </c>
      <c r="O1075" s="106" t="str">
        <f t="shared" si="33"/>
        <v>Faltando Comprar</v>
      </c>
    </row>
    <row r="1076" spans="1:15" ht="31.5">
      <c r="A1076" s="16" t="s">
        <v>17</v>
      </c>
      <c r="B1076" s="16" t="s">
        <v>25</v>
      </c>
      <c r="C1076" s="17" t="s">
        <v>19</v>
      </c>
      <c r="D1076" s="18" t="s">
        <v>637</v>
      </c>
      <c r="E1076" s="18">
        <v>30</v>
      </c>
      <c r="F1076" s="18" t="s">
        <v>21</v>
      </c>
      <c r="G1076" s="18" t="s">
        <v>22</v>
      </c>
      <c r="H1076" s="18" t="s">
        <v>23</v>
      </c>
      <c r="I1076" s="19">
        <v>16</v>
      </c>
      <c r="J1076" s="20">
        <f t="shared" si="32"/>
        <v>480</v>
      </c>
      <c r="K1076" s="106"/>
      <c r="L1076" s="114"/>
      <c r="M1076" s="114">
        <f>tblAquisições[[#This Row],[VALOR UNITARIO COMPRADO]]*tblAquisições[[#This Row],[QUANTIDADE COMPRADA]]</f>
        <v>0</v>
      </c>
      <c r="N1076" s="110">
        <f>K1076-tblAquisições[[#This Row],[QUANTIDADE PLANEJADA]]</f>
        <v>-30</v>
      </c>
      <c r="O1076" s="106" t="str">
        <f t="shared" si="33"/>
        <v>Faltando Comprar</v>
      </c>
    </row>
    <row r="1077" spans="1:15" ht="47.25">
      <c r="A1077" s="16" t="s">
        <v>17</v>
      </c>
      <c r="B1077" s="16" t="s">
        <v>28</v>
      </c>
      <c r="C1077" s="17" t="s">
        <v>19</v>
      </c>
      <c r="D1077" s="18" t="s">
        <v>638</v>
      </c>
      <c r="E1077" s="18">
        <v>30</v>
      </c>
      <c r="F1077" s="18" t="s">
        <v>78</v>
      </c>
      <c r="G1077" s="18" t="s">
        <v>22</v>
      </c>
      <c r="H1077" s="18" t="s">
        <v>23</v>
      </c>
      <c r="I1077" s="19">
        <v>62.91</v>
      </c>
      <c r="J1077" s="20">
        <f t="shared" si="32"/>
        <v>1887.3</v>
      </c>
      <c r="K1077" s="106"/>
      <c r="L1077" s="114"/>
      <c r="M1077" s="114">
        <f>tblAquisições[[#This Row],[VALOR UNITARIO COMPRADO]]*tblAquisições[[#This Row],[QUANTIDADE COMPRADA]]</f>
        <v>0</v>
      </c>
      <c r="N1077" s="110">
        <f>K1077-tblAquisições[[#This Row],[QUANTIDADE PLANEJADA]]</f>
        <v>-30</v>
      </c>
      <c r="O1077" s="106" t="str">
        <f t="shared" si="33"/>
        <v>Faltando Comprar</v>
      </c>
    </row>
    <row r="1078" spans="1:15" ht="31.5">
      <c r="A1078" s="16" t="s">
        <v>17</v>
      </c>
      <c r="B1078" s="16" t="s">
        <v>25</v>
      </c>
      <c r="C1078" s="17" t="s">
        <v>19</v>
      </c>
      <c r="D1078" s="18" t="s">
        <v>639</v>
      </c>
      <c r="E1078" s="18">
        <v>50</v>
      </c>
      <c r="F1078" s="18" t="s">
        <v>21</v>
      </c>
      <c r="G1078" s="18" t="s">
        <v>22</v>
      </c>
      <c r="H1078" s="18" t="s">
        <v>23</v>
      </c>
      <c r="I1078" s="19">
        <v>4.74</v>
      </c>
      <c r="J1078" s="20">
        <f t="shared" si="32"/>
        <v>237</v>
      </c>
      <c r="K1078" s="106"/>
      <c r="L1078" s="114"/>
      <c r="M1078" s="114">
        <f>tblAquisições[[#This Row],[VALOR UNITARIO COMPRADO]]*tblAquisições[[#This Row],[QUANTIDADE COMPRADA]]</f>
        <v>0</v>
      </c>
      <c r="N1078" s="110">
        <f>K1078-tblAquisições[[#This Row],[QUANTIDADE PLANEJADA]]</f>
        <v>-50</v>
      </c>
      <c r="O1078" s="106" t="str">
        <f t="shared" si="33"/>
        <v>Faltando Comprar</v>
      </c>
    </row>
    <row r="1079" spans="1:15" ht="31.5">
      <c r="A1079" s="16" t="s">
        <v>17</v>
      </c>
      <c r="B1079" s="16" t="s">
        <v>27</v>
      </c>
      <c r="C1079" s="17" t="s">
        <v>19</v>
      </c>
      <c r="D1079" s="18" t="s">
        <v>639</v>
      </c>
      <c r="E1079" s="18">
        <v>50</v>
      </c>
      <c r="F1079" s="18" t="s">
        <v>21</v>
      </c>
      <c r="G1079" s="18" t="s">
        <v>22</v>
      </c>
      <c r="H1079" s="18" t="s">
        <v>23</v>
      </c>
      <c r="I1079" s="19">
        <v>4.74</v>
      </c>
      <c r="J1079" s="20">
        <f t="shared" si="32"/>
        <v>237</v>
      </c>
      <c r="K1079" s="106"/>
      <c r="L1079" s="114"/>
      <c r="M1079" s="114">
        <f>tblAquisições[[#This Row],[VALOR UNITARIO COMPRADO]]*tblAquisições[[#This Row],[QUANTIDADE COMPRADA]]</f>
        <v>0</v>
      </c>
      <c r="N1079" s="110">
        <f>K1079-tblAquisições[[#This Row],[QUANTIDADE PLANEJADA]]</f>
        <v>-50</v>
      </c>
      <c r="O1079" s="106" t="str">
        <f t="shared" si="33"/>
        <v>Faltando Comprar</v>
      </c>
    </row>
    <row r="1080" spans="1:15" ht="47.25">
      <c r="A1080" s="16" t="s">
        <v>17</v>
      </c>
      <c r="B1080" s="16" t="s">
        <v>17</v>
      </c>
      <c r="C1080" s="17" t="s">
        <v>19</v>
      </c>
      <c r="D1080" s="18" t="s">
        <v>640</v>
      </c>
      <c r="E1080" s="18">
        <v>5</v>
      </c>
      <c r="F1080" s="18" t="s">
        <v>147</v>
      </c>
      <c r="G1080" s="18" t="s">
        <v>39</v>
      </c>
      <c r="H1080" s="18" t="s">
        <v>65</v>
      </c>
      <c r="I1080" s="24">
        <v>62.99</v>
      </c>
      <c r="J1080" s="20">
        <f t="shared" si="32"/>
        <v>314.95</v>
      </c>
      <c r="K1080" s="106"/>
      <c r="L1080" s="114"/>
      <c r="M1080" s="114">
        <f>tblAquisições[[#This Row],[VALOR UNITARIO COMPRADO]]*tblAquisições[[#This Row],[QUANTIDADE COMPRADA]]</f>
        <v>0</v>
      </c>
      <c r="N1080" s="110">
        <f>K1080-tblAquisições[[#This Row],[QUANTIDADE PLANEJADA]]</f>
        <v>-5</v>
      </c>
      <c r="O1080" s="106" t="str">
        <f t="shared" si="33"/>
        <v>Faltando Comprar</v>
      </c>
    </row>
    <row r="1081" spans="1:15" ht="47.25">
      <c r="A1081" s="16" t="s">
        <v>17</v>
      </c>
      <c r="B1081" s="16" t="s">
        <v>26</v>
      </c>
      <c r="C1081" s="17" t="s">
        <v>19</v>
      </c>
      <c r="D1081" s="18" t="s">
        <v>641</v>
      </c>
      <c r="E1081" s="18">
        <v>12</v>
      </c>
      <c r="F1081" s="18" t="s">
        <v>78</v>
      </c>
      <c r="G1081" s="18" t="s">
        <v>22</v>
      </c>
      <c r="H1081" s="18" t="s">
        <v>23</v>
      </c>
      <c r="I1081" s="19">
        <v>11.34</v>
      </c>
      <c r="J1081" s="20">
        <f t="shared" si="32"/>
        <v>136.07999999999998</v>
      </c>
      <c r="K1081" s="106"/>
      <c r="L1081" s="114"/>
      <c r="M1081" s="114">
        <f>tblAquisições[[#This Row],[VALOR UNITARIO COMPRADO]]*tblAquisições[[#This Row],[QUANTIDADE COMPRADA]]</f>
        <v>0</v>
      </c>
      <c r="N1081" s="110">
        <f>K1081-tblAquisições[[#This Row],[QUANTIDADE PLANEJADA]]</f>
        <v>-12</v>
      </c>
      <c r="O1081" s="106" t="str">
        <f t="shared" si="33"/>
        <v>Faltando Comprar</v>
      </c>
    </row>
    <row r="1082" spans="1:15" ht="47.25">
      <c r="A1082" s="16" t="s">
        <v>17</v>
      </c>
      <c r="B1082" s="16" t="s">
        <v>28</v>
      </c>
      <c r="C1082" s="17" t="s">
        <v>19</v>
      </c>
      <c r="D1082" s="18" t="s">
        <v>641</v>
      </c>
      <c r="E1082" s="18">
        <v>10</v>
      </c>
      <c r="F1082" s="18" t="s">
        <v>78</v>
      </c>
      <c r="G1082" s="18" t="s">
        <v>22</v>
      </c>
      <c r="H1082" s="18" t="s">
        <v>53</v>
      </c>
      <c r="I1082" s="19">
        <v>11.34</v>
      </c>
      <c r="J1082" s="20">
        <f t="shared" si="32"/>
        <v>113.4</v>
      </c>
      <c r="K1082" s="106"/>
      <c r="L1082" s="114"/>
      <c r="M1082" s="114">
        <f>tblAquisições[[#This Row],[VALOR UNITARIO COMPRADO]]*tblAquisições[[#This Row],[QUANTIDADE COMPRADA]]</f>
        <v>0</v>
      </c>
      <c r="N1082" s="110">
        <f>K1082-tblAquisições[[#This Row],[QUANTIDADE PLANEJADA]]</f>
        <v>-10</v>
      </c>
      <c r="O1082" s="106" t="str">
        <f t="shared" si="33"/>
        <v>Faltando Comprar</v>
      </c>
    </row>
    <row r="1083" spans="1:15" ht="31.5">
      <c r="A1083" s="16" t="s">
        <v>17</v>
      </c>
      <c r="B1083" s="16" t="s">
        <v>18</v>
      </c>
      <c r="C1083" s="17" t="s">
        <v>19</v>
      </c>
      <c r="D1083" s="18" t="s">
        <v>642</v>
      </c>
      <c r="E1083" s="18">
        <v>50</v>
      </c>
      <c r="F1083" s="18" t="s">
        <v>21</v>
      </c>
      <c r="G1083" s="18" t="s">
        <v>22</v>
      </c>
      <c r="H1083" s="18" t="s">
        <v>23</v>
      </c>
      <c r="I1083" s="19">
        <v>50.09</v>
      </c>
      <c r="J1083" s="20">
        <f t="shared" si="32"/>
        <v>2504.5</v>
      </c>
      <c r="K1083" s="106"/>
      <c r="L1083" s="114"/>
      <c r="M1083" s="114">
        <f>tblAquisições[[#This Row],[VALOR UNITARIO COMPRADO]]*tblAquisições[[#This Row],[QUANTIDADE COMPRADA]]</f>
        <v>0</v>
      </c>
      <c r="N1083" s="110">
        <f>K1083-tblAquisições[[#This Row],[QUANTIDADE PLANEJADA]]</f>
        <v>-50</v>
      </c>
      <c r="O1083" s="106" t="str">
        <f t="shared" si="33"/>
        <v>Faltando Comprar</v>
      </c>
    </row>
    <row r="1084" spans="1:15" ht="31.5">
      <c r="A1084" s="16" t="s">
        <v>17</v>
      </c>
      <c r="B1084" s="16" t="s">
        <v>24</v>
      </c>
      <c r="C1084" s="17" t="s">
        <v>19</v>
      </c>
      <c r="D1084" s="18" t="s">
        <v>642</v>
      </c>
      <c r="E1084" s="18">
        <v>50</v>
      </c>
      <c r="F1084" s="18" t="s">
        <v>21</v>
      </c>
      <c r="G1084" s="18" t="s">
        <v>22</v>
      </c>
      <c r="H1084" s="18" t="s">
        <v>23</v>
      </c>
      <c r="I1084" s="19">
        <v>50.09</v>
      </c>
      <c r="J1084" s="20">
        <f t="shared" si="32"/>
        <v>2504.5</v>
      </c>
      <c r="K1084" s="106"/>
      <c r="L1084" s="114"/>
      <c r="M1084" s="114">
        <f>tblAquisições[[#This Row],[VALOR UNITARIO COMPRADO]]*tblAquisições[[#This Row],[QUANTIDADE COMPRADA]]</f>
        <v>0</v>
      </c>
      <c r="N1084" s="110">
        <f>K1084-tblAquisições[[#This Row],[QUANTIDADE PLANEJADA]]</f>
        <v>-50</v>
      </c>
      <c r="O1084" s="106" t="str">
        <f t="shared" si="33"/>
        <v>Faltando Comprar</v>
      </c>
    </row>
    <row r="1085" spans="1:15" ht="31.5">
      <c r="A1085" s="16" t="s">
        <v>17</v>
      </c>
      <c r="B1085" s="16" t="s">
        <v>25</v>
      </c>
      <c r="C1085" s="17" t="s">
        <v>19</v>
      </c>
      <c r="D1085" s="18" t="s">
        <v>642</v>
      </c>
      <c r="E1085" s="18">
        <v>50</v>
      </c>
      <c r="F1085" s="18" t="s">
        <v>21</v>
      </c>
      <c r="G1085" s="18" t="s">
        <v>22</v>
      </c>
      <c r="H1085" s="18" t="s">
        <v>23</v>
      </c>
      <c r="I1085" s="19">
        <v>50.09</v>
      </c>
      <c r="J1085" s="20">
        <f t="shared" si="32"/>
        <v>2504.5</v>
      </c>
      <c r="K1085" s="106"/>
      <c r="L1085" s="114"/>
      <c r="M1085" s="114">
        <f>tblAquisições[[#This Row],[VALOR UNITARIO COMPRADO]]*tblAquisições[[#This Row],[QUANTIDADE COMPRADA]]</f>
        <v>0</v>
      </c>
      <c r="N1085" s="110">
        <f>K1085-tblAquisições[[#This Row],[QUANTIDADE PLANEJADA]]</f>
        <v>-50</v>
      </c>
      <c r="O1085" s="106" t="str">
        <f t="shared" si="33"/>
        <v>Faltando Comprar</v>
      </c>
    </row>
    <row r="1086" spans="1:15" ht="31.5">
      <c r="A1086" s="16" t="s">
        <v>17</v>
      </c>
      <c r="B1086" s="16" t="s">
        <v>27</v>
      </c>
      <c r="C1086" s="17" t="s">
        <v>19</v>
      </c>
      <c r="D1086" s="18" t="s">
        <v>642</v>
      </c>
      <c r="E1086" s="18">
        <v>40</v>
      </c>
      <c r="F1086" s="18" t="s">
        <v>21</v>
      </c>
      <c r="G1086" s="18" t="s">
        <v>22</v>
      </c>
      <c r="H1086" s="18" t="s">
        <v>23</v>
      </c>
      <c r="I1086" s="19">
        <v>50.09</v>
      </c>
      <c r="J1086" s="20">
        <f t="shared" si="32"/>
        <v>2003.6000000000001</v>
      </c>
      <c r="K1086" s="106"/>
      <c r="L1086" s="114"/>
      <c r="M1086" s="114">
        <f>tblAquisições[[#This Row],[VALOR UNITARIO COMPRADO]]*tblAquisições[[#This Row],[QUANTIDADE COMPRADA]]</f>
        <v>0</v>
      </c>
      <c r="N1086" s="110">
        <f>K1086-tblAquisições[[#This Row],[QUANTIDADE PLANEJADA]]</f>
        <v>-40</v>
      </c>
      <c r="O1086" s="106" t="str">
        <f t="shared" si="33"/>
        <v>Faltando Comprar</v>
      </c>
    </row>
    <row r="1087" spans="1:15" ht="31.5">
      <c r="A1087" s="16" t="s">
        <v>17</v>
      </c>
      <c r="B1087" s="16" t="s">
        <v>28</v>
      </c>
      <c r="C1087" s="17" t="s">
        <v>19</v>
      </c>
      <c r="D1087" s="18" t="s">
        <v>643</v>
      </c>
      <c r="E1087" s="18">
        <v>20</v>
      </c>
      <c r="F1087" s="18" t="s">
        <v>21</v>
      </c>
      <c r="G1087" s="18" t="s">
        <v>22</v>
      </c>
      <c r="H1087" s="18" t="s">
        <v>23</v>
      </c>
      <c r="I1087" s="19">
        <v>10.220000000000001</v>
      </c>
      <c r="J1087" s="20">
        <f t="shared" si="32"/>
        <v>204.4</v>
      </c>
      <c r="K1087" s="106"/>
      <c r="L1087" s="114"/>
      <c r="M1087" s="114">
        <f>tblAquisições[[#This Row],[VALOR UNITARIO COMPRADO]]*tblAquisições[[#This Row],[QUANTIDADE COMPRADA]]</f>
        <v>0</v>
      </c>
      <c r="N1087" s="110">
        <f>K1087-tblAquisições[[#This Row],[QUANTIDADE PLANEJADA]]</f>
        <v>-20</v>
      </c>
      <c r="O1087" s="106" t="str">
        <f t="shared" si="33"/>
        <v>Faltando Comprar</v>
      </c>
    </row>
    <row r="1088" spans="1:15" ht="47.25">
      <c r="A1088" s="16" t="s">
        <v>17</v>
      </c>
      <c r="B1088" s="16" t="s">
        <v>31</v>
      </c>
      <c r="C1088" s="17" t="s">
        <v>19</v>
      </c>
      <c r="D1088" s="18" t="s">
        <v>644</v>
      </c>
      <c r="E1088" s="18">
        <v>500</v>
      </c>
      <c r="F1088" s="18" t="s">
        <v>78</v>
      </c>
      <c r="G1088" s="18" t="s">
        <v>22</v>
      </c>
      <c r="H1088" s="18" t="s">
        <v>23</v>
      </c>
      <c r="I1088" s="19">
        <v>12.72</v>
      </c>
      <c r="J1088" s="20">
        <f t="shared" si="32"/>
        <v>6360</v>
      </c>
      <c r="K1088" s="106"/>
      <c r="L1088" s="114"/>
      <c r="M1088" s="114">
        <f>tblAquisições[[#This Row],[VALOR UNITARIO COMPRADO]]*tblAquisições[[#This Row],[QUANTIDADE COMPRADA]]</f>
        <v>0</v>
      </c>
      <c r="N1088" s="110">
        <f>K1088-tblAquisições[[#This Row],[QUANTIDADE PLANEJADA]]</f>
        <v>-500</v>
      </c>
      <c r="O1088" s="106" t="str">
        <f t="shared" si="33"/>
        <v>Faltando Comprar</v>
      </c>
    </row>
    <row r="1089" spans="1:15" ht="47.25">
      <c r="A1089" s="16" t="s">
        <v>17</v>
      </c>
      <c r="B1089" s="16" t="s">
        <v>28</v>
      </c>
      <c r="C1089" s="17" t="s">
        <v>19</v>
      </c>
      <c r="D1089" s="18" t="s">
        <v>644</v>
      </c>
      <c r="E1089" s="18">
        <v>25</v>
      </c>
      <c r="F1089" s="18" t="s">
        <v>78</v>
      </c>
      <c r="G1089" s="18" t="s">
        <v>22</v>
      </c>
      <c r="H1089" s="18" t="s">
        <v>53</v>
      </c>
      <c r="I1089" s="19">
        <v>12.72</v>
      </c>
      <c r="J1089" s="20">
        <f t="shared" si="32"/>
        <v>318</v>
      </c>
      <c r="K1089" s="106"/>
      <c r="L1089" s="114"/>
      <c r="M1089" s="114">
        <f>tblAquisições[[#This Row],[VALOR UNITARIO COMPRADO]]*tblAquisições[[#This Row],[QUANTIDADE COMPRADA]]</f>
        <v>0</v>
      </c>
      <c r="N1089" s="110">
        <f>K1089-tblAquisições[[#This Row],[QUANTIDADE PLANEJADA]]</f>
        <v>-25</v>
      </c>
      <c r="O1089" s="106" t="str">
        <f t="shared" si="33"/>
        <v>Faltando Comprar</v>
      </c>
    </row>
    <row r="1090" spans="1:15" ht="31.5">
      <c r="A1090" s="16" t="s">
        <v>17</v>
      </c>
      <c r="B1090" s="16" t="s">
        <v>18</v>
      </c>
      <c r="C1090" s="17" t="s">
        <v>19</v>
      </c>
      <c r="D1090" s="18" t="s">
        <v>645</v>
      </c>
      <c r="E1090" s="18">
        <v>50</v>
      </c>
      <c r="F1090" s="18" t="s">
        <v>21</v>
      </c>
      <c r="G1090" s="18" t="s">
        <v>22</v>
      </c>
      <c r="H1090" s="18" t="s">
        <v>23</v>
      </c>
      <c r="I1090" s="19">
        <v>42.01</v>
      </c>
      <c r="J1090" s="20">
        <f t="shared" ref="J1090:J1153" si="34">E1090*I1090</f>
        <v>2100.5</v>
      </c>
      <c r="K1090" s="106"/>
      <c r="L1090" s="114"/>
      <c r="M1090" s="114">
        <f>tblAquisições[[#This Row],[VALOR UNITARIO COMPRADO]]*tblAquisições[[#This Row],[QUANTIDADE COMPRADA]]</f>
        <v>0</v>
      </c>
      <c r="N1090" s="110">
        <f>K1090-tblAquisições[[#This Row],[QUANTIDADE PLANEJADA]]</f>
        <v>-50</v>
      </c>
      <c r="O1090" s="106" t="str">
        <f t="shared" ref="O1090:O1153" si="35">IF(K1090=E1090,"OK",IF(K1090&lt;E1090,"Faltando Comprar","Excedente"))</f>
        <v>Faltando Comprar</v>
      </c>
    </row>
    <row r="1091" spans="1:15" ht="31.5">
      <c r="A1091" s="16" t="s">
        <v>17</v>
      </c>
      <c r="B1091" s="16" t="s">
        <v>24</v>
      </c>
      <c r="C1091" s="17" t="s">
        <v>19</v>
      </c>
      <c r="D1091" s="18" t="s">
        <v>645</v>
      </c>
      <c r="E1091" s="18">
        <v>50</v>
      </c>
      <c r="F1091" s="18" t="s">
        <v>21</v>
      </c>
      <c r="G1091" s="18" t="s">
        <v>22</v>
      </c>
      <c r="H1091" s="18" t="s">
        <v>23</v>
      </c>
      <c r="I1091" s="19">
        <v>42.01</v>
      </c>
      <c r="J1091" s="20">
        <f t="shared" si="34"/>
        <v>2100.5</v>
      </c>
      <c r="K1091" s="106"/>
      <c r="L1091" s="114"/>
      <c r="M1091" s="114">
        <f>tblAquisições[[#This Row],[VALOR UNITARIO COMPRADO]]*tblAquisições[[#This Row],[QUANTIDADE COMPRADA]]</f>
        <v>0</v>
      </c>
      <c r="N1091" s="110">
        <f>K1091-tblAquisições[[#This Row],[QUANTIDADE PLANEJADA]]</f>
        <v>-50</v>
      </c>
      <c r="O1091" s="106" t="str">
        <f t="shared" si="35"/>
        <v>Faltando Comprar</v>
      </c>
    </row>
    <row r="1092" spans="1:15" ht="31.5">
      <c r="A1092" s="16" t="s">
        <v>17</v>
      </c>
      <c r="B1092" s="16" t="s">
        <v>25</v>
      </c>
      <c r="C1092" s="17" t="s">
        <v>19</v>
      </c>
      <c r="D1092" s="18" t="s">
        <v>645</v>
      </c>
      <c r="E1092" s="18">
        <v>50</v>
      </c>
      <c r="F1092" s="18" t="s">
        <v>21</v>
      </c>
      <c r="G1092" s="18" t="s">
        <v>22</v>
      </c>
      <c r="H1092" s="18" t="s">
        <v>23</v>
      </c>
      <c r="I1092" s="19">
        <v>42.01</v>
      </c>
      <c r="J1092" s="20">
        <f t="shared" si="34"/>
        <v>2100.5</v>
      </c>
      <c r="K1092" s="106"/>
      <c r="L1092" s="114"/>
      <c r="M1092" s="114">
        <f>tblAquisições[[#This Row],[VALOR UNITARIO COMPRADO]]*tblAquisições[[#This Row],[QUANTIDADE COMPRADA]]</f>
        <v>0</v>
      </c>
      <c r="N1092" s="110">
        <f>K1092-tblAquisições[[#This Row],[QUANTIDADE PLANEJADA]]</f>
        <v>-50</v>
      </c>
      <c r="O1092" s="106" t="str">
        <f t="shared" si="35"/>
        <v>Faltando Comprar</v>
      </c>
    </row>
    <row r="1093" spans="1:15" ht="31.5">
      <c r="A1093" s="16" t="s">
        <v>17</v>
      </c>
      <c r="B1093" s="16" t="s">
        <v>80</v>
      </c>
      <c r="C1093" s="17" t="s">
        <v>19</v>
      </c>
      <c r="D1093" s="18" t="s">
        <v>646</v>
      </c>
      <c r="E1093" s="18">
        <v>10</v>
      </c>
      <c r="F1093" s="18" t="s">
        <v>38</v>
      </c>
      <c r="G1093" s="18" t="s">
        <v>39</v>
      </c>
      <c r="H1093" s="18" t="s">
        <v>23</v>
      </c>
      <c r="I1093" s="19">
        <v>319.68</v>
      </c>
      <c r="J1093" s="20">
        <f t="shared" si="34"/>
        <v>3196.8</v>
      </c>
      <c r="K1093" s="106"/>
      <c r="L1093" s="114"/>
      <c r="M1093" s="114">
        <f>tblAquisições[[#This Row],[VALOR UNITARIO COMPRADO]]*tblAquisições[[#This Row],[QUANTIDADE COMPRADA]]</f>
        <v>0</v>
      </c>
      <c r="N1093" s="110">
        <f>K1093-tblAquisições[[#This Row],[QUANTIDADE PLANEJADA]]</f>
        <v>-10</v>
      </c>
      <c r="O1093" s="106" t="str">
        <f t="shared" si="35"/>
        <v>Faltando Comprar</v>
      </c>
    </row>
    <row r="1094" spans="1:15" ht="31.5">
      <c r="A1094" s="16" t="s">
        <v>17</v>
      </c>
      <c r="B1094" s="16" t="s">
        <v>18</v>
      </c>
      <c r="C1094" s="17" t="s">
        <v>19</v>
      </c>
      <c r="D1094" s="18" t="s">
        <v>647</v>
      </c>
      <c r="E1094" s="18">
        <v>20</v>
      </c>
      <c r="F1094" s="18" t="s">
        <v>21</v>
      </c>
      <c r="G1094" s="18" t="s">
        <v>22</v>
      </c>
      <c r="H1094" s="18" t="s">
        <v>23</v>
      </c>
      <c r="I1094" s="19">
        <v>14.628</v>
      </c>
      <c r="J1094" s="20">
        <f t="shared" si="34"/>
        <v>292.56</v>
      </c>
      <c r="K1094" s="106"/>
      <c r="L1094" s="114"/>
      <c r="M1094" s="114">
        <f>tblAquisições[[#This Row],[VALOR UNITARIO COMPRADO]]*tblAquisições[[#This Row],[QUANTIDADE COMPRADA]]</f>
        <v>0</v>
      </c>
      <c r="N1094" s="110">
        <f>K1094-tblAquisições[[#This Row],[QUANTIDADE PLANEJADA]]</f>
        <v>-20</v>
      </c>
      <c r="O1094" s="106" t="str">
        <f t="shared" si="35"/>
        <v>Faltando Comprar</v>
      </c>
    </row>
    <row r="1095" spans="1:15" ht="31.5">
      <c r="A1095" s="16" t="s">
        <v>17</v>
      </c>
      <c r="B1095" s="16" t="s">
        <v>24</v>
      </c>
      <c r="C1095" s="17" t="s">
        <v>19</v>
      </c>
      <c r="D1095" s="18" t="s">
        <v>647</v>
      </c>
      <c r="E1095" s="18">
        <v>20</v>
      </c>
      <c r="F1095" s="18" t="s">
        <v>21</v>
      </c>
      <c r="G1095" s="18" t="s">
        <v>22</v>
      </c>
      <c r="H1095" s="18" t="s">
        <v>23</v>
      </c>
      <c r="I1095" s="19">
        <v>14.628</v>
      </c>
      <c r="J1095" s="20">
        <f t="shared" si="34"/>
        <v>292.56</v>
      </c>
      <c r="K1095" s="106"/>
      <c r="L1095" s="114"/>
      <c r="M1095" s="114">
        <f>tblAquisições[[#This Row],[VALOR UNITARIO COMPRADO]]*tblAquisições[[#This Row],[QUANTIDADE COMPRADA]]</f>
        <v>0</v>
      </c>
      <c r="N1095" s="110">
        <f>K1095-tblAquisições[[#This Row],[QUANTIDADE PLANEJADA]]</f>
        <v>-20</v>
      </c>
      <c r="O1095" s="106" t="str">
        <f t="shared" si="35"/>
        <v>Faltando Comprar</v>
      </c>
    </row>
    <row r="1096" spans="1:15" ht="31.5">
      <c r="A1096" s="16" t="s">
        <v>17</v>
      </c>
      <c r="B1096" s="16" t="s">
        <v>25</v>
      </c>
      <c r="C1096" s="17" t="s">
        <v>19</v>
      </c>
      <c r="D1096" s="18" t="s">
        <v>647</v>
      </c>
      <c r="E1096" s="18">
        <v>20</v>
      </c>
      <c r="F1096" s="18" t="s">
        <v>21</v>
      </c>
      <c r="G1096" s="18" t="s">
        <v>22</v>
      </c>
      <c r="H1096" s="18" t="s">
        <v>23</v>
      </c>
      <c r="I1096" s="19">
        <v>14.628</v>
      </c>
      <c r="J1096" s="20">
        <f t="shared" si="34"/>
        <v>292.56</v>
      </c>
      <c r="K1096" s="106"/>
      <c r="L1096" s="114"/>
      <c r="M1096" s="114">
        <f>tblAquisições[[#This Row],[VALOR UNITARIO COMPRADO]]*tblAquisições[[#This Row],[QUANTIDADE COMPRADA]]</f>
        <v>0</v>
      </c>
      <c r="N1096" s="110">
        <f>K1096-tblAquisições[[#This Row],[QUANTIDADE PLANEJADA]]</f>
        <v>-20</v>
      </c>
      <c r="O1096" s="106" t="str">
        <f t="shared" si="35"/>
        <v>Faltando Comprar</v>
      </c>
    </row>
    <row r="1097" spans="1:15" ht="31.5">
      <c r="A1097" s="16" t="s">
        <v>17</v>
      </c>
      <c r="B1097" s="16" t="s">
        <v>41</v>
      </c>
      <c r="C1097" s="17" t="s">
        <v>19</v>
      </c>
      <c r="D1097" s="18" t="s">
        <v>647</v>
      </c>
      <c r="E1097" s="18">
        <v>20</v>
      </c>
      <c r="F1097" s="18" t="s">
        <v>21</v>
      </c>
      <c r="G1097" s="18" t="s">
        <v>22</v>
      </c>
      <c r="H1097" s="18" t="s">
        <v>23</v>
      </c>
      <c r="I1097" s="19">
        <v>14.628</v>
      </c>
      <c r="J1097" s="20">
        <f t="shared" si="34"/>
        <v>292.56</v>
      </c>
      <c r="K1097" s="106"/>
      <c r="L1097" s="114"/>
      <c r="M1097" s="114">
        <f>tblAquisições[[#This Row],[VALOR UNITARIO COMPRADO]]*tblAquisições[[#This Row],[QUANTIDADE COMPRADA]]</f>
        <v>0</v>
      </c>
      <c r="N1097" s="110">
        <f>K1097-tblAquisições[[#This Row],[QUANTIDADE PLANEJADA]]</f>
        <v>-20</v>
      </c>
      <c r="O1097" s="106" t="str">
        <f t="shared" si="35"/>
        <v>Faltando Comprar</v>
      </c>
    </row>
    <row r="1098" spans="1:15" ht="31.5">
      <c r="A1098" s="16" t="s">
        <v>17</v>
      </c>
      <c r="B1098" s="16" t="s">
        <v>28</v>
      </c>
      <c r="C1098" s="17" t="s">
        <v>19</v>
      </c>
      <c r="D1098" s="18" t="s">
        <v>648</v>
      </c>
      <c r="E1098" s="18">
        <v>1</v>
      </c>
      <c r="F1098" s="18" t="s">
        <v>21</v>
      </c>
      <c r="G1098" s="18" t="s">
        <v>22</v>
      </c>
      <c r="H1098" s="18" t="s">
        <v>100</v>
      </c>
      <c r="I1098" s="19">
        <v>22.51</v>
      </c>
      <c r="J1098" s="20">
        <f t="shared" si="34"/>
        <v>22.51</v>
      </c>
      <c r="K1098" s="106"/>
      <c r="L1098" s="114"/>
      <c r="M1098" s="114">
        <f>tblAquisições[[#This Row],[VALOR UNITARIO COMPRADO]]*tblAquisições[[#This Row],[QUANTIDADE COMPRADA]]</f>
        <v>0</v>
      </c>
      <c r="N1098" s="110">
        <f>K1098-tblAquisições[[#This Row],[QUANTIDADE PLANEJADA]]</f>
        <v>-1</v>
      </c>
      <c r="O1098" s="106" t="str">
        <f t="shared" si="35"/>
        <v>Faltando Comprar</v>
      </c>
    </row>
    <row r="1099" spans="1:15" ht="31.5">
      <c r="A1099" s="16" t="s">
        <v>17</v>
      </c>
      <c r="B1099" s="16" t="s">
        <v>26</v>
      </c>
      <c r="C1099" s="17" t="s">
        <v>19</v>
      </c>
      <c r="D1099" s="18" t="s">
        <v>649</v>
      </c>
      <c r="E1099" s="18">
        <v>300</v>
      </c>
      <c r="F1099" s="18" t="s">
        <v>21</v>
      </c>
      <c r="G1099" s="18" t="s">
        <v>22</v>
      </c>
      <c r="H1099" s="18" t="s">
        <v>23</v>
      </c>
      <c r="I1099" s="19">
        <v>4.7699999999999996</v>
      </c>
      <c r="J1099" s="20">
        <f t="shared" si="34"/>
        <v>1430.9999999999998</v>
      </c>
      <c r="K1099" s="106"/>
      <c r="L1099" s="114"/>
      <c r="M1099" s="114">
        <f>tblAquisições[[#This Row],[VALOR UNITARIO COMPRADO]]*tblAquisições[[#This Row],[QUANTIDADE COMPRADA]]</f>
        <v>0</v>
      </c>
      <c r="N1099" s="110">
        <f>K1099-tblAquisições[[#This Row],[QUANTIDADE PLANEJADA]]</f>
        <v>-300</v>
      </c>
      <c r="O1099" s="106" t="str">
        <f t="shared" si="35"/>
        <v>Faltando Comprar</v>
      </c>
    </row>
    <row r="1100" spans="1:15" ht="47.25">
      <c r="A1100" s="16" t="s">
        <v>17</v>
      </c>
      <c r="B1100" s="16" t="s">
        <v>31</v>
      </c>
      <c r="C1100" s="17" t="s">
        <v>19</v>
      </c>
      <c r="D1100" s="18" t="s">
        <v>650</v>
      </c>
      <c r="E1100" s="18">
        <v>500</v>
      </c>
      <c r="F1100" s="18" t="s">
        <v>78</v>
      </c>
      <c r="G1100" s="18" t="s">
        <v>22</v>
      </c>
      <c r="H1100" s="18" t="s">
        <v>23</v>
      </c>
      <c r="I1100" s="19">
        <v>33.03</v>
      </c>
      <c r="J1100" s="20">
        <f t="shared" si="34"/>
        <v>16515</v>
      </c>
      <c r="K1100" s="106"/>
      <c r="L1100" s="114"/>
      <c r="M1100" s="114">
        <f>tblAquisições[[#This Row],[VALOR UNITARIO COMPRADO]]*tblAquisições[[#This Row],[QUANTIDADE COMPRADA]]</f>
        <v>0</v>
      </c>
      <c r="N1100" s="110">
        <f>K1100-tblAquisições[[#This Row],[QUANTIDADE PLANEJADA]]</f>
        <v>-500</v>
      </c>
      <c r="O1100" s="106" t="str">
        <f t="shared" si="35"/>
        <v>Faltando Comprar</v>
      </c>
    </row>
    <row r="1101" spans="1:15" ht="47.25">
      <c r="A1101" s="16" t="s">
        <v>17</v>
      </c>
      <c r="B1101" s="16" t="s">
        <v>28</v>
      </c>
      <c r="C1101" s="17" t="s">
        <v>19</v>
      </c>
      <c r="D1101" s="18" t="s">
        <v>650</v>
      </c>
      <c r="E1101" s="18">
        <v>25</v>
      </c>
      <c r="F1101" s="18" t="s">
        <v>78</v>
      </c>
      <c r="G1101" s="18" t="s">
        <v>22</v>
      </c>
      <c r="H1101" s="18" t="s">
        <v>53</v>
      </c>
      <c r="I1101" s="19">
        <v>33.03</v>
      </c>
      <c r="J1101" s="20">
        <f t="shared" si="34"/>
        <v>825.75</v>
      </c>
      <c r="K1101" s="106"/>
      <c r="L1101" s="114"/>
      <c r="M1101" s="114">
        <f>tblAquisições[[#This Row],[VALOR UNITARIO COMPRADO]]*tblAquisições[[#This Row],[QUANTIDADE COMPRADA]]</f>
        <v>0</v>
      </c>
      <c r="N1101" s="110">
        <f>K1101-tblAquisições[[#This Row],[QUANTIDADE PLANEJADA]]</f>
        <v>-25</v>
      </c>
      <c r="O1101" s="106" t="str">
        <f t="shared" si="35"/>
        <v>Faltando Comprar</v>
      </c>
    </row>
    <row r="1102" spans="1:15" ht="31.5">
      <c r="A1102" s="16" t="s">
        <v>17</v>
      </c>
      <c r="B1102" s="16" t="s">
        <v>18</v>
      </c>
      <c r="C1102" s="17" t="s">
        <v>19</v>
      </c>
      <c r="D1102" s="18" t="s">
        <v>651</v>
      </c>
      <c r="E1102" s="18">
        <v>20</v>
      </c>
      <c r="F1102" s="18" t="s">
        <v>21</v>
      </c>
      <c r="G1102" s="18" t="s">
        <v>22</v>
      </c>
      <c r="H1102" s="18" t="s">
        <v>23</v>
      </c>
      <c r="I1102" s="19">
        <v>27.13</v>
      </c>
      <c r="J1102" s="20">
        <f t="shared" si="34"/>
        <v>542.6</v>
      </c>
      <c r="K1102" s="106"/>
      <c r="L1102" s="114"/>
      <c r="M1102" s="114">
        <f>tblAquisições[[#This Row],[VALOR UNITARIO COMPRADO]]*tblAquisições[[#This Row],[QUANTIDADE COMPRADA]]</f>
        <v>0</v>
      </c>
      <c r="N1102" s="110">
        <f>K1102-tblAquisições[[#This Row],[QUANTIDADE PLANEJADA]]</f>
        <v>-20</v>
      </c>
      <c r="O1102" s="106" t="str">
        <f t="shared" si="35"/>
        <v>Faltando Comprar</v>
      </c>
    </row>
    <row r="1103" spans="1:15" ht="31.5">
      <c r="A1103" s="16" t="s">
        <v>17</v>
      </c>
      <c r="B1103" s="16" t="s">
        <v>24</v>
      </c>
      <c r="C1103" s="17" t="s">
        <v>19</v>
      </c>
      <c r="D1103" s="18" t="s">
        <v>651</v>
      </c>
      <c r="E1103" s="18">
        <v>20</v>
      </c>
      <c r="F1103" s="18" t="s">
        <v>21</v>
      </c>
      <c r="G1103" s="18" t="s">
        <v>22</v>
      </c>
      <c r="H1103" s="18" t="s">
        <v>23</v>
      </c>
      <c r="I1103" s="19">
        <v>27.13</v>
      </c>
      <c r="J1103" s="20">
        <f t="shared" si="34"/>
        <v>542.6</v>
      </c>
      <c r="K1103" s="106"/>
      <c r="L1103" s="114"/>
      <c r="M1103" s="114">
        <f>tblAquisições[[#This Row],[VALOR UNITARIO COMPRADO]]*tblAquisições[[#This Row],[QUANTIDADE COMPRADA]]</f>
        <v>0</v>
      </c>
      <c r="N1103" s="110">
        <f>K1103-tblAquisições[[#This Row],[QUANTIDADE PLANEJADA]]</f>
        <v>-20</v>
      </c>
      <c r="O1103" s="106" t="str">
        <f t="shared" si="35"/>
        <v>Faltando Comprar</v>
      </c>
    </row>
    <row r="1104" spans="1:15" ht="31.5">
      <c r="A1104" s="16" t="s">
        <v>17</v>
      </c>
      <c r="B1104" s="16" t="s">
        <v>25</v>
      </c>
      <c r="C1104" s="17" t="s">
        <v>19</v>
      </c>
      <c r="D1104" s="18" t="s">
        <v>651</v>
      </c>
      <c r="E1104" s="18">
        <v>20</v>
      </c>
      <c r="F1104" s="18" t="s">
        <v>21</v>
      </c>
      <c r="G1104" s="18" t="s">
        <v>22</v>
      </c>
      <c r="H1104" s="18" t="s">
        <v>23</v>
      </c>
      <c r="I1104" s="19">
        <v>27.13</v>
      </c>
      <c r="J1104" s="20">
        <f t="shared" si="34"/>
        <v>542.6</v>
      </c>
      <c r="K1104" s="106"/>
      <c r="L1104" s="114"/>
      <c r="M1104" s="114">
        <f>tblAquisições[[#This Row],[VALOR UNITARIO COMPRADO]]*tblAquisições[[#This Row],[QUANTIDADE COMPRADA]]</f>
        <v>0</v>
      </c>
      <c r="N1104" s="110">
        <f>K1104-tblAquisições[[#This Row],[QUANTIDADE PLANEJADA]]</f>
        <v>-20</v>
      </c>
      <c r="O1104" s="106" t="str">
        <f t="shared" si="35"/>
        <v>Faltando Comprar</v>
      </c>
    </row>
    <row r="1105" spans="1:15" ht="31.5">
      <c r="A1105" s="16" t="s">
        <v>17</v>
      </c>
      <c r="B1105" s="16" t="s">
        <v>26</v>
      </c>
      <c r="C1105" s="17" t="s">
        <v>19</v>
      </c>
      <c r="D1105" s="18" t="s">
        <v>652</v>
      </c>
      <c r="E1105" s="18">
        <v>100</v>
      </c>
      <c r="F1105" s="18" t="s">
        <v>30</v>
      </c>
      <c r="G1105" s="18" t="s">
        <v>22</v>
      </c>
      <c r="H1105" s="18" t="s">
        <v>23</v>
      </c>
      <c r="I1105" s="19">
        <v>122.5</v>
      </c>
      <c r="J1105" s="20">
        <f t="shared" si="34"/>
        <v>12250</v>
      </c>
      <c r="K1105" s="106"/>
      <c r="L1105" s="114"/>
      <c r="M1105" s="114">
        <f>tblAquisições[[#This Row],[VALOR UNITARIO COMPRADO]]*tblAquisições[[#This Row],[QUANTIDADE COMPRADA]]</f>
        <v>0</v>
      </c>
      <c r="N1105" s="110">
        <f>K1105-tblAquisições[[#This Row],[QUANTIDADE PLANEJADA]]</f>
        <v>-100</v>
      </c>
      <c r="O1105" s="106" t="str">
        <f t="shared" si="35"/>
        <v>Faltando Comprar</v>
      </c>
    </row>
    <row r="1106" spans="1:15" ht="31.5">
      <c r="A1106" s="16" t="s">
        <v>17</v>
      </c>
      <c r="B1106" s="16" t="s">
        <v>80</v>
      </c>
      <c r="C1106" s="17" t="s">
        <v>19</v>
      </c>
      <c r="D1106" s="18" t="s">
        <v>653</v>
      </c>
      <c r="E1106" s="18">
        <v>20</v>
      </c>
      <c r="F1106" s="18" t="s">
        <v>38</v>
      </c>
      <c r="G1106" s="18" t="s">
        <v>39</v>
      </c>
      <c r="H1106" s="21"/>
      <c r="I1106" s="19">
        <v>28.39</v>
      </c>
      <c r="J1106" s="20">
        <f t="shared" si="34"/>
        <v>567.79999999999995</v>
      </c>
      <c r="K1106" s="106"/>
      <c r="L1106" s="114"/>
      <c r="M1106" s="114">
        <f>tblAquisições[[#This Row],[VALOR UNITARIO COMPRADO]]*tblAquisições[[#This Row],[QUANTIDADE COMPRADA]]</f>
        <v>0</v>
      </c>
      <c r="N1106" s="110">
        <f>K1106-tblAquisições[[#This Row],[QUANTIDADE PLANEJADA]]</f>
        <v>-20</v>
      </c>
      <c r="O1106" s="106" t="str">
        <f t="shared" si="35"/>
        <v>Faltando Comprar</v>
      </c>
    </row>
    <row r="1107" spans="1:15" ht="31.5">
      <c r="A1107" s="16" t="s">
        <v>17</v>
      </c>
      <c r="B1107" s="16" t="s">
        <v>26</v>
      </c>
      <c r="C1107" s="17" t="s">
        <v>19</v>
      </c>
      <c r="D1107" s="18" t="s">
        <v>654</v>
      </c>
      <c r="E1107" s="18">
        <v>8</v>
      </c>
      <c r="F1107" s="18" t="s">
        <v>21</v>
      </c>
      <c r="G1107" s="18" t="s">
        <v>22</v>
      </c>
      <c r="H1107" s="18" t="s">
        <v>23</v>
      </c>
      <c r="I1107" s="19">
        <v>87.67</v>
      </c>
      <c r="J1107" s="20">
        <f t="shared" si="34"/>
        <v>701.36</v>
      </c>
      <c r="K1107" s="106"/>
      <c r="L1107" s="114"/>
      <c r="M1107" s="114">
        <f>tblAquisições[[#This Row],[VALOR UNITARIO COMPRADO]]*tblAquisições[[#This Row],[QUANTIDADE COMPRADA]]</f>
        <v>0</v>
      </c>
      <c r="N1107" s="110">
        <f>K1107-tblAquisições[[#This Row],[QUANTIDADE PLANEJADA]]</f>
        <v>-8</v>
      </c>
      <c r="O1107" s="106" t="str">
        <f t="shared" si="35"/>
        <v>Faltando Comprar</v>
      </c>
    </row>
    <row r="1108" spans="1:15" ht="31.5">
      <c r="A1108" s="16" t="s">
        <v>17</v>
      </c>
      <c r="B1108" s="16" t="s">
        <v>80</v>
      </c>
      <c r="C1108" s="17" t="s">
        <v>19</v>
      </c>
      <c r="D1108" s="18" t="s">
        <v>655</v>
      </c>
      <c r="E1108" s="18">
        <v>10</v>
      </c>
      <c r="F1108" s="18" t="s">
        <v>272</v>
      </c>
      <c r="G1108" s="18" t="s">
        <v>39</v>
      </c>
      <c r="H1108" s="21"/>
      <c r="I1108" s="19">
        <v>87.67</v>
      </c>
      <c r="J1108" s="20">
        <f t="shared" si="34"/>
        <v>876.7</v>
      </c>
      <c r="K1108" s="106"/>
      <c r="L1108" s="114"/>
      <c r="M1108" s="114">
        <f>tblAquisições[[#This Row],[VALOR UNITARIO COMPRADO]]*tblAquisições[[#This Row],[QUANTIDADE COMPRADA]]</f>
        <v>0</v>
      </c>
      <c r="N1108" s="110">
        <f>K1108-tblAquisições[[#This Row],[QUANTIDADE PLANEJADA]]</f>
        <v>-10</v>
      </c>
      <c r="O1108" s="106" t="str">
        <f t="shared" si="35"/>
        <v>Faltando Comprar</v>
      </c>
    </row>
    <row r="1109" spans="1:15" ht="31.5">
      <c r="A1109" s="16" t="s">
        <v>17</v>
      </c>
      <c r="B1109" s="16" t="s">
        <v>26</v>
      </c>
      <c r="C1109" s="17" t="s">
        <v>19</v>
      </c>
      <c r="D1109" s="18" t="s">
        <v>656</v>
      </c>
      <c r="E1109" s="18">
        <v>8</v>
      </c>
      <c r="F1109" s="18" t="s">
        <v>324</v>
      </c>
      <c r="G1109" s="18" t="s">
        <v>22</v>
      </c>
      <c r="H1109" s="18" t="s">
        <v>23</v>
      </c>
      <c r="I1109" s="19">
        <v>87.67</v>
      </c>
      <c r="J1109" s="20">
        <f t="shared" si="34"/>
        <v>701.36</v>
      </c>
      <c r="K1109" s="106"/>
      <c r="L1109" s="114"/>
      <c r="M1109" s="114">
        <f>tblAquisições[[#This Row],[VALOR UNITARIO COMPRADO]]*tblAquisições[[#This Row],[QUANTIDADE COMPRADA]]</f>
        <v>0</v>
      </c>
      <c r="N1109" s="110">
        <f>K1109-tblAquisições[[#This Row],[QUANTIDADE PLANEJADA]]</f>
        <v>-8</v>
      </c>
      <c r="O1109" s="106" t="str">
        <f t="shared" si="35"/>
        <v>Faltando Comprar</v>
      </c>
    </row>
    <row r="1110" spans="1:15" ht="47.25">
      <c r="A1110" s="16" t="s">
        <v>17</v>
      </c>
      <c r="B1110" s="16" t="s">
        <v>26</v>
      </c>
      <c r="C1110" s="17" t="s">
        <v>19</v>
      </c>
      <c r="D1110" s="18" t="s">
        <v>657</v>
      </c>
      <c r="E1110" s="18">
        <v>12</v>
      </c>
      <c r="F1110" s="18" t="s">
        <v>239</v>
      </c>
      <c r="G1110" s="18" t="s">
        <v>22</v>
      </c>
      <c r="H1110" s="18" t="s">
        <v>23</v>
      </c>
      <c r="I1110" s="19">
        <v>7.5339999999999998</v>
      </c>
      <c r="J1110" s="20">
        <f t="shared" si="34"/>
        <v>90.408000000000001</v>
      </c>
      <c r="K1110" s="106"/>
      <c r="L1110" s="114"/>
      <c r="M1110" s="114">
        <f>tblAquisições[[#This Row],[VALOR UNITARIO COMPRADO]]*tblAquisições[[#This Row],[QUANTIDADE COMPRADA]]</f>
        <v>0</v>
      </c>
      <c r="N1110" s="110">
        <f>K1110-tblAquisições[[#This Row],[QUANTIDADE PLANEJADA]]</f>
        <v>-12</v>
      </c>
      <c r="O1110" s="106" t="str">
        <f t="shared" si="35"/>
        <v>Faltando Comprar</v>
      </c>
    </row>
    <row r="1111" spans="1:15" ht="47.25">
      <c r="A1111" s="16" t="s">
        <v>17</v>
      </c>
      <c r="B1111" s="16" t="s">
        <v>28</v>
      </c>
      <c r="C1111" s="17" t="s">
        <v>19</v>
      </c>
      <c r="D1111" s="18" t="s">
        <v>657</v>
      </c>
      <c r="E1111" s="18">
        <v>30</v>
      </c>
      <c r="F1111" s="18" t="s">
        <v>239</v>
      </c>
      <c r="G1111" s="18" t="s">
        <v>22</v>
      </c>
      <c r="H1111" s="18" t="s">
        <v>23</v>
      </c>
      <c r="I1111" s="19">
        <v>7.5339999999999998</v>
      </c>
      <c r="J1111" s="20">
        <f t="shared" si="34"/>
        <v>226.01999999999998</v>
      </c>
      <c r="K1111" s="106"/>
      <c r="L1111" s="114"/>
      <c r="M1111" s="114">
        <f>tblAquisições[[#This Row],[VALOR UNITARIO COMPRADO]]*tblAquisições[[#This Row],[QUANTIDADE COMPRADA]]</f>
        <v>0</v>
      </c>
      <c r="N1111" s="110">
        <f>K1111-tblAquisições[[#This Row],[QUANTIDADE PLANEJADA]]</f>
        <v>-30</v>
      </c>
      <c r="O1111" s="106" t="str">
        <f t="shared" si="35"/>
        <v>Faltando Comprar</v>
      </c>
    </row>
    <row r="1112" spans="1:15" ht="47.25">
      <c r="A1112" s="16" t="s">
        <v>17</v>
      </c>
      <c r="B1112" s="16" t="s">
        <v>18</v>
      </c>
      <c r="C1112" s="17" t="s">
        <v>19</v>
      </c>
      <c r="D1112" s="18" t="s">
        <v>658</v>
      </c>
      <c r="E1112" s="18">
        <v>15</v>
      </c>
      <c r="F1112" s="18" t="s">
        <v>78</v>
      </c>
      <c r="G1112" s="18" t="s">
        <v>22</v>
      </c>
      <c r="H1112" s="18" t="s">
        <v>23</v>
      </c>
      <c r="I1112" s="19">
        <v>148.05000000000001</v>
      </c>
      <c r="J1112" s="20">
        <f t="shared" si="34"/>
        <v>2220.75</v>
      </c>
      <c r="K1112" s="106"/>
      <c r="L1112" s="114"/>
      <c r="M1112" s="114">
        <f>tblAquisições[[#This Row],[VALOR UNITARIO COMPRADO]]*tblAquisições[[#This Row],[QUANTIDADE COMPRADA]]</f>
        <v>0</v>
      </c>
      <c r="N1112" s="110">
        <f>K1112-tblAquisições[[#This Row],[QUANTIDADE PLANEJADA]]</f>
        <v>-15</v>
      </c>
      <c r="O1112" s="106" t="str">
        <f t="shared" si="35"/>
        <v>Faltando Comprar</v>
      </c>
    </row>
    <row r="1113" spans="1:15" ht="47.25">
      <c r="A1113" s="16" t="s">
        <v>17</v>
      </c>
      <c r="B1113" s="16" t="s">
        <v>24</v>
      </c>
      <c r="C1113" s="17" t="s">
        <v>19</v>
      </c>
      <c r="D1113" s="18" t="s">
        <v>658</v>
      </c>
      <c r="E1113" s="18">
        <v>15</v>
      </c>
      <c r="F1113" s="18" t="s">
        <v>78</v>
      </c>
      <c r="G1113" s="18" t="s">
        <v>22</v>
      </c>
      <c r="H1113" s="18" t="s">
        <v>23</v>
      </c>
      <c r="I1113" s="19">
        <v>148.05000000000001</v>
      </c>
      <c r="J1113" s="20">
        <f t="shared" si="34"/>
        <v>2220.75</v>
      </c>
      <c r="K1113" s="106"/>
      <c r="L1113" s="114"/>
      <c r="M1113" s="114">
        <f>tblAquisições[[#This Row],[VALOR UNITARIO COMPRADO]]*tblAquisições[[#This Row],[QUANTIDADE COMPRADA]]</f>
        <v>0</v>
      </c>
      <c r="N1113" s="110">
        <f>K1113-tblAquisições[[#This Row],[QUANTIDADE PLANEJADA]]</f>
        <v>-15</v>
      </c>
      <c r="O1113" s="106" t="str">
        <f t="shared" si="35"/>
        <v>Faltando Comprar</v>
      </c>
    </row>
    <row r="1114" spans="1:15" ht="47.25">
      <c r="A1114" s="16" t="s">
        <v>17</v>
      </c>
      <c r="B1114" s="16" t="s">
        <v>25</v>
      </c>
      <c r="C1114" s="17" t="s">
        <v>19</v>
      </c>
      <c r="D1114" s="18" t="s">
        <v>658</v>
      </c>
      <c r="E1114" s="18">
        <v>15</v>
      </c>
      <c r="F1114" s="18" t="s">
        <v>78</v>
      </c>
      <c r="G1114" s="18" t="s">
        <v>22</v>
      </c>
      <c r="H1114" s="18" t="s">
        <v>23</v>
      </c>
      <c r="I1114" s="19">
        <v>148.05000000000001</v>
      </c>
      <c r="J1114" s="20">
        <f t="shared" si="34"/>
        <v>2220.75</v>
      </c>
      <c r="K1114" s="106"/>
      <c r="L1114" s="114"/>
      <c r="M1114" s="114">
        <f>tblAquisições[[#This Row],[VALOR UNITARIO COMPRADO]]*tblAquisições[[#This Row],[QUANTIDADE COMPRADA]]</f>
        <v>0</v>
      </c>
      <c r="N1114" s="110">
        <f>K1114-tblAquisições[[#This Row],[QUANTIDADE PLANEJADA]]</f>
        <v>-15</v>
      </c>
      <c r="O1114" s="106" t="str">
        <f t="shared" si="35"/>
        <v>Faltando Comprar</v>
      </c>
    </row>
    <row r="1115" spans="1:15" ht="47.25">
      <c r="A1115" s="16" t="s">
        <v>17</v>
      </c>
      <c r="B1115" s="16" t="s">
        <v>27</v>
      </c>
      <c r="C1115" s="17" t="s">
        <v>19</v>
      </c>
      <c r="D1115" s="18" t="s">
        <v>658</v>
      </c>
      <c r="E1115" s="18">
        <v>15</v>
      </c>
      <c r="F1115" s="18" t="s">
        <v>78</v>
      </c>
      <c r="G1115" s="18" t="s">
        <v>22</v>
      </c>
      <c r="H1115" s="18" t="s">
        <v>23</v>
      </c>
      <c r="I1115" s="19">
        <v>148.05000000000001</v>
      </c>
      <c r="J1115" s="20">
        <f t="shared" si="34"/>
        <v>2220.75</v>
      </c>
      <c r="K1115" s="106"/>
      <c r="L1115" s="114"/>
      <c r="M1115" s="114">
        <f>tblAquisições[[#This Row],[VALOR UNITARIO COMPRADO]]*tblAquisições[[#This Row],[QUANTIDADE COMPRADA]]</f>
        <v>0</v>
      </c>
      <c r="N1115" s="110">
        <f>K1115-tblAquisições[[#This Row],[QUANTIDADE PLANEJADA]]</f>
        <v>-15</v>
      </c>
      <c r="O1115" s="106" t="str">
        <f t="shared" si="35"/>
        <v>Faltando Comprar</v>
      </c>
    </row>
    <row r="1116" spans="1:15" ht="47.25">
      <c r="A1116" s="16" t="s">
        <v>17</v>
      </c>
      <c r="B1116" s="16" t="s">
        <v>28</v>
      </c>
      <c r="C1116" s="17" t="s">
        <v>19</v>
      </c>
      <c r="D1116" s="18" t="s">
        <v>658</v>
      </c>
      <c r="E1116" s="18">
        <v>80</v>
      </c>
      <c r="F1116" s="18" t="s">
        <v>78</v>
      </c>
      <c r="G1116" s="18" t="s">
        <v>22</v>
      </c>
      <c r="H1116" s="18" t="s">
        <v>23</v>
      </c>
      <c r="I1116" s="19">
        <v>148.05000000000001</v>
      </c>
      <c r="J1116" s="20">
        <f t="shared" si="34"/>
        <v>11844</v>
      </c>
      <c r="K1116" s="106"/>
      <c r="L1116" s="114"/>
      <c r="M1116" s="114">
        <f>tblAquisições[[#This Row],[VALOR UNITARIO COMPRADO]]*tblAquisições[[#This Row],[QUANTIDADE COMPRADA]]</f>
        <v>0</v>
      </c>
      <c r="N1116" s="110">
        <f>K1116-tblAquisições[[#This Row],[QUANTIDADE PLANEJADA]]</f>
        <v>-80</v>
      </c>
      <c r="O1116" s="106" t="str">
        <f t="shared" si="35"/>
        <v>Faltando Comprar</v>
      </c>
    </row>
    <row r="1117" spans="1:15" ht="47.25">
      <c r="A1117" s="16" t="s">
        <v>17</v>
      </c>
      <c r="B1117" s="16" t="s">
        <v>18</v>
      </c>
      <c r="C1117" s="17" t="s">
        <v>19</v>
      </c>
      <c r="D1117" s="18" t="s">
        <v>659</v>
      </c>
      <c r="E1117" s="18">
        <v>20</v>
      </c>
      <c r="F1117" s="18" t="s">
        <v>78</v>
      </c>
      <c r="G1117" s="18" t="s">
        <v>22</v>
      </c>
      <c r="H1117" s="18" t="s">
        <v>23</v>
      </c>
      <c r="I1117" s="19">
        <v>33.64</v>
      </c>
      <c r="J1117" s="20">
        <f t="shared" si="34"/>
        <v>672.8</v>
      </c>
      <c r="K1117" s="106"/>
      <c r="L1117" s="114"/>
      <c r="M1117" s="114">
        <f>tblAquisições[[#This Row],[VALOR UNITARIO COMPRADO]]*tblAquisições[[#This Row],[QUANTIDADE COMPRADA]]</f>
        <v>0</v>
      </c>
      <c r="N1117" s="110">
        <f>K1117-tblAquisições[[#This Row],[QUANTIDADE PLANEJADA]]</f>
        <v>-20</v>
      </c>
      <c r="O1117" s="106" t="str">
        <f t="shared" si="35"/>
        <v>Faltando Comprar</v>
      </c>
    </row>
    <row r="1118" spans="1:15" ht="47.25">
      <c r="A1118" s="16" t="s">
        <v>17</v>
      </c>
      <c r="B1118" s="16" t="s">
        <v>24</v>
      </c>
      <c r="C1118" s="17" t="s">
        <v>19</v>
      </c>
      <c r="D1118" s="18" t="s">
        <v>659</v>
      </c>
      <c r="E1118" s="18">
        <v>20</v>
      </c>
      <c r="F1118" s="18" t="s">
        <v>78</v>
      </c>
      <c r="G1118" s="18" t="s">
        <v>22</v>
      </c>
      <c r="H1118" s="18" t="s">
        <v>23</v>
      </c>
      <c r="I1118" s="19">
        <v>33.64</v>
      </c>
      <c r="J1118" s="20">
        <f t="shared" si="34"/>
        <v>672.8</v>
      </c>
      <c r="K1118" s="106"/>
      <c r="L1118" s="114"/>
      <c r="M1118" s="114">
        <f>tblAquisições[[#This Row],[VALOR UNITARIO COMPRADO]]*tblAquisições[[#This Row],[QUANTIDADE COMPRADA]]</f>
        <v>0</v>
      </c>
      <c r="N1118" s="110">
        <f>K1118-tblAquisições[[#This Row],[QUANTIDADE PLANEJADA]]</f>
        <v>-20</v>
      </c>
      <c r="O1118" s="106" t="str">
        <f t="shared" si="35"/>
        <v>Faltando Comprar</v>
      </c>
    </row>
    <row r="1119" spans="1:15" ht="47.25">
      <c r="A1119" s="16" t="s">
        <v>17</v>
      </c>
      <c r="B1119" s="16" t="s">
        <v>25</v>
      </c>
      <c r="C1119" s="17" t="s">
        <v>19</v>
      </c>
      <c r="D1119" s="18" t="s">
        <v>659</v>
      </c>
      <c r="E1119" s="18">
        <v>20</v>
      </c>
      <c r="F1119" s="18" t="s">
        <v>78</v>
      </c>
      <c r="G1119" s="18" t="s">
        <v>22</v>
      </c>
      <c r="H1119" s="18" t="s">
        <v>23</v>
      </c>
      <c r="I1119" s="19">
        <v>33.64</v>
      </c>
      <c r="J1119" s="20">
        <f t="shared" si="34"/>
        <v>672.8</v>
      </c>
      <c r="K1119" s="106"/>
      <c r="L1119" s="114"/>
      <c r="M1119" s="114">
        <f>tblAquisições[[#This Row],[VALOR UNITARIO COMPRADO]]*tblAquisições[[#This Row],[QUANTIDADE COMPRADA]]</f>
        <v>0</v>
      </c>
      <c r="N1119" s="110">
        <f>K1119-tblAquisições[[#This Row],[QUANTIDADE PLANEJADA]]</f>
        <v>-20</v>
      </c>
      <c r="O1119" s="106" t="str">
        <f t="shared" si="35"/>
        <v>Faltando Comprar</v>
      </c>
    </row>
    <row r="1120" spans="1:15" ht="31.5">
      <c r="A1120" s="16" t="s">
        <v>17</v>
      </c>
      <c r="B1120" s="16" t="s">
        <v>27</v>
      </c>
      <c r="C1120" s="17" t="s">
        <v>19</v>
      </c>
      <c r="D1120" s="18" t="s">
        <v>660</v>
      </c>
      <c r="E1120" s="18">
        <v>2</v>
      </c>
      <c r="F1120" s="18" t="s">
        <v>21</v>
      </c>
      <c r="G1120" s="18" t="s">
        <v>22</v>
      </c>
      <c r="H1120" s="18" t="s">
        <v>23</v>
      </c>
      <c r="I1120" s="19">
        <v>1033.75</v>
      </c>
      <c r="J1120" s="20">
        <f t="shared" si="34"/>
        <v>2067.5</v>
      </c>
      <c r="K1120" s="106"/>
      <c r="L1120" s="114"/>
      <c r="M1120" s="114">
        <f>tblAquisições[[#This Row],[VALOR UNITARIO COMPRADO]]*tblAquisições[[#This Row],[QUANTIDADE COMPRADA]]</f>
        <v>0</v>
      </c>
      <c r="N1120" s="110">
        <f>K1120-tblAquisições[[#This Row],[QUANTIDADE PLANEJADA]]</f>
        <v>-2</v>
      </c>
      <c r="O1120" s="106" t="str">
        <f t="shared" si="35"/>
        <v>Faltando Comprar</v>
      </c>
    </row>
    <row r="1121" spans="1:15" ht="31.5">
      <c r="A1121" s="16" t="s">
        <v>17</v>
      </c>
      <c r="B1121" s="16" t="s">
        <v>34</v>
      </c>
      <c r="C1121" s="17" t="s">
        <v>19</v>
      </c>
      <c r="D1121" s="18" t="s">
        <v>661</v>
      </c>
      <c r="E1121" s="18">
        <v>2</v>
      </c>
      <c r="F1121" s="18" t="s">
        <v>21</v>
      </c>
      <c r="G1121" s="18" t="s">
        <v>22</v>
      </c>
      <c r="H1121" s="18" t="s">
        <v>23</v>
      </c>
      <c r="I1121" s="19">
        <v>48.96</v>
      </c>
      <c r="J1121" s="20">
        <f t="shared" si="34"/>
        <v>97.92</v>
      </c>
      <c r="K1121" s="106"/>
      <c r="L1121" s="114"/>
      <c r="M1121" s="114">
        <f>tblAquisições[[#This Row],[VALOR UNITARIO COMPRADO]]*tblAquisições[[#This Row],[QUANTIDADE COMPRADA]]</f>
        <v>0</v>
      </c>
      <c r="N1121" s="110">
        <f>K1121-tblAquisições[[#This Row],[QUANTIDADE PLANEJADA]]</f>
        <v>-2</v>
      </c>
      <c r="O1121" s="106" t="str">
        <f t="shared" si="35"/>
        <v>Faltando Comprar</v>
      </c>
    </row>
    <row r="1122" spans="1:15" ht="31.5">
      <c r="A1122" s="16" t="s">
        <v>17</v>
      </c>
      <c r="B1122" s="16" t="s">
        <v>28</v>
      </c>
      <c r="C1122" s="17" t="s">
        <v>19</v>
      </c>
      <c r="D1122" s="18" t="s">
        <v>661</v>
      </c>
      <c r="E1122" s="18">
        <v>10</v>
      </c>
      <c r="F1122" s="18" t="s">
        <v>21</v>
      </c>
      <c r="G1122" s="18" t="s">
        <v>22</v>
      </c>
      <c r="H1122" s="18" t="s">
        <v>23</v>
      </c>
      <c r="I1122" s="19">
        <v>48.96</v>
      </c>
      <c r="J1122" s="20">
        <f t="shared" si="34"/>
        <v>489.6</v>
      </c>
      <c r="K1122" s="106"/>
      <c r="L1122" s="114"/>
      <c r="M1122" s="114">
        <f>tblAquisições[[#This Row],[VALOR UNITARIO COMPRADO]]*tblAquisições[[#This Row],[QUANTIDADE COMPRADA]]</f>
        <v>0</v>
      </c>
      <c r="N1122" s="110">
        <f>K1122-tblAquisições[[#This Row],[QUANTIDADE PLANEJADA]]</f>
        <v>-10</v>
      </c>
      <c r="O1122" s="106" t="str">
        <f t="shared" si="35"/>
        <v>Faltando Comprar</v>
      </c>
    </row>
    <row r="1123" spans="1:15" ht="31.5">
      <c r="A1123" s="16" t="s">
        <v>17</v>
      </c>
      <c r="B1123" s="16" t="s">
        <v>28</v>
      </c>
      <c r="C1123" s="17" t="s">
        <v>19</v>
      </c>
      <c r="D1123" s="18" t="s">
        <v>662</v>
      </c>
      <c r="E1123" s="18">
        <v>10</v>
      </c>
      <c r="F1123" s="18" t="s">
        <v>324</v>
      </c>
      <c r="G1123" s="18" t="s">
        <v>22</v>
      </c>
      <c r="H1123" s="18" t="s">
        <v>23</v>
      </c>
      <c r="I1123" s="19">
        <v>68.28</v>
      </c>
      <c r="J1123" s="20">
        <f t="shared" si="34"/>
        <v>682.8</v>
      </c>
      <c r="K1123" s="106"/>
      <c r="L1123" s="114"/>
      <c r="M1123" s="114">
        <f>tblAquisições[[#This Row],[VALOR UNITARIO COMPRADO]]*tblAquisições[[#This Row],[QUANTIDADE COMPRADA]]</f>
        <v>0</v>
      </c>
      <c r="N1123" s="110">
        <f>K1123-tblAquisições[[#This Row],[QUANTIDADE PLANEJADA]]</f>
        <v>-10</v>
      </c>
      <c r="O1123" s="106" t="str">
        <f t="shared" si="35"/>
        <v>Faltando Comprar</v>
      </c>
    </row>
    <row r="1124" spans="1:15" ht="31.5">
      <c r="A1124" s="16" t="s">
        <v>17</v>
      </c>
      <c r="B1124" s="16" t="s">
        <v>25</v>
      </c>
      <c r="C1124" s="17" t="s">
        <v>19</v>
      </c>
      <c r="D1124" s="18" t="s">
        <v>663</v>
      </c>
      <c r="E1124" s="18">
        <v>10</v>
      </c>
      <c r="F1124" s="18" t="s">
        <v>21</v>
      </c>
      <c r="G1124" s="18" t="s">
        <v>22</v>
      </c>
      <c r="H1124" s="18" t="s">
        <v>23</v>
      </c>
      <c r="I1124" s="19">
        <v>69.63</v>
      </c>
      <c r="J1124" s="20">
        <f t="shared" si="34"/>
        <v>696.3</v>
      </c>
      <c r="K1124" s="106"/>
      <c r="L1124" s="114"/>
      <c r="M1124" s="114">
        <f>tblAquisições[[#This Row],[VALOR UNITARIO COMPRADO]]*tblAquisições[[#This Row],[QUANTIDADE COMPRADA]]</f>
        <v>0</v>
      </c>
      <c r="N1124" s="110">
        <f>K1124-tblAquisições[[#This Row],[QUANTIDADE PLANEJADA]]</f>
        <v>-10</v>
      </c>
      <c r="O1124" s="106" t="str">
        <f t="shared" si="35"/>
        <v>Faltando Comprar</v>
      </c>
    </row>
    <row r="1125" spans="1:15" ht="31.5">
      <c r="A1125" s="16" t="s">
        <v>17</v>
      </c>
      <c r="B1125" s="16" t="s">
        <v>26</v>
      </c>
      <c r="C1125" s="17" t="s">
        <v>19</v>
      </c>
      <c r="D1125" s="18" t="s">
        <v>664</v>
      </c>
      <c r="E1125" s="18">
        <v>8</v>
      </c>
      <c r="F1125" s="18" t="s">
        <v>324</v>
      </c>
      <c r="G1125" s="18" t="s">
        <v>22</v>
      </c>
      <c r="H1125" s="18" t="s">
        <v>23</v>
      </c>
      <c r="I1125" s="19">
        <v>87.33</v>
      </c>
      <c r="J1125" s="20">
        <f t="shared" si="34"/>
        <v>698.64</v>
      </c>
      <c r="K1125" s="106"/>
      <c r="L1125" s="114"/>
      <c r="M1125" s="114">
        <f>tblAquisições[[#This Row],[VALOR UNITARIO COMPRADO]]*tblAquisições[[#This Row],[QUANTIDADE COMPRADA]]</f>
        <v>0</v>
      </c>
      <c r="N1125" s="110">
        <f>K1125-tblAquisições[[#This Row],[QUANTIDADE PLANEJADA]]</f>
        <v>-8</v>
      </c>
      <c r="O1125" s="106" t="str">
        <f t="shared" si="35"/>
        <v>Faltando Comprar</v>
      </c>
    </row>
    <row r="1126" spans="1:15" ht="31.5">
      <c r="A1126" s="16" t="s">
        <v>17</v>
      </c>
      <c r="B1126" s="16" t="s">
        <v>18</v>
      </c>
      <c r="C1126" s="17" t="s">
        <v>19</v>
      </c>
      <c r="D1126" s="18" t="s">
        <v>665</v>
      </c>
      <c r="E1126" s="18">
        <v>15</v>
      </c>
      <c r="F1126" s="18" t="s">
        <v>324</v>
      </c>
      <c r="G1126" s="18" t="s">
        <v>22</v>
      </c>
      <c r="H1126" s="18" t="s">
        <v>23</v>
      </c>
      <c r="I1126" s="19">
        <v>146.15</v>
      </c>
      <c r="J1126" s="20">
        <f t="shared" si="34"/>
        <v>2192.25</v>
      </c>
      <c r="K1126" s="106"/>
      <c r="L1126" s="114"/>
      <c r="M1126" s="114">
        <f>tblAquisições[[#This Row],[VALOR UNITARIO COMPRADO]]*tblAquisições[[#This Row],[QUANTIDADE COMPRADA]]</f>
        <v>0</v>
      </c>
      <c r="N1126" s="110">
        <f>K1126-tblAquisições[[#This Row],[QUANTIDADE PLANEJADA]]</f>
        <v>-15</v>
      </c>
      <c r="O1126" s="106" t="str">
        <f t="shared" si="35"/>
        <v>Faltando Comprar</v>
      </c>
    </row>
    <row r="1127" spans="1:15" ht="31.5">
      <c r="A1127" s="16" t="s">
        <v>17</v>
      </c>
      <c r="B1127" s="16" t="s">
        <v>24</v>
      </c>
      <c r="C1127" s="17" t="s">
        <v>19</v>
      </c>
      <c r="D1127" s="18" t="s">
        <v>665</v>
      </c>
      <c r="E1127" s="18">
        <v>15</v>
      </c>
      <c r="F1127" s="18" t="s">
        <v>324</v>
      </c>
      <c r="G1127" s="18" t="s">
        <v>22</v>
      </c>
      <c r="H1127" s="18" t="s">
        <v>23</v>
      </c>
      <c r="I1127" s="19">
        <v>146.15</v>
      </c>
      <c r="J1127" s="20">
        <f t="shared" si="34"/>
        <v>2192.25</v>
      </c>
      <c r="K1127" s="106"/>
      <c r="L1127" s="114"/>
      <c r="M1127" s="114">
        <f>tblAquisições[[#This Row],[VALOR UNITARIO COMPRADO]]*tblAquisições[[#This Row],[QUANTIDADE COMPRADA]]</f>
        <v>0</v>
      </c>
      <c r="N1127" s="110">
        <f>K1127-tblAquisições[[#This Row],[QUANTIDADE PLANEJADA]]</f>
        <v>-15</v>
      </c>
      <c r="O1127" s="106" t="str">
        <f t="shared" si="35"/>
        <v>Faltando Comprar</v>
      </c>
    </row>
    <row r="1128" spans="1:15" ht="31.5">
      <c r="A1128" s="16" t="s">
        <v>17</v>
      </c>
      <c r="B1128" s="16" t="s">
        <v>25</v>
      </c>
      <c r="C1128" s="17" t="s">
        <v>19</v>
      </c>
      <c r="D1128" s="18" t="s">
        <v>665</v>
      </c>
      <c r="E1128" s="18">
        <v>15</v>
      </c>
      <c r="F1128" s="18" t="s">
        <v>324</v>
      </c>
      <c r="G1128" s="18" t="s">
        <v>22</v>
      </c>
      <c r="H1128" s="18" t="s">
        <v>23</v>
      </c>
      <c r="I1128" s="19">
        <v>146.15</v>
      </c>
      <c r="J1128" s="20">
        <f t="shared" si="34"/>
        <v>2192.25</v>
      </c>
      <c r="K1128" s="106"/>
      <c r="L1128" s="114"/>
      <c r="M1128" s="114">
        <f>tblAquisições[[#This Row],[VALOR UNITARIO COMPRADO]]*tblAquisições[[#This Row],[QUANTIDADE COMPRADA]]</f>
        <v>0</v>
      </c>
      <c r="N1128" s="110">
        <f>K1128-tblAquisições[[#This Row],[QUANTIDADE PLANEJADA]]</f>
        <v>-15</v>
      </c>
      <c r="O1128" s="106" t="str">
        <f t="shared" si="35"/>
        <v>Faltando Comprar</v>
      </c>
    </row>
    <row r="1129" spans="1:15" ht="31.5">
      <c r="A1129" s="16" t="s">
        <v>17</v>
      </c>
      <c r="B1129" s="16" t="s">
        <v>27</v>
      </c>
      <c r="C1129" s="17" t="s">
        <v>19</v>
      </c>
      <c r="D1129" s="18" t="s">
        <v>665</v>
      </c>
      <c r="E1129" s="18">
        <v>20</v>
      </c>
      <c r="F1129" s="18" t="s">
        <v>324</v>
      </c>
      <c r="G1129" s="18" t="s">
        <v>22</v>
      </c>
      <c r="H1129" s="18" t="s">
        <v>23</v>
      </c>
      <c r="I1129" s="19">
        <v>146.15</v>
      </c>
      <c r="J1129" s="20">
        <f t="shared" si="34"/>
        <v>2923</v>
      </c>
      <c r="K1129" s="106"/>
      <c r="L1129" s="114"/>
      <c r="M1129" s="114">
        <f>tblAquisições[[#This Row],[VALOR UNITARIO COMPRADO]]*tblAquisições[[#This Row],[QUANTIDADE COMPRADA]]</f>
        <v>0</v>
      </c>
      <c r="N1129" s="110">
        <f>K1129-tblAquisições[[#This Row],[QUANTIDADE PLANEJADA]]</f>
        <v>-20</v>
      </c>
      <c r="O1129" s="106" t="str">
        <f t="shared" si="35"/>
        <v>Faltando Comprar</v>
      </c>
    </row>
    <row r="1130" spans="1:15" ht="31.5">
      <c r="A1130" s="16" t="s">
        <v>17</v>
      </c>
      <c r="B1130" s="16" t="s">
        <v>31</v>
      </c>
      <c r="C1130" s="17" t="s">
        <v>19</v>
      </c>
      <c r="D1130" s="18" t="s">
        <v>666</v>
      </c>
      <c r="E1130" s="18">
        <v>16</v>
      </c>
      <c r="F1130" s="18" t="s">
        <v>21</v>
      </c>
      <c r="G1130" s="18" t="s">
        <v>22</v>
      </c>
      <c r="H1130" s="18" t="s">
        <v>23</v>
      </c>
      <c r="I1130" s="19">
        <v>85.7</v>
      </c>
      <c r="J1130" s="20">
        <f t="shared" si="34"/>
        <v>1371.2</v>
      </c>
      <c r="K1130" s="106"/>
      <c r="L1130" s="114"/>
      <c r="M1130" s="114">
        <f>tblAquisições[[#This Row],[VALOR UNITARIO COMPRADO]]*tblAquisições[[#This Row],[QUANTIDADE COMPRADA]]</f>
        <v>0</v>
      </c>
      <c r="N1130" s="110">
        <f>K1130-tblAquisições[[#This Row],[QUANTIDADE PLANEJADA]]</f>
        <v>-16</v>
      </c>
      <c r="O1130" s="106" t="str">
        <f t="shared" si="35"/>
        <v>Faltando Comprar</v>
      </c>
    </row>
    <row r="1131" spans="1:15" ht="31.5">
      <c r="A1131" s="16" t="s">
        <v>17</v>
      </c>
      <c r="B1131" s="16" t="s">
        <v>18</v>
      </c>
      <c r="C1131" s="17" t="s">
        <v>19</v>
      </c>
      <c r="D1131" s="18" t="s">
        <v>666</v>
      </c>
      <c r="E1131" s="18">
        <v>20</v>
      </c>
      <c r="F1131" s="18" t="s">
        <v>21</v>
      </c>
      <c r="G1131" s="18" t="s">
        <v>22</v>
      </c>
      <c r="H1131" s="18" t="s">
        <v>23</v>
      </c>
      <c r="I1131" s="19">
        <v>85.7</v>
      </c>
      <c r="J1131" s="20">
        <f t="shared" si="34"/>
        <v>1714</v>
      </c>
      <c r="K1131" s="106"/>
      <c r="L1131" s="114"/>
      <c r="M1131" s="114">
        <f>tblAquisições[[#This Row],[VALOR UNITARIO COMPRADO]]*tblAquisições[[#This Row],[QUANTIDADE COMPRADA]]</f>
        <v>0</v>
      </c>
      <c r="N1131" s="110">
        <f>K1131-tblAquisições[[#This Row],[QUANTIDADE PLANEJADA]]</f>
        <v>-20</v>
      </c>
      <c r="O1131" s="106" t="str">
        <f t="shared" si="35"/>
        <v>Faltando Comprar</v>
      </c>
    </row>
    <row r="1132" spans="1:15" ht="31.5">
      <c r="A1132" s="16" t="s">
        <v>17</v>
      </c>
      <c r="B1132" s="16" t="s">
        <v>24</v>
      </c>
      <c r="C1132" s="17" t="s">
        <v>19</v>
      </c>
      <c r="D1132" s="18" t="s">
        <v>666</v>
      </c>
      <c r="E1132" s="18">
        <v>20</v>
      </c>
      <c r="F1132" s="18" t="s">
        <v>21</v>
      </c>
      <c r="G1132" s="18" t="s">
        <v>22</v>
      </c>
      <c r="H1132" s="18" t="s">
        <v>23</v>
      </c>
      <c r="I1132" s="19">
        <v>85.7</v>
      </c>
      <c r="J1132" s="20">
        <f t="shared" si="34"/>
        <v>1714</v>
      </c>
      <c r="K1132" s="106"/>
      <c r="L1132" s="114"/>
      <c r="M1132" s="114">
        <f>tblAquisições[[#This Row],[VALOR UNITARIO COMPRADO]]*tblAquisições[[#This Row],[QUANTIDADE COMPRADA]]</f>
        <v>0</v>
      </c>
      <c r="N1132" s="110">
        <f>K1132-tblAquisições[[#This Row],[QUANTIDADE PLANEJADA]]</f>
        <v>-20</v>
      </c>
      <c r="O1132" s="106" t="str">
        <f t="shared" si="35"/>
        <v>Faltando Comprar</v>
      </c>
    </row>
    <row r="1133" spans="1:15" ht="31.5">
      <c r="A1133" s="16" t="s">
        <v>17</v>
      </c>
      <c r="B1133" s="16" t="s">
        <v>25</v>
      </c>
      <c r="C1133" s="17" t="s">
        <v>19</v>
      </c>
      <c r="D1133" s="18" t="s">
        <v>666</v>
      </c>
      <c r="E1133" s="18">
        <v>20</v>
      </c>
      <c r="F1133" s="18" t="s">
        <v>21</v>
      </c>
      <c r="G1133" s="18" t="s">
        <v>22</v>
      </c>
      <c r="H1133" s="18" t="s">
        <v>23</v>
      </c>
      <c r="I1133" s="19">
        <v>85.7</v>
      </c>
      <c r="J1133" s="20">
        <f t="shared" si="34"/>
        <v>1714</v>
      </c>
      <c r="K1133" s="106"/>
      <c r="L1133" s="114"/>
      <c r="M1133" s="114">
        <f>tblAquisições[[#This Row],[VALOR UNITARIO COMPRADO]]*tblAquisições[[#This Row],[QUANTIDADE COMPRADA]]</f>
        <v>0</v>
      </c>
      <c r="N1133" s="110">
        <f>K1133-tblAquisições[[#This Row],[QUANTIDADE PLANEJADA]]</f>
        <v>-20</v>
      </c>
      <c r="O1133" s="106" t="str">
        <f t="shared" si="35"/>
        <v>Faltando Comprar</v>
      </c>
    </row>
    <row r="1134" spans="1:15" ht="31.5">
      <c r="A1134" s="16" t="s">
        <v>17</v>
      </c>
      <c r="B1134" s="16" t="s">
        <v>41</v>
      </c>
      <c r="C1134" s="17" t="s">
        <v>19</v>
      </c>
      <c r="D1134" s="18" t="s">
        <v>666</v>
      </c>
      <c r="E1134" s="18">
        <v>20</v>
      </c>
      <c r="F1134" s="18" t="s">
        <v>21</v>
      </c>
      <c r="G1134" s="18" t="s">
        <v>22</v>
      </c>
      <c r="H1134" s="18" t="s">
        <v>23</v>
      </c>
      <c r="I1134" s="19">
        <v>85.7</v>
      </c>
      <c r="J1134" s="20">
        <f t="shared" si="34"/>
        <v>1714</v>
      </c>
      <c r="K1134" s="106"/>
      <c r="L1134" s="114"/>
      <c r="M1134" s="114">
        <f>tblAquisições[[#This Row],[VALOR UNITARIO COMPRADO]]*tblAquisições[[#This Row],[QUANTIDADE COMPRADA]]</f>
        <v>0</v>
      </c>
      <c r="N1134" s="110">
        <f>K1134-tblAquisições[[#This Row],[QUANTIDADE PLANEJADA]]</f>
        <v>-20</v>
      </c>
      <c r="O1134" s="106" t="str">
        <f t="shared" si="35"/>
        <v>Faltando Comprar</v>
      </c>
    </row>
    <row r="1135" spans="1:15" ht="31.5">
      <c r="A1135" s="16" t="s">
        <v>17</v>
      </c>
      <c r="B1135" s="16" t="s">
        <v>31</v>
      </c>
      <c r="C1135" s="17" t="s">
        <v>19</v>
      </c>
      <c r="D1135" s="18" t="s">
        <v>667</v>
      </c>
      <c r="E1135" s="18">
        <v>15</v>
      </c>
      <c r="F1135" s="18" t="s">
        <v>21</v>
      </c>
      <c r="G1135" s="18" t="s">
        <v>22</v>
      </c>
      <c r="H1135" s="18" t="s">
        <v>23</v>
      </c>
      <c r="I1135" s="19">
        <v>132.88</v>
      </c>
      <c r="J1135" s="20">
        <f t="shared" si="34"/>
        <v>1993.1999999999998</v>
      </c>
      <c r="K1135" s="106"/>
      <c r="L1135" s="114"/>
      <c r="M1135" s="114">
        <f>tblAquisições[[#This Row],[VALOR UNITARIO COMPRADO]]*tblAquisições[[#This Row],[QUANTIDADE COMPRADA]]</f>
        <v>0</v>
      </c>
      <c r="N1135" s="110">
        <f>K1135-tblAquisições[[#This Row],[QUANTIDADE PLANEJADA]]</f>
        <v>-15</v>
      </c>
      <c r="O1135" s="106" t="str">
        <f t="shared" si="35"/>
        <v>Faltando Comprar</v>
      </c>
    </row>
    <row r="1136" spans="1:15" ht="31.5">
      <c r="A1136" s="16" t="s">
        <v>17</v>
      </c>
      <c r="B1136" s="16" t="s">
        <v>41</v>
      </c>
      <c r="C1136" s="17" t="s">
        <v>19</v>
      </c>
      <c r="D1136" s="18" t="s">
        <v>667</v>
      </c>
      <c r="E1136" s="18">
        <v>20</v>
      </c>
      <c r="F1136" s="18" t="s">
        <v>21</v>
      </c>
      <c r="G1136" s="18" t="s">
        <v>22</v>
      </c>
      <c r="H1136" s="18" t="s">
        <v>23</v>
      </c>
      <c r="I1136" s="19">
        <v>132.88</v>
      </c>
      <c r="J1136" s="20">
        <f t="shared" si="34"/>
        <v>2657.6</v>
      </c>
      <c r="K1136" s="106"/>
      <c r="L1136" s="114"/>
      <c r="M1136" s="114">
        <f>tblAquisições[[#This Row],[VALOR UNITARIO COMPRADO]]*tblAquisições[[#This Row],[QUANTIDADE COMPRADA]]</f>
        <v>0</v>
      </c>
      <c r="N1136" s="110">
        <f>K1136-tblAquisições[[#This Row],[QUANTIDADE PLANEJADA]]</f>
        <v>-20</v>
      </c>
      <c r="O1136" s="106" t="str">
        <f t="shared" si="35"/>
        <v>Faltando Comprar</v>
      </c>
    </row>
    <row r="1137" spans="1:15" ht="31.5">
      <c r="A1137" s="16" t="s">
        <v>17</v>
      </c>
      <c r="B1137" s="16" t="s">
        <v>28</v>
      </c>
      <c r="C1137" s="17" t="s">
        <v>19</v>
      </c>
      <c r="D1137" s="18" t="s">
        <v>667</v>
      </c>
      <c r="E1137" s="18">
        <v>70</v>
      </c>
      <c r="F1137" s="18" t="s">
        <v>21</v>
      </c>
      <c r="G1137" s="18" t="s">
        <v>22</v>
      </c>
      <c r="H1137" s="18" t="s">
        <v>23</v>
      </c>
      <c r="I1137" s="19">
        <v>132.88</v>
      </c>
      <c r="J1137" s="20">
        <f t="shared" si="34"/>
        <v>9301.6</v>
      </c>
      <c r="K1137" s="106"/>
      <c r="L1137" s="114"/>
      <c r="M1137" s="114">
        <f>tblAquisições[[#This Row],[VALOR UNITARIO COMPRADO]]*tblAquisições[[#This Row],[QUANTIDADE COMPRADA]]</f>
        <v>0</v>
      </c>
      <c r="N1137" s="110">
        <f>K1137-tblAquisições[[#This Row],[QUANTIDADE PLANEJADA]]</f>
        <v>-70</v>
      </c>
      <c r="O1137" s="106" t="str">
        <f t="shared" si="35"/>
        <v>Faltando Comprar</v>
      </c>
    </row>
    <row r="1138" spans="1:15" ht="47.25">
      <c r="A1138" s="16" t="s">
        <v>17</v>
      </c>
      <c r="B1138" s="16" t="s">
        <v>28</v>
      </c>
      <c r="C1138" s="17" t="s">
        <v>19</v>
      </c>
      <c r="D1138" s="18" t="s">
        <v>668</v>
      </c>
      <c r="E1138" s="18">
        <v>10</v>
      </c>
      <c r="F1138" s="18" t="s">
        <v>58</v>
      </c>
      <c r="G1138" s="18" t="s">
        <v>22</v>
      </c>
      <c r="H1138" s="18" t="s">
        <v>23</v>
      </c>
      <c r="I1138" s="19">
        <v>19.91</v>
      </c>
      <c r="J1138" s="20">
        <f t="shared" si="34"/>
        <v>199.1</v>
      </c>
      <c r="K1138" s="106"/>
      <c r="L1138" s="114"/>
      <c r="M1138" s="114">
        <f>tblAquisições[[#This Row],[VALOR UNITARIO COMPRADO]]*tblAquisições[[#This Row],[QUANTIDADE COMPRADA]]</f>
        <v>0</v>
      </c>
      <c r="N1138" s="110">
        <f>K1138-tblAquisições[[#This Row],[QUANTIDADE PLANEJADA]]</f>
        <v>-10</v>
      </c>
      <c r="O1138" s="106" t="str">
        <f t="shared" si="35"/>
        <v>Faltando Comprar</v>
      </c>
    </row>
    <row r="1139" spans="1:15" ht="47.25">
      <c r="A1139" s="16" t="s">
        <v>17</v>
      </c>
      <c r="B1139" s="16" t="s">
        <v>28</v>
      </c>
      <c r="C1139" s="17" t="s">
        <v>19</v>
      </c>
      <c r="D1139" s="18" t="s">
        <v>669</v>
      </c>
      <c r="E1139" s="18">
        <v>10</v>
      </c>
      <c r="F1139" s="18" t="s">
        <v>78</v>
      </c>
      <c r="G1139" s="18" t="s">
        <v>22</v>
      </c>
      <c r="H1139" s="18" t="s">
        <v>23</v>
      </c>
      <c r="I1139" s="19">
        <v>66</v>
      </c>
      <c r="J1139" s="20">
        <f t="shared" si="34"/>
        <v>660</v>
      </c>
      <c r="K1139" s="106"/>
      <c r="L1139" s="114"/>
      <c r="M1139" s="114">
        <f>tblAquisições[[#This Row],[VALOR UNITARIO COMPRADO]]*tblAquisições[[#This Row],[QUANTIDADE COMPRADA]]</f>
        <v>0</v>
      </c>
      <c r="N1139" s="110">
        <f>K1139-tblAquisições[[#This Row],[QUANTIDADE PLANEJADA]]</f>
        <v>-10</v>
      </c>
      <c r="O1139" s="106" t="str">
        <f t="shared" si="35"/>
        <v>Faltando Comprar</v>
      </c>
    </row>
    <row r="1140" spans="1:15" ht="47.25">
      <c r="A1140" s="16" t="s">
        <v>17</v>
      </c>
      <c r="B1140" s="16" t="s">
        <v>34</v>
      </c>
      <c r="C1140" s="17" t="s">
        <v>19</v>
      </c>
      <c r="D1140" s="18" t="s">
        <v>670</v>
      </c>
      <c r="E1140" s="18">
        <v>2</v>
      </c>
      <c r="F1140" s="18" t="s">
        <v>78</v>
      </c>
      <c r="G1140" s="18" t="s">
        <v>22</v>
      </c>
      <c r="H1140" s="18" t="s">
        <v>23</v>
      </c>
      <c r="I1140" s="19">
        <v>116.24</v>
      </c>
      <c r="J1140" s="20">
        <f t="shared" si="34"/>
        <v>232.48</v>
      </c>
      <c r="K1140" s="106"/>
      <c r="L1140" s="114"/>
      <c r="M1140" s="114">
        <f>tblAquisições[[#This Row],[VALOR UNITARIO COMPRADO]]*tblAquisições[[#This Row],[QUANTIDADE COMPRADA]]</f>
        <v>0</v>
      </c>
      <c r="N1140" s="110">
        <f>K1140-tblAquisições[[#This Row],[QUANTIDADE PLANEJADA]]</f>
        <v>-2</v>
      </c>
      <c r="O1140" s="106" t="str">
        <f t="shared" si="35"/>
        <v>Faltando Comprar</v>
      </c>
    </row>
    <row r="1141" spans="1:15" ht="31.5">
      <c r="A1141" s="16" t="s">
        <v>17</v>
      </c>
      <c r="B1141" s="16" t="s">
        <v>31</v>
      </c>
      <c r="C1141" s="17" t="s">
        <v>19</v>
      </c>
      <c r="D1141" s="18" t="s">
        <v>671</v>
      </c>
      <c r="E1141" s="18">
        <v>40</v>
      </c>
      <c r="F1141" s="18" t="s">
        <v>21</v>
      </c>
      <c r="G1141" s="18" t="s">
        <v>22</v>
      </c>
      <c r="H1141" s="18" t="s">
        <v>23</v>
      </c>
      <c r="I1141" s="19">
        <v>591.66999999999996</v>
      </c>
      <c r="J1141" s="20">
        <f t="shared" si="34"/>
        <v>23666.799999999999</v>
      </c>
      <c r="K1141" s="106"/>
      <c r="L1141" s="114"/>
      <c r="M1141" s="114">
        <f>tblAquisições[[#This Row],[VALOR UNITARIO COMPRADO]]*tblAquisições[[#This Row],[QUANTIDADE COMPRADA]]</f>
        <v>0</v>
      </c>
      <c r="N1141" s="110">
        <f>K1141-tblAquisições[[#This Row],[QUANTIDADE PLANEJADA]]</f>
        <v>-40</v>
      </c>
      <c r="O1141" s="106" t="str">
        <f t="shared" si="35"/>
        <v>Faltando Comprar</v>
      </c>
    </row>
    <row r="1142" spans="1:15" ht="31.5">
      <c r="A1142" s="16" t="s">
        <v>17</v>
      </c>
      <c r="B1142" s="16" t="s">
        <v>18</v>
      </c>
      <c r="C1142" s="17" t="s">
        <v>19</v>
      </c>
      <c r="D1142" s="18" t="s">
        <v>671</v>
      </c>
      <c r="E1142" s="18">
        <v>200</v>
      </c>
      <c r="F1142" s="18" t="s">
        <v>21</v>
      </c>
      <c r="G1142" s="18" t="s">
        <v>22</v>
      </c>
      <c r="H1142" s="18" t="s">
        <v>23</v>
      </c>
      <c r="I1142" s="19">
        <v>591.66999999999996</v>
      </c>
      <c r="J1142" s="20">
        <f t="shared" si="34"/>
        <v>118333.99999999999</v>
      </c>
      <c r="K1142" s="106"/>
      <c r="L1142" s="114"/>
      <c r="M1142" s="114">
        <f>tblAquisições[[#This Row],[VALOR UNITARIO COMPRADO]]*tblAquisições[[#This Row],[QUANTIDADE COMPRADA]]</f>
        <v>0</v>
      </c>
      <c r="N1142" s="110">
        <f>K1142-tblAquisições[[#This Row],[QUANTIDADE PLANEJADA]]</f>
        <v>-200</v>
      </c>
      <c r="O1142" s="106" t="str">
        <f t="shared" si="35"/>
        <v>Faltando Comprar</v>
      </c>
    </row>
    <row r="1143" spans="1:15" ht="31.5">
      <c r="A1143" s="16" t="s">
        <v>17</v>
      </c>
      <c r="B1143" s="16" t="s">
        <v>24</v>
      </c>
      <c r="C1143" s="17" t="s">
        <v>19</v>
      </c>
      <c r="D1143" s="18" t="s">
        <v>671</v>
      </c>
      <c r="E1143" s="18">
        <v>200</v>
      </c>
      <c r="F1143" s="18" t="s">
        <v>21</v>
      </c>
      <c r="G1143" s="18" t="s">
        <v>22</v>
      </c>
      <c r="H1143" s="18" t="s">
        <v>23</v>
      </c>
      <c r="I1143" s="19">
        <v>591.66999999999996</v>
      </c>
      <c r="J1143" s="20">
        <f t="shared" si="34"/>
        <v>118333.99999999999</v>
      </c>
      <c r="K1143" s="106"/>
      <c r="L1143" s="114"/>
      <c r="M1143" s="114">
        <f>tblAquisições[[#This Row],[VALOR UNITARIO COMPRADO]]*tblAquisições[[#This Row],[QUANTIDADE COMPRADA]]</f>
        <v>0</v>
      </c>
      <c r="N1143" s="110">
        <f>K1143-tblAquisições[[#This Row],[QUANTIDADE PLANEJADA]]</f>
        <v>-200</v>
      </c>
      <c r="O1143" s="106" t="str">
        <f t="shared" si="35"/>
        <v>Faltando Comprar</v>
      </c>
    </row>
    <row r="1144" spans="1:15" ht="31.5">
      <c r="A1144" s="16" t="s">
        <v>17</v>
      </c>
      <c r="B1144" s="16" t="s">
        <v>25</v>
      </c>
      <c r="C1144" s="17" t="s">
        <v>19</v>
      </c>
      <c r="D1144" s="18" t="s">
        <v>671</v>
      </c>
      <c r="E1144" s="18">
        <v>200</v>
      </c>
      <c r="F1144" s="18" t="s">
        <v>21</v>
      </c>
      <c r="G1144" s="18" t="s">
        <v>22</v>
      </c>
      <c r="H1144" s="18" t="s">
        <v>23</v>
      </c>
      <c r="I1144" s="19">
        <v>591.66999999999996</v>
      </c>
      <c r="J1144" s="20">
        <f t="shared" si="34"/>
        <v>118333.99999999999</v>
      </c>
      <c r="K1144" s="106"/>
      <c r="L1144" s="114"/>
      <c r="M1144" s="114">
        <f>tblAquisições[[#This Row],[VALOR UNITARIO COMPRADO]]*tblAquisições[[#This Row],[QUANTIDADE COMPRADA]]</f>
        <v>0</v>
      </c>
      <c r="N1144" s="110">
        <f>K1144-tblAquisições[[#This Row],[QUANTIDADE PLANEJADA]]</f>
        <v>-200</v>
      </c>
      <c r="O1144" s="106" t="str">
        <f t="shared" si="35"/>
        <v>Faltando Comprar</v>
      </c>
    </row>
    <row r="1145" spans="1:15" ht="31.5">
      <c r="A1145" s="16" t="s">
        <v>17</v>
      </c>
      <c r="B1145" s="16" t="s">
        <v>41</v>
      </c>
      <c r="C1145" s="17" t="s">
        <v>19</v>
      </c>
      <c r="D1145" s="18" t="s">
        <v>671</v>
      </c>
      <c r="E1145" s="18">
        <v>600</v>
      </c>
      <c r="F1145" s="18" t="s">
        <v>21</v>
      </c>
      <c r="G1145" s="18" t="s">
        <v>22</v>
      </c>
      <c r="H1145" s="18" t="s">
        <v>83</v>
      </c>
      <c r="I1145" s="19">
        <v>591.66999999999996</v>
      </c>
      <c r="J1145" s="20">
        <f t="shared" si="34"/>
        <v>355002</v>
      </c>
      <c r="K1145" s="106"/>
      <c r="L1145" s="114"/>
      <c r="M1145" s="114">
        <f>tblAquisições[[#This Row],[VALOR UNITARIO COMPRADO]]*tblAquisições[[#This Row],[QUANTIDADE COMPRADA]]</f>
        <v>0</v>
      </c>
      <c r="N1145" s="110">
        <f>K1145-tblAquisições[[#This Row],[QUANTIDADE PLANEJADA]]</f>
        <v>-600</v>
      </c>
      <c r="O1145" s="106" t="str">
        <f t="shared" si="35"/>
        <v>Faltando Comprar</v>
      </c>
    </row>
    <row r="1146" spans="1:15" ht="31.5">
      <c r="A1146" s="16" t="s">
        <v>17</v>
      </c>
      <c r="B1146" s="16" t="s">
        <v>26</v>
      </c>
      <c r="C1146" s="17" t="s">
        <v>19</v>
      </c>
      <c r="D1146" s="18" t="s">
        <v>671</v>
      </c>
      <c r="E1146" s="18">
        <v>5</v>
      </c>
      <c r="F1146" s="18" t="s">
        <v>21</v>
      </c>
      <c r="G1146" s="18" t="s">
        <v>22</v>
      </c>
      <c r="H1146" s="18" t="s">
        <v>23</v>
      </c>
      <c r="I1146" s="19">
        <v>591.66999999999996</v>
      </c>
      <c r="J1146" s="20">
        <f t="shared" si="34"/>
        <v>2958.35</v>
      </c>
      <c r="K1146" s="106"/>
      <c r="L1146" s="114"/>
      <c r="M1146" s="114">
        <f>tblAquisições[[#This Row],[VALOR UNITARIO COMPRADO]]*tblAquisições[[#This Row],[QUANTIDADE COMPRADA]]</f>
        <v>0</v>
      </c>
      <c r="N1146" s="110">
        <f>K1146-tblAquisições[[#This Row],[QUANTIDADE PLANEJADA]]</f>
        <v>-5</v>
      </c>
      <c r="O1146" s="106" t="str">
        <f t="shared" si="35"/>
        <v>Faltando Comprar</v>
      </c>
    </row>
    <row r="1147" spans="1:15" ht="31.5">
      <c r="A1147" s="16" t="s">
        <v>17</v>
      </c>
      <c r="B1147" s="16" t="s">
        <v>27</v>
      </c>
      <c r="C1147" s="17" t="s">
        <v>19</v>
      </c>
      <c r="D1147" s="18" t="s">
        <v>671</v>
      </c>
      <c r="E1147" s="18">
        <v>150</v>
      </c>
      <c r="F1147" s="18" t="s">
        <v>21</v>
      </c>
      <c r="G1147" s="18" t="s">
        <v>22</v>
      </c>
      <c r="H1147" s="18" t="s">
        <v>23</v>
      </c>
      <c r="I1147" s="19">
        <v>591.66999999999996</v>
      </c>
      <c r="J1147" s="20">
        <f t="shared" si="34"/>
        <v>88750.5</v>
      </c>
      <c r="K1147" s="106"/>
      <c r="L1147" s="114"/>
      <c r="M1147" s="114">
        <f>tblAquisições[[#This Row],[VALOR UNITARIO COMPRADO]]*tblAquisições[[#This Row],[QUANTIDADE COMPRADA]]</f>
        <v>0</v>
      </c>
      <c r="N1147" s="110">
        <f>K1147-tblAquisições[[#This Row],[QUANTIDADE PLANEJADA]]</f>
        <v>-150</v>
      </c>
      <c r="O1147" s="106" t="str">
        <f t="shared" si="35"/>
        <v>Faltando Comprar</v>
      </c>
    </row>
    <row r="1148" spans="1:15" ht="31.5">
      <c r="A1148" s="16" t="s">
        <v>17</v>
      </c>
      <c r="B1148" s="16" t="s">
        <v>28</v>
      </c>
      <c r="C1148" s="17" t="s">
        <v>19</v>
      </c>
      <c r="D1148" s="18" t="s">
        <v>671</v>
      </c>
      <c r="E1148" s="18">
        <v>10</v>
      </c>
      <c r="F1148" s="18" t="s">
        <v>21</v>
      </c>
      <c r="G1148" s="18" t="s">
        <v>22</v>
      </c>
      <c r="H1148" s="18" t="s">
        <v>23</v>
      </c>
      <c r="I1148" s="19">
        <v>591.66999999999996</v>
      </c>
      <c r="J1148" s="20">
        <f t="shared" si="34"/>
        <v>5916.7</v>
      </c>
      <c r="K1148" s="106"/>
      <c r="L1148" s="114"/>
      <c r="M1148" s="114">
        <f>tblAquisições[[#This Row],[VALOR UNITARIO COMPRADO]]*tblAquisições[[#This Row],[QUANTIDADE COMPRADA]]</f>
        <v>0</v>
      </c>
      <c r="N1148" s="110">
        <f>K1148-tblAquisições[[#This Row],[QUANTIDADE PLANEJADA]]</f>
        <v>-10</v>
      </c>
      <c r="O1148" s="106" t="str">
        <f t="shared" si="35"/>
        <v>Faltando Comprar</v>
      </c>
    </row>
    <row r="1149" spans="1:15" ht="31.5">
      <c r="A1149" s="16" t="s">
        <v>17</v>
      </c>
      <c r="B1149" s="16" t="s">
        <v>26</v>
      </c>
      <c r="C1149" s="17" t="s">
        <v>19</v>
      </c>
      <c r="D1149" s="18" t="s">
        <v>672</v>
      </c>
      <c r="E1149" s="18">
        <v>20</v>
      </c>
      <c r="F1149" s="18" t="s">
        <v>21</v>
      </c>
      <c r="G1149" s="18" t="s">
        <v>22</v>
      </c>
      <c r="H1149" s="18" t="s">
        <v>23</v>
      </c>
      <c r="I1149" s="19">
        <v>67.56</v>
      </c>
      <c r="J1149" s="20">
        <f t="shared" si="34"/>
        <v>1351.2</v>
      </c>
      <c r="K1149" s="106"/>
      <c r="L1149" s="114"/>
      <c r="M1149" s="114">
        <f>tblAquisições[[#This Row],[VALOR UNITARIO COMPRADO]]*tblAquisições[[#This Row],[QUANTIDADE COMPRADA]]</f>
        <v>0</v>
      </c>
      <c r="N1149" s="110">
        <f>K1149-tblAquisições[[#This Row],[QUANTIDADE PLANEJADA]]</f>
        <v>-20</v>
      </c>
      <c r="O1149" s="106" t="str">
        <f t="shared" si="35"/>
        <v>Faltando Comprar</v>
      </c>
    </row>
    <row r="1150" spans="1:15" ht="31.5">
      <c r="A1150" s="16" t="s">
        <v>17</v>
      </c>
      <c r="B1150" s="16" t="s">
        <v>28</v>
      </c>
      <c r="C1150" s="17" t="s">
        <v>19</v>
      </c>
      <c r="D1150" s="18" t="s">
        <v>672</v>
      </c>
      <c r="E1150" s="18">
        <v>150</v>
      </c>
      <c r="F1150" s="18" t="s">
        <v>21</v>
      </c>
      <c r="G1150" s="18" t="s">
        <v>22</v>
      </c>
      <c r="H1150" s="18" t="s">
        <v>23</v>
      </c>
      <c r="I1150" s="19">
        <v>67.56</v>
      </c>
      <c r="J1150" s="20">
        <f t="shared" si="34"/>
        <v>10134</v>
      </c>
      <c r="K1150" s="106"/>
      <c r="L1150" s="114"/>
      <c r="M1150" s="114">
        <f>tblAquisições[[#This Row],[VALOR UNITARIO COMPRADO]]*tblAquisições[[#This Row],[QUANTIDADE COMPRADA]]</f>
        <v>0</v>
      </c>
      <c r="N1150" s="110">
        <f>K1150-tblAquisições[[#This Row],[QUANTIDADE PLANEJADA]]</f>
        <v>-150</v>
      </c>
      <c r="O1150" s="106" t="str">
        <f t="shared" si="35"/>
        <v>Faltando Comprar</v>
      </c>
    </row>
    <row r="1151" spans="1:15" ht="31.5">
      <c r="A1151" s="16" t="s">
        <v>17</v>
      </c>
      <c r="B1151" s="16" t="s">
        <v>26</v>
      </c>
      <c r="C1151" s="17" t="s">
        <v>19</v>
      </c>
      <c r="D1151" s="18" t="s">
        <v>673</v>
      </c>
      <c r="E1151" s="18">
        <v>5</v>
      </c>
      <c r="F1151" s="18" t="s">
        <v>21</v>
      </c>
      <c r="G1151" s="18" t="s">
        <v>22</v>
      </c>
      <c r="H1151" s="18" t="s">
        <v>23</v>
      </c>
      <c r="I1151" s="19">
        <v>409.96</v>
      </c>
      <c r="J1151" s="20">
        <f t="shared" si="34"/>
        <v>2049.7999999999997</v>
      </c>
      <c r="K1151" s="106"/>
      <c r="L1151" s="114"/>
      <c r="M1151" s="114">
        <f>tblAquisições[[#This Row],[VALOR UNITARIO COMPRADO]]*tblAquisições[[#This Row],[QUANTIDADE COMPRADA]]</f>
        <v>0</v>
      </c>
      <c r="N1151" s="110">
        <f>K1151-tblAquisições[[#This Row],[QUANTIDADE PLANEJADA]]</f>
        <v>-5</v>
      </c>
      <c r="O1151" s="106" t="str">
        <f t="shared" si="35"/>
        <v>Faltando Comprar</v>
      </c>
    </row>
    <row r="1152" spans="1:15" ht="31.5">
      <c r="A1152" s="16" t="s">
        <v>17</v>
      </c>
      <c r="B1152" s="16" t="s">
        <v>26</v>
      </c>
      <c r="C1152" s="17" t="s">
        <v>19</v>
      </c>
      <c r="D1152" s="18" t="s">
        <v>674</v>
      </c>
      <c r="E1152" s="18">
        <v>50</v>
      </c>
      <c r="F1152" s="18" t="s">
        <v>21</v>
      </c>
      <c r="G1152" s="18" t="s">
        <v>22</v>
      </c>
      <c r="H1152" s="18" t="s">
        <v>23</v>
      </c>
      <c r="I1152" s="19">
        <v>131.04</v>
      </c>
      <c r="J1152" s="20">
        <f t="shared" si="34"/>
        <v>6552</v>
      </c>
      <c r="K1152" s="106"/>
      <c r="L1152" s="114"/>
      <c r="M1152" s="114">
        <f>tblAquisições[[#This Row],[VALOR UNITARIO COMPRADO]]*tblAquisições[[#This Row],[QUANTIDADE COMPRADA]]</f>
        <v>0</v>
      </c>
      <c r="N1152" s="110">
        <f>K1152-tblAquisições[[#This Row],[QUANTIDADE PLANEJADA]]</f>
        <v>-50</v>
      </c>
      <c r="O1152" s="106" t="str">
        <f t="shared" si="35"/>
        <v>Faltando Comprar</v>
      </c>
    </row>
    <row r="1153" spans="1:15" ht="31.5">
      <c r="A1153" s="16" t="s">
        <v>17</v>
      </c>
      <c r="B1153" s="16" t="s">
        <v>28</v>
      </c>
      <c r="C1153" s="17" t="s">
        <v>19</v>
      </c>
      <c r="D1153" s="18" t="s">
        <v>674</v>
      </c>
      <c r="E1153" s="18">
        <v>100</v>
      </c>
      <c r="F1153" s="18" t="s">
        <v>21</v>
      </c>
      <c r="G1153" s="18" t="s">
        <v>22</v>
      </c>
      <c r="H1153" s="18" t="s">
        <v>23</v>
      </c>
      <c r="I1153" s="19">
        <v>131.04</v>
      </c>
      <c r="J1153" s="20">
        <f t="shared" si="34"/>
        <v>13104</v>
      </c>
      <c r="K1153" s="106"/>
      <c r="L1153" s="114"/>
      <c r="M1153" s="114">
        <f>tblAquisições[[#This Row],[VALOR UNITARIO COMPRADO]]*tblAquisições[[#This Row],[QUANTIDADE COMPRADA]]</f>
        <v>0</v>
      </c>
      <c r="N1153" s="110">
        <f>K1153-tblAquisições[[#This Row],[QUANTIDADE PLANEJADA]]</f>
        <v>-100</v>
      </c>
      <c r="O1153" s="106" t="str">
        <f t="shared" si="35"/>
        <v>Faltando Comprar</v>
      </c>
    </row>
    <row r="1154" spans="1:15" ht="31.5">
      <c r="A1154" s="16" t="s">
        <v>17</v>
      </c>
      <c r="B1154" s="16" t="s">
        <v>34</v>
      </c>
      <c r="C1154" s="17" t="s">
        <v>19</v>
      </c>
      <c r="D1154" s="18" t="s">
        <v>675</v>
      </c>
      <c r="E1154" s="18">
        <v>4</v>
      </c>
      <c r="F1154" s="18" t="s">
        <v>21</v>
      </c>
      <c r="G1154" s="18" t="s">
        <v>22</v>
      </c>
      <c r="H1154" s="18" t="s">
        <v>23</v>
      </c>
      <c r="I1154" s="19">
        <v>1404.33</v>
      </c>
      <c r="J1154" s="20">
        <f t="shared" ref="J1154:J1217" si="36">E1154*I1154</f>
        <v>5617.32</v>
      </c>
      <c r="K1154" s="106"/>
      <c r="L1154" s="114"/>
      <c r="M1154" s="114">
        <f>tblAquisições[[#This Row],[VALOR UNITARIO COMPRADO]]*tblAquisições[[#This Row],[QUANTIDADE COMPRADA]]</f>
        <v>0</v>
      </c>
      <c r="N1154" s="110">
        <f>K1154-tblAquisições[[#This Row],[QUANTIDADE PLANEJADA]]</f>
        <v>-4</v>
      </c>
      <c r="O1154" s="106" t="str">
        <f t="shared" ref="O1154:O1217" si="37">IF(K1154=E1154,"OK",IF(K1154&lt;E1154,"Faltando Comprar","Excedente"))</f>
        <v>Faltando Comprar</v>
      </c>
    </row>
    <row r="1155" spans="1:15" ht="31.5">
      <c r="A1155" s="16" t="s">
        <v>17</v>
      </c>
      <c r="B1155" s="16" t="s">
        <v>28</v>
      </c>
      <c r="C1155" s="17" t="s">
        <v>19</v>
      </c>
      <c r="D1155" s="18" t="s">
        <v>676</v>
      </c>
      <c r="E1155" s="18">
        <v>60</v>
      </c>
      <c r="F1155" s="18" t="s">
        <v>21</v>
      </c>
      <c r="G1155" s="18" t="s">
        <v>22</v>
      </c>
      <c r="H1155" s="18" t="s">
        <v>23</v>
      </c>
      <c r="I1155" s="19">
        <v>20.68</v>
      </c>
      <c r="J1155" s="20">
        <f t="shared" si="36"/>
        <v>1240.8</v>
      </c>
      <c r="K1155" s="106"/>
      <c r="L1155" s="114"/>
      <c r="M1155" s="114">
        <f>tblAquisições[[#This Row],[VALOR UNITARIO COMPRADO]]*tblAquisições[[#This Row],[QUANTIDADE COMPRADA]]</f>
        <v>0</v>
      </c>
      <c r="N1155" s="110">
        <f>K1155-tblAquisições[[#This Row],[QUANTIDADE PLANEJADA]]</f>
        <v>-60</v>
      </c>
      <c r="O1155" s="106" t="str">
        <f t="shared" si="37"/>
        <v>Faltando Comprar</v>
      </c>
    </row>
    <row r="1156" spans="1:15" ht="31.5">
      <c r="A1156" s="16" t="s">
        <v>17</v>
      </c>
      <c r="B1156" s="16" t="s">
        <v>26</v>
      </c>
      <c r="C1156" s="17" t="s">
        <v>19</v>
      </c>
      <c r="D1156" s="18" t="s">
        <v>677</v>
      </c>
      <c r="E1156" s="18">
        <v>20</v>
      </c>
      <c r="F1156" s="18" t="s">
        <v>30</v>
      </c>
      <c r="G1156" s="18" t="s">
        <v>22</v>
      </c>
      <c r="H1156" s="18" t="s">
        <v>23</v>
      </c>
      <c r="I1156" s="19">
        <v>78.5</v>
      </c>
      <c r="J1156" s="20">
        <f t="shared" si="36"/>
        <v>1570</v>
      </c>
      <c r="K1156" s="106"/>
      <c r="L1156" s="114"/>
      <c r="M1156" s="114">
        <f>tblAquisições[[#This Row],[VALOR UNITARIO COMPRADO]]*tblAquisições[[#This Row],[QUANTIDADE COMPRADA]]</f>
        <v>0</v>
      </c>
      <c r="N1156" s="110">
        <f>K1156-tblAquisições[[#This Row],[QUANTIDADE PLANEJADA]]</f>
        <v>-20</v>
      </c>
      <c r="O1156" s="106" t="str">
        <f t="shared" si="37"/>
        <v>Faltando Comprar</v>
      </c>
    </row>
    <row r="1157" spans="1:15" ht="31.5">
      <c r="A1157" s="16" t="s">
        <v>17</v>
      </c>
      <c r="B1157" s="16" t="s">
        <v>28</v>
      </c>
      <c r="C1157" s="17" t="s">
        <v>19</v>
      </c>
      <c r="D1157" s="18" t="s">
        <v>678</v>
      </c>
      <c r="E1157" s="18">
        <v>30</v>
      </c>
      <c r="F1157" s="18" t="s">
        <v>21</v>
      </c>
      <c r="G1157" s="18" t="s">
        <v>22</v>
      </c>
      <c r="H1157" s="18" t="s">
        <v>23</v>
      </c>
      <c r="I1157" s="19">
        <v>129.61000000000001</v>
      </c>
      <c r="J1157" s="20">
        <f t="shared" si="36"/>
        <v>3888.3</v>
      </c>
      <c r="K1157" s="106"/>
      <c r="L1157" s="114"/>
      <c r="M1157" s="114">
        <f>tblAquisições[[#This Row],[VALOR UNITARIO COMPRADO]]*tblAquisições[[#This Row],[QUANTIDADE COMPRADA]]</f>
        <v>0</v>
      </c>
      <c r="N1157" s="110">
        <f>K1157-tblAquisições[[#This Row],[QUANTIDADE PLANEJADA]]</f>
        <v>-30</v>
      </c>
      <c r="O1157" s="106" t="str">
        <f t="shared" si="37"/>
        <v>Faltando Comprar</v>
      </c>
    </row>
    <row r="1158" spans="1:15" ht="47.25">
      <c r="A1158" s="16" t="s">
        <v>17</v>
      </c>
      <c r="B1158" s="16" t="s">
        <v>28</v>
      </c>
      <c r="C1158" s="17" t="s">
        <v>19</v>
      </c>
      <c r="D1158" s="18" t="s">
        <v>679</v>
      </c>
      <c r="E1158" s="18">
        <v>12</v>
      </c>
      <c r="F1158" s="18" t="s">
        <v>58</v>
      </c>
      <c r="G1158" s="18" t="s">
        <v>22</v>
      </c>
      <c r="H1158" s="18" t="s">
        <v>23</v>
      </c>
      <c r="I1158" s="19">
        <v>65.06</v>
      </c>
      <c r="J1158" s="20">
        <f t="shared" si="36"/>
        <v>780.72</v>
      </c>
      <c r="K1158" s="106"/>
      <c r="L1158" s="114"/>
      <c r="M1158" s="114">
        <f>tblAquisições[[#This Row],[VALOR UNITARIO COMPRADO]]*tblAquisições[[#This Row],[QUANTIDADE COMPRADA]]</f>
        <v>0</v>
      </c>
      <c r="N1158" s="110">
        <f>K1158-tblAquisições[[#This Row],[QUANTIDADE PLANEJADA]]</f>
        <v>-12</v>
      </c>
      <c r="O1158" s="106" t="str">
        <f t="shared" si="37"/>
        <v>Faltando Comprar</v>
      </c>
    </row>
    <row r="1159" spans="1:15" ht="31.5">
      <c r="A1159" s="16" t="s">
        <v>17</v>
      </c>
      <c r="B1159" s="16" t="s">
        <v>26</v>
      </c>
      <c r="C1159" s="17" t="s">
        <v>19</v>
      </c>
      <c r="D1159" s="18" t="s">
        <v>680</v>
      </c>
      <c r="E1159" s="18">
        <v>150</v>
      </c>
      <c r="F1159" s="18" t="s">
        <v>21</v>
      </c>
      <c r="G1159" s="18" t="s">
        <v>22</v>
      </c>
      <c r="H1159" s="18" t="s">
        <v>23</v>
      </c>
      <c r="I1159" s="19">
        <v>9.56</v>
      </c>
      <c r="J1159" s="20">
        <f t="shared" si="36"/>
        <v>1434</v>
      </c>
      <c r="K1159" s="106"/>
      <c r="L1159" s="114"/>
      <c r="M1159" s="114">
        <f>tblAquisições[[#This Row],[VALOR UNITARIO COMPRADO]]*tblAquisições[[#This Row],[QUANTIDADE COMPRADA]]</f>
        <v>0</v>
      </c>
      <c r="N1159" s="110">
        <f>K1159-tblAquisições[[#This Row],[QUANTIDADE PLANEJADA]]</f>
        <v>-150</v>
      </c>
      <c r="O1159" s="106" t="str">
        <f t="shared" si="37"/>
        <v>Faltando Comprar</v>
      </c>
    </row>
    <row r="1160" spans="1:15" ht="31.5">
      <c r="A1160" s="16" t="s">
        <v>17</v>
      </c>
      <c r="B1160" s="16" t="s">
        <v>80</v>
      </c>
      <c r="C1160" s="17" t="s">
        <v>19</v>
      </c>
      <c r="D1160" s="18" t="s">
        <v>681</v>
      </c>
      <c r="E1160" s="18">
        <v>10</v>
      </c>
      <c r="F1160" s="18" t="s">
        <v>38</v>
      </c>
      <c r="G1160" s="18" t="s">
        <v>39</v>
      </c>
      <c r="H1160" s="18" t="s">
        <v>23</v>
      </c>
      <c r="I1160" s="19">
        <v>375.65</v>
      </c>
      <c r="J1160" s="20">
        <f t="shared" si="36"/>
        <v>3756.5</v>
      </c>
      <c r="K1160" s="106"/>
      <c r="L1160" s="114"/>
      <c r="M1160" s="114">
        <f>tblAquisições[[#This Row],[VALOR UNITARIO COMPRADO]]*tblAquisições[[#This Row],[QUANTIDADE COMPRADA]]</f>
        <v>0</v>
      </c>
      <c r="N1160" s="110">
        <f>K1160-tblAquisições[[#This Row],[QUANTIDADE PLANEJADA]]</f>
        <v>-10</v>
      </c>
      <c r="O1160" s="106" t="str">
        <f t="shared" si="37"/>
        <v>Faltando Comprar</v>
      </c>
    </row>
    <row r="1161" spans="1:15" ht="31.5">
      <c r="A1161" s="16" t="s">
        <v>17</v>
      </c>
      <c r="B1161" s="16" t="s">
        <v>41</v>
      </c>
      <c r="C1161" s="17" t="s">
        <v>19</v>
      </c>
      <c r="D1161" s="18" t="s">
        <v>681</v>
      </c>
      <c r="E1161" s="18">
        <v>20</v>
      </c>
      <c r="F1161" s="18" t="s">
        <v>21</v>
      </c>
      <c r="G1161" s="18" t="s">
        <v>22</v>
      </c>
      <c r="H1161" s="18" t="s">
        <v>23</v>
      </c>
      <c r="I1161" s="19">
        <v>375.65</v>
      </c>
      <c r="J1161" s="20">
        <f t="shared" si="36"/>
        <v>7513</v>
      </c>
      <c r="K1161" s="106"/>
      <c r="L1161" s="114"/>
      <c r="M1161" s="114">
        <f>tblAquisições[[#This Row],[VALOR UNITARIO COMPRADO]]*tblAquisições[[#This Row],[QUANTIDADE COMPRADA]]</f>
        <v>0</v>
      </c>
      <c r="N1161" s="110">
        <f>K1161-tblAquisições[[#This Row],[QUANTIDADE PLANEJADA]]</f>
        <v>-20</v>
      </c>
      <c r="O1161" s="106" t="str">
        <f t="shared" si="37"/>
        <v>Faltando Comprar</v>
      </c>
    </row>
    <row r="1162" spans="1:15" ht="31.5">
      <c r="A1162" s="16" t="s">
        <v>17</v>
      </c>
      <c r="B1162" s="16" t="s">
        <v>28</v>
      </c>
      <c r="C1162" s="17" t="s">
        <v>19</v>
      </c>
      <c r="D1162" s="18" t="s">
        <v>681</v>
      </c>
      <c r="E1162" s="18">
        <v>20</v>
      </c>
      <c r="F1162" s="18" t="s">
        <v>21</v>
      </c>
      <c r="G1162" s="18" t="s">
        <v>22</v>
      </c>
      <c r="H1162" s="18" t="s">
        <v>23</v>
      </c>
      <c r="I1162" s="19">
        <v>375.65</v>
      </c>
      <c r="J1162" s="20">
        <f t="shared" si="36"/>
        <v>7513</v>
      </c>
      <c r="K1162" s="106"/>
      <c r="L1162" s="114"/>
      <c r="M1162" s="114">
        <f>tblAquisições[[#This Row],[VALOR UNITARIO COMPRADO]]*tblAquisições[[#This Row],[QUANTIDADE COMPRADA]]</f>
        <v>0</v>
      </c>
      <c r="N1162" s="110">
        <f>K1162-tblAquisições[[#This Row],[QUANTIDADE PLANEJADA]]</f>
        <v>-20</v>
      </c>
      <c r="O1162" s="106" t="str">
        <f t="shared" si="37"/>
        <v>Faltando Comprar</v>
      </c>
    </row>
    <row r="1163" spans="1:15" ht="31.5">
      <c r="A1163" s="16" t="s">
        <v>17</v>
      </c>
      <c r="B1163" s="16" t="s">
        <v>26</v>
      </c>
      <c r="C1163" s="17" t="s">
        <v>19</v>
      </c>
      <c r="D1163" s="18" t="s">
        <v>682</v>
      </c>
      <c r="E1163" s="18">
        <v>600</v>
      </c>
      <c r="F1163" s="18" t="s">
        <v>21</v>
      </c>
      <c r="G1163" s="18" t="s">
        <v>22</v>
      </c>
      <c r="H1163" s="18" t="s">
        <v>83</v>
      </c>
      <c r="I1163" s="19">
        <v>20.82</v>
      </c>
      <c r="J1163" s="20">
        <f t="shared" si="36"/>
        <v>12492</v>
      </c>
      <c r="K1163" s="106"/>
      <c r="L1163" s="114"/>
      <c r="M1163" s="114">
        <f>tblAquisições[[#This Row],[VALOR UNITARIO COMPRADO]]*tblAquisições[[#This Row],[QUANTIDADE COMPRADA]]</f>
        <v>0</v>
      </c>
      <c r="N1163" s="110">
        <f>K1163-tblAquisições[[#This Row],[QUANTIDADE PLANEJADA]]</f>
        <v>-600</v>
      </c>
      <c r="O1163" s="106" t="str">
        <f t="shared" si="37"/>
        <v>Faltando Comprar</v>
      </c>
    </row>
    <row r="1164" spans="1:15" ht="47.25">
      <c r="A1164" s="16" t="s">
        <v>17</v>
      </c>
      <c r="B1164" s="16" t="s">
        <v>28</v>
      </c>
      <c r="C1164" s="17" t="s">
        <v>19</v>
      </c>
      <c r="D1164" s="18" t="s">
        <v>683</v>
      </c>
      <c r="E1164" s="18">
        <v>3</v>
      </c>
      <c r="F1164" s="18" t="s">
        <v>391</v>
      </c>
      <c r="G1164" s="18" t="s">
        <v>22</v>
      </c>
      <c r="H1164" s="18" t="s">
        <v>53</v>
      </c>
      <c r="I1164" s="19">
        <v>78.13</v>
      </c>
      <c r="J1164" s="20">
        <f t="shared" si="36"/>
        <v>234.39</v>
      </c>
      <c r="K1164" s="106"/>
      <c r="L1164" s="114"/>
      <c r="M1164" s="114">
        <f>tblAquisições[[#This Row],[VALOR UNITARIO COMPRADO]]*tblAquisições[[#This Row],[QUANTIDADE COMPRADA]]</f>
        <v>0</v>
      </c>
      <c r="N1164" s="110">
        <f>K1164-tblAquisições[[#This Row],[QUANTIDADE PLANEJADA]]</f>
        <v>-3</v>
      </c>
      <c r="O1164" s="106" t="str">
        <f t="shared" si="37"/>
        <v>Faltando Comprar</v>
      </c>
    </row>
    <row r="1165" spans="1:15" ht="31.5">
      <c r="A1165" s="16" t="s">
        <v>17</v>
      </c>
      <c r="B1165" s="16" t="s">
        <v>18</v>
      </c>
      <c r="C1165" s="17" t="s">
        <v>19</v>
      </c>
      <c r="D1165" s="18" t="s">
        <v>684</v>
      </c>
      <c r="E1165" s="18">
        <v>150</v>
      </c>
      <c r="F1165" s="18" t="s">
        <v>21</v>
      </c>
      <c r="G1165" s="18" t="s">
        <v>22</v>
      </c>
      <c r="H1165" s="18" t="s">
        <v>23</v>
      </c>
      <c r="I1165" s="19">
        <v>17.41</v>
      </c>
      <c r="J1165" s="20">
        <f t="shared" si="36"/>
        <v>2611.5</v>
      </c>
      <c r="K1165" s="106"/>
      <c r="L1165" s="114"/>
      <c r="M1165" s="114">
        <f>tblAquisições[[#This Row],[VALOR UNITARIO COMPRADO]]*tblAquisições[[#This Row],[QUANTIDADE COMPRADA]]</f>
        <v>0</v>
      </c>
      <c r="N1165" s="110">
        <f>K1165-tblAquisições[[#This Row],[QUANTIDADE PLANEJADA]]</f>
        <v>-150</v>
      </c>
      <c r="O1165" s="106" t="str">
        <f t="shared" si="37"/>
        <v>Faltando Comprar</v>
      </c>
    </row>
    <row r="1166" spans="1:15" ht="31.5">
      <c r="A1166" s="16" t="s">
        <v>17</v>
      </c>
      <c r="B1166" s="16" t="s">
        <v>24</v>
      </c>
      <c r="C1166" s="17" t="s">
        <v>19</v>
      </c>
      <c r="D1166" s="18" t="s">
        <v>684</v>
      </c>
      <c r="E1166" s="18">
        <v>150</v>
      </c>
      <c r="F1166" s="18" t="s">
        <v>21</v>
      </c>
      <c r="G1166" s="18" t="s">
        <v>22</v>
      </c>
      <c r="H1166" s="18" t="s">
        <v>23</v>
      </c>
      <c r="I1166" s="19">
        <v>17.41</v>
      </c>
      <c r="J1166" s="20">
        <f t="shared" si="36"/>
        <v>2611.5</v>
      </c>
      <c r="K1166" s="106"/>
      <c r="L1166" s="114"/>
      <c r="M1166" s="114">
        <f>tblAquisições[[#This Row],[VALOR UNITARIO COMPRADO]]*tblAquisições[[#This Row],[QUANTIDADE COMPRADA]]</f>
        <v>0</v>
      </c>
      <c r="N1166" s="110">
        <f>K1166-tblAquisições[[#This Row],[QUANTIDADE PLANEJADA]]</f>
        <v>-150</v>
      </c>
      <c r="O1166" s="106" t="str">
        <f t="shared" si="37"/>
        <v>Faltando Comprar</v>
      </c>
    </row>
    <row r="1167" spans="1:15" ht="31.5">
      <c r="A1167" s="16" t="s">
        <v>17</v>
      </c>
      <c r="B1167" s="16" t="s">
        <v>25</v>
      </c>
      <c r="C1167" s="17" t="s">
        <v>19</v>
      </c>
      <c r="D1167" s="18" t="s">
        <v>684</v>
      </c>
      <c r="E1167" s="18">
        <v>150</v>
      </c>
      <c r="F1167" s="18" t="s">
        <v>21</v>
      </c>
      <c r="G1167" s="18" t="s">
        <v>22</v>
      </c>
      <c r="H1167" s="18" t="s">
        <v>23</v>
      </c>
      <c r="I1167" s="19">
        <v>17.41</v>
      </c>
      <c r="J1167" s="20">
        <f t="shared" si="36"/>
        <v>2611.5</v>
      </c>
      <c r="K1167" s="106"/>
      <c r="L1167" s="114"/>
      <c r="M1167" s="114">
        <f>tblAquisições[[#This Row],[VALOR UNITARIO COMPRADO]]*tblAquisições[[#This Row],[QUANTIDADE COMPRADA]]</f>
        <v>0</v>
      </c>
      <c r="N1167" s="110">
        <f>K1167-tblAquisições[[#This Row],[QUANTIDADE PLANEJADA]]</f>
        <v>-150</v>
      </c>
      <c r="O1167" s="106" t="str">
        <f t="shared" si="37"/>
        <v>Faltando Comprar</v>
      </c>
    </row>
    <row r="1168" spans="1:15" ht="31.5">
      <c r="A1168" s="16" t="s">
        <v>17</v>
      </c>
      <c r="B1168" s="16" t="s">
        <v>26</v>
      </c>
      <c r="C1168" s="17" t="s">
        <v>19</v>
      </c>
      <c r="D1168" s="18" t="s">
        <v>684</v>
      </c>
      <c r="E1168" s="18">
        <v>40</v>
      </c>
      <c r="F1168" s="18" t="s">
        <v>21</v>
      </c>
      <c r="G1168" s="18" t="s">
        <v>22</v>
      </c>
      <c r="H1168" s="18" t="s">
        <v>23</v>
      </c>
      <c r="I1168" s="19">
        <v>17.41</v>
      </c>
      <c r="J1168" s="20">
        <f t="shared" si="36"/>
        <v>696.4</v>
      </c>
      <c r="K1168" s="106"/>
      <c r="L1168" s="114"/>
      <c r="M1168" s="114">
        <f>tblAquisições[[#This Row],[VALOR UNITARIO COMPRADO]]*tblAquisições[[#This Row],[QUANTIDADE COMPRADA]]</f>
        <v>0</v>
      </c>
      <c r="N1168" s="110">
        <f>K1168-tblAquisições[[#This Row],[QUANTIDADE PLANEJADA]]</f>
        <v>-40</v>
      </c>
      <c r="O1168" s="106" t="str">
        <f t="shared" si="37"/>
        <v>Faltando Comprar</v>
      </c>
    </row>
    <row r="1169" spans="1:15" ht="47.25">
      <c r="A1169" s="16" t="s">
        <v>17</v>
      </c>
      <c r="B1169" s="16" t="s">
        <v>80</v>
      </c>
      <c r="C1169" s="17" t="s">
        <v>19</v>
      </c>
      <c r="D1169" s="18" t="s">
        <v>685</v>
      </c>
      <c r="E1169" s="18">
        <v>5</v>
      </c>
      <c r="F1169" s="18" t="s">
        <v>147</v>
      </c>
      <c r="G1169" s="18" t="s">
        <v>39</v>
      </c>
      <c r="H1169" s="21"/>
      <c r="I1169" s="19">
        <v>170</v>
      </c>
      <c r="J1169" s="20">
        <f t="shared" si="36"/>
        <v>850</v>
      </c>
      <c r="K1169" s="106"/>
      <c r="L1169" s="114"/>
      <c r="M1169" s="114">
        <f>tblAquisições[[#This Row],[VALOR UNITARIO COMPRADO]]*tblAquisições[[#This Row],[QUANTIDADE COMPRADA]]</f>
        <v>0</v>
      </c>
      <c r="N1169" s="110">
        <f>K1169-tblAquisições[[#This Row],[QUANTIDADE PLANEJADA]]</f>
        <v>-5</v>
      </c>
      <c r="O1169" s="106" t="str">
        <f t="shared" si="37"/>
        <v>Faltando Comprar</v>
      </c>
    </row>
    <row r="1170" spans="1:15" ht="47.25">
      <c r="A1170" s="16" t="s">
        <v>17</v>
      </c>
      <c r="B1170" s="16" t="s">
        <v>26</v>
      </c>
      <c r="C1170" s="17" t="s">
        <v>19</v>
      </c>
      <c r="D1170" s="18" t="s">
        <v>686</v>
      </c>
      <c r="E1170" s="18">
        <v>8</v>
      </c>
      <c r="F1170" s="18" t="s">
        <v>78</v>
      </c>
      <c r="G1170" s="18" t="s">
        <v>22</v>
      </c>
      <c r="H1170" s="18" t="s">
        <v>23</v>
      </c>
      <c r="I1170" s="19">
        <v>170</v>
      </c>
      <c r="J1170" s="20">
        <f t="shared" si="36"/>
        <v>1360</v>
      </c>
      <c r="K1170" s="106"/>
      <c r="L1170" s="114"/>
      <c r="M1170" s="114">
        <f>tblAquisições[[#This Row],[VALOR UNITARIO COMPRADO]]*tblAquisições[[#This Row],[QUANTIDADE COMPRADA]]</f>
        <v>0</v>
      </c>
      <c r="N1170" s="110">
        <f>K1170-tblAquisições[[#This Row],[QUANTIDADE PLANEJADA]]</f>
        <v>-8</v>
      </c>
      <c r="O1170" s="106" t="str">
        <f t="shared" si="37"/>
        <v>Faltando Comprar</v>
      </c>
    </row>
    <row r="1171" spans="1:15" ht="31.5">
      <c r="A1171" s="16" t="s">
        <v>17</v>
      </c>
      <c r="B1171" s="16" t="s">
        <v>80</v>
      </c>
      <c r="C1171" s="17" t="s">
        <v>19</v>
      </c>
      <c r="D1171" s="18" t="s">
        <v>687</v>
      </c>
      <c r="E1171" s="18">
        <v>5</v>
      </c>
      <c r="F1171" s="18" t="s">
        <v>38</v>
      </c>
      <c r="G1171" s="18" t="s">
        <v>39</v>
      </c>
      <c r="H1171" s="21"/>
      <c r="I1171" s="19">
        <v>190</v>
      </c>
      <c r="J1171" s="20">
        <f t="shared" si="36"/>
        <v>950</v>
      </c>
      <c r="K1171" s="106"/>
      <c r="L1171" s="114"/>
      <c r="M1171" s="114">
        <f>tblAquisições[[#This Row],[VALOR UNITARIO COMPRADO]]*tblAquisições[[#This Row],[QUANTIDADE COMPRADA]]</f>
        <v>0</v>
      </c>
      <c r="N1171" s="110">
        <f>K1171-tblAquisições[[#This Row],[QUANTIDADE PLANEJADA]]</f>
        <v>-5</v>
      </c>
      <c r="O1171" s="106" t="str">
        <f t="shared" si="37"/>
        <v>Faltando Comprar</v>
      </c>
    </row>
    <row r="1172" spans="1:15" ht="31.5">
      <c r="A1172" s="16" t="s">
        <v>17</v>
      </c>
      <c r="B1172" s="16" t="s">
        <v>26</v>
      </c>
      <c r="C1172" s="17" t="s">
        <v>19</v>
      </c>
      <c r="D1172" s="18" t="s">
        <v>688</v>
      </c>
      <c r="E1172" s="18">
        <v>8</v>
      </c>
      <c r="F1172" s="18" t="s">
        <v>21</v>
      </c>
      <c r="G1172" s="18" t="s">
        <v>22</v>
      </c>
      <c r="H1172" s="18" t="s">
        <v>23</v>
      </c>
      <c r="I1172" s="19">
        <v>190</v>
      </c>
      <c r="J1172" s="20">
        <f t="shared" si="36"/>
        <v>1520</v>
      </c>
      <c r="K1172" s="106"/>
      <c r="L1172" s="114"/>
      <c r="M1172" s="114">
        <f>tblAquisições[[#This Row],[VALOR UNITARIO COMPRADO]]*tblAquisições[[#This Row],[QUANTIDADE COMPRADA]]</f>
        <v>0</v>
      </c>
      <c r="N1172" s="110">
        <f>K1172-tblAquisições[[#This Row],[QUANTIDADE PLANEJADA]]</f>
        <v>-8</v>
      </c>
      <c r="O1172" s="106" t="str">
        <f t="shared" si="37"/>
        <v>Faltando Comprar</v>
      </c>
    </row>
    <row r="1173" spans="1:15" ht="31.5">
      <c r="A1173" s="16" t="s">
        <v>17</v>
      </c>
      <c r="B1173" s="16" t="s">
        <v>80</v>
      </c>
      <c r="C1173" s="17" t="s">
        <v>19</v>
      </c>
      <c r="D1173" s="18" t="s">
        <v>689</v>
      </c>
      <c r="E1173" s="18">
        <v>5</v>
      </c>
      <c r="F1173" s="18" t="s">
        <v>38</v>
      </c>
      <c r="G1173" s="18" t="s">
        <v>39</v>
      </c>
      <c r="H1173" s="21"/>
      <c r="I1173" s="19">
        <v>300</v>
      </c>
      <c r="J1173" s="20">
        <f t="shared" si="36"/>
        <v>1500</v>
      </c>
      <c r="K1173" s="106"/>
      <c r="L1173" s="114"/>
      <c r="M1173" s="114">
        <f>tblAquisições[[#This Row],[VALOR UNITARIO COMPRADO]]*tblAquisições[[#This Row],[QUANTIDADE COMPRADA]]</f>
        <v>0</v>
      </c>
      <c r="N1173" s="110">
        <f>K1173-tblAquisições[[#This Row],[QUANTIDADE PLANEJADA]]</f>
        <v>-5</v>
      </c>
      <c r="O1173" s="106" t="str">
        <f t="shared" si="37"/>
        <v>Faltando Comprar</v>
      </c>
    </row>
    <row r="1174" spans="1:15" ht="31.5">
      <c r="A1174" s="16" t="s">
        <v>17</v>
      </c>
      <c r="B1174" s="16" t="s">
        <v>26</v>
      </c>
      <c r="C1174" s="17" t="s">
        <v>19</v>
      </c>
      <c r="D1174" s="18" t="s">
        <v>690</v>
      </c>
      <c r="E1174" s="18">
        <v>8</v>
      </c>
      <c r="F1174" s="18" t="s">
        <v>21</v>
      </c>
      <c r="G1174" s="18" t="s">
        <v>22</v>
      </c>
      <c r="H1174" s="18" t="s">
        <v>23</v>
      </c>
      <c r="I1174" s="19">
        <v>300</v>
      </c>
      <c r="J1174" s="20">
        <f t="shared" si="36"/>
        <v>2400</v>
      </c>
      <c r="K1174" s="106"/>
      <c r="L1174" s="114"/>
      <c r="M1174" s="114">
        <f>tblAquisições[[#This Row],[VALOR UNITARIO COMPRADO]]*tblAquisições[[#This Row],[QUANTIDADE COMPRADA]]</f>
        <v>0</v>
      </c>
      <c r="N1174" s="110">
        <f>K1174-tblAquisições[[#This Row],[QUANTIDADE PLANEJADA]]</f>
        <v>-8</v>
      </c>
      <c r="O1174" s="106" t="str">
        <f t="shared" si="37"/>
        <v>Faltando Comprar</v>
      </c>
    </row>
    <row r="1175" spans="1:15" ht="31.5">
      <c r="A1175" s="16" t="s">
        <v>17</v>
      </c>
      <c r="B1175" s="16" t="s">
        <v>80</v>
      </c>
      <c r="C1175" s="17" t="s">
        <v>19</v>
      </c>
      <c r="D1175" s="18" t="s">
        <v>691</v>
      </c>
      <c r="E1175" s="18">
        <v>5</v>
      </c>
      <c r="F1175" s="18" t="s">
        <v>38</v>
      </c>
      <c r="G1175" s="18" t="s">
        <v>39</v>
      </c>
      <c r="H1175" s="21"/>
      <c r="I1175" s="19">
        <v>215</v>
      </c>
      <c r="J1175" s="20">
        <f t="shared" si="36"/>
        <v>1075</v>
      </c>
      <c r="K1175" s="106"/>
      <c r="L1175" s="114"/>
      <c r="M1175" s="114">
        <f>tblAquisições[[#This Row],[VALOR UNITARIO COMPRADO]]*tblAquisições[[#This Row],[QUANTIDADE COMPRADA]]</f>
        <v>0</v>
      </c>
      <c r="N1175" s="110">
        <f>K1175-tblAquisições[[#This Row],[QUANTIDADE PLANEJADA]]</f>
        <v>-5</v>
      </c>
      <c r="O1175" s="106" t="str">
        <f t="shared" si="37"/>
        <v>Faltando Comprar</v>
      </c>
    </row>
    <row r="1176" spans="1:15" ht="31.5">
      <c r="A1176" s="16" t="s">
        <v>17</v>
      </c>
      <c r="B1176" s="16" t="s">
        <v>26</v>
      </c>
      <c r="C1176" s="17" t="s">
        <v>19</v>
      </c>
      <c r="D1176" s="18" t="s">
        <v>692</v>
      </c>
      <c r="E1176" s="18">
        <v>8</v>
      </c>
      <c r="F1176" s="18" t="s">
        <v>21</v>
      </c>
      <c r="G1176" s="18" t="s">
        <v>22</v>
      </c>
      <c r="H1176" s="18" t="s">
        <v>23</v>
      </c>
      <c r="I1176" s="19">
        <v>215</v>
      </c>
      <c r="J1176" s="20">
        <f t="shared" si="36"/>
        <v>1720</v>
      </c>
      <c r="K1176" s="106"/>
      <c r="L1176" s="114"/>
      <c r="M1176" s="114">
        <f>tblAquisições[[#This Row],[VALOR UNITARIO COMPRADO]]*tblAquisições[[#This Row],[QUANTIDADE COMPRADA]]</f>
        <v>0</v>
      </c>
      <c r="N1176" s="110">
        <f>K1176-tblAquisições[[#This Row],[QUANTIDADE PLANEJADA]]</f>
        <v>-8</v>
      </c>
      <c r="O1176" s="106" t="str">
        <f t="shared" si="37"/>
        <v>Faltando Comprar</v>
      </c>
    </row>
    <row r="1177" spans="1:15" ht="31.5">
      <c r="A1177" s="16" t="s">
        <v>17</v>
      </c>
      <c r="B1177" s="16" t="s">
        <v>26</v>
      </c>
      <c r="C1177" s="17" t="s">
        <v>19</v>
      </c>
      <c r="D1177" s="18" t="s">
        <v>693</v>
      </c>
      <c r="E1177" s="18">
        <v>10</v>
      </c>
      <c r="F1177" s="18" t="s">
        <v>21</v>
      </c>
      <c r="G1177" s="18" t="s">
        <v>22</v>
      </c>
      <c r="H1177" s="18" t="s">
        <v>23</v>
      </c>
      <c r="I1177" s="19">
        <v>50</v>
      </c>
      <c r="J1177" s="20">
        <f t="shared" si="36"/>
        <v>500</v>
      </c>
      <c r="K1177" s="106"/>
      <c r="L1177" s="114"/>
      <c r="M1177" s="114">
        <f>tblAquisições[[#This Row],[VALOR UNITARIO COMPRADO]]*tblAquisições[[#This Row],[QUANTIDADE COMPRADA]]</f>
        <v>0</v>
      </c>
      <c r="N1177" s="110">
        <f>K1177-tblAquisições[[#This Row],[QUANTIDADE PLANEJADA]]</f>
        <v>-10</v>
      </c>
      <c r="O1177" s="106" t="str">
        <f t="shared" si="37"/>
        <v>Faltando Comprar</v>
      </c>
    </row>
    <row r="1178" spans="1:15" ht="47.25">
      <c r="A1178" s="16" t="s">
        <v>17</v>
      </c>
      <c r="B1178" s="16" t="s">
        <v>80</v>
      </c>
      <c r="C1178" s="17" t="s">
        <v>19</v>
      </c>
      <c r="D1178" s="18" t="s">
        <v>694</v>
      </c>
      <c r="E1178" s="18">
        <v>2</v>
      </c>
      <c r="F1178" s="18" t="s">
        <v>147</v>
      </c>
      <c r="G1178" s="18" t="s">
        <v>39</v>
      </c>
      <c r="H1178" s="21"/>
      <c r="I1178" s="19">
        <v>137.15</v>
      </c>
      <c r="J1178" s="20">
        <f t="shared" si="36"/>
        <v>274.3</v>
      </c>
      <c r="K1178" s="106"/>
      <c r="L1178" s="114"/>
      <c r="M1178" s="114">
        <f>tblAquisições[[#This Row],[VALOR UNITARIO COMPRADO]]*tblAquisições[[#This Row],[QUANTIDADE COMPRADA]]</f>
        <v>0</v>
      </c>
      <c r="N1178" s="110">
        <f>K1178-tblAquisições[[#This Row],[QUANTIDADE PLANEJADA]]</f>
        <v>-2</v>
      </c>
      <c r="O1178" s="106" t="str">
        <f t="shared" si="37"/>
        <v>Faltando Comprar</v>
      </c>
    </row>
    <row r="1179" spans="1:15" ht="47.25">
      <c r="A1179" s="16" t="s">
        <v>17</v>
      </c>
      <c r="B1179" s="16" t="s">
        <v>28</v>
      </c>
      <c r="C1179" s="17" t="s">
        <v>19</v>
      </c>
      <c r="D1179" s="18" t="s">
        <v>695</v>
      </c>
      <c r="E1179" s="18">
        <v>40</v>
      </c>
      <c r="F1179" s="18" t="s">
        <v>78</v>
      </c>
      <c r="G1179" s="18" t="s">
        <v>22</v>
      </c>
      <c r="H1179" s="18" t="s">
        <v>23</v>
      </c>
      <c r="I1179" s="19">
        <v>137.15</v>
      </c>
      <c r="J1179" s="20">
        <f t="shared" si="36"/>
        <v>5486</v>
      </c>
      <c r="K1179" s="106"/>
      <c r="L1179" s="114"/>
      <c r="M1179" s="114">
        <f>tblAquisições[[#This Row],[VALOR UNITARIO COMPRADO]]*tblAquisições[[#This Row],[QUANTIDADE COMPRADA]]</f>
        <v>0</v>
      </c>
      <c r="N1179" s="110">
        <f>K1179-tblAquisições[[#This Row],[QUANTIDADE PLANEJADA]]</f>
        <v>-40</v>
      </c>
      <c r="O1179" s="106" t="str">
        <f t="shared" si="37"/>
        <v>Faltando Comprar</v>
      </c>
    </row>
    <row r="1180" spans="1:15" ht="31.5">
      <c r="A1180" s="16" t="s">
        <v>17</v>
      </c>
      <c r="B1180" s="16" t="s">
        <v>28</v>
      </c>
      <c r="C1180" s="17" t="s">
        <v>19</v>
      </c>
      <c r="D1180" s="18" t="s">
        <v>696</v>
      </c>
      <c r="E1180" s="18">
        <v>45</v>
      </c>
      <c r="F1180" s="18" t="s">
        <v>30</v>
      </c>
      <c r="G1180" s="18" t="s">
        <v>22</v>
      </c>
      <c r="H1180" s="18" t="s">
        <v>23</v>
      </c>
      <c r="I1180" s="19">
        <v>136.71</v>
      </c>
      <c r="J1180" s="20">
        <f t="shared" si="36"/>
        <v>6151.9500000000007</v>
      </c>
      <c r="K1180" s="106"/>
      <c r="L1180" s="114"/>
      <c r="M1180" s="114">
        <f>tblAquisições[[#This Row],[VALOR UNITARIO COMPRADO]]*tblAquisições[[#This Row],[QUANTIDADE COMPRADA]]</f>
        <v>0</v>
      </c>
      <c r="N1180" s="110">
        <f>K1180-tblAquisições[[#This Row],[QUANTIDADE PLANEJADA]]</f>
        <v>-45</v>
      </c>
      <c r="O1180" s="106" t="str">
        <f t="shared" si="37"/>
        <v>Faltando Comprar</v>
      </c>
    </row>
    <row r="1181" spans="1:15" ht="31.5">
      <c r="A1181" s="16" t="s">
        <v>17</v>
      </c>
      <c r="B1181" s="16" t="s">
        <v>80</v>
      </c>
      <c r="C1181" s="17" t="s">
        <v>19</v>
      </c>
      <c r="D1181" s="18" t="s">
        <v>697</v>
      </c>
      <c r="E1181" s="18">
        <v>10</v>
      </c>
      <c r="F1181" s="18" t="s">
        <v>82</v>
      </c>
      <c r="G1181" s="18" t="s">
        <v>39</v>
      </c>
      <c r="H1181" s="21"/>
      <c r="I1181" s="19">
        <v>176.96</v>
      </c>
      <c r="J1181" s="20">
        <f t="shared" si="36"/>
        <v>1769.6000000000001</v>
      </c>
      <c r="K1181" s="106"/>
      <c r="L1181" s="114"/>
      <c r="M1181" s="114">
        <f>tblAquisições[[#This Row],[VALOR UNITARIO COMPRADO]]*tblAquisições[[#This Row],[QUANTIDADE COMPRADA]]</f>
        <v>0</v>
      </c>
      <c r="N1181" s="110">
        <f>K1181-tblAquisições[[#This Row],[QUANTIDADE PLANEJADA]]</f>
        <v>-10</v>
      </c>
      <c r="O1181" s="106" t="str">
        <f t="shared" si="37"/>
        <v>Faltando Comprar</v>
      </c>
    </row>
    <row r="1182" spans="1:15" ht="31.5">
      <c r="A1182" s="16" t="s">
        <v>17</v>
      </c>
      <c r="B1182" s="16" t="s">
        <v>28</v>
      </c>
      <c r="C1182" s="17" t="s">
        <v>19</v>
      </c>
      <c r="D1182" s="18" t="s">
        <v>698</v>
      </c>
      <c r="E1182" s="18">
        <v>30</v>
      </c>
      <c r="F1182" s="18" t="s">
        <v>21</v>
      </c>
      <c r="G1182" s="18" t="s">
        <v>22</v>
      </c>
      <c r="H1182" s="18" t="s">
        <v>23</v>
      </c>
      <c r="I1182" s="19">
        <v>5.2</v>
      </c>
      <c r="J1182" s="20">
        <f t="shared" si="36"/>
        <v>156</v>
      </c>
      <c r="K1182" s="106"/>
      <c r="L1182" s="114"/>
      <c r="M1182" s="114">
        <f>tblAquisições[[#This Row],[VALOR UNITARIO COMPRADO]]*tblAquisições[[#This Row],[QUANTIDADE COMPRADA]]</f>
        <v>0</v>
      </c>
      <c r="N1182" s="110">
        <f>K1182-tblAquisições[[#This Row],[QUANTIDADE PLANEJADA]]</f>
        <v>-30</v>
      </c>
      <c r="O1182" s="106" t="str">
        <f t="shared" si="37"/>
        <v>Faltando Comprar</v>
      </c>
    </row>
    <row r="1183" spans="1:15" ht="31.5">
      <c r="A1183" s="16" t="s">
        <v>17</v>
      </c>
      <c r="B1183" s="16" t="s">
        <v>34</v>
      </c>
      <c r="C1183" s="17" t="s">
        <v>19</v>
      </c>
      <c r="D1183" s="18" t="s">
        <v>699</v>
      </c>
      <c r="E1183" s="18">
        <v>1</v>
      </c>
      <c r="F1183" s="18" t="s">
        <v>21</v>
      </c>
      <c r="G1183" s="18" t="s">
        <v>22</v>
      </c>
      <c r="H1183" s="18" t="s">
        <v>53</v>
      </c>
      <c r="I1183" s="19">
        <v>166.07</v>
      </c>
      <c r="J1183" s="20">
        <f t="shared" si="36"/>
        <v>166.07</v>
      </c>
      <c r="K1183" s="106"/>
      <c r="L1183" s="114"/>
      <c r="M1183" s="114">
        <f>tblAquisições[[#This Row],[VALOR UNITARIO COMPRADO]]*tblAquisições[[#This Row],[QUANTIDADE COMPRADA]]</f>
        <v>0</v>
      </c>
      <c r="N1183" s="110">
        <f>K1183-tblAquisições[[#This Row],[QUANTIDADE PLANEJADA]]</f>
        <v>-1</v>
      </c>
      <c r="O1183" s="106" t="str">
        <f t="shared" si="37"/>
        <v>Faltando Comprar</v>
      </c>
    </row>
    <row r="1184" spans="1:15" ht="31.5">
      <c r="A1184" s="16" t="s">
        <v>17</v>
      </c>
      <c r="B1184" s="16" t="s">
        <v>28</v>
      </c>
      <c r="C1184" s="17" t="s">
        <v>19</v>
      </c>
      <c r="D1184" s="18" t="s">
        <v>699</v>
      </c>
      <c r="E1184" s="18">
        <v>2</v>
      </c>
      <c r="F1184" s="18" t="s">
        <v>21</v>
      </c>
      <c r="G1184" s="18" t="s">
        <v>22</v>
      </c>
      <c r="H1184" s="18" t="s">
        <v>23</v>
      </c>
      <c r="I1184" s="19">
        <v>166.07</v>
      </c>
      <c r="J1184" s="20">
        <f t="shared" si="36"/>
        <v>332.14</v>
      </c>
      <c r="K1184" s="106"/>
      <c r="L1184" s="114"/>
      <c r="M1184" s="114">
        <f>tblAquisições[[#This Row],[VALOR UNITARIO COMPRADO]]*tblAquisições[[#This Row],[QUANTIDADE COMPRADA]]</f>
        <v>0</v>
      </c>
      <c r="N1184" s="110">
        <f>K1184-tblAquisições[[#This Row],[QUANTIDADE PLANEJADA]]</f>
        <v>-2</v>
      </c>
      <c r="O1184" s="106" t="str">
        <f t="shared" si="37"/>
        <v>Faltando Comprar</v>
      </c>
    </row>
    <row r="1185" spans="1:15" ht="31.5">
      <c r="A1185" s="16" t="s">
        <v>17</v>
      </c>
      <c r="B1185" s="16" t="s">
        <v>26</v>
      </c>
      <c r="C1185" s="17" t="s">
        <v>19</v>
      </c>
      <c r="D1185" s="18" t="s">
        <v>700</v>
      </c>
      <c r="E1185" s="18">
        <v>10</v>
      </c>
      <c r="F1185" s="18" t="s">
        <v>21</v>
      </c>
      <c r="G1185" s="18" t="s">
        <v>22</v>
      </c>
      <c r="H1185" s="18" t="s">
        <v>23</v>
      </c>
      <c r="I1185" s="19">
        <v>1300</v>
      </c>
      <c r="J1185" s="20">
        <f t="shared" si="36"/>
        <v>13000</v>
      </c>
      <c r="K1185" s="106"/>
      <c r="L1185" s="114"/>
      <c r="M1185" s="114">
        <f>tblAquisições[[#This Row],[VALOR UNITARIO COMPRADO]]*tblAquisições[[#This Row],[QUANTIDADE COMPRADA]]</f>
        <v>0</v>
      </c>
      <c r="N1185" s="110">
        <f>K1185-tblAquisições[[#This Row],[QUANTIDADE PLANEJADA]]</f>
        <v>-10</v>
      </c>
      <c r="O1185" s="106" t="str">
        <f t="shared" si="37"/>
        <v>Faltando Comprar</v>
      </c>
    </row>
    <row r="1186" spans="1:15" ht="31.5">
      <c r="A1186" s="16" t="s">
        <v>17</v>
      </c>
      <c r="B1186" s="16" t="s">
        <v>17</v>
      </c>
      <c r="C1186" s="17" t="s">
        <v>19</v>
      </c>
      <c r="D1186" s="18" t="s">
        <v>701</v>
      </c>
      <c r="E1186" s="18">
        <v>1000</v>
      </c>
      <c r="F1186" s="18" t="s">
        <v>38</v>
      </c>
      <c r="G1186" s="18" t="s">
        <v>39</v>
      </c>
      <c r="H1186" s="18" t="s">
        <v>23</v>
      </c>
      <c r="I1186" s="19">
        <v>1.39</v>
      </c>
      <c r="J1186" s="20">
        <f t="shared" si="36"/>
        <v>1390</v>
      </c>
      <c r="K1186" s="106"/>
      <c r="L1186" s="114"/>
      <c r="M1186" s="114">
        <f>tblAquisições[[#This Row],[VALOR UNITARIO COMPRADO]]*tblAquisições[[#This Row],[QUANTIDADE COMPRADA]]</f>
        <v>0</v>
      </c>
      <c r="N1186" s="110">
        <f>K1186-tblAquisições[[#This Row],[QUANTIDADE PLANEJADA]]</f>
        <v>-1000</v>
      </c>
      <c r="O1186" s="106" t="str">
        <f t="shared" si="37"/>
        <v>Faltando Comprar</v>
      </c>
    </row>
    <row r="1187" spans="1:15" ht="31.5">
      <c r="A1187" s="16" t="s">
        <v>17</v>
      </c>
      <c r="B1187" s="16" t="s">
        <v>34</v>
      </c>
      <c r="C1187" s="17" t="s">
        <v>19</v>
      </c>
      <c r="D1187" s="18" t="s">
        <v>702</v>
      </c>
      <c r="E1187" s="18">
        <v>20</v>
      </c>
      <c r="F1187" s="18" t="s">
        <v>21</v>
      </c>
      <c r="G1187" s="18" t="s">
        <v>22</v>
      </c>
      <c r="H1187" s="18" t="s">
        <v>23</v>
      </c>
      <c r="I1187" s="19">
        <v>1.39</v>
      </c>
      <c r="J1187" s="20">
        <f t="shared" si="36"/>
        <v>27.799999999999997</v>
      </c>
      <c r="K1187" s="106"/>
      <c r="L1187" s="114"/>
      <c r="M1187" s="114">
        <f>tblAquisições[[#This Row],[VALOR UNITARIO COMPRADO]]*tblAquisições[[#This Row],[QUANTIDADE COMPRADA]]</f>
        <v>0</v>
      </c>
      <c r="N1187" s="110">
        <f>K1187-tblAquisições[[#This Row],[QUANTIDADE PLANEJADA]]</f>
        <v>-20</v>
      </c>
      <c r="O1187" s="106" t="str">
        <f t="shared" si="37"/>
        <v>Faltando Comprar</v>
      </c>
    </row>
    <row r="1188" spans="1:15" ht="31.5">
      <c r="A1188" s="16" t="s">
        <v>17</v>
      </c>
      <c r="B1188" s="16" t="s">
        <v>31</v>
      </c>
      <c r="C1188" s="17" t="s">
        <v>19</v>
      </c>
      <c r="D1188" s="18" t="s">
        <v>702</v>
      </c>
      <c r="E1188" s="18">
        <v>90</v>
      </c>
      <c r="F1188" s="18" t="s">
        <v>21</v>
      </c>
      <c r="G1188" s="18" t="s">
        <v>22</v>
      </c>
      <c r="H1188" s="18" t="s">
        <v>23</v>
      </c>
      <c r="I1188" s="19">
        <v>1.39</v>
      </c>
      <c r="J1188" s="20">
        <f t="shared" si="36"/>
        <v>125.1</v>
      </c>
      <c r="K1188" s="106"/>
      <c r="L1188" s="114"/>
      <c r="M1188" s="114">
        <f>tblAquisições[[#This Row],[VALOR UNITARIO COMPRADO]]*tblAquisições[[#This Row],[QUANTIDADE COMPRADA]]</f>
        <v>0</v>
      </c>
      <c r="N1188" s="110">
        <f>K1188-tblAquisições[[#This Row],[QUANTIDADE PLANEJADA]]</f>
        <v>-90</v>
      </c>
      <c r="O1188" s="106" t="str">
        <f t="shared" si="37"/>
        <v>Faltando Comprar</v>
      </c>
    </row>
    <row r="1189" spans="1:15" ht="31.5">
      <c r="A1189" s="16" t="s">
        <v>17</v>
      </c>
      <c r="B1189" s="16" t="s">
        <v>18</v>
      </c>
      <c r="C1189" s="17" t="s">
        <v>19</v>
      </c>
      <c r="D1189" s="18" t="s">
        <v>702</v>
      </c>
      <c r="E1189" s="18">
        <v>2500</v>
      </c>
      <c r="F1189" s="18" t="s">
        <v>21</v>
      </c>
      <c r="G1189" s="18" t="s">
        <v>22</v>
      </c>
      <c r="H1189" s="18" t="s">
        <v>23</v>
      </c>
      <c r="I1189" s="19">
        <v>1.39</v>
      </c>
      <c r="J1189" s="20">
        <f t="shared" si="36"/>
        <v>3474.9999999999995</v>
      </c>
      <c r="K1189" s="106"/>
      <c r="L1189" s="114"/>
      <c r="M1189" s="114">
        <f>tblAquisições[[#This Row],[VALOR UNITARIO COMPRADO]]*tblAquisições[[#This Row],[QUANTIDADE COMPRADA]]</f>
        <v>0</v>
      </c>
      <c r="N1189" s="110">
        <f>K1189-tblAquisições[[#This Row],[QUANTIDADE PLANEJADA]]</f>
        <v>-2500</v>
      </c>
      <c r="O1189" s="106" t="str">
        <f t="shared" si="37"/>
        <v>Faltando Comprar</v>
      </c>
    </row>
    <row r="1190" spans="1:15" ht="31.5">
      <c r="A1190" s="16" t="s">
        <v>17</v>
      </c>
      <c r="B1190" s="16" t="s">
        <v>24</v>
      </c>
      <c r="C1190" s="17" t="s">
        <v>19</v>
      </c>
      <c r="D1190" s="18" t="s">
        <v>702</v>
      </c>
      <c r="E1190" s="18">
        <v>2500</v>
      </c>
      <c r="F1190" s="18" t="s">
        <v>21</v>
      </c>
      <c r="G1190" s="18" t="s">
        <v>22</v>
      </c>
      <c r="H1190" s="18" t="s">
        <v>23</v>
      </c>
      <c r="I1190" s="19">
        <v>1.39</v>
      </c>
      <c r="J1190" s="20">
        <f t="shared" si="36"/>
        <v>3474.9999999999995</v>
      </c>
      <c r="K1190" s="106"/>
      <c r="L1190" s="114"/>
      <c r="M1190" s="114">
        <f>tblAquisições[[#This Row],[VALOR UNITARIO COMPRADO]]*tblAquisições[[#This Row],[QUANTIDADE COMPRADA]]</f>
        <v>0</v>
      </c>
      <c r="N1190" s="110">
        <f>K1190-tblAquisições[[#This Row],[QUANTIDADE PLANEJADA]]</f>
        <v>-2500</v>
      </c>
      <c r="O1190" s="106" t="str">
        <f t="shared" si="37"/>
        <v>Faltando Comprar</v>
      </c>
    </row>
    <row r="1191" spans="1:15" ht="31.5">
      <c r="A1191" s="16" t="s">
        <v>17</v>
      </c>
      <c r="B1191" s="16" t="s">
        <v>25</v>
      </c>
      <c r="C1191" s="17" t="s">
        <v>19</v>
      </c>
      <c r="D1191" s="18" t="s">
        <v>702</v>
      </c>
      <c r="E1191" s="18">
        <v>2500</v>
      </c>
      <c r="F1191" s="18" t="s">
        <v>21</v>
      </c>
      <c r="G1191" s="18" t="s">
        <v>22</v>
      </c>
      <c r="H1191" s="18" t="s">
        <v>23</v>
      </c>
      <c r="I1191" s="19">
        <v>1.39</v>
      </c>
      <c r="J1191" s="20">
        <f t="shared" si="36"/>
        <v>3474.9999999999995</v>
      </c>
      <c r="K1191" s="106"/>
      <c r="L1191" s="114"/>
      <c r="M1191" s="114">
        <f>tblAquisições[[#This Row],[VALOR UNITARIO COMPRADO]]*tblAquisições[[#This Row],[QUANTIDADE COMPRADA]]</f>
        <v>0</v>
      </c>
      <c r="N1191" s="110">
        <f>K1191-tblAquisições[[#This Row],[QUANTIDADE PLANEJADA]]</f>
        <v>-2500</v>
      </c>
      <c r="O1191" s="106" t="str">
        <f t="shared" si="37"/>
        <v>Faltando Comprar</v>
      </c>
    </row>
    <row r="1192" spans="1:15" ht="31.5">
      <c r="A1192" s="16" t="s">
        <v>17</v>
      </c>
      <c r="B1192" s="16" t="s">
        <v>27</v>
      </c>
      <c r="C1192" s="17" t="s">
        <v>19</v>
      </c>
      <c r="D1192" s="18" t="s">
        <v>702</v>
      </c>
      <c r="E1192" s="18">
        <v>1000</v>
      </c>
      <c r="F1192" s="18" t="s">
        <v>21</v>
      </c>
      <c r="G1192" s="18" t="s">
        <v>22</v>
      </c>
      <c r="H1192" s="18" t="s">
        <v>23</v>
      </c>
      <c r="I1192" s="19">
        <v>1.39</v>
      </c>
      <c r="J1192" s="20">
        <f t="shared" si="36"/>
        <v>1390</v>
      </c>
      <c r="K1192" s="106"/>
      <c r="L1192" s="114"/>
      <c r="M1192" s="114">
        <f>tblAquisições[[#This Row],[VALOR UNITARIO COMPRADO]]*tblAquisições[[#This Row],[QUANTIDADE COMPRADA]]</f>
        <v>0</v>
      </c>
      <c r="N1192" s="110">
        <f>K1192-tblAquisições[[#This Row],[QUANTIDADE PLANEJADA]]</f>
        <v>-1000</v>
      </c>
      <c r="O1192" s="106" t="str">
        <f t="shared" si="37"/>
        <v>Faltando Comprar</v>
      </c>
    </row>
    <row r="1193" spans="1:15" ht="31.5">
      <c r="A1193" s="16" t="s">
        <v>17</v>
      </c>
      <c r="B1193" s="16" t="s">
        <v>28</v>
      </c>
      <c r="C1193" s="17" t="s">
        <v>19</v>
      </c>
      <c r="D1193" s="18" t="s">
        <v>702</v>
      </c>
      <c r="E1193" s="18">
        <v>1000</v>
      </c>
      <c r="F1193" s="18" t="s">
        <v>21</v>
      </c>
      <c r="G1193" s="18" t="s">
        <v>22</v>
      </c>
      <c r="H1193" s="18" t="s">
        <v>23</v>
      </c>
      <c r="I1193" s="19">
        <v>1.39</v>
      </c>
      <c r="J1193" s="20">
        <f t="shared" si="36"/>
        <v>1390</v>
      </c>
      <c r="K1193" s="106"/>
      <c r="L1193" s="114"/>
      <c r="M1193" s="114">
        <f>tblAquisições[[#This Row],[VALOR UNITARIO COMPRADO]]*tblAquisições[[#This Row],[QUANTIDADE COMPRADA]]</f>
        <v>0</v>
      </c>
      <c r="N1193" s="110">
        <f>K1193-tblAquisições[[#This Row],[QUANTIDADE PLANEJADA]]</f>
        <v>-1000</v>
      </c>
      <c r="O1193" s="106" t="str">
        <f t="shared" si="37"/>
        <v>Faltando Comprar</v>
      </c>
    </row>
    <row r="1194" spans="1:15" ht="31.5">
      <c r="A1194" s="16" t="s">
        <v>17</v>
      </c>
      <c r="B1194" s="16" t="s">
        <v>28</v>
      </c>
      <c r="C1194" s="17" t="s">
        <v>19</v>
      </c>
      <c r="D1194" s="18" t="s">
        <v>703</v>
      </c>
      <c r="E1194" s="18">
        <v>10</v>
      </c>
      <c r="F1194" s="18" t="s">
        <v>21</v>
      </c>
      <c r="G1194" s="18" t="s">
        <v>22</v>
      </c>
      <c r="H1194" s="18" t="s">
        <v>23</v>
      </c>
      <c r="I1194" s="19">
        <v>9.23</v>
      </c>
      <c r="J1194" s="20">
        <f t="shared" si="36"/>
        <v>92.300000000000011</v>
      </c>
      <c r="K1194" s="106"/>
      <c r="L1194" s="114"/>
      <c r="M1194" s="114">
        <f>tblAquisições[[#This Row],[VALOR UNITARIO COMPRADO]]*tblAquisições[[#This Row],[QUANTIDADE COMPRADA]]</f>
        <v>0</v>
      </c>
      <c r="N1194" s="110">
        <f>K1194-tblAquisições[[#This Row],[QUANTIDADE PLANEJADA]]</f>
        <v>-10</v>
      </c>
      <c r="O1194" s="106" t="str">
        <f t="shared" si="37"/>
        <v>Faltando Comprar</v>
      </c>
    </row>
    <row r="1195" spans="1:15" ht="31.5">
      <c r="A1195" s="16" t="s">
        <v>17</v>
      </c>
      <c r="B1195" s="16" t="s">
        <v>34</v>
      </c>
      <c r="C1195" s="17" t="s">
        <v>19</v>
      </c>
      <c r="D1195" s="18" t="s">
        <v>704</v>
      </c>
      <c r="E1195" s="18">
        <v>20</v>
      </c>
      <c r="F1195" s="18" t="s">
        <v>21</v>
      </c>
      <c r="G1195" s="18" t="s">
        <v>22</v>
      </c>
      <c r="H1195" s="18" t="s">
        <v>23</v>
      </c>
      <c r="I1195" s="19">
        <v>9.7200000000000006</v>
      </c>
      <c r="J1195" s="20">
        <f t="shared" si="36"/>
        <v>194.4</v>
      </c>
      <c r="K1195" s="106"/>
      <c r="L1195" s="114"/>
      <c r="M1195" s="114">
        <f>tblAquisições[[#This Row],[VALOR UNITARIO COMPRADO]]*tblAquisições[[#This Row],[QUANTIDADE COMPRADA]]</f>
        <v>0</v>
      </c>
      <c r="N1195" s="110">
        <f>K1195-tblAquisições[[#This Row],[QUANTIDADE PLANEJADA]]</f>
        <v>-20</v>
      </c>
      <c r="O1195" s="106" t="str">
        <f t="shared" si="37"/>
        <v>Faltando Comprar</v>
      </c>
    </row>
    <row r="1196" spans="1:15" ht="31.5">
      <c r="A1196" s="16" t="s">
        <v>17</v>
      </c>
      <c r="B1196" s="16" t="s">
        <v>18</v>
      </c>
      <c r="C1196" s="17" t="s">
        <v>19</v>
      </c>
      <c r="D1196" s="18" t="s">
        <v>704</v>
      </c>
      <c r="E1196" s="18">
        <v>1200</v>
      </c>
      <c r="F1196" s="18" t="s">
        <v>21</v>
      </c>
      <c r="G1196" s="18" t="s">
        <v>22</v>
      </c>
      <c r="H1196" s="18" t="s">
        <v>23</v>
      </c>
      <c r="I1196" s="19">
        <v>9.7200000000000006</v>
      </c>
      <c r="J1196" s="20">
        <f t="shared" si="36"/>
        <v>11664</v>
      </c>
      <c r="K1196" s="106"/>
      <c r="L1196" s="114"/>
      <c r="M1196" s="114">
        <f>tblAquisições[[#This Row],[VALOR UNITARIO COMPRADO]]*tblAquisições[[#This Row],[QUANTIDADE COMPRADA]]</f>
        <v>0</v>
      </c>
      <c r="N1196" s="110">
        <f>K1196-tblAquisições[[#This Row],[QUANTIDADE PLANEJADA]]</f>
        <v>-1200</v>
      </c>
      <c r="O1196" s="106" t="str">
        <f t="shared" si="37"/>
        <v>Faltando Comprar</v>
      </c>
    </row>
    <row r="1197" spans="1:15" ht="31.5">
      <c r="A1197" s="16" t="s">
        <v>17</v>
      </c>
      <c r="B1197" s="16" t="s">
        <v>24</v>
      </c>
      <c r="C1197" s="17" t="s">
        <v>19</v>
      </c>
      <c r="D1197" s="18" t="s">
        <v>704</v>
      </c>
      <c r="E1197" s="18">
        <v>1200</v>
      </c>
      <c r="F1197" s="18" t="s">
        <v>21</v>
      </c>
      <c r="G1197" s="18" t="s">
        <v>22</v>
      </c>
      <c r="H1197" s="18" t="s">
        <v>23</v>
      </c>
      <c r="I1197" s="19">
        <v>9.7200000000000006</v>
      </c>
      <c r="J1197" s="20">
        <f t="shared" si="36"/>
        <v>11664</v>
      </c>
      <c r="K1197" s="106"/>
      <c r="L1197" s="114"/>
      <c r="M1197" s="114">
        <f>tblAquisições[[#This Row],[VALOR UNITARIO COMPRADO]]*tblAquisições[[#This Row],[QUANTIDADE COMPRADA]]</f>
        <v>0</v>
      </c>
      <c r="N1197" s="110">
        <f>K1197-tblAquisições[[#This Row],[QUANTIDADE PLANEJADA]]</f>
        <v>-1200</v>
      </c>
      <c r="O1197" s="106" t="str">
        <f t="shared" si="37"/>
        <v>Faltando Comprar</v>
      </c>
    </row>
    <row r="1198" spans="1:15" ht="31.5">
      <c r="A1198" s="16" t="s">
        <v>17</v>
      </c>
      <c r="B1198" s="16" t="s">
        <v>25</v>
      </c>
      <c r="C1198" s="17" t="s">
        <v>19</v>
      </c>
      <c r="D1198" s="18" t="s">
        <v>704</v>
      </c>
      <c r="E1198" s="18">
        <v>1200</v>
      </c>
      <c r="F1198" s="18" t="s">
        <v>21</v>
      </c>
      <c r="G1198" s="18" t="s">
        <v>22</v>
      </c>
      <c r="H1198" s="18" t="s">
        <v>23</v>
      </c>
      <c r="I1198" s="19">
        <v>9.7200000000000006</v>
      </c>
      <c r="J1198" s="20">
        <f t="shared" si="36"/>
        <v>11664</v>
      </c>
      <c r="K1198" s="106"/>
      <c r="L1198" s="114"/>
      <c r="M1198" s="114">
        <f>tblAquisições[[#This Row],[VALOR UNITARIO COMPRADO]]*tblAquisições[[#This Row],[QUANTIDADE COMPRADA]]</f>
        <v>0</v>
      </c>
      <c r="N1198" s="110">
        <f>K1198-tblAquisições[[#This Row],[QUANTIDADE PLANEJADA]]</f>
        <v>-1200</v>
      </c>
      <c r="O1198" s="106" t="str">
        <f t="shared" si="37"/>
        <v>Faltando Comprar</v>
      </c>
    </row>
    <row r="1199" spans="1:15" ht="31.5">
      <c r="A1199" s="16" t="s">
        <v>17</v>
      </c>
      <c r="B1199" s="16" t="s">
        <v>41</v>
      </c>
      <c r="C1199" s="17" t="s">
        <v>19</v>
      </c>
      <c r="D1199" s="18" t="s">
        <v>704</v>
      </c>
      <c r="E1199" s="18">
        <v>100</v>
      </c>
      <c r="F1199" s="18" t="s">
        <v>21</v>
      </c>
      <c r="G1199" s="18" t="s">
        <v>22</v>
      </c>
      <c r="H1199" s="18" t="s">
        <v>23</v>
      </c>
      <c r="I1199" s="19">
        <v>9.7200000000000006</v>
      </c>
      <c r="J1199" s="20">
        <f t="shared" si="36"/>
        <v>972.00000000000011</v>
      </c>
      <c r="K1199" s="106"/>
      <c r="L1199" s="114"/>
      <c r="M1199" s="114">
        <f>tblAquisições[[#This Row],[VALOR UNITARIO COMPRADO]]*tblAquisições[[#This Row],[QUANTIDADE COMPRADA]]</f>
        <v>0</v>
      </c>
      <c r="N1199" s="110">
        <f>K1199-tblAquisições[[#This Row],[QUANTIDADE PLANEJADA]]</f>
        <v>-100</v>
      </c>
      <c r="O1199" s="106" t="str">
        <f t="shared" si="37"/>
        <v>Faltando Comprar</v>
      </c>
    </row>
    <row r="1200" spans="1:15" ht="31.5">
      <c r="A1200" s="16" t="s">
        <v>17</v>
      </c>
      <c r="B1200" s="16" t="s">
        <v>27</v>
      </c>
      <c r="C1200" s="17" t="s">
        <v>19</v>
      </c>
      <c r="D1200" s="18" t="s">
        <v>704</v>
      </c>
      <c r="E1200" s="18">
        <v>500</v>
      </c>
      <c r="F1200" s="18" t="s">
        <v>21</v>
      </c>
      <c r="G1200" s="18" t="s">
        <v>22</v>
      </c>
      <c r="H1200" s="18" t="s">
        <v>23</v>
      </c>
      <c r="I1200" s="19">
        <v>9.7200000000000006</v>
      </c>
      <c r="J1200" s="20">
        <f t="shared" si="36"/>
        <v>4860</v>
      </c>
      <c r="K1200" s="106"/>
      <c r="L1200" s="114"/>
      <c r="M1200" s="114">
        <f>tblAquisições[[#This Row],[VALOR UNITARIO COMPRADO]]*tblAquisições[[#This Row],[QUANTIDADE COMPRADA]]</f>
        <v>0</v>
      </c>
      <c r="N1200" s="110">
        <f>K1200-tblAquisições[[#This Row],[QUANTIDADE PLANEJADA]]</f>
        <v>-500</v>
      </c>
      <c r="O1200" s="106" t="str">
        <f t="shared" si="37"/>
        <v>Faltando Comprar</v>
      </c>
    </row>
    <row r="1201" spans="1:15" ht="31.5">
      <c r="A1201" s="16" t="s">
        <v>17</v>
      </c>
      <c r="B1201" s="16" t="s">
        <v>31</v>
      </c>
      <c r="C1201" s="17" t="s">
        <v>19</v>
      </c>
      <c r="D1201" s="18" t="s">
        <v>705</v>
      </c>
      <c r="E1201" s="18">
        <v>15</v>
      </c>
      <c r="F1201" s="18" t="s">
        <v>21</v>
      </c>
      <c r="G1201" s="18" t="s">
        <v>22</v>
      </c>
      <c r="H1201" s="18" t="s">
        <v>23</v>
      </c>
      <c r="I1201" s="19">
        <v>1.97</v>
      </c>
      <c r="J1201" s="20">
        <f t="shared" si="36"/>
        <v>29.55</v>
      </c>
      <c r="K1201" s="106"/>
      <c r="L1201" s="114"/>
      <c r="M1201" s="114">
        <f>tblAquisições[[#This Row],[VALOR UNITARIO COMPRADO]]*tblAquisições[[#This Row],[QUANTIDADE COMPRADA]]</f>
        <v>0</v>
      </c>
      <c r="N1201" s="110">
        <f>K1201-tblAquisições[[#This Row],[QUANTIDADE PLANEJADA]]</f>
        <v>-15</v>
      </c>
      <c r="O1201" s="106" t="str">
        <f t="shared" si="37"/>
        <v>Faltando Comprar</v>
      </c>
    </row>
    <row r="1202" spans="1:15" ht="31.5">
      <c r="A1202" s="16" t="s">
        <v>17</v>
      </c>
      <c r="B1202" s="16" t="s">
        <v>31</v>
      </c>
      <c r="C1202" s="17" t="s">
        <v>19</v>
      </c>
      <c r="D1202" s="18" t="s">
        <v>706</v>
      </c>
      <c r="E1202" s="18">
        <v>40</v>
      </c>
      <c r="F1202" s="18" t="s">
        <v>21</v>
      </c>
      <c r="G1202" s="18" t="s">
        <v>22</v>
      </c>
      <c r="H1202" s="18" t="s">
        <v>23</v>
      </c>
      <c r="I1202" s="19">
        <v>8.3800000000000008</v>
      </c>
      <c r="J1202" s="20">
        <f t="shared" si="36"/>
        <v>335.20000000000005</v>
      </c>
      <c r="K1202" s="106"/>
      <c r="L1202" s="114"/>
      <c r="M1202" s="114">
        <f>tblAquisições[[#This Row],[VALOR UNITARIO COMPRADO]]*tblAquisições[[#This Row],[QUANTIDADE COMPRADA]]</f>
        <v>0</v>
      </c>
      <c r="N1202" s="110">
        <f>K1202-tblAquisições[[#This Row],[QUANTIDADE PLANEJADA]]</f>
        <v>-40</v>
      </c>
      <c r="O1202" s="106" t="str">
        <f t="shared" si="37"/>
        <v>Faltando Comprar</v>
      </c>
    </row>
    <row r="1203" spans="1:15" ht="31.5">
      <c r="A1203" s="16" t="s">
        <v>17</v>
      </c>
      <c r="B1203" s="16" t="s">
        <v>28</v>
      </c>
      <c r="C1203" s="17" t="s">
        <v>19</v>
      </c>
      <c r="D1203" s="18" t="s">
        <v>707</v>
      </c>
      <c r="E1203" s="18">
        <v>10</v>
      </c>
      <c r="F1203" s="18" t="s">
        <v>30</v>
      </c>
      <c r="G1203" s="18" t="s">
        <v>22</v>
      </c>
      <c r="H1203" s="18" t="s">
        <v>23</v>
      </c>
      <c r="I1203" s="19">
        <v>92.93</v>
      </c>
      <c r="J1203" s="20">
        <f t="shared" si="36"/>
        <v>929.30000000000007</v>
      </c>
      <c r="K1203" s="106"/>
      <c r="L1203" s="114"/>
      <c r="M1203" s="114">
        <f>tblAquisições[[#This Row],[VALOR UNITARIO COMPRADO]]*tblAquisições[[#This Row],[QUANTIDADE COMPRADA]]</f>
        <v>0</v>
      </c>
      <c r="N1203" s="110">
        <f>K1203-tblAquisições[[#This Row],[QUANTIDADE PLANEJADA]]</f>
        <v>-10</v>
      </c>
      <c r="O1203" s="106" t="str">
        <f t="shared" si="37"/>
        <v>Faltando Comprar</v>
      </c>
    </row>
    <row r="1204" spans="1:15" ht="31.5">
      <c r="A1204" s="16" t="s">
        <v>17</v>
      </c>
      <c r="B1204" s="16" t="s">
        <v>31</v>
      </c>
      <c r="C1204" s="17" t="s">
        <v>19</v>
      </c>
      <c r="D1204" s="18" t="s">
        <v>708</v>
      </c>
      <c r="E1204" s="18">
        <v>20</v>
      </c>
      <c r="F1204" s="18" t="s">
        <v>21</v>
      </c>
      <c r="G1204" s="18" t="s">
        <v>22</v>
      </c>
      <c r="H1204" s="18" t="s">
        <v>23</v>
      </c>
      <c r="I1204" s="19">
        <v>33.97</v>
      </c>
      <c r="J1204" s="20">
        <f t="shared" si="36"/>
        <v>679.4</v>
      </c>
      <c r="K1204" s="106"/>
      <c r="L1204" s="114"/>
      <c r="M1204" s="114">
        <f>tblAquisições[[#This Row],[VALOR UNITARIO COMPRADO]]*tblAquisições[[#This Row],[QUANTIDADE COMPRADA]]</f>
        <v>0</v>
      </c>
      <c r="N1204" s="110">
        <f>K1204-tblAquisições[[#This Row],[QUANTIDADE PLANEJADA]]</f>
        <v>-20</v>
      </c>
      <c r="O1204" s="106" t="str">
        <f t="shared" si="37"/>
        <v>Faltando Comprar</v>
      </c>
    </row>
    <row r="1205" spans="1:15" ht="31.5">
      <c r="A1205" s="16" t="s">
        <v>17</v>
      </c>
      <c r="B1205" s="16" t="s">
        <v>18</v>
      </c>
      <c r="C1205" s="17" t="s">
        <v>19</v>
      </c>
      <c r="D1205" s="18" t="s">
        <v>708</v>
      </c>
      <c r="E1205" s="18">
        <v>50</v>
      </c>
      <c r="F1205" s="18" t="s">
        <v>21</v>
      </c>
      <c r="G1205" s="18" t="s">
        <v>22</v>
      </c>
      <c r="H1205" s="18" t="s">
        <v>23</v>
      </c>
      <c r="I1205" s="19">
        <v>33.97</v>
      </c>
      <c r="J1205" s="20">
        <f t="shared" si="36"/>
        <v>1698.5</v>
      </c>
      <c r="K1205" s="106"/>
      <c r="L1205" s="114"/>
      <c r="M1205" s="114">
        <f>tblAquisições[[#This Row],[VALOR UNITARIO COMPRADO]]*tblAquisições[[#This Row],[QUANTIDADE COMPRADA]]</f>
        <v>0</v>
      </c>
      <c r="N1205" s="110">
        <f>K1205-tblAquisições[[#This Row],[QUANTIDADE PLANEJADA]]</f>
        <v>-50</v>
      </c>
      <c r="O1205" s="106" t="str">
        <f t="shared" si="37"/>
        <v>Faltando Comprar</v>
      </c>
    </row>
    <row r="1206" spans="1:15" ht="31.5">
      <c r="A1206" s="16" t="s">
        <v>17</v>
      </c>
      <c r="B1206" s="16" t="s">
        <v>24</v>
      </c>
      <c r="C1206" s="17" t="s">
        <v>19</v>
      </c>
      <c r="D1206" s="18" t="s">
        <v>708</v>
      </c>
      <c r="E1206" s="18">
        <v>50</v>
      </c>
      <c r="F1206" s="18" t="s">
        <v>21</v>
      </c>
      <c r="G1206" s="18" t="s">
        <v>22</v>
      </c>
      <c r="H1206" s="18" t="s">
        <v>23</v>
      </c>
      <c r="I1206" s="19">
        <v>33.97</v>
      </c>
      <c r="J1206" s="20">
        <f t="shared" si="36"/>
        <v>1698.5</v>
      </c>
      <c r="K1206" s="106"/>
      <c r="L1206" s="114"/>
      <c r="M1206" s="114">
        <f>tblAquisições[[#This Row],[VALOR UNITARIO COMPRADO]]*tblAquisições[[#This Row],[QUANTIDADE COMPRADA]]</f>
        <v>0</v>
      </c>
      <c r="N1206" s="110">
        <f>K1206-tblAquisições[[#This Row],[QUANTIDADE PLANEJADA]]</f>
        <v>-50</v>
      </c>
      <c r="O1206" s="106" t="str">
        <f t="shared" si="37"/>
        <v>Faltando Comprar</v>
      </c>
    </row>
    <row r="1207" spans="1:15" ht="31.5">
      <c r="A1207" s="16" t="s">
        <v>17</v>
      </c>
      <c r="B1207" s="16" t="s">
        <v>25</v>
      </c>
      <c r="C1207" s="17" t="s">
        <v>19</v>
      </c>
      <c r="D1207" s="18" t="s">
        <v>708</v>
      </c>
      <c r="E1207" s="18">
        <v>50</v>
      </c>
      <c r="F1207" s="18" t="s">
        <v>21</v>
      </c>
      <c r="G1207" s="18" t="s">
        <v>22</v>
      </c>
      <c r="H1207" s="18" t="s">
        <v>23</v>
      </c>
      <c r="I1207" s="19">
        <v>33.97</v>
      </c>
      <c r="J1207" s="20">
        <f t="shared" si="36"/>
        <v>1698.5</v>
      </c>
      <c r="K1207" s="106"/>
      <c r="L1207" s="114"/>
      <c r="M1207" s="114">
        <f>tblAquisições[[#This Row],[VALOR UNITARIO COMPRADO]]*tblAquisições[[#This Row],[QUANTIDADE COMPRADA]]</f>
        <v>0</v>
      </c>
      <c r="N1207" s="110">
        <f>K1207-tblAquisições[[#This Row],[QUANTIDADE PLANEJADA]]</f>
        <v>-50</v>
      </c>
      <c r="O1207" s="106" t="str">
        <f t="shared" si="37"/>
        <v>Faltando Comprar</v>
      </c>
    </row>
    <row r="1208" spans="1:15" ht="31.5">
      <c r="A1208" s="16" t="s">
        <v>17</v>
      </c>
      <c r="B1208" s="16" t="s">
        <v>28</v>
      </c>
      <c r="C1208" s="17" t="s">
        <v>19</v>
      </c>
      <c r="D1208" s="18" t="s">
        <v>708</v>
      </c>
      <c r="E1208" s="18">
        <v>12</v>
      </c>
      <c r="F1208" s="18" t="s">
        <v>21</v>
      </c>
      <c r="G1208" s="18" t="s">
        <v>22</v>
      </c>
      <c r="H1208" s="18" t="s">
        <v>23</v>
      </c>
      <c r="I1208" s="19">
        <v>33.97</v>
      </c>
      <c r="J1208" s="20">
        <f t="shared" si="36"/>
        <v>407.64</v>
      </c>
      <c r="K1208" s="106"/>
      <c r="L1208" s="114"/>
      <c r="M1208" s="114">
        <f>tblAquisições[[#This Row],[VALOR UNITARIO COMPRADO]]*tblAquisições[[#This Row],[QUANTIDADE COMPRADA]]</f>
        <v>0</v>
      </c>
      <c r="N1208" s="110">
        <f>K1208-tblAquisições[[#This Row],[QUANTIDADE PLANEJADA]]</f>
        <v>-12</v>
      </c>
      <c r="O1208" s="106" t="str">
        <f t="shared" si="37"/>
        <v>Faltando Comprar</v>
      </c>
    </row>
    <row r="1209" spans="1:15" ht="47.25">
      <c r="A1209" s="16" t="s">
        <v>17</v>
      </c>
      <c r="B1209" s="16" t="s">
        <v>26</v>
      </c>
      <c r="C1209" s="17" t="s">
        <v>19</v>
      </c>
      <c r="D1209" s="18" t="s">
        <v>709</v>
      </c>
      <c r="E1209" s="18">
        <v>15</v>
      </c>
      <c r="F1209" s="18" t="s">
        <v>78</v>
      </c>
      <c r="G1209" s="18" t="s">
        <v>22</v>
      </c>
      <c r="H1209" s="18" t="s">
        <v>23</v>
      </c>
      <c r="I1209" s="19">
        <v>22.43</v>
      </c>
      <c r="J1209" s="20">
        <f t="shared" si="36"/>
        <v>336.45</v>
      </c>
      <c r="K1209" s="106"/>
      <c r="L1209" s="114"/>
      <c r="M1209" s="114">
        <f>tblAquisições[[#This Row],[VALOR UNITARIO COMPRADO]]*tblAquisições[[#This Row],[QUANTIDADE COMPRADA]]</f>
        <v>0</v>
      </c>
      <c r="N1209" s="110">
        <f>K1209-tblAquisições[[#This Row],[QUANTIDADE PLANEJADA]]</f>
        <v>-15</v>
      </c>
      <c r="O1209" s="106" t="str">
        <f t="shared" si="37"/>
        <v>Faltando Comprar</v>
      </c>
    </row>
    <row r="1210" spans="1:15" ht="47.25">
      <c r="A1210" s="16" t="s">
        <v>17</v>
      </c>
      <c r="B1210" s="16" t="s">
        <v>72</v>
      </c>
      <c r="C1210" s="17" t="s">
        <v>19</v>
      </c>
      <c r="D1210" s="18" t="s">
        <v>710</v>
      </c>
      <c r="E1210" s="18">
        <v>5</v>
      </c>
      <c r="F1210" s="18" t="s">
        <v>78</v>
      </c>
      <c r="G1210" s="18" t="s">
        <v>22</v>
      </c>
      <c r="H1210" s="18" t="s">
        <v>23</v>
      </c>
      <c r="I1210" s="19">
        <v>6.43</v>
      </c>
      <c r="J1210" s="20">
        <f t="shared" si="36"/>
        <v>32.15</v>
      </c>
      <c r="K1210" s="106"/>
      <c r="L1210" s="114"/>
      <c r="M1210" s="114">
        <f>tblAquisições[[#This Row],[VALOR UNITARIO COMPRADO]]*tblAquisições[[#This Row],[QUANTIDADE COMPRADA]]</f>
        <v>0</v>
      </c>
      <c r="N1210" s="110">
        <f>K1210-tblAquisições[[#This Row],[QUANTIDADE PLANEJADA]]</f>
        <v>-5</v>
      </c>
      <c r="O1210" s="106" t="str">
        <f t="shared" si="37"/>
        <v>Faltando Comprar</v>
      </c>
    </row>
    <row r="1211" spans="1:15" ht="47.25">
      <c r="A1211" s="16" t="s">
        <v>17</v>
      </c>
      <c r="B1211" s="16" t="s">
        <v>72</v>
      </c>
      <c r="C1211" s="17" t="s">
        <v>19</v>
      </c>
      <c r="D1211" s="18" t="s">
        <v>711</v>
      </c>
      <c r="E1211" s="18">
        <v>5</v>
      </c>
      <c r="F1211" s="18" t="s">
        <v>78</v>
      </c>
      <c r="G1211" s="18" t="s">
        <v>22</v>
      </c>
      <c r="H1211" s="18" t="s">
        <v>23</v>
      </c>
      <c r="I1211" s="19">
        <v>6.22</v>
      </c>
      <c r="J1211" s="20">
        <f t="shared" si="36"/>
        <v>31.099999999999998</v>
      </c>
      <c r="K1211" s="106"/>
      <c r="L1211" s="114"/>
      <c r="M1211" s="114">
        <f>tblAquisições[[#This Row],[VALOR UNITARIO COMPRADO]]*tblAquisições[[#This Row],[QUANTIDADE COMPRADA]]</f>
        <v>0</v>
      </c>
      <c r="N1211" s="110">
        <f>K1211-tblAquisições[[#This Row],[QUANTIDADE PLANEJADA]]</f>
        <v>-5</v>
      </c>
      <c r="O1211" s="106" t="str">
        <f t="shared" si="37"/>
        <v>Faltando Comprar</v>
      </c>
    </row>
    <row r="1212" spans="1:15" ht="31.5">
      <c r="A1212" s="16" t="s">
        <v>17</v>
      </c>
      <c r="B1212" s="16" t="s">
        <v>31</v>
      </c>
      <c r="C1212" s="17" t="s">
        <v>19</v>
      </c>
      <c r="D1212" s="18" t="s">
        <v>712</v>
      </c>
      <c r="E1212" s="18">
        <v>30</v>
      </c>
      <c r="F1212" s="18" t="s">
        <v>30</v>
      </c>
      <c r="G1212" s="18" t="s">
        <v>22</v>
      </c>
      <c r="H1212" s="18" t="s">
        <v>23</v>
      </c>
      <c r="I1212" s="19">
        <v>160</v>
      </c>
      <c r="J1212" s="20">
        <f t="shared" si="36"/>
        <v>4800</v>
      </c>
      <c r="K1212" s="106"/>
      <c r="L1212" s="114"/>
      <c r="M1212" s="114">
        <f>tblAquisições[[#This Row],[VALOR UNITARIO COMPRADO]]*tblAquisições[[#This Row],[QUANTIDADE COMPRADA]]</f>
        <v>0</v>
      </c>
      <c r="N1212" s="110">
        <f>K1212-tblAquisições[[#This Row],[QUANTIDADE PLANEJADA]]</f>
        <v>-30</v>
      </c>
      <c r="O1212" s="106" t="str">
        <f t="shared" si="37"/>
        <v>Faltando Comprar</v>
      </c>
    </row>
    <row r="1213" spans="1:15" ht="31.5">
      <c r="A1213" s="16" t="s">
        <v>17</v>
      </c>
      <c r="B1213" s="16" t="s">
        <v>18</v>
      </c>
      <c r="C1213" s="17" t="s">
        <v>19</v>
      </c>
      <c r="D1213" s="18" t="s">
        <v>712</v>
      </c>
      <c r="E1213" s="18">
        <v>20</v>
      </c>
      <c r="F1213" s="18" t="s">
        <v>30</v>
      </c>
      <c r="G1213" s="18" t="s">
        <v>22</v>
      </c>
      <c r="H1213" s="18" t="s">
        <v>23</v>
      </c>
      <c r="I1213" s="19">
        <v>160</v>
      </c>
      <c r="J1213" s="20">
        <f t="shared" si="36"/>
        <v>3200</v>
      </c>
      <c r="K1213" s="106"/>
      <c r="L1213" s="114"/>
      <c r="M1213" s="114">
        <f>tblAquisições[[#This Row],[VALOR UNITARIO COMPRADO]]*tblAquisições[[#This Row],[QUANTIDADE COMPRADA]]</f>
        <v>0</v>
      </c>
      <c r="N1213" s="110">
        <f>K1213-tblAquisições[[#This Row],[QUANTIDADE PLANEJADA]]</f>
        <v>-20</v>
      </c>
      <c r="O1213" s="106" t="str">
        <f t="shared" si="37"/>
        <v>Faltando Comprar</v>
      </c>
    </row>
    <row r="1214" spans="1:15" ht="31.5">
      <c r="A1214" s="16" t="s">
        <v>17</v>
      </c>
      <c r="B1214" s="16" t="s">
        <v>24</v>
      </c>
      <c r="C1214" s="17" t="s">
        <v>19</v>
      </c>
      <c r="D1214" s="18" t="s">
        <v>712</v>
      </c>
      <c r="E1214" s="18">
        <v>20</v>
      </c>
      <c r="F1214" s="18" t="s">
        <v>30</v>
      </c>
      <c r="G1214" s="18" t="s">
        <v>22</v>
      </c>
      <c r="H1214" s="18" t="s">
        <v>23</v>
      </c>
      <c r="I1214" s="19">
        <v>160</v>
      </c>
      <c r="J1214" s="20">
        <f t="shared" si="36"/>
        <v>3200</v>
      </c>
      <c r="K1214" s="106"/>
      <c r="L1214" s="114"/>
      <c r="M1214" s="114">
        <f>tblAquisições[[#This Row],[VALOR UNITARIO COMPRADO]]*tblAquisições[[#This Row],[QUANTIDADE COMPRADA]]</f>
        <v>0</v>
      </c>
      <c r="N1214" s="110">
        <f>K1214-tblAquisições[[#This Row],[QUANTIDADE PLANEJADA]]</f>
        <v>-20</v>
      </c>
      <c r="O1214" s="106" t="str">
        <f t="shared" si="37"/>
        <v>Faltando Comprar</v>
      </c>
    </row>
    <row r="1215" spans="1:15" ht="31.5">
      <c r="A1215" s="16" t="s">
        <v>17</v>
      </c>
      <c r="B1215" s="16" t="s">
        <v>25</v>
      </c>
      <c r="C1215" s="17" t="s">
        <v>19</v>
      </c>
      <c r="D1215" s="18" t="s">
        <v>712</v>
      </c>
      <c r="E1215" s="18">
        <v>20</v>
      </c>
      <c r="F1215" s="18" t="s">
        <v>30</v>
      </c>
      <c r="G1215" s="18" t="s">
        <v>22</v>
      </c>
      <c r="H1215" s="18" t="s">
        <v>23</v>
      </c>
      <c r="I1215" s="19">
        <v>160</v>
      </c>
      <c r="J1215" s="20">
        <f t="shared" si="36"/>
        <v>3200</v>
      </c>
      <c r="K1215" s="106"/>
      <c r="L1215" s="114"/>
      <c r="M1215" s="114">
        <f>tblAquisições[[#This Row],[VALOR UNITARIO COMPRADO]]*tblAquisições[[#This Row],[QUANTIDADE COMPRADA]]</f>
        <v>0</v>
      </c>
      <c r="N1215" s="110">
        <f>K1215-tblAquisições[[#This Row],[QUANTIDADE PLANEJADA]]</f>
        <v>-20</v>
      </c>
      <c r="O1215" s="106" t="str">
        <f t="shared" si="37"/>
        <v>Faltando Comprar</v>
      </c>
    </row>
    <row r="1216" spans="1:15" ht="47.25">
      <c r="A1216" s="16" t="s">
        <v>17</v>
      </c>
      <c r="B1216" s="16" t="s">
        <v>28</v>
      </c>
      <c r="C1216" s="17" t="s">
        <v>19</v>
      </c>
      <c r="D1216" s="18" t="s">
        <v>713</v>
      </c>
      <c r="E1216" s="18">
        <v>10</v>
      </c>
      <c r="F1216" s="18" t="s">
        <v>58</v>
      </c>
      <c r="G1216" s="18" t="s">
        <v>22</v>
      </c>
      <c r="H1216" s="18" t="s">
        <v>23</v>
      </c>
      <c r="I1216" s="19">
        <v>4.8600000000000003</v>
      </c>
      <c r="J1216" s="20">
        <f t="shared" si="36"/>
        <v>48.6</v>
      </c>
      <c r="K1216" s="106"/>
      <c r="L1216" s="114"/>
      <c r="M1216" s="114">
        <f>tblAquisições[[#This Row],[VALOR UNITARIO COMPRADO]]*tblAquisições[[#This Row],[QUANTIDADE COMPRADA]]</f>
        <v>0</v>
      </c>
      <c r="N1216" s="110">
        <f>K1216-tblAquisições[[#This Row],[QUANTIDADE PLANEJADA]]</f>
        <v>-10</v>
      </c>
      <c r="O1216" s="106" t="str">
        <f t="shared" si="37"/>
        <v>Faltando Comprar</v>
      </c>
    </row>
    <row r="1217" spans="1:15" ht="31.5">
      <c r="A1217" s="16" t="s">
        <v>17</v>
      </c>
      <c r="B1217" s="16" t="s">
        <v>34</v>
      </c>
      <c r="C1217" s="17" t="s">
        <v>19</v>
      </c>
      <c r="D1217" s="18" t="s">
        <v>714</v>
      </c>
      <c r="E1217" s="18">
        <v>2</v>
      </c>
      <c r="F1217" s="18" t="s">
        <v>21</v>
      </c>
      <c r="G1217" s="18" t="s">
        <v>22</v>
      </c>
      <c r="H1217" s="18" t="s">
        <v>23</v>
      </c>
      <c r="I1217" s="19">
        <v>103.26</v>
      </c>
      <c r="J1217" s="20">
        <f t="shared" si="36"/>
        <v>206.52</v>
      </c>
      <c r="K1217" s="106"/>
      <c r="L1217" s="114"/>
      <c r="M1217" s="114">
        <f>tblAquisições[[#This Row],[VALOR UNITARIO COMPRADO]]*tblAquisições[[#This Row],[QUANTIDADE COMPRADA]]</f>
        <v>0</v>
      </c>
      <c r="N1217" s="110">
        <f>K1217-tblAquisições[[#This Row],[QUANTIDADE PLANEJADA]]</f>
        <v>-2</v>
      </c>
      <c r="O1217" s="106" t="str">
        <f t="shared" si="37"/>
        <v>Faltando Comprar</v>
      </c>
    </row>
    <row r="1218" spans="1:15" ht="31.5">
      <c r="A1218" s="16" t="s">
        <v>17</v>
      </c>
      <c r="B1218" s="16" t="s">
        <v>28</v>
      </c>
      <c r="C1218" s="17" t="s">
        <v>19</v>
      </c>
      <c r="D1218" s="18" t="s">
        <v>714</v>
      </c>
      <c r="E1218" s="18">
        <v>20</v>
      </c>
      <c r="F1218" s="18" t="s">
        <v>21</v>
      </c>
      <c r="G1218" s="18" t="s">
        <v>22</v>
      </c>
      <c r="H1218" s="18" t="s">
        <v>23</v>
      </c>
      <c r="I1218" s="19">
        <v>103.26</v>
      </c>
      <c r="J1218" s="20">
        <f t="shared" ref="J1218:J1281" si="38">E1218*I1218</f>
        <v>2065.2000000000003</v>
      </c>
      <c r="K1218" s="106"/>
      <c r="L1218" s="114"/>
      <c r="M1218" s="114">
        <f>tblAquisições[[#This Row],[VALOR UNITARIO COMPRADO]]*tblAquisições[[#This Row],[QUANTIDADE COMPRADA]]</f>
        <v>0</v>
      </c>
      <c r="N1218" s="110">
        <f>K1218-tblAquisições[[#This Row],[QUANTIDADE PLANEJADA]]</f>
        <v>-20</v>
      </c>
      <c r="O1218" s="106" t="str">
        <f t="shared" ref="O1218:O1281" si="39">IF(K1218=E1218,"OK",IF(K1218&lt;E1218,"Faltando Comprar","Excedente"))</f>
        <v>Faltando Comprar</v>
      </c>
    </row>
    <row r="1219" spans="1:15" ht="31.5">
      <c r="A1219" s="16" t="s">
        <v>17</v>
      </c>
      <c r="B1219" s="16" t="s">
        <v>28</v>
      </c>
      <c r="C1219" s="17" t="s">
        <v>19</v>
      </c>
      <c r="D1219" s="18" t="s">
        <v>715</v>
      </c>
      <c r="E1219" s="18">
        <v>48</v>
      </c>
      <c r="F1219" s="18" t="s">
        <v>21</v>
      </c>
      <c r="G1219" s="18" t="s">
        <v>22</v>
      </c>
      <c r="H1219" s="18" t="s">
        <v>23</v>
      </c>
      <c r="I1219" s="19">
        <v>9.7899999999999991</v>
      </c>
      <c r="J1219" s="20">
        <f t="shared" si="38"/>
        <v>469.91999999999996</v>
      </c>
      <c r="K1219" s="106"/>
      <c r="L1219" s="114"/>
      <c r="M1219" s="114">
        <f>tblAquisições[[#This Row],[VALOR UNITARIO COMPRADO]]*tblAquisições[[#This Row],[QUANTIDADE COMPRADA]]</f>
        <v>0</v>
      </c>
      <c r="N1219" s="110">
        <f>K1219-tblAquisições[[#This Row],[QUANTIDADE PLANEJADA]]</f>
        <v>-48</v>
      </c>
      <c r="O1219" s="106" t="str">
        <f t="shared" si="39"/>
        <v>Faltando Comprar</v>
      </c>
    </row>
    <row r="1220" spans="1:15" ht="31.5">
      <c r="A1220" s="16" t="s">
        <v>17</v>
      </c>
      <c r="B1220" s="16" t="s">
        <v>41</v>
      </c>
      <c r="C1220" s="17" t="s">
        <v>19</v>
      </c>
      <c r="D1220" s="18" t="s">
        <v>716</v>
      </c>
      <c r="E1220" s="18">
        <v>200</v>
      </c>
      <c r="F1220" s="18" t="s">
        <v>21</v>
      </c>
      <c r="G1220" s="18" t="s">
        <v>22</v>
      </c>
      <c r="H1220" s="18" t="s">
        <v>23</v>
      </c>
      <c r="I1220" s="19">
        <v>25.88</v>
      </c>
      <c r="J1220" s="20">
        <f t="shared" si="38"/>
        <v>5176</v>
      </c>
      <c r="K1220" s="106"/>
      <c r="L1220" s="114"/>
      <c r="M1220" s="114">
        <f>tblAquisições[[#This Row],[VALOR UNITARIO COMPRADO]]*tblAquisições[[#This Row],[QUANTIDADE COMPRADA]]</f>
        <v>0</v>
      </c>
      <c r="N1220" s="110">
        <f>K1220-tblAquisições[[#This Row],[QUANTIDADE PLANEJADA]]</f>
        <v>-200</v>
      </c>
      <c r="O1220" s="106" t="str">
        <f t="shared" si="39"/>
        <v>Faltando Comprar</v>
      </c>
    </row>
    <row r="1221" spans="1:15" ht="31.5">
      <c r="A1221" s="16" t="s">
        <v>17</v>
      </c>
      <c r="B1221" s="16" t="s">
        <v>27</v>
      </c>
      <c r="C1221" s="17" t="s">
        <v>19</v>
      </c>
      <c r="D1221" s="18" t="s">
        <v>716</v>
      </c>
      <c r="E1221" s="18">
        <v>40</v>
      </c>
      <c r="F1221" s="18" t="s">
        <v>21</v>
      </c>
      <c r="G1221" s="18" t="s">
        <v>22</v>
      </c>
      <c r="H1221" s="18" t="s">
        <v>23</v>
      </c>
      <c r="I1221" s="19">
        <v>25.88</v>
      </c>
      <c r="J1221" s="20">
        <f t="shared" si="38"/>
        <v>1035.2</v>
      </c>
      <c r="K1221" s="106"/>
      <c r="L1221" s="114"/>
      <c r="M1221" s="114">
        <f>tblAquisições[[#This Row],[VALOR UNITARIO COMPRADO]]*tblAquisições[[#This Row],[QUANTIDADE COMPRADA]]</f>
        <v>0</v>
      </c>
      <c r="N1221" s="110">
        <f>K1221-tblAquisições[[#This Row],[QUANTIDADE PLANEJADA]]</f>
        <v>-40</v>
      </c>
      <c r="O1221" s="106" t="str">
        <f t="shared" si="39"/>
        <v>Faltando Comprar</v>
      </c>
    </row>
    <row r="1222" spans="1:15" ht="31.5">
      <c r="A1222" s="16" t="s">
        <v>17</v>
      </c>
      <c r="B1222" s="16" t="s">
        <v>80</v>
      </c>
      <c r="C1222" s="17" t="s">
        <v>19</v>
      </c>
      <c r="D1222" s="18" t="s">
        <v>717</v>
      </c>
      <c r="E1222" s="18">
        <v>1000</v>
      </c>
      <c r="F1222" s="18" t="s">
        <v>38</v>
      </c>
      <c r="G1222" s="18" t="s">
        <v>39</v>
      </c>
      <c r="H1222" s="18" t="s">
        <v>23</v>
      </c>
      <c r="I1222" s="19">
        <v>1.331</v>
      </c>
      <c r="J1222" s="20">
        <f t="shared" si="38"/>
        <v>1331</v>
      </c>
      <c r="K1222" s="106"/>
      <c r="L1222" s="114"/>
      <c r="M1222" s="114">
        <f>tblAquisições[[#This Row],[VALOR UNITARIO COMPRADO]]*tblAquisições[[#This Row],[QUANTIDADE COMPRADA]]</f>
        <v>0</v>
      </c>
      <c r="N1222" s="110">
        <f>K1222-tblAquisições[[#This Row],[QUANTIDADE PLANEJADA]]</f>
        <v>-1000</v>
      </c>
      <c r="O1222" s="106" t="str">
        <f t="shared" si="39"/>
        <v>Faltando Comprar</v>
      </c>
    </row>
    <row r="1223" spans="1:15" ht="31.5">
      <c r="A1223" s="16" t="s">
        <v>17</v>
      </c>
      <c r="B1223" s="16" t="s">
        <v>18</v>
      </c>
      <c r="C1223" s="17" t="s">
        <v>19</v>
      </c>
      <c r="D1223" s="18" t="s">
        <v>717</v>
      </c>
      <c r="E1223" s="18">
        <v>500</v>
      </c>
      <c r="F1223" s="18" t="s">
        <v>21</v>
      </c>
      <c r="G1223" s="18" t="s">
        <v>22</v>
      </c>
      <c r="H1223" s="18" t="s">
        <v>23</v>
      </c>
      <c r="I1223" s="19">
        <v>1.331</v>
      </c>
      <c r="J1223" s="20">
        <f t="shared" si="38"/>
        <v>665.5</v>
      </c>
      <c r="K1223" s="106"/>
      <c r="L1223" s="114"/>
      <c r="M1223" s="114">
        <f>tblAquisições[[#This Row],[VALOR UNITARIO COMPRADO]]*tblAquisições[[#This Row],[QUANTIDADE COMPRADA]]</f>
        <v>0</v>
      </c>
      <c r="N1223" s="110">
        <f>K1223-tblAquisições[[#This Row],[QUANTIDADE PLANEJADA]]</f>
        <v>-500</v>
      </c>
      <c r="O1223" s="106" t="str">
        <f t="shared" si="39"/>
        <v>Faltando Comprar</v>
      </c>
    </row>
    <row r="1224" spans="1:15" ht="31.5">
      <c r="A1224" s="16" t="s">
        <v>17</v>
      </c>
      <c r="B1224" s="16" t="s">
        <v>24</v>
      </c>
      <c r="C1224" s="17" t="s">
        <v>19</v>
      </c>
      <c r="D1224" s="18" t="s">
        <v>717</v>
      </c>
      <c r="E1224" s="18">
        <v>500</v>
      </c>
      <c r="F1224" s="18" t="s">
        <v>21</v>
      </c>
      <c r="G1224" s="18" t="s">
        <v>22</v>
      </c>
      <c r="H1224" s="18" t="s">
        <v>23</v>
      </c>
      <c r="I1224" s="19">
        <v>1.331</v>
      </c>
      <c r="J1224" s="20">
        <f t="shared" si="38"/>
        <v>665.5</v>
      </c>
      <c r="K1224" s="106"/>
      <c r="L1224" s="114"/>
      <c r="M1224" s="114">
        <f>tblAquisições[[#This Row],[VALOR UNITARIO COMPRADO]]*tblAquisições[[#This Row],[QUANTIDADE COMPRADA]]</f>
        <v>0</v>
      </c>
      <c r="N1224" s="110">
        <f>K1224-tblAquisições[[#This Row],[QUANTIDADE PLANEJADA]]</f>
        <v>-500</v>
      </c>
      <c r="O1224" s="106" t="str">
        <f t="shared" si="39"/>
        <v>Faltando Comprar</v>
      </c>
    </row>
    <row r="1225" spans="1:15" ht="31.5">
      <c r="A1225" s="16" t="s">
        <v>17</v>
      </c>
      <c r="B1225" s="16" t="s">
        <v>25</v>
      </c>
      <c r="C1225" s="17" t="s">
        <v>19</v>
      </c>
      <c r="D1225" s="18" t="s">
        <v>717</v>
      </c>
      <c r="E1225" s="18">
        <v>500</v>
      </c>
      <c r="F1225" s="18" t="s">
        <v>21</v>
      </c>
      <c r="G1225" s="18" t="s">
        <v>22</v>
      </c>
      <c r="H1225" s="18" t="s">
        <v>23</v>
      </c>
      <c r="I1225" s="19">
        <v>1.331</v>
      </c>
      <c r="J1225" s="20">
        <f t="shared" si="38"/>
        <v>665.5</v>
      </c>
      <c r="K1225" s="106"/>
      <c r="L1225" s="114"/>
      <c r="M1225" s="114">
        <f>tblAquisições[[#This Row],[VALOR UNITARIO COMPRADO]]*tblAquisições[[#This Row],[QUANTIDADE COMPRADA]]</f>
        <v>0</v>
      </c>
      <c r="N1225" s="110">
        <f>K1225-tblAquisições[[#This Row],[QUANTIDADE PLANEJADA]]</f>
        <v>-500</v>
      </c>
      <c r="O1225" s="106" t="str">
        <f t="shared" si="39"/>
        <v>Faltando Comprar</v>
      </c>
    </row>
    <row r="1226" spans="1:15" ht="31.5">
      <c r="A1226" s="16" t="s">
        <v>17</v>
      </c>
      <c r="B1226" s="16" t="s">
        <v>27</v>
      </c>
      <c r="C1226" s="17" t="s">
        <v>19</v>
      </c>
      <c r="D1226" s="18" t="s">
        <v>717</v>
      </c>
      <c r="E1226" s="18">
        <v>200</v>
      </c>
      <c r="F1226" s="18" t="s">
        <v>21</v>
      </c>
      <c r="G1226" s="18" t="s">
        <v>22</v>
      </c>
      <c r="H1226" s="18" t="s">
        <v>23</v>
      </c>
      <c r="I1226" s="19">
        <v>1.331</v>
      </c>
      <c r="J1226" s="20">
        <f t="shared" si="38"/>
        <v>266.2</v>
      </c>
      <c r="K1226" s="106"/>
      <c r="L1226" s="114"/>
      <c r="M1226" s="114">
        <f>tblAquisições[[#This Row],[VALOR UNITARIO COMPRADO]]*tblAquisições[[#This Row],[QUANTIDADE COMPRADA]]</f>
        <v>0</v>
      </c>
      <c r="N1226" s="110">
        <f>K1226-tblAquisições[[#This Row],[QUANTIDADE PLANEJADA]]</f>
        <v>-200</v>
      </c>
      <c r="O1226" s="106" t="str">
        <f t="shared" si="39"/>
        <v>Faltando Comprar</v>
      </c>
    </row>
    <row r="1227" spans="1:15" ht="31.5">
      <c r="A1227" s="16" t="s">
        <v>17</v>
      </c>
      <c r="B1227" s="16" t="s">
        <v>17</v>
      </c>
      <c r="C1227" s="17" t="s">
        <v>19</v>
      </c>
      <c r="D1227" s="18" t="s">
        <v>718</v>
      </c>
      <c r="E1227" s="18">
        <v>500</v>
      </c>
      <c r="F1227" s="18" t="s">
        <v>38</v>
      </c>
      <c r="G1227" s="18" t="s">
        <v>39</v>
      </c>
      <c r="H1227" s="18" t="s">
        <v>23</v>
      </c>
      <c r="I1227" s="19">
        <v>22.22</v>
      </c>
      <c r="J1227" s="20">
        <f t="shared" si="38"/>
        <v>11110</v>
      </c>
      <c r="K1227" s="106"/>
      <c r="L1227" s="114"/>
      <c r="M1227" s="114">
        <f>tblAquisições[[#This Row],[VALOR UNITARIO COMPRADO]]*tblAquisições[[#This Row],[QUANTIDADE COMPRADA]]</f>
        <v>0</v>
      </c>
      <c r="N1227" s="110">
        <f>K1227-tblAquisições[[#This Row],[QUANTIDADE PLANEJADA]]</f>
        <v>-500</v>
      </c>
      <c r="O1227" s="106" t="str">
        <f t="shared" si="39"/>
        <v>Faltando Comprar</v>
      </c>
    </row>
    <row r="1228" spans="1:15" ht="31.5">
      <c r="A1228" s="16" t="s">
        <v>17</v>
      </c>
      <c r="B1228" s="16" t="s">
        <v>34</v>
      </c>
      <c r="C1228" s="17" t="s">
        <v>19</v>
      </c>
      <c r="D1228" s="18" t="s">
        <v>719</v>
      </c>
      <c r="E1228" s="18">
        <v>40</v>
      </c>
      <c r="F1228" s="18" t="s">
        <v>21</v>
      </c>
      <c r="G1228" s="18" t="s">
        <v>22</v>
      </c>
      <c r="H1228" s="18" t="s">
        <v>23</v>
      </c>
      <c r="I1228" s="19">
        <v>22.22</v>
      </c>
      <c r="J1228" s="20">
        <f t="shared" si="38"/>
        <v>888.8</v>
      </c>
      <c r="K1228" s="106"/>
      <c r="L1228" s="114"/>
      <c r="M1228" s="114">
        <f>tblAquisições[[#This Row],[VALOR UNITARIO COMPRADO]]*tblAquisições[[#This Row],[QUANTIDADE COMPRADA]]</f>
        <v>0</v>
      </c>
      <c r="N1228" s="110">
        <f>K1228-tblAquisições[[#This Row],[QUANTIDADE PLANEJADA]]</f>
        <v>-40</v>
      </c>
      <c r="O1228" s="106" t="str">
        <f t="shared" si="39"/>
        <v>Faltando Comprar</v>
      </c>
    </row>
    <row r="1229" spans="1:15" ht="31.5">
      <c r="A1229" s="16" t="s">
        <v>17</v>
      </c>
      <c r="B1229" s="16" t="s">
        <v>31</v>
      </c>
      <c r="C1229" s="17" t="s">
        <v>19</v>
      </c>
      <c r="D1229" s="18" t="s">
        <v>719</v>
      </c>
      <c r="E1229" s="18">
        <v>200</v>
      </c>
      <c r="F1229" s="18" t="s">
        <v>21</v>
      </c>
      <c r="G1229" s="18" t="s">
        <v>22</v>
      </c>
      <c r="H1229" s="18" t="s">
        <v>23</v>
      </c>
      <c r="I1229" s="19">
        <v>22.22</v>
      </c>
      <c r="J1229" s="20">
        <f t="shared" si="38"/>
        <v>4444</v>
      </c>
      <c r="K1229" s="106"/>
      <c r="L1229" s="114"/>
      <c r="M1229" s="114">
        <f>tblAquisições[[#This Row],[VALOR UNITARIO COMPRADO]]*tblAquisições[[#This Row],[QUANTIDADE COMPRADA]]</f>
        <v>0</v>
      </c>
      <c r="N1229" s="110">
        <f>K1229-tblAquisições[[#This Row],[QUANTIDADE PLANEJADA]]</f>
        <v>-200</v>
      </c>
      <c r="O1229" s="106" t="str">
        <f t="shared" si="39"/>
        <v>Faltando Comprar</v>
      </c>
    </row>
    <row r="1230" spans="1:15" ht="31.5">
      <c r="A1230" s="16" t="s">
        <v>17</v>
      </c>
      <c r="B1230" s="16" t="s">
        <v>41</v>
      </c>
      <c r="C1230" s="17" t="s">
        <v>19</v>
      </c>
      <c r="D1230" s="18" t="s">
        <v>719</v>
      </c>
      <c r="E1230" s="18">
        <v>300</v>
      </c>
      <c r="F1230" s="18" t="s">
        <v>21</v>
      </c>
      <c r="G1230" s="18" t="s">
        <v>22</v>
      </c>
      <c r="H1230" s="18" t="s">
        <v>83</v>
      </c>
      <c r="I1230" s="19">
        <v>22.22</v>
      </c>
      <c r="J1230" s="20">
        <f t="shared" si="38"/>
        <v>6666</v>
      </c>
      <c r="K1230" s="106"/>
      <c r="L1230" s="114"/>
      <c r="M1230" s="114">
        <f>tblAquisições[[#This Row],[VALOR UNITARIO COMPRADO]]*tblAquisições[[#This Row],[QUANTIDADE COMPRADA]]</f>
        <v>0</v>
      </c>
      <c r="N1230" s="110">
        <f>K1230-tblAquisições[[#This Row],[QUANTIDADE PLANEJADA]]</f>
        <v>-300</v>
      </c>
      <c r="O1230" s="106" t="str">
        <f t="shared" si="39"/>
        <v>Faltando Comprar</v>
      </c>
    </row>
    <row r="1231" spans="1:15" ht="31.5">
      <c r="A1231" s="16" t="s">
        <v>17</v>
      </c>
      <c r="B1231" s="16" t="s">
        <v>26</v>
      </c>
      <c r="C1231" s="17" t="s">
        <v>19</v>
      </c>
      <c r="D1231" s="18" t="s">
        <v>719</v>
      </c>
      <c r="E1231" s="18">
        <v>10</v>
      </c>
      <c r="F1231" s="18" t="s">
        <v>21</v>
      </c>
      <c r="G1231" s="18" t="s">
        <v>22</v>
      </c>
      <c r="H1231" s="18" t="s">
        <v>23</v>
      </c>
      <c r="I1231" s="19">
        <v>22.22</v>
      </c>
      <c r="J1231" s="20">
        <f t="shared" si="38"/>
        <v>222.2</v>
      </c>
      <c r="K1231" s="106"/>
      <c r="L1231" s="114"/>
      <c r="M1231" s="114">
        <f>tblAquisições[[#This Row],[VALOR UNITARIO COMPRADO]]*tblAquisições[[#This Row],[QUANTIDADE COMPRADA]]</f>
        <v>0</v>
      </c>
      <c r="N1231" s="110">
        <f>K1231-tblAquisições[[#This Row],[QUANTIDADE PLANEJADA]]</f>
        <v>-10</v>
      </c>
      <c r="O1231" s="106" t="str">
        <f t="shared" si="39"/>
        <v>Faltando Comprar</v>
      </c>
    </row>
    <row r="1232" spans="1:15" ht="31.5">
      <c r="A1232" s="16" t="s">
        <v>17</v>
      </c>
      <c r="B1232" s="16" t="s">
        <v>28</v>
      </c>
      <c r="C1232" s="17" t="s">
        <v>19</v>
      </c>
      <c r="D1232" s="18" t="s">
        <v>719</v>
      </c>
      <c r="E1232" s="18">
        <v>500</v>
      </c>
      <c r="F1232" s="18" t="s">
        <v>21</v>
      </c>
      <c r="G1232" s="18" t="s">
        <v>22</v>
      </c>
      <c r="H1232" s="18" t="s">
        <v>23</v>
      </c>
      <c r="I1232" s="19">
        <v>22.22</v>
      </c>
      <c r="J1232" s="20">
        <f t="shared" si="38"/>
        <v>11110</v>
      </c>
      <c r="K1232" s="106"/>
      <c r="L1232" s="114"/>
      <c r="M1232" s="114">
        <f>tblAquisições[[#This Row],[VALOR UNITARIO COMPRADO]]*tblAquisições[[#This Row],[QUANTIDADE COMPRADA]]</f>
        <v>0</v>
      </c>
      <c r="N1232" s="110">
        <f>K1232-tblAquisições[[#This Row],[QUANTIDADE PLANEJADA]]</f>
        <v>-500</v>
      </c>
      <c r="O1232" s="106" t="str">
        <f t="shared" si="39"/>
        <v>Faltando Comprar</v>
      </c>
    </row>
    <row r="1233" spans="1:15" ht="31.5">
      <c r="A1233" s="16" t="s">
        <v>17</v>
      </c>
      <c r="B1233" s="16" t="s">
        <v>34</v>
      </c>
      <c r="C1233" s="17" t="s">
        <v>19</v>
      </c>
      <c r="D1233" s="18" t="s">
        <v>720</v>
      </c>
      <c r="E1233" s="18">
        <v>5</v>
      </c>
      <c r="F1233" s="18" t="s">
        <v>21</v>
      </c>
      <c r="G1233" s="18" t="s">
        <v>22</v>
      </c>
      <c r="H1233" s="18" t="s">
        <v>23</v>
      </c>
      <c r="I1233" s="19">
        <v>21</v>
      </c>
      <c r="J1233" s="20">
        <f t="shared" si="38"/>
        <v>105</v>
      </c>
      <c r="K1233" s="106"/>
      <c r="L1233" s="114"/>
      <c r="M1233" s="114">
        <f>tblAquisições[[#This Row],[VALOR UNITARIO COMPRADO]]*tblAquisições[[#This Row],[QUANTIDADE COMPRADA]]</f>
        <v>0</v>
      </c>
      <c r="N1233" s="110">
        <f>K1233-tblAquisições[[#This Row],[QUANTIDADE PLANEJADA]]</f>
        <v>-5</v>
      </c>
      <c r="O1233" s="106" t="str">
        <f t="shared" si="39"/>
        <v>Faltando Comprar</v>
      </c>
    </row>
    <row r="1234" spans="1:15" ht="31.5">
      <c r="A1234" s="16" t="s">
        <v>17</v>
      </c>
      <c r="B1234" s="16" t="s">
        <v>31</v>
      </c>
      <c r="C1234" s="17" t="s">
        <v>19</v>
      </c>
      <c r="D1234" s="18" t="s">
        <v>720</v>
      </c>
      <c r="E1234" s="18">
        <v>30</v>
      </c>
      <c r="F1234" s="18" t="s">
        <v>21</v>
      </c>
      <c r="G1234" s="18" t="s">
        <v>22</v>
      </c>
      <c r="H1234" s="18" t="s">
        <v>23</v>
      </c>
      <c r="I1234" s="19">
        <v>21</v>
      </c>
      <c r="J1234" s="20">
        <f t="shared" si="38"/>
        <v>630</v>
      </c>
      <c r="K1234" s="106"/>
      <c r="L1234" s="114"/>
      <c r="M1234" s="114">
        <f>tblAquisições[[#This Row],[VALOR UNITARIO COMPRADO]]*tblAquisições[[#This Row],[QUANTIDADE COMPRADA]]</f>
        <v>0</v>
      </c>
      <c r="N1234" s="110">
        <f>K1234-tblAquisições[[#This Row],[QUANTIDADE PLANEJADA]]</f>
        <v>-30</v>
      </c>
      <c r="O1234" s="106" t="str">
        <f t="shared" si="39"/>
        <v>Faltando Comprar</v>
      </c>
    </row>
    <row r="1235" spans="1:15" ht="31.5">
      <c r="A1235" s="16" t="s">
        <v>17</v>
      </c>
      <c r="B1235" s="16" t="s">
        <v>28</v>
      </c>
      <c r="C1235" s="17" t="s">
        <v>19</v>
      </c>
      <c r="D1235" s="18" t="s">
        <v>721</v>
      </c>
      <c r="E1235" s="18">
        <v>60</v>
      </c>
      <c r="F1235" s="18" t="s">
        <v>21</v>
      </c>
      <c r="G1235" s="18" t="s">
        <v>22</v>
      </c>
      <c r="H1235" s="18" t="s">
        <v>23</v>
      </c>
      <c r="I1235" s="19">
        <v>21.07</v>
      </c>
      <c r="J1235" s="20">
        <f t="shared" si="38"/>
        <v>1264.2</v>
      </c>
      <c r="K1235" s="106"/>
      <c r="L1235" s="114"/>
      <c r="M1235" s="114">
        <f>tblAquisições[[#This Row],[VALOR UNITARIO COMPRADO]]*tblAquisições[[#This Row],[QUANTIDADE COMPRADA]]</f>
        <v>0</v>
      </c>
      <c r="N1235" s="110">
        <f>K1235-tblAquisições[[#This Row],[QUANTIDADE PLANEJADA]]</f>
        <v>-60</v>
      </c>
      <c r="O1235" s="106" t="str">
        <f t="shared" si="39"/>
        <v>Faltando Comprar</v>
      </c>
    </row>
    <row r="1236" spans="1:15" ht="31.5">
      <c r="A1236" s="16" t="s">
        <v>17</v>
      </c>
      <c r="B1236" s="16" t="s">
        <v>26</v>
      </c>
      <c r="C1236" s="17" t="s">
        <v>19</v>
      </c>
      <c r="D1236" s="18" t="s">
        <v>722</v>
      </c>
      <c r="E1236" s="18">
        <v>180</v>
      </c>
      <c r="F1236" s="18" t="s">
        <v>21</v>
      </c>
      <c r="G1236" s="18" t="s">
        <v>22</v>
      </c>
      <c r="H1236" s="18" t="s">
        <v>83</v>
      </c>
      <c r="I1236" s="19">
        <v>24.08</v>
      </c>
      <c r="J1236" s="20">
        <f t="shared" si="38"/>
        <v>4334.3999999999996</v>
      </c>
      <c r="K1236" s="106"/>
      <c r="L1236" s="114"/>
      <c r="M1236" s="114">
        <f>tblAquisições[[#This Row],[VALOR UNITARIO COMPRADO]]*tblAquisições[[#This Row],[QUANTIDADE COMPRADA]]</f>
        <v>0</v>
      </c>
      <c r="N1236" s="110">
        <f>K1236-tblAquisições[[#This Row],[QUANTIDADE PLANEJADA]]</f>
        <v>-180</v>
      </c>
      <c r="O1236" s="106" t="str">
        <f t="shared" si="39"/>
        <v>Faltando Comprar</v>
      </c>
    </row>
    <row r="1237" spans="1:15" ht="31.5">
      <c r="A1237" s="16" t="s">
        <v>17</v>
      </c>
      <c r="B1237" s="16" t="s">
        <v>28</v>
      </c>
      <c r="C1237" s="17" t="s">
        <v>19</v>
      </c>
      <c r="D1237" s="18" t="s">
        <v>723</v>
      </c>
      <c r="E1237" s="18">
        <v>5</v>
      </c>
      <c r="F1237" s="18" t="s">
        <v>324</v>
      </c>
      <c r="G1237" s="18" t="s">
        <v>22</v>
      </c>
      <c r="H1237" s="18" t="s">
        <v>23</v>
      </c>
      <c r="I1237" s="19">
        <v>8.98</v>
      </c>
      <c r="J1237" s="20">
        <f t="shared" si="38"/>
        <v>44.900000000000006</v>
      </c>
      <c r="K1237" s="106"/>
      <c r="L1237" s="114"/>
      <c r="M1237" s="114">
        <f>tblAquisições[[#This Row],[VALOR UNITARIO COMPRADO]]*tblAquisições[[#This Row],[QUANTIDADE COMPRADA]]</f>
        <v>0</v>
      </c>
      <c r="N1237" s="110">
        <f>K1237-tblAquisições[[#This Row],[QUANTIDADE PLANEJADA]]</f>
        <v>-5</v>
      </c>
      <c r="O1237" s="106" t="str">
        <f t="shared" si="39"/>
        <v>Faltando Comprar</v>
      </c>
    </row>
    <row r="1238" spans="1:15" ht="47.25">
      <c r="A1238" s="16" t="s">
        <v>17</v>
      </c>
      <c r="B1238" s="16" t="s">
        <v>28</v>
      </c>
      <c r="C1238" s="17" t="s">
        <v>19</v>
      </c>
      <c r="D1238" s="18" t="s">
        <v>724</v>
      </c>
      <c r="E1238" s="18">
        <v>7</v>
      </c>
      <c r="F1238" s="18" t="s">
        <v>78</v>
      </c>
      <c r="G1238" s="18" t="s">
        <v>22</v>
      </c>
      <c r="H1238" s="18" t="s">
        <v>23</v>
      </c>
      <c r="I1238" s="19">
        <v>35.04</v>
      </c>
      <c r="J1238" s="20">
        <f t="shared" si="38"/>
        <v>245.28</v>
      </c>
      <c r="K1238" s="106"/>
      <c r="L1238" s="114"/>
      <c r="M1238" s="114">
        <f>tblAquisições[[#This Row],[VALOR UNITARIO COMPRADO]]*tblAquisições[[#This Row],[QUANTIDADE COMPRADA]]</f>
        <v>0</v>
      </c>
      <c r="N1238" s="110">
        <f>K1238-tblAquisições[[#This Row],[QUANTIDADE PLANEJADA]]</f>
        <v>-7</v>
      </c>
      <c r="O1238" s="106" t="str">
        <f t="shared" si="39"/>
        <v>Faltando Comprar</v>
      </c>
    </row>
    <row r="1239" spans="1:15" ht="47.25">
      <c r="A1239" s="16" t="s">
        <v>17</v>
      </c>
      <c r="B1239" s="16" t="s">
        <v>34</v>
      </c>
      <c r="C1239" s="17" t="s">
        <v>19</v>
      </c>
      <c r="D1239" s="18" t="s">
        <v>725</v>
      </c>
      <c r="E1239" s="18">
        <v>2</v>
      </c>
      <c r="F1239" s="18" t="s">
        <v>78</v>
      </c>
      <c r="G1239" s="18" t="s">
        <v>22</v>
      </c>
      <c r="H1239" s="18" t="s">
        <v>23</v>
      </c>
      <c r="I1239" s="19">
        <v>86.5</v>
      </c>
      <c r="J1239" s="20">
        <f t="shared" si="38"/>
        <v>173</v>
      </c>
      <c r="K1239" s="106"/>
      <c r="L1239" s="114"/>
      <c r="M1239" s="114">
        <f>tblAquisições[[#This Row],[VALOR UNITARIO COMPRADO]]*tblAquisições[[#This Row],[QUANTIDADE COMPRADA]]</f>
        <v>0</v>
      </c>
      <c r="N1239" s="110">
        <f>K1239-tblAquisições[[#This Row],[QUANTIDADE PLANEJADA]]</f>
        <v>-2</v>
      </c>
      <c r="O1239" s="106" t="str">
        <f t="shared" si="39"/>
        <v>Faltando Comprar</v>
      </c>
    </row>
    <row r="1240" spans="1:15" ht="31.5">
      <c r="A1240" s="16" t="s">
        <v>17</v>
      </c>
      <c r="B1240" s="16" t="s">
        <v>17</v>
      </c>
      <c r="C1240" s="17" t="s">
        <v>19</v>
      </c>
      <c r="D1240" s="18" t="s">
        <v>726</v>
      </c>
      <c r="E1240" s="18">
        <v>30</v>
      </c>
      <c r="F1240" s="18" t="s">
        <v>38</v>
      </c>
      <c r="G1240" s="18" t="s">
        <v>39</v>
      </c>
      <c r="H1240" s="18" t="s">
        <v>23</v>
      </c>
      <c r="I1240" s="19">
        <v>29.13</v>
      </c>
      <c r="J1240" s="20">
        <f t="shared" si="38"/>
        <v>873.9</v>
      </c>
      <c r="K1240" s="106"/>
      <c r="L1240" s="114"/>
      <c r="M1240" s="114">
        <f>tblAquisições[[#This Row],[VALOR UNITARIO COMPRADO]]*tblAquisições[[#This Row],[QUANTIDADE COMPRADA]]</f>
        <v>0</v>
      </c>
      <c r="N1240" s="110">
        <f>K1240-tblAquisições[[#This Row],[QUANTIDADE PLANEJADA]]</f>
        <v>-30</v>
      </c>
      <c r="O1240" s="106" t="str">
        <f t="shared" si="39"/>
        <v>Faltando Comprar</v>
      </c>
    </row>
    <row r="1241" spans="1:15" ht="31.5">
      <c r="A1241" s="16" t="s">
        <v>17</v>
      </c>
      <c r="B1241" s="16" t="s">
        <v>34</v>
      </c>
      <c r="C1241" s="17" t="s">
        <v>19</v>
      </c>
      <c r="D1241" s="18" t="s">
        <v>727</v>
      </c>
      <c r="E1241" s="18">
        <v>2</v>
      </c>
      <c r="F1241" s="18" t="s">
        <v>21</v>
      </c>
      <c r="G1241" s="18" t="s">
        <v>22</v>
      </c>
      <c r="H1241" s="18" t="s">
        <v>23</v>
      </c>
      <c r="I1241" s="19">
        <v>29.13</v>
      </c>
      <c r="J1241" s="20">
        <f t="shared" si="38"/>
        <v>58.26</v>
      </c>
      <c r="K1241" s="106"/>
      <c r="L1241" s="114"/>
      <c r="M1241" s="114">
        <f>tblAquisições[[#This Row],[VALOR UNITARIO COMPRADO]]*tblAquisições[[#This Row],[QUANTIDADE COMPRADA]]</f>
        <v>0</v>
      </c>
      <c r="N1241" s="110">
        <f>K1241-tblAquisições[[#This Row],[QUANTIDADE PLANEJADA]]</f>
        <v>-2</v>
      </c>
      <c r="O1241" s="106" t="str">
        <f t="shared" si="39"/>
        <v>Faltando Comprar</v>
      </c>
    </row>
    <row r="1242" spans="1:15" ht="31.5">
      <c r="A1242" s="16" t="s">
        <v>17</v>
      </c>
      <c r="B1242" s="16" t="s">
        <v>31</v>
      </c>
      <c r="C1242" s="17" t="s">
        <v>19</v>
      </c>
      <c r="D1242" s="18" t="s">
        <v>727</v>
      </c>
      <c r="E1242" s="18">
        <v>10</v>
      </c>
      <c r="F1242" s="18" t="s">
        <v>21</v>
      </c>
      <c r="G1242" s="18" t="s">
        <v>22</v>
      </c>
      <c r="H1242" s="18" t="s">
        <v>23</v>
      </c>
      <c r="I1242" s="19">
        <v>29.13</v>
      </c>
      <c r="J1242" s="20">
        <f t="shared" si="38"/>
        <v>291.3</v>
      </c>
      <c r="K1242" s="106"/>
      <c r="L1242" s="114"/>
      <c r="M1242" s="114">
        <f>tblAquisições[[#This Row],[VALOR UNITARIO COMPRADO]]*tblAquisições[[#This Row],[QUANTIDADE COMPRADA]]</f>
        <v>0</v>
      </c>
      <c r="N1242" s="110">
        <f>K1242-tblAquisições[[#This Row],[QUANTIDADE PLANEJADA]]</f>
        <v>-10</v>
      </c>
      <c r="O1242" s="106" t="str">
        <f t="shared" si="39"/>
        <v>Faltando Comprar</v>
      </c>
    </row>
    <row r="1243" spans="1:15" ht="31.5">
      <c r="A1243" s="16" t="s">
        <v>17</v>
      </c>
      <c r="B1243" s="16" t="s">
        <v>27</v>
      </c>
      <c r="C1243" s="17" t="s">
        <v>19</v>
      </c>
      <c r="D1243" s="18" t="s">
        <v>727</v>
      </c>
      <c r="E1243" s="18">
        <v>5</v>
      </c>
      <c r="F1243" s="18" t="s">
        <v>21</v>
      </c>
      <c r="G1243" s="18" t="s">
        <v>22</v>
      </c>
      <c r="H1243" s="18" t="s">
        <v>23</v>
      </c>
      <c r="I1243" s="19">
        <v>29.13</v>
      </c>
      <c r="J1243" s="20">
        <f t="shared" si="38"/>
        <v>145.65</v>
      </c>
      <c r="K1243" s="106"/>
      <c r="L1243" s="114"/>
      <c r="M1243" s="114">
        <f>tblAquisições[[#This Row],[VALOR UNITARIO COMPRADO]]*tblAquisições[[#This Row],[QUANTIDADE COMPRADA]]</f>
        <v>0</v>
      </c>
      <c r="N1243" s="110">
        <f>K1243-tblAquisições[[#This Row],[QUANTIDADE PLANEJADA]]</f>
        <v>-5</v>
      </c>
      <c r="O1243" s="106" t="str">
        <f t="shared" si="39"/>
        <v>Faltando Comprar</v>
      </c>
    </row>
    <row r="1244" spans="1:15" ht="31.5">
      <c r="A1244" s="16" t="s">
        <v>17</v>
      </c>
      <c r="B1244" s="16" t="s">
        <v>28</v>
      </c>
      <c r="C1244" s="17" t="s">
        <v>19</v>
      </c>
      <c r="D1244" s="18" t="s">
        <v>727</v>
      </c>
      <c r="E1244" s="18">
        <v>8</v>
      </c>
      <c r="F1244" s="18" t="s">
        <v>21</v>
      </c>
      <c r="G1244" s="18" t="s">
        <v>22</v>
      </c>
      <c r="H1244" s="18" t="s">
        <v>23</v>
      </c>
      <c r="I1244" s="19">
        <v>29.13</v>
      </c>
      <c r="J1244" s="20">
        <f t="shared" si="38"/>
        <v>233.04</v>
      </c>
      <c r="K1244" s="106"/>
      <c r="L1244" s="114"/>
      <c r="M1244" s="114">
        <f>tblAquisições[[#This Row],[VALOR UNITARIO COMPRADO]]*tblAquisições[[#This Row],[QUANTIDADE COMPRADA]]</f>
        <v>0</v>
      </c>
      <c r="N1244" s="110">
        <f>K1244-tblAquisições[[#This Row],[QUANTIDADE PLANEJADA]]</f>
        <v>-8</v>
      </c>
      <c r="O1244" s="106" t="str">
        <f t="shared" si="39"/>
        <v>Faltando Comprar</v>
      </c>
    </row>
    <row r="1245" spans="1:15" ht="31.5">
      <c r="A1245" s="16" t="s">
        <v>17</v>
      </c>
      <c r="B1245" s="16" t="s">
        <v>18</v>
      </c>
      <c r="C1245" s="17" t="s">
        <v>19</v>
      </c>
      <c r="D1245" s="18" t="s">
        <v>728</v>
      </c>
      <c r="E1245" s="18">
        <v>4</v>
      </c>
      <c r="F1245" s="18" t="s">
        <v>21</v>
      </c>
      <c r="G1245" s="18" t="s">
        <v>22</v>
      </c>
      <c r="H1245" s="18" t="s">
        <v>23</v>
      </c>
      <c r="I1245" s="19">
        <v>143.86000000000001</v>
      </c>
      <c r="J1245" s="20">
        <f t="shared" si="38"/>
        <v>575.44000000000005</v>
      </c>
      <c r="K1245" s="106"/>
      <c r="L1245" s="114"/>
      <c r="M1245" s="114">
        <f>tblAquisições[[#This Row],[VALOR UNITARIO COMPRADO]]*tblAquisições[[#This Row],[QUANTIDADE COMPRADA]]</f>
        <v>0</v>
      </c>
      <c r="N1245" s="110">
        <f>K1245-tblAquisições[[#This Row],[QUANTIDADE PLANEJADA]]</f>
        <v>-4</v>
      </c>
      <c r="O1245" s="106" t="str">
        <f t="shared" si="39"/>
        <v>Faltando Comprar</v>
      </c>
    </row>
    <row r="1246" spans="1:15" ht="31.5">
      <c r="A1246" s="16" t="s">
        <v>17</v>
      </c>
      <c r="B1246" s="16" t="s">
        <v>24</v>
      </c>
      <c r="C1246" s="17" t="s">
        <v>19</v>
      </c>
      <c r="D1246" s="18" t="s">
        <v>728</v>
      </c>
      <c r="E1246" s="18">
        <v>4</v>
      </c>
      <c r="F1246" s="18" t="s">
        <v>21</v>
      </c>
      <c r="G1246" s="18" t="s">
        <v>22</v>
      </c>
      <c r="H1246" s="18" t="s">
        <v>23</v>
      </c>
      <c r="I1246" s="19">
        <v>143.86000000000001</v>
      </c>
      <c r="J1246" s="20">
        <f t="shared" si="38"/>
        <v>575.44000000000005</v>
      </c>
      <c r="K1246" s="106"/>
      <c r="L1246" s="114"/>
      <c r="M1246" s="114">
        <f>tblAquisições[[#This Row],[VALOR UNITARIO COMPRADO]]*tblAquisições[[#This Row],[QUANTIDADE COMPRADA]]</f>
        <v>0</v>
      </c>
      <c r="N1246" s="110">
        <f>K1246-tblAquisições[[#This Row],[QUANTIDADE PLANEJADA]]</f>
        <v>-4</v>
      </c>
      <c r="O1246" s="106" t="str">
        <f t="shared" si="39"/>
        <v>Faltando Comprar</v>
      </c>
    </row>
    <row r="1247" spans="1:15" ht="31.5">
      <c r="A1247" s="16" t="s">
        <v>17</v>
      </c>
      <c r="B1247" s="16" t="s">
        <v>25</v>
      </c>
      <c r="C1247" s="17" t="s">
        <v>19</v>
      </c>
      <c r="D1247" s="18" t="s">
        <v>728</v>
      </c>
      <c r="E1247" s="18">
        <v>4</v>
      </c>
      <c r="F1247" s="18" t="s">
        <v>21</v>
      </c>
      <c r="G1247" s="18" t="s">
        <v>22</v>
      </c>
      <c r="H1247" s="18" t="s">
        <v>23</v>
      </c>
      <c r="I1247" s="19">
        <v>143.86000000000001</v>
      </c>
      <c r="J1247" s="20">
        <f t="shared" si="38"/>
        <v>575.44000000000005</v>
      </c>
      <c r="K1247" s="106"/>
      <c r="L1247" s="114"/>
      <c r="M1247" s="114">
        <f>tblAquisições[[#This Row],[VALOR UNITARIO COMPRADO]]*tblAquisições[[#This Row],[QUANTIDADE COMPRADA]]</f>
        <v>0</v>
      </c>
      <c r="N1247" s="110">
        <f>K1247-tblAquisições[[#This Row],[QUANTIDADE PLANEJADA]]</f>
        <v>-4</v>
      </c>
      <c r="O1247" s="106" t="str">
        <f t="shared" si="39"/>
        <v>Faltando Comprar</v>
      </c>
    </row>
    <row r="1248" spans="1:15" ht="31.5">
      <c r="A1248" s="16" t="s">
        <v>17</v>
      </c>
      <c r="B1248" s="16" t="s">
        <v>27</v>
      </c>
      <c r="C1248" s="17" t="s">
        <v>19</v>
      </c>
      <c r="D1248" s="18" t="s">
        <v>728</v>
      </c>
      <c r="E1248" s="18">
        <v>4</v>
      </c>
      <c r="F1248" s="18" t="s">
        <v>21</v>
      </c>
      <c r="G1248" s="18" t="s">
        <v>22</v>
      </c>
      <c r="H1248" s="18" t="s">
        <v>23</v>
      </c>
      <c r="I1248" s="19">
        <v>143.86000000000001</v>
      </c>
      <c r="J1248" s="20">
        <f t="shared" si="38"/>
        <v>575.44000000000005</v>
      </c>
      <c r="K1248" s="106"/>
      <c r="L1248" s="114"/>
      <c r="M1248" s="114">
        <f>tblAquisições[[#This Row],[VALOR UNITARIO COMPRADO]]*tblAquisições[[#This Row],[QUANTIDADE COMPRADA]]</f>
        <v>0</v>
      </c>
      <c r="N1248" s="110">
        <f>K1248-tblAquisições[[#This Row],[QUANTIDADE PLANEJADA]]</f>
        <v>-4</v>
      </c>
      <c r="O1248" s="106" t="str">
        <f t="shared" si="39"/>
        <v>Faltando Comprar</v>
      </c>
    </row>
    <row r="1249" spans="1:15" ht="31.5">
      <c r="A1249" s="16" t="s">
        <v>17</v>
      </c>
      <c r="B1249" s="16" t="s">
        <v>28</v>
      </c>
      <c r="C1249" s="17" t="s">
        <v>19</v>
      </c>
      <c r="D1249" s="18" t="s">
        <v>728</v>
      </c>
      <c r="E1249" s="18">
        <v>10</v>
      </c>
      <c r="F1249" s="18" t="s">
        <v>21</v>
      </c>
      <c r="G1249" s="18" t="s">
        <v>22</v>
      </c>
      <c r="H1249" s="18" t="s">
        <v>23</v>
      </c>
      <c r="I1249" s="19">
        <v>143.86000000000001</v>
      </c>
      <c r="J1249" s="20">
        <f t="shared" si="38"/>
        <v>1438.6000000000001</v>
      </c>
      <c r="K1249" s="106"/>
      <c r="L1249" s="114"/>
      <c r="M1249" s="114">
        <f>tblAquisições[[#This Row],[VALOR UNITARIO COMPRADO]]*tblAquisições[[#This Row],[QUANTIDADE COMPRADA]]</f>
        <v>0</v>
      </c>
      <c r="N1249" s="110">
        <f>K1249-tblAquisições[[#This Row],[QUANTIDADE PLANEJADA]]</f>
        <v>-10</v>
      </c>
      <c r="O1249" s="106" t="str">
        <f t="shared" si="39"/>
        <v>Faltando Comprar</v>
      </c>
    </row>
    <row r="1250" spans="1:15" ht="47.25">
      <c r="A1250" s="16" t="s">
        <v>17</v>
      </c>
      <c r="B1250" s="16" t="s">
        <v>34</v>
      </c>
      <c r="C1250" s="17" t="s">
        <v>19</v>
      </c>
      <c r="D1250" s="18" t="s">
        <v>729</v>
      </c>
      <c r="E1250" s="18">
        <v>2</v>
      </c>
      <c r="F1250" s="18" t="s">
        <v>78</v>
      </c>
      <c r="G1250" s="18" t="s">
        <v>22</v>
      </c>
      <c r="H1250" s="18" t="s">
        <v>23</v>
      </c>
      <c r="I1250" s="19">
        <v>20.34</v>
      </c>
      <c r="J1250" s="20">
        <f t="shared" si="38"/>
        <v>40.68</v>
      </c>
      <c r="K1250" s="106"/>
      <c r="L1250" s="114"/>
      <c r="M1250" s="114">
        <f>tblAquisições[[#This Row],[VALOR UNITARIO COMPRADO]]*tblAquisições[[#This Row],[QUANTIDADE COMPRADA]]</f>
        <v>0</v>
      </c>
      <c r="N1250" s="110">
        <f>K1250-tblAquisições[[#This Row],[QUANTIDADE PLANEJADA]]</f>
        <v>-2</v>
      </c>
      <c r="O1250" s="106" t="str">
        <f t="shared" si="39"/>
        <v>Faltando Comprar</v>
      </c>
    </row>
    <row r="1251" spans="1:15" ht="47.25">
      <c r="A1251" s="16" t="s">
        <v>17</v>
      </c>
      <c r="B1251" s="16" t="s">
        <v>34</v>
      </c>
      <c r="C1251" s="17" t="s">
        <v>19</v>
      </c>
      <c r="D1251" s="18" t="s">
        <v>730</v>
      </c>
      <c r="E1251" s="18">
        <v>2</v>
      </c>
      <c r="F1251" s="18" t="s">
        <v>78</v>
      </c>
      <c r="G1251" s="18" t="s">
        <v>22</v>
      </c>
      <c r="H1251" s="18" t="s">
        <v>23</v>
      </c>
      <c r="I1251" s="19">
        <v>82.13</v>
      </c>
      <c r="J1251" s="20">
        <f t="shared" si="38"/>
        <v>164.26</v>
      </c>
      <c r="K1251" s="106"/>
      <c r="L1251" s="114"/>
      <c r="M1251" s="114">
        <f>tblAquisições[[#This Row],[VALOR UNITARIO COMPRADO]]*tblAquisições[[#This Row],[QUANTIDADE COMPRADA]]</f>
        <v>0</v>
      </c>
      <c r="N1251" s="110">
        <f>K1251-tblAquisições[[#This Row],[QUANTIDADE PLANEJADA]]</f>
        <v>-2</v>
      </c>
      <c r="O1251" s="106" t="str">
        <f t="shared" si="39"/>
        <v>Faltando Comprar</v>
      </c>
    </row>
    <row r="1252" spans="1:15" ht="47.25">
      <c r="A1252" s="16" t="s">
        <v>17</v>
      </c>
      <c r="B1252" s="16" t="s">
        <v>27</v>
      </c>
      <c r="C1252" s="17" t="s">
        <v>19</v>
      </c>
      <c r="D1252" s="18" t="s">
        <v>730</v>
      </c>
      <c r="E1252" s="18">
        <v>2</v>
      </c>
      <c r="F1252" s="18" t="s">
        <v>78</v>
      </c>
      <c r="G1252" s="18" t="s">
        <v>22</v>
      </c>
      <c r="H1252" s="18" t="s">
        <v>23</v>
      </c>
      <c r="I1252" s="19">
        <v>82.13</v>
      </c>
      <c r="J1252" s="20">
        <f t="shared" si="38"/>
        <v>164.26</v>
      </c>
      <c r="K1252" s="106"/>
      <c r="L1252" s="114"/>
      <c r="M1252" s="114">
        <f>tblAquisições[[#This Row],[VALOR UNITARIO COMPRADO]]*tblAquisições[[#This Row],[QUANTIDADE COMPRADA]]</f>
        <v>0</v>
      </c>
      <c r="N1252" s="110">
        <f>K1252-tblAquisições[[#This Row],[QUANTIDADE PLANEJADA]]</f>
        <v>-2</v>
      </c>
      <c r="O1252" s="106" t="str">
        <f t="shared" si="39"/>
        <v>Faltando Comprar</v>
      </c>
    </row>
    <row r="1253" spans="1:15" ht="47.25">
      <c r="A1253" s="16" t="s">
        <v>17</v>
      </c>
      <c r="B1253" s="16" t="s">
        <v>31</v>
      </c>
      <c r="C1253" s="17" t="s">
        <v>19</v>
      </c>
      <c r="D1253" s="18" t="s">
        <v>731</v>
      </c>
      <c r="E1253" s="18">
        <v>10</v>
      </c>
      <c r="F1253" s="18" t="s">
        <v>78</v>
      </c>
      <c r="G1253" s="18" t="s">
        <v>22</v>
      </c>
      <c r="H1253" s="18" t="s">
        <v>23</v>
      </c>
      <c r="I1253" s="19">
        <v>27.17</v>
      </c>
      <c r="J1253" s="20">
        <f t="shared" si="38"/>
        <v>271.70000000000005</v>
      </c>
      <c r="K1253" s="106"/>
      <c r="L1253" s="114"/>
      <c r="M1253" s="114">
        <f>tblAquisições[[#This Row],[VALOR UNITARIO COMPRADO]]*tblAquisições[[#This Row],[QUANTIDADE COMPRADA]]</f>
        <v>0</v>
      </c>
      <c r="N1253" s="110">
        <f>K1253-tblAquisições[[#This Row],[QUANTIDADE PLANEJADA]]</f>
        <v>-10</v>
      </c>
      <c r="O1253" s="106" t="str">
        <f t="shared" si="39"/>
        <v>Faltando Comprar</v>
      </c>
    </row>
    <row r="1254" spans="1:15" ht="47.25">
      <c r="A1254" s="16" t="s">
        <v>17</v>
      </c>
      <c r="B1254" s="16" t="s">
        <v>18</v>
      </c>
      <c r="C1254" s="17" t="s">
        <v>19</v>
      </c>
      <c r="D1254" s="18" t="s">
        <v>731</v>
      </c>
      <c r="E1254" s="18">
        <v>4</v>
      </c>
      <c r="F1254" s="18" t="s">
        <v>78</v>
      </c>
      <c r="G1254" s="18" t="s">
        <v>22</v>
      </c>
      <c r="H1254" s="18" t="s">
        <v>53</v>
      </c>
      <c r="I1254" s="19">
        <v>27.17</v>
      </c>
      <c r="J1254" s="20">
        <f t="shared" si="38"/>
        <v>108.68</v>
      </c>
      <c r="K1254" s="106"/>
      <c r="L1254" s="114"/>
      <c r="M1254" s="114">
        <f>tblAquisições[[#This Row],[VALOR UNITARIO COMPRADO]]*tblAquisições[[#This Row],[QUANTIDADE COMPRADA]]</f>
        <v>0</v>
      </c>
      <c r="N1254" s="110">
        <f>K1254-tblAquisições[[#This Row],[QUANTIDADE PLANEJADA]]</f>
        <v>-4</v>
      </c>
      <c r="O1254" s="106" t="str">
        <f t="shared" si="39"/>
        <v>Faltando Comprar</v>
      </c>
    </row>
    <row r="1255" spans="1:15" ht="47.25">
      <c r="A1255" s="16" t="s">
        <v>17</v>
      </c>
      <c r="B1255" s="16" t="s">
        <v>24</v>
      </c>
      <c r="C1255" s="17" t="s">
        <v>19</v>
      </c>
      <c r="D1255" s="18" t="s">
        <v>731</v>
      </c>
      <c r="E1255" s="18">
        <v>4</v>
      </c>
      <c r="F1255" s="18" t="s">
        <v>78</v>
      </c>
      <c r="G1255" s="18" t="s">
        <v>22</v>
      </c>
      <c r="H1255" s="18" t="s">
        <v>53</v>
      </c>
      <c r="I1255" s="19">
        <v>27.17</v>
      </c>
      <c r="J1255" s="20">
        <f t="shared" si="38"/>
        <v>108.68</v>
      </c>
      <c r="K1255" s="106"/>
      <c r="L1255" s="114"/>
      <c r="M1255" s="114">
        <f>tblAquisições[[#This Row],[VALOR UNITARIO COMPRADO]]*tblAquisições[[#This Row],[QUANTIDADE COMPRADA]]</f>
        <v>0</v>
      </c>
      <c r="N1255" s="110">
        <f>K1255-tblAquisições[[#This Row],[QUANTIDADE PLANEJADA]]</f>
        <v>-4</v>
      </c>
      <c r="O1255" s="106" t="str">
        <f t="shared" si="39"/>
        <v>Faltando Comprar</v>
      </c>
    </row>
    <row r="1256" spans="1:15" ht="47.25">
      <c r="A1256" s="16" t="s">
        <v>17</v>
      </c>
      <c r="B1256" s="16" t="s">
        <v>25</v>
      </c>
      <c r="C1256" s="17" t="s">
        <v>19</v>
      </c>
      <c r="D1256" s="18" t="s">
        <v>731</v>
      </c>
      <c r="E1256" s="18">
        <v>4</v>
      </c>
      <c r="F1256" s="18" t="s">
        <v>78</v>
      </c>
      <c r="G1256" s="18" t="s">
        <v>22</v>
      </c>
      <c r="H1256" s="18" t="s">
        <v>53</v>
      </c>
      <c r="I1256" s="19">
        <v>27.17</v>
      </c>
      <c r="J1256" s="20">
        <f t="shared" si="38"/>
        <v>108.68</v>
      </c>
      <c r="K1256" s="106"/>
      <c r="L1256" s="114"/>
      <c r="M1256" s="114">
        <f>tblAquisições[[#This Row],[VALOR UNITARIO COMPRADO]]*tblAquisições[[#This Row],[QUANTIDADE COMPRADA]]</f>
        <v>0</v>
      </c>
      <c r="N1256" s="110">
        <f>K1256-tblAquisições[[#This Row],[QUANTIDADE PLANEJADA]]</f>
        <v>-4</v>
      </c>
      <c r="O1256" s="106" t="str">
        <f t="shared" si="39"/>
        <v>Faltando Comprar</v>
      </c>
    </row>
    <row r="1257" spans="1:15" ht="47.25">
      <c r="A1257" s="16" t="s">
        <v>17</v>
      </c>
      <c r="B1257" s="16" t="s">
        <v>41</v>
      </c>
      <c r="C1257" s="17" t="s">
        <v>19</v>
      </c>
      <c r="D1257" s="18" t="s">
        <v>731</v>
      </c>
      <c r="E1257" s="18">
        <v>6</v>
      </c>
      <c r="F1257" s="18" t="s">
        <v>78</v>
      </c>
      <c r="G1257" s="18" t="s">
        <v>22</v>
      </c>
      <c r="H1257" s="18" t="s">
        <v>23</v>
      </c>
      <c r="I1257" s="19">
        <v>27.17</v>
      </c>
      <c r="J1257" s="20">
        <f t="shared" si="38"/>
        <v>163.02000000000001</v>
      </c>
      <c r="K1257" s="106"/>
      <c r="L1257" s="114"/>
      <c r="M1257" s="114">
        <f>tblAquisições[[#This Row],[VALOR UNITARIO COMPRADO]]*tblAquisições[[#This Row],[QUANTIDADE COMPRADA]]</f>
        <v>0</v>
      </c>
      <c r="N1257" s="110">
        <f>K1257-tblAquisições[[#This Row],[QUANTIDADE PLANEJADA]]</f>
        <v>-6</v>
      </c>
      <c r="O1257" s="106" t="str">
        <f t="shared" si="39"/>
        <v>Faltando Comprar</v>
      </c>
    </row>
    <row r="1258" spans="1:15" ht="47.25">
      <c r="A1258" s="16" t="s">
        <v>17</v>
      </c>
      <c r="B1258" s="16" t="s">
        <v>27</v>
      </c>
      <c r="C1258" s="17" t="s">
        <v>19</v>
      </c>
      <c r="D1258" s="18" t="s">
        <v>731</v>
      </c>
      <c r="E1258" s="18">
        <v>4</v>
      </c>
      <c r="F1258" s="18" t="s">
        <v>78</v>
      </c>
      <c r="G1258" s="18" t="s">
        <v>22</v>
      </c>
      <c r="H1258" s="18" t="s">
        <v>23</v>
      </c>
      <c r="I1258" s="19">
        <v>27.17</v>
      </c>
      <c r="J1258" s="20">
        <f t="shared" si="38"/>
        <v>108.68</v>
      </c>
      <c r="K1258" s="106"/>
      <c r="L1258" s="114"/>
      <c r="M1258" s="114">
        <f>tblAquisições[[#This Row],[VALOR UNITARIO COMPRADO]]*tblAquisições[[#This Row],[QUANTIDADE COMPRADA]]</f>
        <v>0</v>
      </c>
      <c r="N1258" s="110">
        <f>K1258-tblAquisições[[#This Row],[QUANTIDADE PLANEJADA]]</f>
        <v>-4</v>
      </c>
      <c r="O1258" s="106" t="str">
        <f t="shared" si="39"/>
        <v>Faltando Comprar</v>
      </c>
    </row>
    <row r="1259" spans="1:15" ht="47.25">
      <c r="A1259" s="16" t="s">
        <v>17</v>
      </c>
      <c r="B1259" s="16" t="s">
        <v>28</v>
      </c>
      <c r="C1259" s="17" t="s">
        <v>19</v>
      </c>
      <c r="D1259" s="18" t="s">
        <v>731</v>
      </c>
      <c r="E1259" s="18">
        <v>8</v>
      </c>
      <c r="F1259" s="18" t="s">
        <v>78</v>
      </c>
      <c r="G1259" s="18" t="s">
        <v>22</v>
      </c>
      <c r="H1259" s="18" t="s">
        <v>23</v>
      </c>
      <c r="I1259" s="19">
        <v>27.17</v>
      </c>
      <c r="J1259" s="20">
        <f t="shared" si="38"/>
        <v>217.36</v>
      </c>
      <c r="K1259" s="106"/>
      <c r="L1259" s="114"/>
      <c r="M1259" s="114">
        <f>tblAquisições[[#This Row],[VALOR UNITARIO COMPRADO]]*tblAquisições[[#This Row],[QUANTIDADE COMPRADA]]</f>
        <v>0</v>
      </c>
      <c r="N1259" s="110">
        <f>K1259-tblAquisições[[#This Row],[QUANTIDADE PLANEJADA]]</f>
        <v>-8</v>
      </c>
      <c r="O1259" s="106" t="str">
        <f t="shared" si="39"/>
        <v>Faltando Comprar</v>
      </c>
    </row>
    <row r="1260" spans="1:15" ht="47.25">
      <c r="A1260" s="16" t="s">
        <v>17</v>
      </c>
      <c r="B1260" s="16" t="s">
        <v>28</v>
      </c>
      <c r="C1260" s="17" t="s">
        <v>19</v>
      </c>
      <c r="D1260" s="18" t="s">
        <v>732</v>
      </c>
      <c r="E1260" s="18">
        <v>20</v>
      </c>
      <c r="F1260" s="18" t="s">
        <v>239</v>
      </c>
      <c r="G1260" s="18" t="s">
        <v>22</v>
      </c>
      <c r="H1260" s="18" t="s">
        <v>23</v>
      </c>
      <c r="I1260" s="19">
        <v>11.59</v>
      </c>
      <c r="J1260" s="20">
        <f t="shared" si="38"/>
        <v>231.8</v>
      </c>
      <c r="K1260" s="106"/>
      <c r="L1260" s="114"/>
      <c r="M1260" s="114">
        <f>tblAquisições[[#This Row],[VALOR UNITARIO COMPRADO]]*tblAquisições[[#This Row],[QUANTIDADE COMPRADA]]</f>
        <v>0</v>
      </c>
      <c r="N1260" s="110">
        <f>K1260-tblAquisições[[#This Row],[QUANTIDADE PLANEJADA]]</f>
        <v>-20</v>
      </c>
      <c r="O1260" s="106" t="str">
        <f t="shared" si="39"/>
        <v>Faltando Comprar</v>
      </c>
    </row>
    <row r="1261" spans="1:15" ht="47.25">
      <c r="A1261" s="16" t="s">
        <v>17</v>
      </c>
      <c r="B1261" s="16" t="s">
        <v>80</v>
      </c>
      <c r="C1261" s="17" t="s">
        <v>19</v>
      </c>
      <c r="D1261" s="18" t="s">
        <v>733</v>
      </c>
      <c r="E1261" s="18">
        <v>2</v>
      </c>
      <c r="F1261" s="18" t="s">
        <v>147</v>
      </c>
      <c r="G1261" s="18" t="s">
        <v>39</v>
      </c>
      <c r="H1261" s="18" t="s">
        <v>23</v>
      </c>
      <c r="I1261" s="19">
        <v>26.8</v>
      </c>
      <c r="J1261" s="20">
        <f t="shared" si="38"/>
        <v>53.6</v>
      </c>
      <c r="K1261" s="106"/>
      <c r="L1261" s="114"/>
      <c r="M1261" s="114">
        <f>tblAquisições[[#This Row],[VALOR UNITARIO COMPRADO]]*tblAquisições[[#This Row],[QUANTIDADE COMPRADA]]</f>
        <v>0</v>
      </c>
      <c r="N1261" s="110">
        <f>K1261-tblAquisições[[#This Row],[QUANTIDADE PLANEJADA]]</f>
        <v>-2</v>
      </c>
      <c r="O1261" s="106" t="str">
        <f t="shared" si="39"/>
        <v>Faltando Comprar</v>
      </c>
    </row>
    <row r="1262" spans="1:15" ht="47.25">
      <c r="A1262" s="16" t="s">
        <v>17</v>
      </c>
      <c r="B1262" s="16" t="s">
        <v>28</v>
      </c>
      <c r="C1262" s="17" t="s">
        <v>19</v>
      </c>
      <c r="D1262" s="18" t="s">
        <v>734</v>
      </c>
      <c r="E1262" s="18">
        <v>10</v>
      </c>
      <c r="F1262" s="18" t="s">
        <v>78</v>
      </c>
      <c r="G1262" s="18" t="s">
        <v>22</v>
      </c>
      <c r="H1262" s="18" t="s">
        <v>23</v>
      </c>
      <c r="I1262" s="19">
        <v>26.8</v>
      </c>
      <c r="J1262" s="20">
        <f t="shared" si="38"/>
        <v>268</v>
      </c>
      <c r="K1262" s="106"/>
      <c r="L1262" s="114"/>
      <c r="M1262" s="114">
        <f>tblAquisições[[#This Row],[VALOR UNITARIO COMPRADO]]*tblAquisições[[#This Row],[QUANTIDADE COMPRADA]]</f>
        <v>0</v>
      </c>
      <c r="N1262" s="110">
        <f>K1262-tblAquisições[[#This Row],[QUANTIDADE PLANEJADA]]</f>
        <v>-10</v>
      </c>
      <c r="O1262" s="106" t="str">
        <f t="shared" si="39"/>
        <v>Faltando Comprar</v>
      </c>
    </row>
    <row r="1263" spans="1:15" ht="31.5">
      <c r="A1263" s="16" t="s">
        <v>17</v>
      </c>
      <c r="B1263" s="16" t="s">
        <v>80</v>
      </c>
      <c r="C1263" s="17" t="s">
        <v>19</v>
      </c>
      <c r="D1263" s="18" t="s">
        <v>735</v>
      </c>
      <c r="E1263" s="18">
        <v>4</v>
      </c>
      <c r="F1263" s="18" t="s">
        <v>38</v>
      </c>
      <c r="G1263" s="18" t="s">
        <v>39</v>
      </c>
      <c r="H1263" s="18" t="s">
        <v>23</v>
      </c>
      <c r="I1263" s="19">
        <v>29.48</v>
      </c>
      <c r="J1263" s="20">
        <f t="shared" si="38"/>
        <v>117.92</v>
      </c>
      <c r="K1263" s="106"/>
      <c r="L1263" s="114"/>
      <c r="M1263" s="114">
        <f>tblAquisições[[#This Row],[VALOR UNITARIO COMPRADO]]*tblAquisições[[#This Row],[QUANTIDADE COMPRADA]]</f>
        <v>0</v>
      </c>
      <c r="N1263" s="110">
        <f>K1263-tblAquisições[[#This Row],[QUANTIDADE PLANEJADA]]</f>
        <v>-4</v>
      </c>
      <c r="O1263" s="106" t="str">
        <f t="shared" si="39"/>
        <v>Faltando Comprar</v>
      </c>
    </row>
    <row r="1264" spans="1:15" ht="31.5">
      <c r="A1264" s="16" t="s">
        <v>17</v>
      </c>
      <c r="B1264" s="16" t="s">
        <v>41</v>
      </c>
      <c r="C1264" s="17" t="s">
        <v>19</v>
      </c>
      <c r="D1264" s="18" t="s">
        <v>736</v>
      </c>
      <c r="E1264" s="18">
        <v>50</v>
      </c>
      <c r="F1264" s="18" t="s">
        <v>21</v>
      </c>
      <c r="G1264" s="18" t="s">
        <v>22</v>
      </c>
      <c r="H1264" s="18" t="s">
        <v>23</v>
      </c>
      <c r="I1264" s="19">
        <v>29.48</v>
      </c>
      <c r="J1264" s="20">
        <f t="shared" si="38"/>
        <v>1474</v>
      </c>
      <c r="K1264" s="106"/>
      <c r="L1264" s="114"/>
      <c r="M1264" s="114">
        <f>tblAquisições[[#This Row],[VALOR UNITARIO COMPRADO]]*tblAquisições[[#This Row],[QUANTIDADE COMPRADA]]</f>
        <v>0</v>
      </c>
      <c r="N1264" s="110">
        <f>K1264-tblAquisições[[#This Row],[QUANTIDADE PLANEJADA]]</f>
        <v>-50</v>
      </c>
      <c r="O1264" s="106" t="str">
        <f t="shared" si="39"/>
        <v>Faltando Comprar</v>
      </c>
    </row>
    <row r="1265" spans="1:15" ht="31.5">
      <c r="A1265" s="16" t="s">
        <v>17</v>
      </c>
      <c r="B1265" s="16" t="s">
        <v>18</v>
      </c>
      <c r="C1265" s="17" t="s">
        <v>19</v>
      </c>
      <c r="D1265" s="18" t="s">
        <v>737</v>
      </c>
      <c r="E1265" s="18">
        <v>100</v>
      </c>
      <c r="F1265" s="18" t="s">
        <v>21</v>
      </c>
      <c r="G1265" s="18" t="s">
        <v>22</v>
      </c>
      <c r="H1265" s="18" t="s">
        <v>23</v>
      </c>
      <c r="I1265" s="19">
        <v>17.309999999999999</v>
      </c>
      <c r="J1265" s="20">
        <f t="shared" si="38"/>
        <v>1730.9999999999998</v>
      </c>
      <c r="K1265" s="106"/>
      <c r="L1265" s="114"/>
      <c r="M1265" s="114">
        <f>tblAquisições[[#This Row],[VALOR UNITARIO COMPRADO]]*tblAquisições[[#This Row],[QUANTIDADE COMPRADA]]</f>
        <v>0</v>
      </c>
      <c r="N1265" s="110">
        <f>K1265-tblAquisições[[#This Row],[QUANTIDADE PLANEJADA]]</f>
        <v>-100</v>
      </c>
      <c r="O1265" s="106" t="str">
        <f t="shared" si="39"/>
        <v>Faltando Comprar</v>
      </c>
    </row>
    <row r="1266" spans="1:15" ht="31.5">
      <c r="A1266" s="16" t="s">
        <v>17</v>
      </c>
      <c r="B1266" s="16" t="s">
        <v>24</v>
      </c>
      <c r="C1266" s="17" t="s">
        <v>19</v>
      </c>
      <c r="D1266" s="18" t="s">
        <v>737</v>
      </c>
      <c r="E1266" s="18">
        <v>100</v>
      </c>
      <c r="F1266" s="18" t="s">
        <v>21</v>
      </c>
      <c r="G1266" s="18" t="s">
        <v>22</v>
      </c>
      <c r="H1266" s="18" t="s">
        <v>23</v>
      </c>
      <c r="I1266" s="19">
        <v>17.309999999999999</v>
      </c>
      <c r="J1266" s="20">
        <f t="shared" si="38"/>
        <v>1730.9999999999998</v>
      </c>
      <c r="K1266" s="106"/>
      <c r="L1266" s="114"/>
      <c r="M1266" s="114">
        <f>tblAquisições[[#This Row],[VALOR UNITARIO COMPRADO]]*tblAquisições[[#This Row],[QUANTIDADE COMPRADA]]</f>
        <v>0</v>
      </c>
      <c r="N1266" s="110">
        <f>K1266-tblAquisições[[#This Row],[QUANTIDADE PLANEJADA]]</f>
        <v>-100</v>
      </c>
      <c r="O1266" s="106" t="str">
        <f t="shared" si="39"/>
        <v>Faltando Comprar</v>
      </c>
    </row>
    <row r="1267" spans="1:15" ht="31.5">
      <c r="A1267" s="16" t="s">
        <v>17</v>
      </c>
      <c r="B1267" s="16" t="s">
        <v>25</v>
      </c>
      <c r="C1267" s="17" t="s">
        <v>19</v>
      </c>
      <c r="D1267" s="18" t="s">
        <v>737</v>
      </c>
      <c r="E1267" s="18">
        <v>100</v>
      </c>
      <c r="F1267" s="18" t="s">
        <v>21</v>
      </c>
      <c r="G1267" s="18" t="s">
        <v>22</v>
      </c>
      <c r="H1267" s="18" t="s">
        <v>23</v>
      </c>
      <c r="I1267" s="19">
        <v>17.309999999999999</v>
      </c>
      <c r="J1267" s="20">
        <f t="shared" si="38"/>
        <v>1730.9999999999998</v>
      </c>
      <c r="K1267" s="106"/>
      <c r="L1267" s="114"/>
      <c r="M1267" s="114">
        <f>tblAquisições[[#This Row],[VALOR UNITARIO COMPRADO]]*tblAquisições[[#This Row],[QUANTIDADE COMPRADA]]</f>
        <v>0</v>
      </c>
      <c r="N1267" s="110">
        <f>K1267-tblAquisições[[#This Row],[QUANTIDADE PLANEJADA]]</f>
        <v>-100</v>
      </c>
      <c r="O1267" s="106" t="str">
        <f t="shared" si="39"/>
        <v>Faltando Comprar</v>
      </c>
    </row>
    <row r="1268" spans="1:15" ht="31.5">
      <c r="A1268" s="16" t="s">
        <v>17</v>
      </c>
      <c r="B1268" s="16" t="s">
        <v>27</v>
      </c>
      <c r="C1268" s="17" t="s">
        <v>19</v>
      </c>
      <c r="D1268" s="18" t="s">
        <v>737</v>
      </c>
      <c r="E1268" s="18">
        <v>15</v>
      </c>
      <c r="F1268" s="18" t="s">
        <v>21</v>
      </c>
      <c r="G1268" s="18" t="s">
        <v>22</v>
      </c>
      <c r="H1268" s="18" t="s">
        <v>23</v>
      </c>
      <c r="I1268" s="19">
        <v>17.309999999999999</v>
      </c>
      <c r="J1268" s="20">
        <f t="shared" si="38"/>
        <v>259.64999999999998</v>
      </c>
      <c r="K1268" s="106"/>
      <c r="L1268" s="114"/>
      <c r="M1268" s="114">
        <f>tblAquisições[[#This Row],[VALOR UNITARIO COMPRADO]]*tblAquisições[[#This Row],[QUANTIDADE COMPRADA]]</f>
        <v>0</v>
      </c>
      <c r="N1268" s="110">
        <f>K1268-tblAquisições[[#This Row],[QUANTIDADE PLANEJADA]]</f>
        <v>-15</v>
      </c>
      <c r="O1268" s="106" t="str">
        <f t="shared" si="39"/>
        <v>Faltando Comprar</v>
      </c>
    </row>
    <row r="1269" spans="1:15" ht="47.25">
      <c r="A1269" s="16" t="s">
        <v>17</v>
      </c>
      <c r="B1269" s="16" t="s">
        <v>34</v>
      </c>
      <c r="C1269" s="17" t="s">
        <v>19</v>
      </c>
      <c r="D1269" s="18" t="s">
        <v>738</v>
      </c>
      <c r="E1269" s="18">
        <v>2</v>
      </c>
      <c r="F1269" s="18" t="s">
        <v>78</v>
      </c>
      <c r="G1269" s="18" t="s">
        <v>22</v>
      </c>
      <c r="H1269" s="18" t="s">
        <v>23</v>
      </c>
      <c r="I1269" s="19">
        <v>91.24</v>
      </c>
      <c r="J1269" s="20">
        <f t="shared" si="38"/>
        <v>182.48</v>
      </c>
      <c r="K1269" s="106"/>
      <c r="L1269" s="114"/>
      <c r="M1269" s="114">
        <f>tblAquisições[[#This Row],[VALOR UNITARIO COMPRADO]]*tblAquisições[[#This Row],[QUANTIDADE COMPRADA]]</f>
        <v>0</v>
      </c>
      <c r="N1269" s="110">
        <f>K1269-tblAquisições[[#This Row],[QUANTIDADE PLANEJADA]]</f>
        <v>-2</v>
      </c>
      <c r="O1269" s="106" t="str">
        <f t="shared" si="39"/>
        <v>Faltando Comprar</v>
      </c>
    </row>
    <row r="1270" spans="1:15" ht="47.25">
      <c r="A1270" s="16" t="s">
        <v>17</v>
      </c>
      <c r="B1270" s="16" t="s">
        <v>18</v>
      </c>
      <c r="C1270" s="17" t="s">
        <v>19</v>
      </c>
      <c r="D1270" s="18" t="s">
        <v>739</v>
      </c>
      <c r="E1270" s="18">
        <v>100</v>
      </c>
      <c r="F1270" s="18" t="s">
        <v>78</v>
      </c>
      <c r="G1270" s="18" t="s">
        <v>22</v>
      </c>
      <c r="H1270" s="18" t="s">
        <v>23</v>
      </c>
      <c r="I1270" s="19">
        <v>75.44</v>
      </c>
      <c r="J1270" s="20">
        <f t="shared" si="38"/>
        <v>7544</v>
      </c>
      <c r="K1270" s="106"/>
      <c r="L1270" s="114"/>
      <c r="M1270" s="114">
        <f>tblAquisições[[#This Row],[VALOR UNITARIO COMPRADO]]*tblAquisições[[#This Row],[QUANTIDADE COMPRADA]]</f>
        <v>0</v>
      </c>
      <c r="N1270" s="110">
        <f>K1270-tblAquisições[[#This Row],[QUANTIDADE PLANEJADA]]</f>
        <v>-100</v>
      </c>
      <c r="O1270" s="106" t="str">
        <f t="shared" si="39"/>
        <v>Faltando Comprar</v>
      </c>
    </row>
    <row r="1271" spans="1:15" ht="47.25">
      <c r="A1271" s="16" t="s">
        <v>17</v>
      </c>
      <c r="B1271" s="16" t="s">
        <v>24</v>
      </c>
      <c r="C1271" s="17" t="s">
        <v>19</v>
      </c>
      <c r="D1271" s="18" t="s">
        <v>739</v>
      </c>
      <c r="E1271" s="18">
        <v>100</v>
      </c>
      <c r="F1271" s="18" t="s">
        <v>78</v>
      </c>
      <c r="G1271" s="18" t="s">
        <v>22</v>
      </c>
      <c r="H1271" s="18" t="s">
        <v>23</v>
      </c>
      <c r="I1271" s="19">
        <v>75.44</v>
      </c>
      <c r="J1271" s="20">
        <f t="shared" si="38"/>
        <v>7544</v>
      </c>
      <c r="K1271" s="106"/>
      <c r="L1271" s="114"/>
      <c r="M1271" s="114">
        <f>tblAquisições[[#This Row],[VALOR UNITARIO COMPRADO]]*tblAquisições[[#This Row],[QUANTIDADE COMPRADA]]</f>
        <v>0</v>
      </c>
      <c r="N1271" s="110">
        <f>K1271-tblAquisições[[#This Row],[QUANTIDADE PLANEJADA]]</f>
        <v>-100</v>
      </c>
      <c r="O1271" s="106" t="str">
        <f t="shared" si="39"/>
        <v>Faltando Comprar</v>
      </c>
    </row>
    <row r="1272" spans="1:15" ht="47.25">
      <c r="A1272" s="16" t="s">
        <v>17</v>
      </c>
      <c r="B1272" s="16" t="s">
        <v>25</v>
      </c>
      <c r="C1272" s="17" t="s">
        <v>19</v>
      </c>
      <c r="D1272" s="18" t="s">
        <v>739</v>
      </c>
      <c r="E1272" s="18">
        <v>100</v>
      </c>
      <c r="F1272" s="18" t="s">
        <v>78</v>
      </c>
      <c r="G1272" s="18" t="s">
        <v>22</v>
      </c>
      <c r="H1272" s="18" t="s">
        <v>23</v>
      </c>
      <c r="I1272" s="19">
        <v>75.44</v>
      </c>
      <c r="J1272" s="20">
        <f t="shared" si="38"/>
        <v>7544</v>
      </c>
      <c r="K1272" s="106"/>
      <c r="L1272" s="114"/>
      <c r="M1272" s="114">
        <f>tblAquisições[[#This Row],[VALOR UNITARIO COMPRADO]]*tblAquisições[[#This Row],[QUANTIDADE COMPRADA]]</f>
        <v>0</v>
      </c>
      <c r="N1272" s="110">
        <f>K1272-tblAquisições[[#This Row],[QUANTIDADE PLANEJADA]]</f>
        <v>-100</v>
      </c>
      <c r="O1272" s="106" t="str">
        <f t="shared" si="39"/>
        <v>Faltando Comprar</v>
      </c>
    </row>
    <row r="1273" spans="1:15" ht="47.25">
      <c r="A1273" s="16" t="s">
        <v>17</v>
      </c>
      <c r="B1273" s="16" t="s">
        <v>26</v>
      </c>
      <c r="C1273" s="17" t="s">
        <v>19</v>
      </c>
      <c r="D1273" s="18" t="s">
        <v>740</v>
      </c>
      <c r="E1273" s="18">
        <v>10</v>
      </c>
      <c r="F1273" s="18" t="s">
        <v>239</v>
      </c>
      <c r="G1273" s="18" t="s">
        <v>22</v>
      </c>
      <c r="H1273" s="18" t="s">
        <v>23</v>
      </c>
      <c r="I1273" s="19">
        <v>3</v>
      </c>
      <c r="J1273" s="20">
        <f t="shared" si="38"/>
        <v>30</v>
      </c>
      <c r="K1273" s="106"/>
      <c r="L1273" s="114"/>
      <c r="M1273" s="114">
        <f>tblAquisições[[#This Row],[VALOR UNITARIO COMPRADO]]*tblAquisições[[#This Row],[QUANTIDADE COMPRADA]]</f>
        <v>0</v>
      </c>
      <c r="N1273" s="110">
        <f>K1273-tblAquisições[[#This Row],[QUANTIDADE PLANEJADA]]</f>
        <v>-10</v>
      </c>
      <c r="O1273" s="106" t="str">
        <f t="shared" si="39"/>
        <v>Faltando Comprar</v>
      </c>
    </row>
    <row r="1274" spans="1:15" ht="31.5">
      <c r="A1274" s="16" t="s">
        <v>17</v>
      </c>
      <c r="B1274" s="16" t="s">
        <v>18</v>
      </c>
      <c r="C1274" s="17" t="s">
        <v>19</v>
      </c>
      <c r="D1274" s="18" t="s">
        <v>741</v>
      </c>
      <c r="E1274" s="18">
        <v>50</v>
      </c>
      <c r="F1274" s="18" t="s">
        <v>21</v>
      </c>
      <c r="G1274" s="18" t="s">
        <v>22</v>
      </c>
      <c r="H1274" s="18" t="s">
        <v>23</v>
      </c>
      <c r="I1274" s="19">
        <v>46.69</v>
      </c>
      <c r="J1274" s="20">
        <f t="shared" si="38"/>
        <v>2334.5</v>
      </c>
      <c r="K1274" s="106"/>
      <c r="L1274" s="114"/>
      <c r="M1274" s="114">
        <f>tblAquisições[[#This Row],[VALOR UNITARIO COMPRADO]]*tblAquisições[[#This Row],[QUANTIDADE COMPRADA]]</f>
        <v>0</v>
      </c>
      <c r="N1274" s="110">
        <f>K1274-tblAquisições[[#This Row],[QUANTIDADE PLANEJADA]]</f>
        <v>-50</v>
      </c>
      <c r="O1274" s="106" t="str">
        <f t="shared" si="39"/>
        <v>Faltando Comprar</v>
      </c>
    </row>
    <row r="1275" spans="1:15" ht="31.5">
      <c r="A1275" s="16" t="s">
        <v>17</v>
      </c>
      <c r="B1275" s="16" t="s">
        <v>24</v>
      </c>
      <c r="C1275" s="17" t="s">
        <v>19</v>
      </c>
      <c r="D1275" s="18" t="s">
        <v>741</v>
      </c>
      <c r="E1275" s="18">
        <v>50</v>
      </c>
      <c r="F1275" s="18" t="s">
        <v>21</v>
      </c>
      <c r="G1275" s="18" t="s">
        <v>22</v>
      </c>
      <c r="H1275" s="18" t="s">
        <v>23</v>
      </c>
      <c r="I1275" s="19">
        <v>46.69</v>
      </c>
      <c r="J1275" s="20">
        <f t="shared" si="38"/>
        <v>2334.5</v>
      </c>
      <c r="K1275" s="106"/>
      <c r="L1275" s="114"/>
      <c r="M1275" s="114">
        <f>tblAquisições[[#This Row],[VALOR UNITARIO COMPRADO]]*tblAquisições[[#This Row],[QUANTIDADE COMPRADA]]</f>
        <v>0</v>
      </c>
      <c r="N1275" s="110">
        <f>K1275-tblAquisições[[#This Row],[QUANTIDADE PLANEJADA]]</f>
        <v>-50</v>
      </c>
      <c r="O1275" s="106" t="str">
        <f t="shared" si="39"/>
        <v>Faltando Comprar</v>
      </c>
    </row>
    <row r="1276" spans="1:15" ht="31.5">
      <c r="A1276" s="16" t="s">
        <v>17</v>
      </c>
      <c r="B1276" s="16" t="s">
        <v>25</v>
      </c>
      <c r="C1276" s="17" t="s">
        <v>19</v>
      </c>
      <c r="D1276" s="18" t="s">
        <v>741</v>
      </c>
      <c r="E1276" s="18">
        <v>50</v>
      </c>
      <c r="F1276" s="18" t="s">
        <v>21</v>
      </c>
      <c r="G1276" s="18" t="s">
        <v>22</v>
      </c>
      <c r="H1276" s="18" t="s">
        <v>23</v>
      </c>
      <c r="I1276" s="19">
        <v>46.69</v>
      </c>
      <c r="J1276" s="20">
        <f t="shared" si="38"/>
        <v>2334.5</v>
      </c>
      <c r="K1276" s="106"/>
      <c r="L1276" s="114"/>
      <c r="M1276" s="114">
        <f>tblAquisições[[#This Row],[VALOR UNITARIO COMPRADO]]*tblAquisições[[#This Row],[QUANTIDADE COMPRADA]]</f>
        <v>0</v>
      </c>
      <c r="N1276" s="110">
        <f>K1276-tblAquisições[[#This Row],[QUANTIDADE PLANEJADA]]</f>
        <v>-50</v>
      </c>
      <c r="O1276" s="106" t="str">
        <f t="shared" si="39"/>
        <v>Faltando Comprar</v>
      </c>
    </row>
    <row r="1277" spans="1:15" ht="47.25">
      <c r="A1277" s="16" t="s">
        <v>17</v>
      </c>
      <c r="B1277" s="16" t="s">
        <v>26</v>
      </c>
      <c r="C1277" s="17" t="s">
        <v>19</v>
      </c>
      <c r="D1277" s="18" t="s">
        <v>742</v>
      </c>
      <c r="E1277" s="18">
        <v>5</v>
      </c>
      <c r="F1277" s="18" t="s">
        <v>58</v>
      </c>
      <c r="G1277" s="18" t="s">
        <v>22</v>
      </c>
      <c r="H1277" s="18" t="s">
        <v>65</v>
      </c>
      <c r="I1277" s="19">
        <v>26.66</v>
      </c>
      <c r="J1277" s="20">
        <f t="shared" si="38"/>
        <v>133.30000000000001</v>
      </c>
      <c r="K1277" s="106"/>
      <c r="L1277" s="114"/>
      <c r="M1277" s="114">
        <f>tblAquisições[[#This Row],[VALOR UNITARIO COMPRADO]]*tblAquisições[[#This Row],[QUANTIDADE COMPRADA]]</f>
        <v>0</v>
      </c>
      <c r="N1277" s="110">
        <f>K1277-tblAquisições[[#This Row],[QUANTIDADE PLANEJADA]]</f>
        <v>-5</v>
      </c>
      <c r="O1277" s="106" t="str">
        <f t="shared" si="39"/>
        <v>Faltando Comprar</v>
      </c>
    </row>
    <row r="1278" spans="1:15" ht="47.25">
      <c r="A1278" s="16" t="s">
        <v>17</v>
      </c>
      <c r="B1278" s="16" t="s">
        <v>28</v>
      </c>
      <c r="C1278" s="17" t="s">
        <v>19</v>
      </c>
      <c r="D1278" s="18" t="s">
        <v>742</v>
      </c>
      <c r="E1278" s="18">
        <v>20</v>
      </c>
      <c r="F1278" s="18" t="s">
        <v>58</v>
      </c>
      <c r="G1278" s="18" t="s">
        <v>22</v>
      </c>
      <c r="H1278" s="18" t="s">
        <v>65</v>
      </c>
      <c r="I1278" s="19">
        <v>26.66</v>
      </c>
      <c r="J1278" s="20">
        <f t="shared" si="38"/>
        <v>533.20000000000005</v>
      </c>
      <c r="K1278" s="106"/>
      <c r="L1278" s="114"/>
      <c r="M1278" s="114">
        <f>tblAquisições[[#This Row],[VALOR UNITARIO COMPRADO]]*tblAquisições[[#This Row],[QUANTIDADE COMPRADA]]</f>
        <v>0</v>
      </c>
      <c r="N1278" s="110">
        <f>K1278-tblAquisições[[#This Row],[QUANTIDADE PLANEJADA]]</f>
        <v>-20</v>
      </c>
      <c r="O1278" s="106" t="str">
        <f t="shared" si="39"/>
        <v>Faltando Comprar</v>
      </c>
    </row>
    <row r="1279" spans="1:15" ht="47.25">
      <c r="A1279" s="16" t="s">
        <v>17</v>
      </c>
      <c r="B1279" s="16" t="s">
        <v>26</v>
      </c>
      <c r="C1279" s="17" t="s">
        <v>19</v>
      </c>
      <c r="D1279" s="18" t="s">
        <v>743</v>
      </c>
      <c r="E1279" s="18">
        <v>50</v>
      </c>
      <c r="F1279" s="18" t="s">
        <v>313</v>
      </c>
      <c r="G1279" s="18" t="s">
        <v>22</v>
      </c>
      <c r="H1279" s="18" t="s">
        <v>23</v>
      </c>
      <c r="I1279" s="19">
        <v>2</v>
      </c>
      <c r="J1279" s="20">
        <f t="shared" si="38"/>
        <v>100</v>
      </c>
      <c r="K1279" s="106"/>
      <c r="L1279" s="114"/>
      <c r="M1279" s="114">
        <f>tblAquisições[[#This Row],[VALOR UNITARIO COMPRADO]]*tblAquisições[[#This Row],[QUANTIDADE COMPRADA]]</f>
        <v>0</v>
      </c>
      <c r="N1279" s="110">
        <f>K1279-tblAquisições[[#This Row],[QUANTIDADE PLANEJADA]]</f>
        <v>-50</v>
      </c>
      <c r="O1279" s="106" t="str">
        <f t="shared" si="39"/>
        <v>Faltando Comprar</v>
      </c>
    </row>
    <row r="1280" spans="1:15" ht="31.5">
      <c r="A1280" s="16" t="s">
        <v>17</v>
      </c>
      <c r="B1280" s="16" t="s">
        <v>28</v>
      </c>
      <c r="C1280" s="17" t="s">
        <v>19</v>
      </c>
      <c r="D1280" s="18" t="s">
        <v>744</v>
      </c>
      <c r="E1280" s="18">
        <v>1</v>
      </c>
      <c r="F1280" s="18" t="s">
        <v>21</v>
      </c>
      <c r="G1280" s="18" t="s">
        <v>22</v>
      </c>
      <c r="H1280" s="18" t="s">
        <v>23</v>
      </c>
      <c r="I1280" s="19">
        <v>289.87</v>
      </c>
      <c r="J1280" s="20">
        <f t="shared" si="38"/>
        <v>289.87</v>
      </c>
      <c r="K1280" s="106"/>
      <c r="L1280" s="114"/>
      <c r="M1280" s="114">
        <f>tblAquisições[[#This Row],[VALOR UNITARIO COMPRADO]]*tblAquisições[[#This Row],[QUANTIDADE COMPRADA]]</f>
        <v>0</v>
      </c>
      <c r="N1280" s="110">
        <f>K1280-tblAquisições[[#This Row],[QUANTIDADE PLANEJADA]]</f>
        <v>-1</v>
      </c>
      <c r="O1280" s="106" t="str">
        <f t="shared" si="39"/>
        <v>Faltando Comprar</v>
      </c>
    </row>
    <row r="1281" spans="1:15" ht="31.5">
      <c r="A1281" s="16" t="s">
        <v>17</v>
      </c>
      <c r="B1281" s="16" t="s">
        <v>31</v>
      </c>
      <c r="C1281" s="17" t="s">
        <v>19</v>
      </c>
      <c r="D1281" s="18" t="s">
        <v>745</v>
      </c>
      <c r="E1281" s="18">
        <v>80</v>
      </c>
      <c r="F1281" s="18" t="s">
        <v>21</v>
      </c>
      <c r="G1281" s="18" t="s">
        <v>22</v>
      </c>
      <c r="H1281" s="18" t="s">
        <v>23</v>
      </c>
      <c r="I1281" s="19">
        <v>0.71</v>
      </c>
      <c r="J1281" s="20">
        <f t="shared" si="38"/>
        <v>56.8</v>
      </c>
      <c r="K1281" s="106"/>
      <c r="L1281" s="114"/>
      <c r="M1281" s="114">
        <f>tblAquisições[[#This Row],[VALOR UNITARIO COMPRADO]]*tblAquisições[[#This Row],[QUANTIDADE COMPRADA]]</f>
        <v>0</v>
      </c>
      <c r="N1281" s="110">
        <f>K1281-tblAquisições[[#This Row],[QUANTIDADE PLANEJADA]]</f>
        <v>-80</v>
      </c>
      <c r="O1281" s="106" t="str">
        <f t="shared" si="39"/>
        <v>Faltando Comprar</v>
      </c>
    </row>
    <row r="1282" spans="1:15" ht="31.5">
      <c r="A1282" s="16" t="s">
        <v>17</v>
      </c>
      <c r="B1282" s="16" t="s">
        <v>41</v>
      </c>
      <c r="C1282" s="17" t="s">
        <v>19</v>
      </c>
      <c r="D1282" s="18" t="s">
        <v>745</v>
      </c>
      <c r="E1282" s="18">
        <v>300</v>
      </c>
      <c r="F1282" s="18" t="s">
        <v>21</v>
      </c>
      <c r="G1282" s="18" t="s">
        <v>22</v>
      </c>
      <c r="H1282" s="18" t="s">
        <v>23</v>
      </c>
      <c r="I1282" s="19">
        <v>0.71</v>
      </c>
      <c r="J1282" s="20">
        <f t="shared" ref="J1282:J1345" si="40">E1282*I1282</f>
        <v>213</v>
      </c>
      <c r="K1282" s="106"/>
      <c r="L1282" s="114"/>
      <c r="M1282" s="114">
        <f>tblAquisições[[#This Row],[VALOR UNITARIO COMPRADO]]*tblAquisições[[#This Row],[QUANTIDADE COMPRADA]]</f>
        <v>0</v>
      </c>
      <c r="N1282" s="110">
        <f>K1282-tblAquisições[[#This Row],[QUANTIDADE PLANEJADA]]</f>
        <v>-300</v>
      </c>
      <c r="O1282" s="106" t="str">
        <f t="shared" ref="O1282:O1345" si="41">IF(K1282=E1282,"OK",IF(K1282&lt;E1282,"Faltando Comprar","Excedente"))</f>
        <v>Faltando Comprar</v>
      </c>
    </row>
    <row r="1283" spans="1:15" ht="31.5">
      <c r="A1283" s="16" t="s">
        <v>17</v>
      </c>
      <c r="B1283" s="16" t="s">
        <v>18</v>
      </c>
      <c r="C1283" s="17" t="s">
        <v>19</v>
      </c>
      <c r="D1283" s="18" t="s">
        <v>746</v>
      </c>
      <c r="E1283" s="18">
        <v>15</v>
      </c>
      <c r="F1283" s="18" t="s">
        <v>21</v>
      </c>
      <c r="G1283" s="18" t="s">
        <v>22</v>
      </c>
      <c r="H1283" s="18" t="s">
        <v>23</v>
      </c>
      <c r="I1283" s="19">
        <v>2.35</v>
      </c>
      <c r="J1283" s="20">
        <f t="shared" si="40"/>
        <v>35.25</v>
      </c>
      <c r="K1283" s="106"/>
      <c r="L1283" s="114"/>
      <c r="M1283" s="114">
        <f>tblAquisições[[#This Row],[VALOR UNITARIO COMPRADO]]*tblAquisições[[#This Row],[QUANTIDADE COMPRADA]]</f>
        <v>0</v>
      </c>
      <c r="N1283" s="110">
        <f>K1283-tblAquisições[[#This Row],[QUANTIDADE PLANEJADA]]</f>
        <v>-15</v>
      </c>
      <c r="O1283" s="106" t="str">
        <f t="shared" si="41"/>
        <v>Faltando Comprar</v>
      </c>
    </row>
    <row r="1284" spans="1:15" ht="31.5">
      <c r="A1284" s="16" t="s">
        <v>17</v>
      </c>
      <c r="B1284" s="16" t="s">
        <v>24</v>
      </c>
      <c r="C1284" s="17" t="s">
        <v>19</v>
      </c>
      <c r="D1284" s="18" t="s">
        <v>746</v>
      </c>
      <c r="E1284" s="18">
        <v>15</v>
      </c>
      <c r="F1284" s="18" t="s">
        <v>21</v>
      </c>
      <c r="G1284" s="18" t="s">
        <v>22</v>
      </c>
      <c r="H1284" s="18" t="s">
        <v>23</v>
      </c>
      <c r="I1284" s="19">
        <v>2.35</v>
      </c>
      <c r="J1284" s="20">
        <f t="shared" si="40"/>
        <v>35.25</v>
      </c>
      <c r="K1284" s="106"/>
      <c r="L1284" s="114"/>
      <c r="M1284" s="114">
        <f>tblAquisições[[#This Row],[VALOR UNITARIO COMPRADO]]*tblAquisições[[#This Row],[QUANTIDADE COMPRADA]]</f>
        <v>0</v>
      </c>
      <c r="N1284" s="110">
        <f>K1284-tblAquisições[[#This Row],[QUANTIDADE PLANEJADA]]</f>
        <v>-15</v>
      </c>
      <c r="O1284" s="106" t="str">
        <f t="shared" si="41"/>
        <v>Faltando Comprar</v>
      </c>
    </row>
    <row r="1285" spans="1:15" ht="31.5">
      <c r="A1285" s="16" t="s">
        <v>17</v>
      </c>
      <c r="B1285" s="16" t="s">
        <v>25</v>
      </c>
      <c r="C1285" s="17" t="s">
        <v>19</v>
      </c>
      <c r="D1285" s="18" t="s">
        <v>746</v>
      </c>
      <c r="E1285" s="18">
        <v>15</v>
      </c>
      <c r="F1285" s="18" t="s">
        <v>21</v>
      </c>
      <c r="G1285" s="18" t="s">
        <v>22</v>
      </c>
      <c r="H1285" s="18" t="s">
        <v>23</v>
      </c>
      <c r="I1285" s="19">
        <v>2.35</v>
      </c>
      <c r="J1285" s="20">
        <f t="shared" si="40"/>
        <v>35.25</v>
      </c>
      <c r="K1285" s="106"/>
      <c r="L1285" s="114"/>
      <c r="M1285" s="114">
        <f>tblAquisições[[#This Row],[VALOR UNITARIO COMPRADO]]*tblAquisições[[#This Row],[QUANTIDADE COMPRADA]]</f>
        <v>0</v>
      </c>
      <c r="N1285" s="110">
        <f>K1285-tblAquisições[[#This Row],[QUANTIDADE PLANEJADA]]</f>
        <v>-15</v>
      </c>
      <c r="O1285" s="106" t="str">
        <f t="shared" si="41"/>
        <v>Faltando Comprar</v>
      </c>
    </row>
    <row r="1286" spans="1:15" ht="31.5">
      <c r="A1286" s="16" t="s">
        <v>17</v>
      </c>
      <c r="B1286" s="16" t="s">
        <v>18</v>
      </c>
      <c r="C1286" s="17" t="s">
        <v>19</v>
      </c>
      <c r="D1286" s="18" t="s">
        <v>747</v>
      </c>
      <c r="E1286" s="18">
        <v>15</v>
      </c>
      <c r="F1286" s="18" t="s">
        <v>30</v>
      </c>
      <c r="G1286" s="18" t="s">
        <v>22</v>
      </c>
      <c r="H1286" s="18" t="s">
        <v>23</v>
      </c>
      <c r="I1286" s="19">
        <v>82.33</v>
      </c>
      <c r="J1286" s="20">
        <f t="shared" si="40"/>
        <v>1234.95</v>
      </c>
      <c r="K1286" s="106"/>
      <c r="L1286" s="114"/>
      <c r="M1286" s="114">
        <f>tblAquisições[[#This Row],[VALOR UNITARIO COMPRADO]]*tblAquisições[[#This Row],[QUANTIDADE COMPRADA]]</f>
        <v>0</v>
      </c>
      <c r="N1286" s="110">
        <f>K1286-tblAquisições[[#This Row],[QUANTIDADE PLANEJADA]]</f>
        <v>-15</v>
      </c>
      <c r="O1286" s="106" t="str">
        <f t="shared" si="41"/>
        <v>Faltando Comprar</v>
      </c>
    </row>
    <row r="1287" spans="1:15" ht="31.5">
      <c r="A1287" s="16" t="s">
        <v>17</v>
      </c>
      <c r="B1287" s="16" t="s">
        <v>24</v>
      </c>
      <c r="C1287" s="17" t="s">
        <v>19</v>
      </c>
      <c r="D1287" s="18" t="s">
        <v>747</v>
      </c>
      <c r="E1287" s="18">
        <v>15</v>
      </c>
      <c r="F1287" s="18" t="s">
        <v>30</v>
      </c>
      <c r="G1287" s="18" t="s">
        <v>22</v>
      </c>
      <c r="H1287" s="18" t="s">
        <v>23</v>
      </c>
      <c r="I1287" s="19">
        <v>82.33</v>
      </c>
      <c r="J1287" s="20">
        <f t="shared" si="40"/>
        <v>1234.95</v>
      </c>
      <c r="K1287" s="106"/>
      <c r="L1287" s="114"/>
      <c r="M1287" s="114">
        <f>tblAquisições[[#This Row],[VALOR UNITARIO COMPRADO]]*tblAquisições[[#This Row],[QUANTIDADE COMPRADA]]</f>
        <v>0</v>
      </c>
      <c r="N1287" s="110">
        <f>K1287-tblAquisições[[#This Row],[QUANTIDADE PLANEJADA]]</f>
        <v>-15</v>
      </c>
      <c r="O1287" s="106" t="str">
        <f t="shared" si="41"/>
        <v>Faltando Comprar</v>
      </c>
    </row>
    <row r="1288" spans="1:15" ht="31.5">
      <c r="A1288" s="16" t="s">
        <v>17</v>
      </c>
      <c r="B1288" s="16" t="s">
        <v>25</v>
      </c>
      <c r="C1288" s="17" t="s">
        <v>19</v>
      </c>
      <c r="D1288" s="18" t="s">
        <v>747</v>
      </c>
      <c r="E1288" s="18">
        <v>15</v>
      </c>
      <c r="F1288" s="18" t="s">
        <v>30</v>
      </c>
      <c r="G1288" s="18" t="s">
        <v>22</v>
      </c>
      <c r="H1288" s="18" t="s">
        <v>23</v>
      </c>
      <c r="I1288" s="19">
        <v>82.33</v>
      </c>
      <c r="J1288" s="20">
        <f t="shared" si="40"/>
        <v>1234.95</v>
      </c>
      <c r="K1288" s="106"/>
      <c r="L1288" s="114"/>
      <c r="M1288" s="114">
        <f>tblAquisições[[#This Row],[VALOR UNITARIO COMPRADO]]*tblAquisições[[#This Row],[QUANTIDADE COMPRADA]]</f>
        <v>0</v>
      </c>
      <c r="N1288" s="110">
        <f>K1288-tblAquisições[[#This Row],[QUANTIDADE PLANEJADA]]</f>
        <v>-15</v>
      </c>
      <c r="O1288" s="106" t="str">
        <f t="shared" si="41"/>
        <v>Faltando Comprar</v>
      </c>
    </row>
    <row r="1289" spans="1:15" ht="31.5">
      <c r="A1289" s="16" t="s">
        <v>17</v>
      </c>
      <c r="B1289" s="16" t="s">
        <v>27</v>
      </c>
      <c r="C1289" s="17" t="s">
        <v>19</v>
      </c>
      <c r="D1289" s="18" t="s">
        <v>747</v>
      </c>
      <c r="E1289" s="18">
        <v>20</v>
      </c>
      <c r="F1289" s="18" t="s">
        <v>30</v>
      </c>
      <c r="G1289" s="18" t="s">
        <v>22</v>
      </c>
      <c r="H1289" s="18" t="s">
        <v>23</v>
      </c>
      <c r="I1289" s="19">
        <v>82.33</v>
      </c>
      <c r="J1289" s="20">
        <f t="shared" si="40"/>
        <v>1646.6</v>
      </c>
      <c r="K1289" s="106"/>
      <c r="L1289" s="114"/>
      <c r="M1289" s="114">
        <f>tblAquisições[[#This Row],[VALOR UNITARIO COMPRADO]]*tblAquisições[[#This Row],[QUANTIDADE COMPRADA]]</f>
        <v>0</v>
      </c>
      <c r="N1289" s="110">
        <f>K1289-tblAquisições[[#This Row],[QUANTIDADE PLANEJADA]]</f>
        <v>-20</v>
      </c>
      <c r="O1289" s="106" t="str">
        <f t="shared" si="41"/>
        <v>Faltando Comprar</v>
      </c>
    </row>
    <row r="1290" spans="1:15" ht="47.25">
      <c r="A1290" s="16" t="s">
        <v>17</v>
      </c>
      <c r="B1290" s="16" t="s">
        <v>18</v>
      </c>
      <c r="C1290" s="17" t="s">
        <v>19</v>
      </c>
      <c r="D1290" s="18" t="s">
        <v>748</v>
      </c>
      <c r="E1290" s="18">
        <v>300</v>
      </c>
      <c r="F1290" s="18" t="s">
        <v>78</v>
      </c>
      <c r="G1290" s="18" t="s">
        <v>22</v>
      </c>
      <c r="H1290" s="18" t="s">
        <v>83</v>
      </c>
      <c r="I1290" s="19">
        <v>11.03</v>
      </c>
      <c r="J1290" s="20">
        <f t="shared" si="40"/>
        <v>3309</v>
      </c>
      <c r="K1290" s="106"/>
      <c r="L1290" s="114"/>
      <c r="M1290" s="114">
        <f>tblAquisições[[#This Row],[VALOR UNITARIO COMPRADO]]*tblAquisições[[#This Row],[QUANTIDADE COMPRADA]]</f>
        <v>0</v>
      </c>
      <c r="N1290" s="110">
        <f>K1290-tblAquisições[[#This Row],[QUANTIDADE PLANEJADA]]</f>
        <v>-300</v>
      </c>
      <c r="O1290" s="106" t="str">
        <f t="shared" si="41"/>
        <v>Faltando Comprar</v>
      </c>
    </row>
    <row r="1291" spans="1:15" ht="47.25">
      <c r="A1291" s="16" t="s">
        <v>17</v>
      </c>
      <c r="B1291" s="16" t="s">
        <v>24</v>
      </c>
      <c r="C1291" s="17" t="s">
        <v>19</v>
      </c>
      <c r="D1291" s="18" t="s">
        <v>748</v>
      </c>
      <c r="E1291" s="18">
        <v>300</v>
      </c>
      <c r="F1291" s="18" t="s">
        <v>78</v>
      </c>
      <c r="G1291" s="18" t="s">
        <v>22</v>
      </c>
      <c r="H1291" s="18" t="s">
        <v>83</v>
      </c>
      <c r="I1291" s="19">
        <v>11.03</v>
      </c>
      <c r="J1291" s="20">
        <f t="shared" si="40"/>
        <v>3309</v>
      </c>
      <c r="K1291" s="106"/>
      <c r="L1291" s="114"/>
      <c r="M1291" s="114">
        <f>tblAquisições[[#This Row],[VALOR UNITARIO COMPRADO]]*tblAquisições[[#This Row],[QUANTIDADE COMPRADA]]</f>
        <v>0</v>
      </c>
      <c r="N1291" s="110">
        <f>K1291-tblAquisições[[#This Row],[QUANTIDADE PLANEJADA]]</f>
        <v>-300</v>
      </c>
      <c r="O1291" s="106" t="str">
        <f t="shared" si="41"/>
        <v>Faltando Comprar</v>
      </c>
    </row>
    <row r="1292" spans="1:15" ht="47.25">
      <c r="A1292" s="16" t="s">
        <v>17</v>
      </c>
      <c r="B1292" s="16" t="s">
        <v>25</v>
      </c>
      <c r="C1292" s="17" t="s">
        <v>19</v>
      </c>
      <c r="D1292" s="18" t="s">
        <v>748</v>
      </c>
      <c r="E1292" s="18">
        <v>300</v>
      </c>
      <c r="F1292" s="18" t="s">
        <v>78</v>
      </c>
      <c r="G1292" s="18" t="s">
        <v>22</v>
      </c>
      <c r="H1292" s="18" t="s">
        <v>83</v>
      </c>
      <c r="I1292" s="19">
        <v>11.03</v>
      </c>
      <c r="J1292" s="20">
        <f t="shared" si="40"/>
        <v>3309</v>
      </c>
      <c r="K1292" s="106"/>
      <c r="L1292" s="114"/>
      <c r="M1292" s="114">
        <f>tblAquisições[[#This Row],[VALOR UNITARIO COMPRADO]]*tblAquisições[[#This Row],[QUANTIDADE COMPRADA]]</f>
        <v>0</v>
      </c>
      <c r="N1292" s="110">
        <f>K1292-tblAquisições[[#This Row],[QUANTIDADE PLANEJADA]]</f>
        <v>-300</v>
      </c>
      <c r="O1292" s="106" t="str">
        <f t="shared" si="41"/>
        <v>Faltando Comprar</v>
      </c>
    </row>
    <row r="1293" spans="1:15" ht="47.25">
      <c r="A1293" s="16" t="s">
        <v>17</v>
      </c>
      <c r="B1293" s="16" t="s">
        <v>28</v>
      </c>
      <c r="C1293" s="17" t="s">
        <v>19</v>
      </c>
      <c r="D1293" s="18" t="s">
        <v>748</v>
      </c>
      <c r="E1293" s="18">
        <v>500</v>
      </c>
      <c r="F1293" s="18" t="s">
        <v>78</v>
      </c>
      <c r="G1293" s="18" t="s">
        <v>22</v>
      </c>
      <c r="H1293" s="18" t="s">
        <v>83</v>
      </c>
      <c r="I1293" s="19">
        <v>11.03</v>
      </c>
      <c r="J1293" s="20">
        <f t="shared" si="40"/>
        <v>5515</v>
      </c>
      <c r="K1293" s="106"/>
      <c r="L1293" s="114"/>
      <c r="M1293" s="114">
        <f>tblAquisições[[#This Row],[VALOR UNITARIO COMPRADO]]*tblAquisições[[#This Row],[QUANTIDADE COMPRADA]]</f>
        <v>0</v>
      </c>
      <c r="N1293" s="110">
        <f>K1293-tblAquisições[[#This Row],[QUANTIDADE PLANEJADA]]</f>
        <v>-500</v>
      </c>
      <c r="O1293" s="106" t="str">
        <f t="shared" si="41"/>
        <v>Faltando Comprar</v>
      </c>
    </row>
    <row r="1294" spans="1:15" ht="31.5">
      <c r="A1294" s="16" t="s">
        <v>17</v>
      </c>
      <c r="B1294" s="16" t="s">
        <v>34</v>
      </c>
      <c r="C1294" s="17" t="s">
        <v>19</v>
      </c>
      <c r="D1294" s="18" t="s">
        <v>749</v>
      </c>
      <c r="E1294" s="18">
        <v>6</v>
      </c>
      <c r="F1294" s="18" t="s">
        <v>21</v>
      </c>
      <c r="G1294" s="18" t="s">
        <v>22</v>
      </c>
      <c r="H1294" s="18" t="s">
        <v>23</v>
      </c>
      <c r="I1294" s="19">
        <v>1970.65</v>
      </c>
      <c r="J1294" s="20">
        <f t="shared" si="40"/>
        <v>11823.900000000001</v>
      </c>
      <c r="K1294" s="106"/>
      <c r="L1294" s="114"/>
      <c r="M1294" s="114">
        <f>tblAquisições[[#This Row],[VALOR UNITARIO COMPRADO]]*tblAquisições[[#This Row],[QUANTIDADE COMPRADA]]</f>
        <v>0</v>
      </c>
      <c r="N1294" s="110">
        <f>K1294-tblAquisições[[#This Row],[QUANTIDADE PLANEJADA]]</f>
        <v>-6</v>
      </c>
      <c r="O1294" s="106" t="str">
        <f t="shared" si="41"/>
        <v>Faltando Comprar</v>
      </c>
    </row>
    <row r="1295" spans="1:15" ht="31.5">
      <c r="A1295" s="16" t="s">
        <v>17</v>
      </c>
      <c r="B1295" s="16" t="s">
        <v>28</v>
      </c>
      <c r="C1295" s="17" t="s">
        <v>19</v>
      </c>
      <c r="D1295" s="18" t="s">
        <v>749</v>
      </c>
      <c r="E1295" s="18">
        <v>12</v>
      </c>
      <c r="F1295" s="18" t="s">
        <v>21</v>
      </c>
      <c r="G1295" s="18" t="s">
        <v>22</v>
      </c>
      <c r="H1295" s="18" t="s">
        <v>23</v>
      </c>
      <c r="I1295" s="19">
        <v>1970.65</v>
      </c>
      <c r="J1295" s="20">
        <f t="shared" si="40"/>
        <v>23647.800000000003</v>
      </c>
      <c r="K1295" s="106"/>
      <c r="L1295" s="114"/>
      <c r="M1295" s="114">
        <f>tblAquisições[[#This Row],[VALOR UNITARIO COMPRADO]]*tblAquisições[[#This Row],[QUANTIDADE COMPRADA]]</f>
        <v>0</v>
      </c>
      <c r="N1295" s="110">
        <f>K1295-tblAquisições[[#This Row],[QUANTIDADE PLANEJADA]]</f>
        <v>-12</v>
      </c>
      <c r="O1295" s="106" t="str">
        <f t="shared" si="41"/>
        <v>Faltando Comprar</v>
      </c>
    </row>
    <row r="1296" spans="1:15" ht="31.5">
      <c r="A1296" s="16" t="s">
        <v>17</v>
      </c>
      <c r="B1296" s="16" t="s">
        <v>750</v>
      </c>
      <c r="C1296" s="17" t="s">
        <v>19</v>
      </c>
      <c r="D1296" s="18" t="s">
        <v>751</v>
      </c>
      <c r="E1296" s="18">
        <v>1</v>
      </c>
      <c r="F1296" s="18" t="s">
        <v>21</v>
      </c>
      <c r="G1296" s="18" t="s">
        <v>22</v>
      </c>
      <c r="H1296" s="18" t="s">
        <v>23</v>
      </c>
      <c r="I1296" s="19">
        <v>156.44999999999999</v>
      </c>
      <c r="J1296" s="20">
        <f t="shared" si="40"/>
        <v>156.44999999999999</v>
      </c>
      <c r="K1296" s="106"/>
      <c r="L1296" s="114"/>
      <c r="M1296" s="114">
        <f>tblAquisições[[#This Row],[VALOR UNITARIO COMPRADO]]*tblAquisições[[#This Row],[QUANTIDADE COMPRADA]]</f>
        <v>0</v>
      </c>
      <c r="N1296" s="110">
        <f>K1296-tblAquisições[[#This Row],[QUANTIDADE PLANEJADA]]</f>
        <v>-1</v>
      </c>
      <c r="O1296" s="106" t="str">
        <f t="shared" si="41"/>
        <v>Faltando Comprar</v>
      </c>
    </row>
    <row r="1297" spans="1:15" ht="31.5">
      <c r="A1297" s="16" t="s">
        <v>17</v>
      </c>
      <c r="B1297" s="16" t="s">
        <v>28</v>
      </c>
      <c r="C1297" s="17" t="s">
        <v>19</v>
      </c>
      <c r="D1297" s="18" t="s">
        <v>751</v>
      </c>
      <c r="E1297" s="18">
        <v>19</v>
      </c>
      <c r="F1297" s="18" t="s">
        <v>21</v>
      </c>
      <c r="G1297" s="18" t="s">
        <v>22</v>
      </c>
      <c r="H1297" s="18" t="s">
        <v>23</v>
      </c>
      <c r="I1297" s="19">
        <v>156.44999999999999</v>
      </c>
      <c r="J1297" s="20">
        <f t="shared" si="40"/>
        <v>2972.5499999999997</v>
      </c>
      <c r="K1297" s="106"/>
      <c r="L1297" s="114"/>
      <c r="M1297" s="114">
        <f>tblAquisições[[#This Row],[VALOR UNITARIO COMPRADO]]*tblAquisições[[#This Row],[QUANTIDADE COMPRADA]]</f>
        <v>0</v>
      </c>
      <c r="N1297" s="110">
        <f>K1297-tblAquisições[[#This Row],[QUANTIDADE PLANEJADA]]</f>
        <v>-19</v>
      </c>
      <c r="O1297" s="106" t="str">
        <f t="shared" si="41"/>
        <v>Faltando Comprar</v>
      </c>
    </row>
    <row r="1298" spans="1:15" ht="31.5">
      <c r="A1298" s="16" t="s">
        <v>17</v>
      </c>
      <c r="B1298" s="16" t="s">
        <v>26</v>
      </c>
      <c r="C1298" s="17" t="s">
        <v>19</v>
      </c>
      <c r="D1298" s="18" t="s">
        <v>752</v>
      </c>
      <c r="E1298" s="18">
        <v>5</v>
      </c>
      <c r="F1298" s="18" t="s">
        <v>21</v>
      </c>
      <c r="G1298" s="18" t="s">
        <v>22</v>
      </c>
      <c r="H1298" s="18" t="s">
        <v>23</v>
      </c>
      <c r="I1298" s="19">
        <v>22.27</v>
      </c>
      <c r="J1298" s="20">
        <f t="shared" si="40"/>
        <v>111.35</v>
      </c>
      <c r="K1298" s="106"/>
      <c r="L1298" s="114"/>
      <c r="M1298" s="114">
        <f>tblAquisições[[#This Row],[VALOR UNITARIO COMPRADO]]*tblAquisições[[#This Row],[QUANTIDADE COMPRADA]]</f>
        <v>0</v>
      </c>
      <c r="N1298" s="110">
        <f>K1298-tblAquisições[[#This Row],[QUANTIDADE PLANEJADA]]</f>
        <v>-5</v>
      </c>
      <c r="O1298" s="106" t="str">
        <f t="shared" si="41"/>
        <v>Faltando Comprar</v>
      </c>
    </row>
    <row r="1299" spans="1:15" ht="47.25">
      <c r="A1299" s="16" t="s">
        <v>17</v>
      </c>
      <c r="B1299" s="16" t="s">
        <v>34</v>
      </c>
      <c r="C1299" s="17" t="s">
        <v>19</v>
      </c>
      <c r="D1299" s="18" t="s">
        <v>753</v>
      </c>
      <c r="E1299" s="18">
        <v>2</v>
      </c>
      <c r="F1299" s="18" t="s">
        <v>78</v>
      </c>
      <c r="G1299" s="18" t="s">
        <v>22</v>
      </c>
      <c r="H1299" s="18" t="s">
        <v>23</v>
      </c>
      <c r="I1299" s="19">
        <v>38.42</v>
      </c>
      <c r="J1299" s="20">
        <f t="shared" si="40"/>
        <v>76.84</v>
      </c>
      <c r="K1299" s="106"/>
      <c r="L1299" s="114"/>
      <c r="M1299" s="114">
        <f>tblAquisições[[#This Row],[VALOR UNITARIO COMPRADO]]*tblAquisições[[#This Row],[QUANTIDADE COMPRADA]]</f>
        <v>0</v>
      </c>
      <c r="N1299" s="110">
        <f>K1299-tblAquisições[[#This Row],[QUANTIDADE PLANEJADA]]</f>
        <v>-2</v>
      </c>
      <c r="O1299" s="106" t="str">
        <f t="shared" si="41"/>
        <v>Faltando Comprar</v>
      </c>
    </row>
    <row r="1300" spans="1:15" ht="31.5">
      <c r="A1300" s="16" t="s">
        <v>17</v>
      </c>
      <c r="B1300" s="16" t="s">
        <v>34</v>
      </c>
      <c r="C1300" s="17" t="s">
        <v>19</v>
      </c>
      <c r="D1300" s="18" t="s">
        <v>754</v>
      </c>
      <c r="E1300" s="18">
        <v>2</v>
      </c>
      <c r="F1300" s="18" t="s">
        <v>328</v>
      </c>
      <c r="G1300" s="18" t="s">
        <v>22</v>
      </c>
      <c r="H1300" s="18" t="s">
        <v>23</v>
      </c>
      <c r="I1300" s="19">
        <v>45.4</v>
      </c>
      <c r="J1300" s="20">
        <f t="shared" si="40"/>
        <v>90.8</v>
      </c>
      <c r="K1300" s="106"/>
      <c r="L1300" s="114"/>
      <c r="M1300" s="114">
        <f>tblAquisições[[#This Row],[VALOR UNITARIO COMPRADO]]*tblAquisições[[#This Row],[QUANTIDADE COMPRADA]]</f>
        <v>0</v>
      </c>
      <c r="N1300" s="110">
        <f>K1300-tblAquisições[[#This Row],[QUANTIDADE PLANEJADA]]</f>
        <v>-2</v>
      </c>
      <c r="O1300" s="106" t="str">
        <f t="shared" si="41"/>
        <v>Faltando Comprar</v>
      </c>
    </row>
    <row r="1301" spans="1:15" ht="31.5">
      <c r="A1301" s="16" t="s">
        <v>17</v>
      </c>
      <c r="B1301" s="16" t="s">
        <v>28</v>
      </c>
      <c r="C1301" s="17" t="s">
        <v>19</v>
      </c>
      <c r="D1301" s="18" t="s">
        <v>755</v>
      </c>
      <c r="E1301" s="18">
        <v>10</v>
      </c>
      <c r="F1301" s="18" t="s">
        <v>21</v>
      </c>
      <c r="G1301" s="18" t="s">
        <v>22</v>
      </c>
      <c r="H1301" s="18" t="s">
        <v>23</v>
      </c>
      <c r="I1301" s="19">
        <v>10.97</v>
      </c>
      <c r="J1301" s="20">
        <f t="shared" si="40"/>
        <v>109.7</v>
      </c>
      <c r="K1301" s="106"/>
      <c r="L1301" s="114"/>
      <c r="M1301" s="114">
        <f>tblAquisições[[#This Row],[VALOR UNITARIO COMPRADO]]*tblAquisições[[#This Row],[QUANTIDADE COMPRADA]]</f>
        <v>0</v>
      </c>
      <c r="N1301" s="110">
        <f>K1301-tblAquisições[[#This Row],[QUANTIDADE PLANEJADA]]</f>
        <v>-10</v>
      </c>
      <c r="O1301" s="106" t="str">
        <f t="shared" si="41"/>
        <v>Faltando Comprar</v>
      </c>
    </row>
    <row r="1302" spans="1:15" ht="47.25">
      <c r="A1302" s="16" t="s">
        <v>17</v>
      </c>
      <c r="B1302" s="16" t="s">
        <v>26</v>
      </c>
      <c r="C1302" s="17" t="s">
        <v>19</v>
      </c>
      <c r="D1302" s="18" t="s">
        <v>756</v>
      </c>
      <c r="E1302" s="18">
        <v>15</v>
      </c>
      <c r="F1302" s="18" t="s">
        <v>131</v>
      </c>
      <c r="G1302" s="18" t="s">
        <v>22</v>
      </c>
      <c r="H1302" s="18" t="s">
        <v>23</v>
      </c>
      <c r="I1302" s="19">
        <v>3.7</v>
      </c>
      <c r="J1302" s="20">
        <f t="shared" si="40"/>
        <v>55.5</v>
      </c>
      <c r="K1302" s="106"/>
      <c r="L1302" s="114"/>
      <c r="M1302" s="114">
        <f>tblAquisições[[#This Row],[VALOR UNITARIO COMPRADO]]*tblAquisições[[#This Row],[QUANTIDADE COMPRADA]]</f>
        <v>0</v>
      </c>
      <c r="N1302" s="110">
        <f>K1302-tblAquisições[[#This Row],[QUANTIDADE PLANEJADA]]</f>
        <v>-15</v>
      </c>
      <c r="O1302" s="106" t="str">
        <f t="shared" si="41"/>
        <v>Faltando Comprar</v>
      </c>
    </row>
    <row r="1303" spans="1:15" ht="47.25">
      <c r="A1303" s="16" t="s">
        <v>17</v>
      </c>
      <c r="B1303" s="16" t="s">
        <v>28</v>
      </c>
      <c r="C1303" s="17" t="s">
        <v>19</v>
      </c>
      <c r="D1303" s="18" t="s">
        <v>757</v>
      </c>
      <c r="E1303" s="18">
        <v>25</v>
      </c>
      <c r="F1303" s="18" t="s">
        <v>78</v>
      </c>
      <c r="G1303" s="18" t="s">
        <v>22</v>
      </c>
      <c r="H1303" s="18" t="s">
        <v>23</v>
      </c>
      <c r="I1303" s="19">
        <v>17.64</v>
      </c>
      <c r="J1303" s="20">
        <f t="shared" si="40"/>
        <v>441</v>
      </c>
      <c r="K1303" s="106"/>
      <c r="L1303" s="114"/>
      <c r="M1303" s="114">
        <f>tblAquisições[[#This Row],[VALOR UNITARIO COMPRADO]]*tblAquisições[[#This Row],[QUANTIDADE COMPRADA]]</f>
        <v>0</v>
      </c>
      <c r="N1303" s="110">
        <f>K1303-tblAquisições[[#This Row],[QUANTIDADE PLANEJADA]]</f>
        <v>-25</v>
      </c>
      <c r="O1303" s="106" t="str">
        <f t="shared" si="41"/>
        <v>Faltando Comprar</v>
      </c>
    </row>
    <row r="1304" spans="1:15" ht="47.25">
      <c r="A1304" s="16" t="s">
        <v>17</v>
      </c>
      <c r="B1304" s="16" t="s">
        <v>72</v>
      </c>
      <c r="C1304" s="17" t="s">
        <v>19</v>
      </c>
      <c r="D1304" s="18" t="s">
        <v>758</v>
      </c>
      <c r="E1304" s="18">
        <v>1</v>
      </c>
      <c r="F1304" s="18" t="s">
        <v>58</v>
      </c>
      <c r="G1304" s="18" t="s">
        <v>22</v>
      </c>
      <c r="H1304" s="18" t="s">
        <v>65</v>
      </c>
      <c r="I1304" s="19">
        <v>36.53</v>
      </c>
      <c r="J1304" s="20">
        <f t="shared" si="40"/>
        <v>36.53</v>
      </c>
      <c r="K1304" s="106"/>
      <c r="L1304" s="114"/>
      <c r="M1304" s="114">
        <f>tblAquisições[[#This Row],[VALOR UNITARIO COMPRADO]]*tblAquisições[[#This Row],[QUANTIDADE COMPRADA]]</f>
        <v>0</v>
      </c>
      <c r="N1304" s="110">
        <f>K1304-tblAquisições[[#This Row],[QUANTIDADE PLANEJADA]]</f>
        <v>-1</v>
      </c>
      <c r="O1304" s="106" t="str">
        <f t="shared" si="41"/>
        <v>Faltando Comprar</v>
      </c>
    </row>
    <row r="1305" spans="1:15" ht="47.25">
      <c r="A1305" s="16" t="s">
        <v>17</v>
      </c>
      <c r="B1305" s="16" t="s">
        <v>59</v>
      </c>
      <c r="C1305" s="17" t="s">
        <v>19</v>
      </c>
      <c r="D1305" s="18" t="s">
        <v>758</v>
      </c>
      <c r="E1305" s="18">
        <v>6</v>
      </c>
      <c r="F1305" s="18" t="s">
        <v>58</v>
      </c>
      <c r="G1305" s="18" t="s">
        <v>22</v>
      </c>
      <c r="H1305" s="18" t="s">
        <v>65</v>
      </c>
      <c r="I1305" s="19">
        <v>36.53</v>
      </c>
      <c r="J1305" s="20">
        <f t="shared" si="40"/>
        <v>219.18</v>
      </c>
      <c r="K1305" s="106"/>
      <c r="L1305" s="114"/>
      <c r="M1305" s="114">
        <f>tblAquisições[[#This Row],[VALOR UNITARIO COMPRADO]]*tblAquisições[[#This Row],[QUANTIDADE COMPRADA]]</f>
        <v>0</v>
      </c>
      <c r="N1305" s="110">
        <f>K1305-tblAquisições[[#This Row],[QUANTIDADE PLANEJADA]]</f>
        <v>-6</v>
      </c>
      <c r="O1305" s="106" t="str">
        <f t="shared" si="41"/>
        <v>Faltando Comprar</v>
      </c>
    </row>
    <row r="1306" spans="1:15" ht="47.25">
      <c r="A1306" s="16" t="s">
        <v>17</v>
      </c>
      <c r="B1306" s="16" t="s">
        <v>18</v>
      </c>
      <c r="C1306" s="17" t="s">
        <v>19</v>
      </c>
      <c r="D1306" s="18" t="s">
        <v>759</v>
      </c>
      <c r="E1306" s="18">
        <v>150</v>
      </c>
      <c r="F1306" s="18" t="s">
        <v>78</v>
      </c>
      <c r="G1306" s="18" t="s">
        <v>22</v>
      </c>
      <c r="H1306" s="18" t="s">
        <v>23</v>
      </c>
      <c r="I1306" s="19">
        <v>1.63</v>
      </c>
      <c r="J1306" s="20">
        <f t="shared" si="40"/>
        <v>244.49999999999997</v>
      </c>
      <c r="K1306" s="106"/>
      <c r="L1306" s="114"/>
      <c r="M1306" s="114">
        <f>tblAquisições[[#This Row],[VALOR UNITARIO COMPRADO]]*tblAquisições[[#This Row],[QUANTIDADE COMPRADA]]</f>
        <v>0</v>
      </c>
      <c r="N1306" s="110">
        <f>K1306-tblAquisições[[#This Row],[QUANTIDADE PLANEJADA]]</f>
        <v>-150</v>
      </c>
      <c r="O1306" s="106" t="str">
        <f t="shared" si="41"/>
        <v>Faltando Comprar</v>
      </c>
    </row>
    <row r="1307" spans="1:15" ht="47.25">
      <c r="A1307" s="16" t="s">
        <v>17</v>
      </c>
      <c r="B1307" s="16" t="s">
        <v>24</v>
      </c>
      <c r="C1307" s="17" t="s">
        <v>19</v>
      </c>
      <c r="D1307" s="18" t="s">
        <v>759</v>
      </c>
      <c r="E1307" s="18">
        <v>150</v>
      </c>
      <c r="F1307" s="18" t="s">
        <v>78</v>
      </c>
      <c r="G1307" s="18" t="s">
        <v>22</v>
      </c>
      <c r="H1307" s="18" t="s">
        <v>23</v>
      </c>
      <c r="I1307" s="19">
        <v>1.63</v>
      </c>
      <c r="J1307" s="20">
        <f t="shared" si="40"/>
        <v>244.49999999999997</v>
      </c>
      <c r="K1307" s="106"/>
      <c r="L1307" s="114"/>
      <c r="M1307" s="114">
        <f>tblAquisições[[#This Row],[VALOR UNITARIO COMPRADO]]*tblAquisições[[#This Row],[QUANTIDADE COMPRADA]]</f>
        <v>0</v>
      </c>
      <c r="N1307" s="110">
        <f>K1307-tblAquisições[[#This Row],[QUANTIDADE PLANEJADA]]</f>
        <v>-150</v>
      </c>
      <c r="O1307" s="106" t="str">
        <f t="shared" si="41"/>
        <v>Faltando Comprar</v>
      </c>
    </row>
    <row r="1308" spans="1:15" ht="47.25">
      <c r="A1308" s="16" t="s">
        <v>17</v>
      </c>
      <c r="B1308" s="16" t="s">
        <v>25</v>
      </c>
      <c r="C1308" s="17" t="s">
        <v>19</v>
      </c>
      <c r="D1308" s="18" t="s">
        <v>759</v>
      </c>
      <c r="E1308" s="18">
        <v>150</v>
      </c>
      <c r="F1308" s="18" t="s">
        <v>78</v>
      </c>
      <c r="G1308" s="18" t="s">
        <v>22</v>
      </c>
      <c r="H1308" s="18" t="s">
        <v>23</v>
      </c>
      <c r="I1308" s="19">
        <v>1.63</v>
      </c>
      <c r="J1308" s="20">
        <f t="shared" si="40"/>
        <v>244.49999999999997</v>
      </c>
      <c r="K1308" s="106"/>
      <c r="L1308" s="114"/>
      <c r="M1308" s="114">
        <f>tblAquisições[[#This Row],[VALOR UNITARIO COMPRADO]]*tblAquisições[[#This Row],[QUANTIDADE COMPRADA]]</f>
        <v>0</v>
      </c>
      <c r="N1308" s="110">
        <f>K1308-tblAquisições[[#This Row],[QUANTIDADE PLANEJADA]]</f>
        <v>-150</v>
      </c>
      <c r="O1308" s="106" t="str">
        <f t="shared" si="41"/>
        <v>Faltando Comprar</v>
      </c>
    </row>
    <row r="1309" spans="1:15" ht="47.25">
      <c r="A1309" s="16" t="s">
        <v>17</v>
      </c>
      <c r="B1309" s="16" t="s">
        <v>27</v>
      </c>
      <c r="C1309" s="17" t="s">
        <v>19</v>
      </c>
      <c r="D1309" s="18" t="s">
        <v>759</v>
      </c>
      <c r="E1309" s="18">
        <v>150</v>
      </c>
      <c r="F1309" s="18" t="s">
        <v>78</v>
      </c>
      <c r="G1309" s="18" t="s">
        <v>22</v>
      </c>
      <c r="H1309" s="18" t="s">
        <v>23</v>
      </c>
      <c r="I1309" s="19">
        <v>1.63</v>
      </c>
      <c r="J1309" s="20">
        <f t="shared" si="40"/>
        <v>244.49999999999997</v>
      </c>
      <c r="K1309" s="106"/>
      <c r="L1309" s="114"/>
      <c r="M1309" s="114">
        <f>tblAquisições[[#This Row],[VALOR UNITARIO COMPRADO]]*tblAquisições[[#This Row],[QUANTIDADE COMPRADA]]</f>
        <v>0</v>
      </c>
      <c r="N1309" s="110">
        <f>K1309-tblAquisições[[#This Row],[QUANTIDADE PLANEJADA]]</f>
        <v>-150</v>
      </c>
      <c r="O1309" s="106" t="str">
        <f t="shared" si="41"/>
        <v>Faltando Comprar</v>
      </c>
    </row>
    <row r="1310" spans="1:15" ht="31.5">
      <c r="A1310" s="16" t="s">
        <v>17</v>
      </c>
      <c r="B1310" s="16" t="s">
        <v>28</v>
      </c>
      <c r="C1310" s="17" t="s">
        <v>19</v>
      </c>
      <c r="D1310" s="18" t="s">
        <v>760</v>
      </c>
      <c r="E1310" s="18">
        <v>40</v>
      </c>
      <c r="F1310" s="18" t="s">
        <v>21</v>
      </c>
      <c r="G1310" s="18" t="s">
        <v>22</v>
      </c>
      <c r="H1310" s="18" t="s">
        <v>23</v>
      </c>
      <c r="I1310" s="19">
        <v>18.3</v>
      </c>
      <c r="J1310" s="20">
        <f t="shared" si="40"/>
        <v>732</v>
      </c>
      <c r="K1310" s="106"/>
      <c r="L1310" s="114"/>
      <c r="M1310" s="114">
        <f>tblAquisições[[#This Row],[VALOR UNITARIO COMPRADO]]*tblAquisições[[#This Row],[QUANTIDADE COMPRADA]]</f>
        <v>0</v>
      </c>
      <c r="N1310" s="110">
        <f>K1310-tblAquisições[[#This Row],[QUANTIDADE PLANEJADA]]</f>
        <v>-40</v>
      </c>
      <c r="O1310" s="106" t="str">
        <f t="shared" si="41"/>
        <v>Faltando Comprar</v>
      </c>
    </row>
    <row r="1311" spans="1:15" ht="47.25">
      <c r="A1311" s="16" t="s">
        <v>17</v>
      </c>
      <c r="B1311" s="16" t="s">
        <v>80</v>
      </c>
      <c r="C1311" s="17" t="s">
        <v>19</v>
      </c>
      <c r="D1311" s="18" t="s">
        <v>761</v>
      </c>
      <c r="E1311" s="18">
        <v>3</v>
      </c>
      <c r="F1311" s="18" t="s">
        <v>96</v>
      </c>
      <c r="G1311" s="18" t="s">
        <v>39</v>
      </c>
      <c r="H1311" s="18" t="s">
        <v>65</v>
      </c>
      <c r="I1311" s="19">
        <v>46.02</v>
      </c>
      <c r="J1311" s="20">
        <f t="shared" si="40"/>
        <v>138.06</v>
      </c>
      <c r="K1311" s="106"/>
      <c r="L1311" s="114"/>
      <c r="M1311" s="114">
        <f>tblAquisições[[#This Row],[VALOR UNITARIO COMPRADO]]*tblAquisições[[#This Row],[QUANTIDADE COMPRADA]]</f>
        <v>0</v>
      </c>
      <c r="N1311" s="110">
        <f>K1311-tblAquisições[[#This Row],[QUANTIDADE PLANEJADA]]</f>
        <v>-3</v>
      </c>
      <c r="O1311" s="106" t="str">
        <f t="shared" si="41"/>
        <v>Faltando Comprar</v>
      </c>
    </row>
    <row r="1312" spans="1:15" ht="47.25">
      <c r="A1312" s="16" t="s">
        <v>17</v>
      </c>
      <c r="B1312" s="16" t="s">
        <v>26</v>
      </c>
      <c r="C1312" s="17" t="s">
        <v>19</v>
      </c>
      <c r="D1312" s="18" t="s">
        <v>762</v>
      </c>
      <c r="E1312" s="18">
        <v>2</v>
      </c>
      <c r="F1312" s="18" t="s">
        <v>58</v>
      </c>
      <c r="G1312" s="18" t="s">
        <v>22</v>
      </c>
      <c r="H1312" s="18" t="s">
        <v>23</v>
      </c>
      <c r="I1312" s="19">
        <v>46.02</v>
      </c>
      <c r="J1312" s="20">
        <f t="shared" si="40"/>
        <v>92.04</v>
      </c>
      <c r="K1312" s="106"/>
      <c r="L1312" s="114"/>
      <c r="M1312" s="114">
        <f>tblAquisições[[#This Row],[VALOR UNITARIO COMPRADO]]*tblAquisições[[#This Row],[QUANTIDADE COMPRADA]]</f>
        <v>0</v>
      </c>
      <c r="N1312" s="110">
        <f>K1312-tblAquisições[[#This Row],[QUANTIDADE PLANEJADA]]</f>
        <v>-2</v>
      </c>
      <c r="O1312" s="106" t="str">
        <f t="shared" si="41"/>
        <v>Faltando Comprar</v>
      </c>
    </row>
    <row r="1313" spans="1:15" ht="47.25">
      <c r="A1313" s="16" t="s">
        <v>17</v>
      </c>
      <c r="B1313" s="16" t="s">
        <v>28</v>
      </c>
      <c r="C1313" s="17" t="s">
        <v>19</v>
      </c>
      <c r="D1313" s="18" t="s">
        <v>762</v>
      </c>
      <c r="E1313" s="18">
        <v>2</v>
      </c>
      <c r="F1313" s="18" t="s">
        <v>58</v>
      </c>
      <c r="G1313" s="18" t="s">
        <v>22</v>
      </c>
      <c r="H1313" s="18" t="s">
        <v>65</v>
      </c>
      <c r="I1313" s="19">
        <v>46.02</v>
      </c>
      <c r="J1313" s="20">
        <f t="shared" si="40"/>
        <v>92.04</v>
      </c>
      <c r="K1313" s="106"/>
      <c r="L1313" s="114"/>
      <c r="M1313" s="114">
        <f>tblAquisições[[#This Row],[VALOR UNITARIO COMPRADO]]*tblAquisições[[#This Row],[QUANTIDADE COMPRADA]]</f>
        <v>0</v>
      </c>
      <c r="N1313" s="110">
        <f>K1313-tblAquisições[[#This Row],[QUANTIDADE PLANEJADA]]</f>
        <v>-2</v>
      </c>
      <c r="O1313" s="106" t="str">
        <f t="shared" si="41"/>
        <v>Faltando Comprar</v>
      </c>
    </row>
    <row r="1314" spans="1:15" ht="47.25">
      <c r="A1314" s="16" t="s">
        <v>17</v>
      </c>
      <c r="B1314" s="16" t="s">
        <v>72</v>
      </c>
      <c r="C1314" s="17" t="s">
        <v>19</v>
      </c>
      <c r="D1314" s="18" t="s">
        <v>762</v>
      </c>
      <c r="E1314" s="18">
        <v>2</v>
      </c>
      <c r="F1314" s="18" t="s">
        <v>58</v>
      </c>
      <c r="G1314" s="18" t="s">
        <v>22</v>
      </c>
      <c r="H1314" s="18" t="s">
        <v>65</v>
      </c>
      <c r="I1314" s="19">
        <v>46.02</v>
      </c>
      <c r="J1314" s="20">
        <f t="shared" si="40"/>
        <v>92.04</v>
      </c>
      <c r="K1314" s="106"/>
      <c r="L1314" s="114"/>
      <c r="M1314" s="114">
        <f>tblAquisições[[#This Row],[VALOR UNITARIO COMPRADO]]*tblAquisições[[#This Row],[QUANTIDADE COMPRADA]]</f>
        <v>0</v>
      </c>
      <c r="N1314" s="110">
        <f>K1314-tblAquisições[[#This Row],[QUANTIDADE PLANEJADA]]</f>
        <v>-2</v>
      </c>
      <c r="O1314" s="106" t="str">
        <f t="shared" si="41"/>
        <v>Faltando Comprar</v>
      </c>
    </row>
    <row r="1315" spans="1:15" ht="47.25">
      <c r="A1315" s="16" t="s">
        <v>17</v>
      </c>
      <c r="B1315" s="16" t="s">
        <v>59</v>
      </c>
      <c r="C1315" s="17" t="s">
        <v>19</v>
      </c>
      <c r="D1315" s="18" t="s">
        <v>762</v>
      </c>
      <c r="E1315" s="18">
        <v>50</v>
      </c>
      <c r="F1315" s="18" t="s">
        <v>58</v>
      </c>
      <c r="G1315" s="18" t="s">
        <v>22</v>
      </c>
      <c r="H1315" s="18" t="s">
        <v>23</v>
      </c>
      <c r="I1315" s="19">
        <v>46.02</v>
      </c>
      <c r="J1315" s="20">
        <f t="shared" si="40"/>
        <v>2301</v>
      </c>
      <c r="K1315" s="106"/>
      <c r="L1315" s="114"/>
      <c r="M1315" s="114">
        <f>tblAquisições[[#This Row],[VALOR UNITARIO COMPRADO]]*tblAquisições[[#This Row],[QUANTIDADE COMPRADA]]</f>
        <v>0</v>
      </c>
      <c r="N1315" s="110">
        <f>K1315-tblAquisições[[#This Row],[QUANTIDADE PLANEJADA]]</f>
        <v>-50</v>
      </c>
      <c r="O1315" s="106" t="str">
        <f t="shared" si="41"/>
        <v>Faltando Comprar</v>
      </c>
    </row>
    <row r="1316" spans="1:15" ht="31.5">
      <c r="A1316" s="16" t="s">
        <v>17</v>
      </c>
      <c r="B1316" s="16" t="s">
        <v>31</v>
      </c>
      <c r="C1316" s="17" t="s">
        <v>19</v>
      </c>
      <c r="D1316" s="18" t="s">
        <v>763</v>
      </c>
      <c r="E1316" s="18">
        <v>8</v>
      </c>
      <c r="F1316" s="18" t="s">
        <v>21</v>
      </c>
      <c r="G1316" s="18" t="s">
        <v>22</v>
      </c>
      <c r="H1316" s="18" t="s">
        <v>23</v>
      </c>
      <c r="I1316" s="19">
        <v>1583.7</v>
      </c>
      <c r="J1316" s="20">
        <f t="shared" si="40"/>
        <v>12669.6</v>
      </c>
      <c r="K1316" s="106"/>
      <c r="L1316" s="114"/>
      <c r="M1316" s="114">
        <f>tblAquisições[[#This Row],[VALOR UNITARIO COMPRADO]]*tblAquisições[[#This Row],[QUANTIDADE COMPRADA]]</f>
        <v>0</v>
      </c>
      <c r="N1316" s="110">
        <f>K1316-tblAquisições[[#This Row],[QUANTIDADE PLANEJADA]]</f>
        <v>-8</v>
      </c>
      <c r="O1316" s="106" t="str">
        <f t="shared" si="41"/>
        <v>Faltando Comprar</v>
      </c>
    </row>
    <row r="1317" spans="1:15" ht="31.5">
      <c r="A1317" s="16" t="s">
        <v>17</v>
      </c>
      <c r="B1317" s="16" t="s">
        <v>26</v>
      </c>
      <c r="C1317" s="17" t="s">
        <v>19</v>
      </c>
      <c r="D1317" s="18" t="s">
        <v>763</v>
      </c>
      <c r="E1317" s="18">
        <v>10</v>
      </c>
      <c r="F1317" s="18" t="s">
        <v>21</v>
      </c>
      <c r="G1317" s="18" t="s">
        <v>22</v>
      </c>
      <c r="H1317" s="18" t="s">
        <v>23</v>
      </c>
      <c r="I1317" s="19">
        <v>1583.7</v>
      </c>
      <c r="J1317" s="20">
        <f t="shared" si="40"/>
        <v>15837</v>
      </c>
      <c r="K1317" s="106"/>
      <c r="L1317" s="114"/>
      <c r="M1317" s="114">
        <f>tblAquisições[[#This Row],[VALOR UNITARIO COMPRADO]]*tblAquisições[[#This Row],[QUANTIDADE COMPRADA]]</f>
        <v>0</v>
      </c>
      <c r="N1317" s="110">
        <f>K1317-tblAquisições[[#This Row],[QUANTIDADE PLANEJADA]]</f>
        <v>-10</v>
      </c>
      <c r="O1317" s="106" t="str">
        <f t="shared" si="41"/>
        <v>Faltando Comprar</v>
      </c>
    </row>
    <row r="1318" spans="1:15" ht="31.5">
      <c r="A1318" s="16" t="s">
        <v>17</v>
      </c>
      <c r="B1318" s="16" t="s">
        <v>28</v>
      </c>
      <c r="C1318" s="17" t="s">
        <v>19</v>
      </c>
      <c r="D1318" s="18" t="s">
        <v>763</v>
      </c>
      <c r="E1318" s="18">
        <v>50</v>
      </c>
      <c r="F1318" s="18" t="s">
        <v>21</v>
      </c>
      <c r="G1318" s="18" t="s">
        <v>22</v>
      </c>
      <c r="H1318" s="18" t="s">
        <v>23</v>
      </c>
      <c r="I1318" s="19">
        <v>1583.7</v>
      </c>
      <c r="J1318" s="20">
        <f t="shared" si="40"/>
        <v>79185</v>
      </c>
      <c r="K1318" s="106"/>
      <c r="L1318" s="114"/>
      <c r="M1318" s="114">
        <f>tblAquisições[[#This Row],[VALOR UNITARIO COMPRADO]]*tblAquisições[[#This Row],[QUANTIDADE COMPRADA]]</f>
        <v>0</v>
      </c>
      <c r="N1318" s="110">
        <f>K1318-tblAquisições[[#This Row],[QUANTIDADE PLANEJADA]]</f>
        <v>-50</v>
      </c>
      <c r="O1318" s="106" t="str">
        <f t="shared" si="41"/>
        <v>Faltando Comprar</v>
      </c>
    </row>
    <row r="1319" spans="1:15" ht="47.25">
      <c r="A1319" s="16" t="s">
        <v>17</v>
      </c>
      <c r="B1319" s="16" t="s">
        <v>28</v>
      </c>
      <c r="C1319" s="17" t="s">
        <v>19</v>
      </c>
      <c r="D1319" s="18" t="s">
        <v>764</v>
      </c>
      <c r="E1319" s="18">
        <v>40</v>
      </c>
      <c r="F1319" s="18" t="s">
        <v>78</v>
      </c>
      <c r="G1319" s="18" t="s">
        <v>22</v>
      </c>
      <c r="H1319" s="18" t="s">
        <v>23</v>
      </c>
      <c r="I1319" s="19">
        <v>32.67</v>
      </c>
      <c r="J1319" s="20">
        <f t="shared" si="40"/>
        <v>1306.8000000000002</v>
      </c>
      <c r="K1319" s="106"/>
      <c r="L1319" s="114"/>
      <c r="M1319" s="114">
        <f>tblAquisições[[#This Row],[VALOR UNITARIO COMPRADO]]*tblAquisições[[#This Row],[QUANTIDADE COMPRADA]]</f>
        <v>0</v>
      </c>
      <c r="N1319" s="110">
        <f>K1319-tblAquisições[[#This Row],[QUANTIDADE PLANEJADA]]</f>
        <v>-40</v>
      </c>
      <c r="O1319" s="106" t="str">
        <f t="shared" si="41"/>
        <v>Faltando Comprar</v>
      </c>
    </row>
    <row r="1320" spans="1:15" ht="47.25">
      <c r="A1320" s="16" t="s">
        <v>17</v>
      </c>
      <c r="B1320" s="16" t="s">
        <v>34</v>
      </c>
      <c r="C1320" s="17" t="s">
        <v>19</v>
      </c>
      <c r="D1320" s="18" t="s">
        <v>765</v>
      </c>
      <c r="E1320" s="18">
        <v>25</v>
      </c>
      <c r="F1320" s="18" t="s">
        <v>78</v>
      </c>
      <c r="G1320" s="18" t="s">
        <v>22</v>
      </c>
      <c r="H1320" s="18" t="s">
        <v>100</v>
      </c>
      <c r="I1320" s="19">
        <v>63.18</v>
      </c>
      <c r="J1320" s="20">
        <f t="shared" si="40"/>
        <v>1579.5</v>
      </c>
      <c r="K1320" s="106"/>
      <c r="L1320" s="114"/>
      <c r="M1320" s="114">
        <f>tblAquisições[[#This Row],[VALOR UNITARIO COMPRADO]]*tblAquisições[[#This Row],[QUANTIDADE COMPRADA]]</f>
        <v>0</v>
      </c>
      <c r="N1320" s="110">
        <f>K1320-tblAquisições[[#This Row],[QUANTIDADE PLANEJADA]]</f>
        <v>-25</v>
      </c>
      <c r="O1320" s="106" t="str">
        <f t="shared" si="41"/>
        <v>Faltando Comprar</v>
      </c>
    </row>
    <row r="1321" spans="1:15" ht="31.5">
      <c r="A1321" s="16" t="s">
        <v>17</v>
      </c>
      <c r="B1321" s="16" t="s">
        <v>26</v>
      </c>
      <c r="C1321" s="17" t="s">
        <v>19</v>
      </c>
      <c r="D1321" s="18" t="s">
        <v>766</v>
      </c>
      <c r="E1321" s="18">
        <v>100</v>
      </c>
      <c r="F1321" s="18" t="s">
        <v>21</v>
      </c>
      <c r="G1321" s="18" t="s">
        <v>22</v>
      </c>
      <c r="H1321" s="18" t="s">
        <v>23</v>
      </c>
      <c r="I1321" s="19">
        <v>1.41</v>
      </c>
      <c r="J1321" s="20">
        <f t="shared" si="40"/>
        <v>141</v>
      </c>
      <c r="K1321" s="106"/>
      <c r="L1321" s="114"/>
      <c r="M1321" s="114">
        <f>tblAquisições[[#This Row],[VALOR UNITARIO COMPRADO]]*tblAquisições[[#This Row],[QUANTIDADE COMPRADA]]</f>
        <v>0</v>
      </c>
      <c r="N1321" s="110">
        <f>K1321-tblAquisições[[#This Row],[QUANTIDADE PLANEJADA]]</f>
        <v>-100</v>
      </c>
      <c r="O1321" s="106" t="str">
        <f t="shared" si="41"/>
        <v>Faltando Comprar</v>
      </c>
    </row>
    <row r="1322" spans="1:15" ht="31.5">
      <c r="A1322" s="16" t="s">
        <v>17</v>
      </c>
      <c r="B1322" s="16" t="s">
        <v>28</v>
      </c>
      <c r="C1322" s="17" t="s">
        <v>19</v>
      </c>
      <c r="D1322" s="18" t="s">
        <v>766</v>
      </c>
      <c r="E1322" s="18">
        <v>400</v>
      </c>
      <c r="F1322" s="18" t="s">
        <v>21</v>
      </c>
      <c r="G1322" s="18" t="s">
        <v>22</v>
      </c>
      <c r="H1322" s="18" t="s">
        <v>83</v>
      </c>
      <c r="I1322" s="19">
        <v>1.41</v>
      </c>
      <c r="J1322" s="20">
        <f t="shared" si="40"/>
        <v>564</v>
      </c>
      <c r="K1322" s="106"/>
      <c r="L1322" s="114"/>
      <c r="M1322" s="114">
        <f>tblAquisições[[#This Row],[VALOR UNITARIO COMPRADO]]*tblAquisições[[#This Row],[QUANTIDADE COMPRADA]]</f>
        <v>0</v>
      </c>
      <c r="N1322" s="110">
        <f>K1322-tblAquisições[[#This Row],[QUANTIDADE PLANEJADA]]</f>
        <v>-400</v>
      </c>
      <c r="O1322" s="106" t="str">
        <f t="shared" si="41"/>
        <v>Faltando Comprar</v>
      </c>
    </row>
    <row r="1323" spans="1:15" ht="47.25">
      <c r="A1323" s="16" t="s">
        <v>17</v>
      </c>
      <c r="B1323" s="16" t="s">
        <v>26</v>
      </c>
      <c r="C1323" s="17" t="s">
        <v>19</v>
      </c>
      <c r="D1323" s="18" t="s">
        <v>767</v>
      </c>
      <c r="E1323" s="18">
        <v>2</v>
      </c>
      <c r="F1323" s="18" t="s">
        <v>78</v>
      </c>
      <c r="G1323" s="18" t="s">
        <v>22</v>
      </c>
      <c r="H1323" s="18" t="s">
        <v>23</v>
      </c>
      <c r="I1323" s="19">
        <v>35.270000000000003</v>
      </c>
      <c r="J1323" s="20">
        <f t="shared" si="40"/>
        <v>70.540000000000006</v>
      </c>
      <c r="K1323" s="106"/>
      <c r="L1323" s="114"/>
      <c r="M1323" s="114">
        <f>tblAquisições[[#This Row],[VALOR UNITARIO COMPRADO]]*tblAquisições[[#This Row],[QUANTIDADE COMPRADA]]</f>
        <v>0</v>
      </c>
      <c r="N1323" s="110">
        <f>K1323-tblAquisições[[#This Row],[QUANTIDADE PLANEJADA]]</f>
        <v>-2</v>
      </c>
      <c r="O1323" s="106" t="str">
        <f t="shared" si="41"/>
        <v>Faltando Comprar</v>
      </c>
    </row>
    <row r="1324" spans="1:15" ht="47.25">
      <c r="A1324" s="16" t="s">
        <v>17</v>
      </c>
      <c r="B1324" s="16" t="s">
        <v>80</v>
      </c>
      <c r="C1324" s="17" t="s">
        <v>19</v>
      </c>
      <c r="D1324" s="18" t="s">
        <v>768</v>
      </c>
      <c r="E1324" s="18">
        <v>20</v>
      </c>
      <c r="F1324" s="18" t="s">
        <v>82</v>
      </c>
      <c r="G1324" s="18" t="s">
        <v>39</v>
      </c>
      <c r="H1324" s="18" t="s">
        <v>83</v>
      </c>
      <c r="I1324" s="19">
        <v>15.4</v>
      </c>
      <c r="J1324" s="20">
        <f t="shared" si="40"/>
        <v>308</v>
      </c>
      <c r="K1324" s="106"/>
      <c r="L1324" s="114"/>
      <c r="M1324" s="114">
        <f>tblAquisições[[#This Row],[VALOR UNITARIO COMPRADO]]*tblAquisições[[#This Row],[QUANTIDADE COMPRADA]]</f>
        <v>0</v>
      </c>
      <c r="N1324" s="110">
        <f>K1324-tblAquisições[[#This Row],[QUANTIDADE PLANEJADA]]</f>
        <v>-20</v>
      </c>
      <c r="O1324" s="106" t="str">
        <f t="shared" si="41"/>
        <v>Faltando Comprar</v>
      </c>
    </row>
    <row r="1325" spans="1:15" ht="47.25">
      <c r="A1325" s="16" t="s">
        <v>17</v>
      </c>
      <c r="B1325" s="16" t="s">
        <v>80</v>
      </c>
      <c r="C1325" s="17" t="s">
        <v>19</v>
      </c>
      <c r="D1325" s="18" t="s">
        <v>769</v>
      </c>
      <c r="E1325" s="18">
        <v>20</v>
      </c>
      <c r="F1325" s="18" t="s">
        <v>82</v>
      </c>
      <c r="G1325" s="18" t="s">
        <v>39</v>
      </c>
      <c r="H1325" s="18" t="s">
        <v>83</v>
      </c>
      <c r="I1325" s="19">
        <v>32.22</v>
      </c>
      <c r="J1325" s="20">
        <f t="shared" si="40"/>
        <v>644.4</v>
      </c>
      <c r="K1325" s="106"/>
      <c r="L1325" s="114"/>
      <c r="M1325" s="114">
        <f>tblAquisições[[#This Row],[VALOR UNITARIO COMPRADO]]*tblAquisições[[#This Row],[QUANTIDADE COMPRADA]]</f>
        <v>0</v>
      </c>
      <c r="N1325" s="110">
        <f>K1325-tblAquisições[[#This Row],[QUANTIDADE PLANEJADA]]</f>
        <v>-20</v>
      </c>
      <c r="O1325" s="106" t="str">
        <f t="shared" si="41"/>
        <v>Faltando Comprar</v>
      </c>
    </row>
    <row r="1326" spans="1:15" ht="47.25">
      <c r="A1326" s="16" t="s">
        <v>17</v>
      </c>
      <c r="B1326" s="16" t="s">
        <v>80</v>
      </c>
      <c r="C1326" s="17" t="s">
        <v>19</v>
      </c>
      <c r="D1326" s="18" t="s">
        <v>770</v>
      </c>
      <c r="E1326" s="18">
        <v>20</v>
      </c>
      <c r="F1326" s="18" t="s">
        <v>82</v>
      </c>
      <c r="G1326" s="18" t="s">
        <v>39</v>
      </c>
      <c r="H1326" s="18" t="s">
        <v>83</v>
      </c>
      <c r="I1326" s="19">
        <v>89.18</v>
      </c>
      <c r="J1326" s="20">
        <f t="shared" si="40"/>
        <v>1783.6000000000001</v>
      </c>
      <c r="K1326" s="106"/>
      <c r="L1326" s="114"/>
      <c r="M1326" s="114">
        <f>tblAquisições[[#This Row],[VALOR UNITARIO COMPRADO]]*tblAquisições[[#This Row],[QUANTIDADE COMPRADA]]</f>
        <v>0</v>
      </c>
      <c r="N1326" s="110">
        <f>K1326-tblAquisições[[#This Row],[QUANTIDADE PLANEJADA]]</f>
        <v>-20</v>
      </c>
      <c r="O1326" s="106" t="str">
        <f t="shared" si="41"/>
        <v>Faltando Comprar</v>
      </c>
    </row>
    <row r="1327" spans="1:15" ht="31.5">
      <c r="A1327" s="16" t="s">
        <v>17</v>
      </c>
      <c r="B1327" s="16" t="s">
        <v>17</v>
      </c>
      <c r="C1327" s="17" t="s">
        <v>19</v>
      </c>
      <c r="D1327" s="18" t="s">
        <v>771</v>
      </c>
      <c r="E1327" s="18">
        <v>10</v>
      </c>
      <c r="F1327" s="18" t="s">
        <v>272</v>
      </c>
      <c r="G1327" s="18" t="s">
        <v>39</v>
      </c>
      <c r="H1327" s="18" t="s">
        <v>23</v>
      </c>
      <c r="I1327" s="19">
        <v>14.02</v>
      </c>
      <c r="J1327" s="20">
        <f t="shared" si="40"/>
        <v>140.19999999999999</v>
      </c>
      <c r="K1327" s="106"/>
      <c r="L1327" s="114"/>
      <c r="M1327" s="114">
        <f>tblAquisições[[#This Row],[VALOR UNITARIO COMPRADO]]*tblAquisições[[#This Row],[QUANTIDADE COMPRADA]]</f>
        <v>0</v>
      </c>
      <c r="N1327" s="110">
        <f>K1327-tblAquisições[[#This Row],[QUANTIDADE PLANEJADA]]</f>
        <v>-10</v>
      </c>
      <c r="O1327" s="106" t="str">
        <f t="shared" si="41"/>
        <v>Faltando Comprar</v>
      </c>
    </row>
    <row r="1328" spans="1:15" ht="31.5">
      <c r="A1328" s="16" t="s">
        <v>17</v>
      </c>
      <c r="B1328" s="16" t="s">
        <v>26</v>
      </c>
      <c r="C1328" s="17" t="s">
        <v>19</v>
      </c>
      <c r="D1328" s="18" t="s">
        <v>772</v>
      </c>
      <c r="E1328" s="18">
        <v>5</v>
      </c>
      <c r="F1328" s="18" t="s">
        <v>324</v>
      </c>
      <c r="G1328" s="18" t="s">
        <v>22</v>
      </c>
      <c r="H1328" s="18" t="s">
        <v>23</v>
      </c>
      <c r="I1328" s="19">
        <v>14.02</v>
      </c>
      <c r="J1328" s="20">
        <f t="shared" si="40"/>
        <v>70.099999999999994</v>
      </c>
      <c r="K1328" s="106"/>
      <c r="L1328" s="114"/>
      <c r="M1328" s="114">
        <f>tblAquisições[[#This Row],[VALOR UNITARIO COMPRADO]]*tblAquisições[[#This Row],[QUANTIDADE COMPRADA]]</f>
        <v>0</v>
      </c>
      <c r="N1328" s="110">
        <f>K1328-tblAquisições[[#This Row],[QUANTIDADE PLANEJADA]]</f>
        <v>-5</v>
      </c>
      <c r="O1328" s="106" t="str">
        <f t="shared" si="41"/>
        <v>Faltando Comprar</v>
      </c>
    </row>
    <row r="1329" spans="1:15" ht="63">
      <c r="A1329" s="16" t="s">
        <v>17</v>
      </c>
      <c r="B1329" s="16" t="s">
        <v>80</v>
      </c>
      <c r="C1329" s="17" t="s">
        <v>19</v>
      </c>
      <c r="D1329" s="18" t="s">
        <v>773</v>
      </c>
      <c r="E1329" s="18">
        <v>5</v>
      </c>
      <c r="F1329" s="18" t="s">
        <v>774</v>
      </c>
      <c r="G1329" s="18" t="s">
        <v>775</v>
      </c>
      <c r="H1329" s="18" t="s">
        <v>23</v>
      </c>
      <c r="I1329" s="19">
        <v>3657.06</v>
      </c>
      <c r="J1329" s="20">
        <f t="shared" si="40"/>
        <v>18285.3</v>
      </c>
      <c r="K1329" s="106"/>
      <c r="L1329" s="114"/>
      <c r="M1329" s="114">
        <f>tblAquisições[[#This Row],[VALOR UNITARIO COMPRADO]]*tblAquisições[[#This Row],[QUANTIDADE COMPRADA]]</f>
        <v>0</v>
      </c>
      <c r="N1329" s="110">
        <f>K1329-tblAquisições[[#This Row],[QUANTIDADE PLANEJADA]]</f>
        <v>-5</v>
      </c>
      <c r="O1329" s="106" t="str">
        <f t="shared" si="41"/>
        <v>Faltando Comprar</v>
      </c>
    </row>
    <row r="1330" spans="1:15" ht="31.5">
      <c r="A1330" s="16" t="s">
        <v>17</v>
      </c>
      <c r="B1330" s="16" t="s">
        <v>28</v>
      </c>
      <c r="C1330" s="17" t="s">
        <v>19</v>
      </c>
      <c r="D1330" s="18" t="s">
        <v>776</v>
      </c>
      <c r="E1330" s="18">
        <v>2</v>
      </c>
      <c r="F1330" s="18" t="s">
        <v>777</v>
      </c>
      <c r="G1330" s="18" t="s">
        <v>127</v>
      </c>
      <c r="H1330" s="18" t="s">
        <v>23</v>
      </c>
      <c r="I1330" s="19">
        <v>3657.06</v>
      </c>
      <c r="J1330" s="20">
        <f t="shared" si="40"/>
        <v>7314.12</v>
      </c>
      <c r="K1330" s="106"/>
      <c r="L1330" s="114"/>
      <c r="M1330" s="114">
        <f>tblAquisições[[#This Row],[VALOR UNITARIO COMPRADO]]*tblAquisições[[#This Row],[QUANTIDADE COMPRADA]]</f>
        <v>0</v>
      </c>
      <c r="N1330" s="110">
        <f>K1330-tblAquisições[[#This Row],[QUANTIDADE PLANEJADA]]</f>
        <v>-2</v>
      </c>
      <c r="O1330" s="106" t="str">
        <f t="shared" si="41"/>
        <v>Faltando Comprar</v>
      </c>
    </row>
    <row r="1331" spans="1:15" ht="47.25">
      <c r="A1331" s="16" t="s">
        <v>17</v>
      </c>
      <c r="B1331" s="16" t="s">
        <v>80</v>
      </c>
      <c r="C1331" s="17" t="s">
        <v>19</v>
      </c>
      <c r="D1331" s="18" t="s">
        <v>778</v>
      </c>
      <c r="E1331" s="18">
        <v>5</v>
      </c>
      <c r="F1331" s="18" t="s">
        <v>147</v>
      </c>
      <c r="G1331" s="18" t="s">
        <v>39</v>
      </c>
      <c r="H1331" s="18" t="s">
        <v>23</v>
      </c>
      <c r="I1331" s="19">
        <v>28809.89</v>
      </c>
      <c r="J1331" s="20">
        <f t="shared" si="40"/>
        <v>144049.45000000001</v>
      </c>
      <c r="K1331" s="106"/>
      <c r="L1331" s="114"/>
      <c r="M1331" s="114">
        <f>tblAquisições[[#This Row],[VALOR UNITARIO COMPRADO]]*tblAquisições[[#This Row],[QUANTIDADE COMPRADA]]</f>
        <v>0</v>
      </c>
      <c r="N1331" s="110">
        <f>K1331-tblAquisições[[#This Row],[QUANTIDADE PLANEJADA]]</f>
        <v>-5</v>
      </c>
      <c r="O1331" s="106" t="str">
        <f t="shared" si="41"/>
        <v>Faltando Comprar</v>
      </c>
    </row>
    <row r="1332" spans="1:15" ht="47.25">
      <c r="A1332" s="16" t="s">
        <v>17</v>
      </c>
      <c r="B1332" s="16" t="s">
        <v>41</v>
      </c>
      <c r="C1332" s="17" t="s">
        <v>19</v>
      </c>
      <c r="D1332" s="18" t="s">
        <v>779</v>
      </c>
      <c r="E1332" s="18">
        <v>3</v>
      </c>
      <c r="F1332" s="18" t="s">
        <v>78</v>
      </c>
      <c r="G1332" s="18" t="s">
        <v>22</v>
      </c>
      <c r="H1332" s="18" t="s">
        <v>23</v>
      </c>
      <c r="I1332" s="19">
        <v>28809.89</v>
      </c>
      <c r="J1332" s="20">
        <f t="shared" si="40"/>
        <v>86429.67</v>
      </c>
      <c r="K1332" s="106"/>
      <c r="L1332" s="114"/>
      <c r="M1332" s="114">
        <f>tblAquisições[[#This Row],[VALOR UNITARIO COMPRADO]]*tblAquisições[[#This Row],[QUANTIDADE COMPRADA]]</f>
        <v>0</v>
      </c>
      <c r="N1332" s="110">
        <f>K1332-tblAquisições[[#This Row],[QUANTIDADE PLANEJADA]]</f>
        <v>-3</v>
      </c>
      <c r="O1332" s="106" t="str">
        <f t="shared" si="41"/>
        <v>Faltando Comprar</v>
      </c>
    </row>
    <row r="1333" spans="1:15" ht="47.25">
      <c r="A1333" s="16" t="s">
        <v>17</v>
      </c>
      <c r="B1333" s="16" t="s">
        <v>28</v>
      </c>
      <c r="C1333" s="17" t="s">
        <v>19</v>
      </c>
      <c r="D1333" s="18" t="s">
        <v>779</v>
      </c>
      <c r="E1333" s="18">
        <v>2</v>
      </c>
      <c r="F1333" s="18" t="s">
        <v>78</v>
      </c>
      <c r="G1333" s="18" t="s">
        <v>22</v>
      </c>
      <c r="H1333" s="18" t="s">
        <v>23</v>
      </c>
      <c r="I1333" s="19">
        <v>28809.89</v>
      </c>
      <c r="J1333" s="20">
        <f t="shared" si="40"/>
        <v>57619.78</v>
      </c>
      <c r="K1333" s="106"/>
      <c r="L1333" s="114"/>
      <c r="M1333" s="114">
        <f>tblAquisições[[#This Row],[VALOR UNITARIO COMPRADO]]*tblAquisições[[#This Row],[QUANTIDADE COMPRADA]]</f>
        <v>0</v>
      </c>
      <c r="N1333" s="110">
        <f>K1333-tblAquisições[[#This Row],[QUANTIDADE PLANEJADA]]</f>
        <v>-2</v>
      </c>
      <c r="O1333" s="106" t="str">
        <f t="shared" si="41"/>
        <v>Faltando Comprar</v>
      </c>
    </row>
    <row r="1334" spans="1:15" ht="47.25">
      <c r="A1334" s="16" t="s">
        <v>17</v>
      </c>
      <c r="B1334" s="16" t="s">
        <v>80</v>
      </c>
      <c r="C1334" s="17" t="s">
        <v>19</v>
      </c>
      <c r="D1334" s="18" t="s">
        <v>780</v>
      </c>
      <c r="E1334" s="18">
        <v>10</v>
      </c>
      <c r="F1334" s="18" t="s">
        <v>147</v>
      </c>
      <c r="G1334" s="18" t="s">
        <v>39</v>
      </c>
      <c r="H1334" s="18" t="s">
        <v>23</v>
      </c>
      <c r="I1334" s="19">
        <v>20.96</v>
      </c>
      <c r="J1334" s="20">
        <f t="shared" si="40"/>
        <v>209.60000000000002</v>
      </c>
      <c r="K1334" s="106"/>
      <c r="L1334" s="114"/>
      <c r="M1334" s="114">
        <f>tblAquisições[[#This Row],[VALOR UNITARIO COMPRADO]]*tblAquisições[[#This Row],[QUANTIDADE COMPRADA]]</f>
        <v>0</v>
      </c>
      <c r="N1334" s="110">
        <f>K1334-tblAquisições[[#This Row],[QUANTIDADE PLANEJADA]]</f>
        <v>-10</v>
      </c>
      <c r="O1334" s="106" t="str">
        <f t="shared" si="41"/>
        <v>Faltando Comprar</v>
      </c>
    </row>
    <row r="1335" spans="1:15" ht="47.25">
      <c r="A1335" s="16" t="s">
        <v>17</v>
      </c>
      <c r="B1335" s="16" t="s">
        <v>28</v>
      </c>
      <c r="C1335" s="17" t="s">
        <v>19</v>
      </c>
      <c r="D1335" s="18" t="s">
        <v>781</v>
      </c>
      <c r="E1335" s="18">
        <v>50</v>
      </c>
      <c r="F1335" s="18" t="s">
        <v>78</v>
      </c>
      <c r="G1335" s="18" t="s">
        <v>22</v>
      </c>
      <c r="H1335" s="18" t="s">
        <v>65</v>
      </c>
      <c r="I1335" s="19">
        <v>20.96</v>
      </c>
      <c r="J1335" s="20">
        <f t="shared" si="40"/>
        <v>1048</v>
      </c>
      <c r="K1335" s="106"/>
      <c r="L1335" s="114"/>
      <c r="M1335" s="114">
        <f>tblAquisições[[#This Row],[VALOR UNITARIO COMPRADO]]*tblAquisições[[#This Row],[QUANTIDADE COMPRADA]]</f>
        <v>0</v>
      </c>
      <c r="N1335" s="110">
        <f>K1335-tblAquisições[[#This Row],[QUANTIDADE PLANEJADA]]</f>
        <v>-50</v>
      </c>
      <c r="O1335" s="106" t="str">
        <f t="shared" si="41"/>
        <v>Faltando Comprar</v>
      </c>
    </row>
    <row r="1336" spans="1:15" ht="31.5">
      <c r="A1336" s="16" t="s">
        <v>17</v>
      </c>
      <c r="B1336" s="16" t="s">
        <v>28</v>
      </c>
      <c r="C1336" s="17" t="s">
        <v>19</v>
      </c>
      <c r="D1336" s="18" t="s">
        <v>782</v>
      </c>
      <c r="E1336" s="18">
        <v>15</v>
      </c>
      <c r="F1336" s="18" t="s">
        <v>21</v>
      </c>
      <c r="G1336" s="18" t="s">
        <v>22</v>
      </c>
      <c r="H1336" s="18" t="s">
        <v>23</v>
      </c>
      <c r="I1336" s="19">
        <v>6.27</v>
      </c>
      <c r="J1336" s="20">
        <f t="shared" si="40"/>
        <v>94.05</v>
      </c>
      <c r="K1336" s="106"/>
      <c r="L1336" s="114"/>
      <c r="M1336" s="114">
        <f>tblAquisições[[#This Row],[VALOR UNITARIO COMPRADO]]*tblAquisições[[#This Row],[QUANTIDADE COMPRADA]]</f>
        <v>0</v>
      </c>
      <c r="N1336" s="110">
        <f>K1336-tblAquisições[[#This Row],[QUANTIDADE PLANEJADA]]</f>
        <v>-15</v>
      </c>
      <c r="O1336" s="106" t="str">
        <f t="shared" si="41"/>
        <v>Faltando Comprar</v>
      </c>
    </row>
    <row r="1337" spans="1:15" ht="31.5">
      <c r="A1337" s="16" t="s">
        <v>17</v>
      </c>
      <c r="B1337" s="16" t="s">
        <v>28</v>
      </c>
      <c r="C1337" s="17" t="s">
        <v>19</v>
      </c>
      <c r="D1337" s="18" t="s">
        <v>783</v>
      </c>
      <c r="E1337" s="18">
        <v>60</v>
      </c>
      <c r="F1337" s="18" t="s">
        <v>21</v>
      </c>
      <c r="G1337" s="18" t="s">
        <v>22</v>
      </c>
      <c r="H1337" s="18" t="s">
        <v>23</v>
      </c>
      <c r="I1337" s="19">
        <v>1.69</v>
      </c>
      <c r="J1337" s="20">
        <f t="shared" si="40"/>
        <v>101.39999999999999</v>
      </c>
      <c r="K1337" s="106"/>
      <c r="L1337" s="114"/>
      <c r="M1337" s="114">
        <f>tblAquisições[[#This Row],[VALOR UNITARIO COMPRADO]]*tblAquisições[[#This Row],[QUANTIDADE COMPRADA]]</f>
        <v>0</v>
      </c>
      <c r="N1337" s="110">
        <f>K1337-tblAquisições[[#This Row],[QUANTIDADE PLANEJADA]]</f>
        <v>-60</v>
      </c>
      <c r="O1337" s="106" t="str">
        <f t="shared" si="41"/>
        <v>Faltando Comprar</v>
      </c>
    </row>
    <row r="1338" spans="1:15" ht="31.5">
      <c r="A1338" s="16" t="s">
        <v>17</v>
      </c>
      <c r="B1338" s="16" t="s">
        <v>80</v>
      </c>
      <c r="C1338" s="17" t="s">
        <v>19</v>
      </c>
      <c r="D1338" s="18" t="s">
        <v>784</v>
      </c>
      <c r="E1338" s="18">
        <v>1</v>
      </c>
      <c r="F1338" s="18" t="s">
        <v>38</v>
      </c>
      <c r="G1338" s="18" t="s">
        <v>39</v>
      </c>
      <c r="H1338" s="21"/>
      <c r="I1338" s="19">
        <v>412.84</v>
      </c>
      <c r="J1338" s="20">
        <f t="shared" si="40"/>
        <v>412.84</v>
      </c>
      <c r="K1338" s="106"/>
      <c r="L1338" s="114"/>
      <c r="M1338" s="114">
        <f>tblAquisições[[#This Row],[VALOR UNITARIO COMPRADO]]*tblAquisições[[#This Row],[QUANTIDADE COMPRADA]]</f>
        <v>0</v>
      </c>
      <c r="N1338" s="110">
        <f>K1338-tblAquisições[[#This Row],[QUANTIDADE PLANEJADA]]</f>
        <v>-1</v>
      </c>
      <c r="O1338" s="106" t="str">
        <f t="shared" si="41"/>
        <v>Faltando Comprar</v>
      </c>
    </row>
    <row r="1339" spans="1:15" ht="31.5">
      <c r="A1339" s="16" t="s">
        <v>17</v>
      </c>
      <c r="B1339" s="16" t="s">
        <v>25</v>
      </c>
      <c r="C1339" s="17" t="s">
        <v>19</v>
      </c>
      <c r="D1339" s="18" t="s">
        <v>785</v>
      </c>
      <c r="E1339" s="18">
        <v>6</v>
      </c>
      <c r="F1339" s="18" t="s">
        <v>21</v>
      </c>
      <c r="G1339" s="18" t="s">
        <v>22</v>
      </c>
      <c r="H1339" s="18" t="s">
        <v>23</v>
      </c>
      <c r="I1339" s="19">
        <v>34.85</v>
      </c>
      <c r="J1339" s="20">
        <f t="shared" si="40"/>
        <v>209.10000000000002</v>
      </c>
      <c r="K1339" s="106"/>
      <c r="L1339" s="114"/>
      <c r="M1339" s="114">
        <f>tblAquisições[[#This Row],[VALOR UNITARIO COMPRADO]]*tblAquisições[[#This Row],[QUANTIDADE COMPRADA]]</f>
        <v>0</v>
      </c>
      <c r="N1339" s="110">
        <f>K1339-tblAquisições[[#This Row],[QUANTIDADE PLANEJADA]]</f>
        <v>-6</v>
      </c>
      <c r="O1339" s="106" t="str">
        <f t="shared" si="41"/>
        <v>Faltando Comprar</v>
      </c>
    </row>
    <row r="1340" spans="1:15" ht="31.5">
      <c r="A1340" s="16" t="s">
        <v>17</v>
      </c>
      <c r="B1340" s="16" t="s">
        <v>27</v>
      </c>
      <c r="C1340" s="17" t="s">
        <v>19</v>
      </c>
      <c r="D1340" s="18" t="s">
        <v>785</v>
      </c>
      <c r="E1340" s="18">
        <v>5</v>
      </c>
      <c r="F1340" s="18" t="s">
        <v>21</v>
      </c>
      <c r="G1340" s="18" t="s">
        <v>22</v>
      </c>
      <c r="H1340" s="18" t="s">
        <v>23</v>
      </c>
      <c r="I1340" s="19">
        <v>34.85</v>
      </c>
      <c r="J1340" s="20">
        <f t="shared" si="40"/>
        <v>174.25</v>
      </c>
      <c r="K1340" s="106"/>
      <c r="L1340" s="114"/>
      <c r="M1340" s="114">
        <f>tblAquisições[[#This Row],[VALOR UNITARIO COMPRADO]]*tblAquisições[[#This Row],[QUANTIDADE COMPRADA]]</f>
        <v>0</v>
      </c>
      <c r="N1340" s="110">
        <f>K1340-tblAquisições[[#This Row],[QUANTIDADE PLANEJADA]]</f>
        <v>-5</v>
      </c>
      <c r="O1340" s="106" t="str">
        <f t="shared" si="41"/>
        <v>Faltando Comprar</v>
      </c>
    </row>
    <row r="1341" spans="1:15" ht="31.5">
      <c r="A1341" s="16" t="s">
        <v>17</v>
      </c>
      <c r="B1341" s="16" t="s">
        <v>80</v>
      </c>
      <c r="C1341" s="17" t="s">
        <v>19</v>
      </c>
      <c r="D1341" s="18" t="s">
        <v>786</v>
      </c>
      <c r="E1341" s="18">
        <v>6</v>
      </c>
      <c r="F1341" s="18" t="s">
        <v>38</v>
      </c>
      <c r="G1341" s="18" t="s">
        <v>39</v>
      </c>
      <c r="H1341" s="18" t="s">
        <v>23</v>
      </c>
      <c r="I1341" s="19">
        <v>155.86000000000001</v>
      </c>
      <c r="J1341" s="20">
        <f t="shared" si="40"/>
        <v>935.16000000000008</v>
      </c>
      <c r="K1341" s="106"/>
      <c r="L1341" s="114"/>
      <c r="M1341" s="114">
        <f>tblAquisições[[#This Row],[VALOR UNITARIO COMPRADO]]*tblAquisições[[#This Row],[QUANTIDADE COMPRADA]]</f>
        <v>0</v>
      </c>
      <c r="N1341" s="110">
        <f>K1341-tblAquisições[[#This Row],[QUANTIDADE PLANEJADA]]</f>
        <v>-6</v>
      </c>
      <c r="O1341" s="106" t="str">
        <f t="shared" si="41"/>
        <v>Faltando Comprar</v>
      </c>
    </row>
    <row r="1342" spans="1:15" ht="31.5">
      <c r="A1342" s="16" t="s">
        <v>17</v>
      </c>
      <c r="B1342" s="16" t="s">
        <v>41</v>
      </c>
      <c r="C1342" s="17" t="s">
        <v>19</v>
      </c>
      <c r="D1342" s="18" t="s">
        <v>787</v>
      </c>
      <c r="E1342" s="18">
        <v>50</v>
      </c>
      <c r="F1342" s="18" t="s">
        <v>21</v>
      </c>
      <c r="G1342" s="18" t="s">
        <v>22</v>
      </c>
      <c r="H1342" s="18" t="s">
        <v>23</v>
      </c>
      <c r="I1342" s="19">
        <v>155.86000000000001</v>
      </c>
      <c r="J1342" s="20">
        <f t="shared" si="40"/>
        <v>7793.0000000000009</v>
      </c>
      <c r="K1342" s="106"/>
      <c r="L1342" s="114"/>
      <c r="M1342" s="114">
        <f>tblAquisições[[#This Row],[VALOR UNITARIO COMPRADO]]*tblAquisições[[#This Row],[QUANTIDADE COMPRADA]]</f>
        <v>0</v>
      </c>
      <c r="N1342" s="110">
        <f>K1342-tblAquisições[[#This Row],[QUANTIDADE PLANEJADA]]</f>
        <v>-50</v>
      </c>
      <c r="O1342" s="106" t="str">
        <f t="shared" si="41"/>
        <v>Faltando Comprar</v>
      </c>
    </row>
    <row r="1343" spans="1:15" ht="31.5">
      <c r="A1343" s="16" t="s">
        <v>17</v>
      </c>
      <c r="B1343" s="16" t="s">
        <v>26</v>
      </c>
      <c r="C1343" s="17" t="s">
        <v>19</v>
      </c>
      <c r="D1343" s="18" t="s">
        <v>787</v>
      </c>
      <c r="E1343" s="18">
        <v>3</v>
      </c>
      <c r="F1343" s="18" t="s">
        <v>21</v>
      </c>
      <c r="G1343" s="18" t="s">
        <v>22</v>
      </c>
      <c r="H1343" s="18" t="s">
        <v>23</v>
      </c>
      <c r="I1343" s="19">
        <v>155.86000000000001</v>
      </c>
      <c r="J1343" s="20">
        <f t="shared" si="40"/>
        <v>467.58000000000004</v>
      </c>
      <c r="K1343" s="106"/>
      <c r="L1343" s="114"/>
      <c r="M1343" s="114">
        <f>tblAquisições[[#This Row],[VALOR UNITARIO COMPRADO]]*tblAquisições[[#This Row],[QUANTIDADE COMPRADA]]</f>
        <v>0</v>
      </c>
      <c r="N1343" s="110">
        <f>K1343-tblAquisições[[#This Row],[QUANTIDADE PLANEJADA]]</f>
        <v>-3</v>
      </c>
      <c r="O1343" s="106" t="str">
        <f t="shared" si="41"/>
        <v>Faltando Comprar</v>
      </c>
    </row>
    <row r="1344" spans="1:15" ht="31.5">
      <c r="A1344" s="16" t="s">
        <v>17</v>
      </c>
      <c r="B1344" s="16" t="s">
        <v>28</v>
      </c>
      <c r="C1344" s="17" t="s">
        <v>19</v>
      </c>
      <c r="D1344" s="18" t="s">
        <v>787</v>
      </c>
      <c r="E1344" s="18">
        <v>56</v>
      </c>
      <c r="F1344" s="18" t="s">
        <v>21</v>
      </c>
      <c r="G1344" s="18" t="s">
        <v>22</v>
      </c>
      <c r="H1344" s="18" t="s">
        <v>23</v>
      </c>
      <c r="I1344" s="19">
        <v>155.86000000000001</v>
      </c>
      <c r="J1344" s="20">
        <f t="shared" si="40"/>
        <v>8728.16</v>
      </c>
      <c r="K1344" s="106"/>
      <c r="L1344" s="114"/>
      <c r="M1344" s="114">
        <f>tblAquisições[[#This Row],[VALOR UNITARIO COMPRADO]]*tblAquisições[[#This Row],[QUANTIDADE COMPRADA]]</f>
        <v>0</v>
      </c>
      <c r="N1344" s="110">
        <f>K1344-tblAquisições[[#This Row],[QUANTIDADE PLANEJADA]]</f>
        <v>-56</v>
      </c>
      <c r="O1344" s="106" t="str">
        <f t="shared" si="41"/>
        <v>Faltando Comprar</v>
      </c>
    </row>
    <row r="1345" spans="1:15" ht="31.5">
      <c r="A1345" s="16" t="s">
        <v>17</v>
      </c>
      <c r="B1345" s="16" t="s">
        <v>28</v>
      </c>
      <c r="C1345" s="17" t="s">
        <v>19</v>
      </c>
      <c r="D1345" s="18" t="s">
        <v>788</v>
      </c>
      <c r="E1345" s="18">
        <v>12</v>
      </c>
      <c r="F1345" s="18" t="s">
        <v>21</v>
      </c>
      <c r="G1345" s="18" t="s">
        <v>22</v>
      </c>
      <c r="H1345" s="18" t="s">
        <v>23</v>
      </c>
      <c r="I1345" s="19">
        <v>16.2</v>
      </c>
      <c r="J1345" s="20">
        <f t="shared" si="40"/>
        <v>194.39999999999998</v>
      </c>
      <c r="K1345" s="106"/>
      <c r="L1345" s="114"/>
      <c r="M1345" s="114">
        <f>tblAquisições[[#This Row],[VALOR UNITARIO COMPRADO]]*tblAquisições[[#This Row],[QUANTIDADE COMPRADA]]</f>
        <v>0</v>
      </c>
      <c r="N1345" s="110">
        <f>K1345-tblAquisições[[#This Row],[QUANTIDADE PLANEJADA]]</f>
        <v>-12</v>
      </c>
      <c r="O1345" s="106" t="str">
        <f t="shared" si="41"/>
        <v>Faltando Comprar</v>
      </c>
    </row>
    <row r="1346" spans="1:15" ht="47.25">
      <c r="A1346" s="16" t="s">
        <v>17</v>
      </c>
      <c r="B1346" s="16" t="s">
        <v>28</v>
      </c>
      <c r="C1346" s="17" t="s">
        <v>19</v>
      </c>
      <c r="D1346" s="18" t="s">
        <v>789</v>
      </c>
      <c r="E1346" s="18">
        <v>30</v>
      </c>
      <c r="F1346" s="18" t="s">
        <v>58</v>
      </c>
      <c r="G1346" s="18" t="s">
        <v>22</v>
      </c>
      <c r="H1346" s="18" t="s">
        <v>65</v>
      </c>
      <c r="I1346" s="19">
        <v>169.91</v>
      </c>
      <c r="J1346" s="20">
        <f t="shared" ref="J1346:J1409" si="42">E1346*I1346</f>
        <v>5097.3</v>
      </c>
      <c r="K1346" s="106"/>
      <c r="L1346" s="114"/>
      <c r="M1346" s="114">
        <f>tblAquisições[[#This Row],[VALOR UNITARIO COMPRADO]]*tblAquisições[[#This Row],[QUANTIDADE COMPRADA]]</f>
        <v>0</v>
      </c>
      <c r="N1346" s="110">
        <f>K1346-tblAquisições[[#This Row],[QUANTIDADE PLANEJADA]]</f>
        <v>-30</v>
      </c>
      <c r="O1346" s="106" t="str">
        <f t="shared" ref="O1346:O1409" si="43">IF(K1346=E1346,"OK",IF(K1346&lt;E1346,"Faltando Comprar","Excedente"))</f>
        <v>Faltando Comprar</v>
      </c>
    </row>
    <row r="1347" spans="1:15" ht="31.5">
      <c r="A1347" s="16" t="s">
        <v>17</v>
      </c>
      <c r="B1347" s="16" t="s">
        <v>17</v>
      </c>
      <c r="C1347" s="17" t="s">
        <v>19</v>
      </c>
      <c r="D1347" s="18" t="s">
        <v>790</v>
      </c>
      <c r="E1347" s="18">
        <v>1000</v>
      </c>
      <c r="F1347" s="18" t="s">
        <v>38</v>
      </c>
      <c r="G1347" s="18" t="s">
        <v>39</v>
      </c>
      <c r="H1347" s="18" t="s">
        <v>23</v>
      </c>
      <c r="I1347" s="19">
        <v>1.61</v>
      </c>
      <c r="J1347" s="20">
        <f t="shared" si="42"/>
        <v>1610</v>
      </c>
      <c r="K1347" s="106"/>
      <c r="L1347" s="114"/>
      <c r="M1347" s="114">
        <f>tblAquisições[[#This Row],[VALOR UNITARIO COMPRADO]]*tblAquisições[[#This Row],[QUANTIDADE COMPRADA]]</f>
        <v>0</v>
      </c>
      <c r="N1347" s="110">
        <f>K1347-tblAquisições[[#This Row],[QUANTIDADE PLANEJADA]]</f>
        <v>-1000</v>
      </c>
      <c r="O1347" s="106" t="str">
        <f t="shared" si="43"/>
        <v>Faltando Comprar</v>
      </c>
    </row>
    <row r="1348" spans="1:15" ht="31.5">
      <c r="A1348" s="16" t="s">
        <v>17</v>
      </c>
      <c r="B1348" s="16" t="s">
        <v>31</v>
      </c>
      <c r="C1348" s="17" t="s">
        <v>19</v>
      </c>
      <c r="D1348" s="18" t="s">
        <v>791</v>
      </c>
      <c r="E1348" s="18">
        <v>100</v>
      </c>
      <c r="F1348" s="18" t="s">
        <v>21</v>
      </c>
      <c r="G1348" s="18" t="s">
        <v>22</v>
      </c>
      <c r="H1348" s="18" t="s">
        <v>23</v>
      </c>
      <c r="I1348" s="19">
        <v>1.61</v>
      </c>
      <c r="J1348" s="20">
        <f t="shared" si="42"/>
        <v>161</v>
      </c>
      <c r="K1348" s="106"/>
      <c r="L1348" s="114"/>
      <c r="M1348" s="114">
        <f>tblAquisições[[#This Row],[VALOR UNITARIO COMPRADO]]*tblAquisições[[#This Row],[QUANTIDADE COMPRADA]]</f>
        <v>0</v>
      </c>
      <c r="N1348" s="110">
        <f>K1348-tblAquisições[[#This Row],[QUANTIDADE PLANEJADA]]</f>
        <v>-100</v>
      </c>
      <c r="O1348" s="106" t="str">
        <f t="shared" si="43"/>
        <v>Faltando Comprar</v>
      </c>
    </row>
    <row r="1349" spans="1:15" ht="31.5">
      <c r="A1349" s="16" t="s">
        <v>17</v>
      </c>
      <c r="B1349" s="16" t="s">
        <v>41</v>
      </c>
      <c r="C1349" s="17" t="s">
        <v>19</v>
      </c>
      <c r="D1349" s="18" t="s">
        <v>791</v>
      </c>
      <c r="E1349" s="18">
        <v>500</v>
      </c>
      <c r="F1349" s="18" t="s">
        <v>21</v>
      </c>
      <c r="G1349" s="18" t="s">
        <v>22</v>
      </c>
      <c r="H1349" s="18" t="s">
        <v>23</v>
      </c>
      <c r="I1349" s="19">
        <v>1.61</v>
      </c>
      <c r="J1349" s="20">
        <f t="shared" si="42"/>
        <v>805</v>
      </c>
      <c r="K1349" s="106"/>
      <c r="L1349" s="114"/>
      <c r="M1349" s="114">
        <f>tblAquisições[[#This Row],[VALOR UNITARIO COMPRADO]]*tblAquisições[[#This Row],[QUANTIDADE COMPRADA]]</f>
        <v>0</v>
      </c>
      <c r="N1349" s="110">
        <f>K1349-tblAquisições[[#This Row],[QUANTIDADE PLANEJADA]]</f>
        <v>-500</v>
      </c>
      <c r="O1349" s="106" t="str">
        <f t="shared" si="43"/>
        <v>Faltando Comprar</v>
      </c>
    </row>
    <row r="1350" spans="1:15" ht="31.5">
      <c r="A1350" s="16" t="s">
        <v>17</v>
      </c>
      <c r="B1350" s="16" t="s">
        <v>28</v>
      </c>
      <c r="C1350" s="17" t="s">
        <v>19</v>
      </c>
      <c r="D1350" s="18" t="s">
        <v>791</v>
      </c>
      <c r="E1350" s="18">
        <v>100</v>
      </c>
      <c r="F1350" s="18" t="s">
        <v>21</v>
      </c>
      <c r="G1350" s="18" t="s">
        <v>22</v>
      </c>
      <c r="H1350" s="18" t="s">
        <v>23</v>
      </c>
      <c r="I1350" s="19">
        <v>1.61</v>
      </c>
      <c r="J1350" s="20">
        <f t="shared" si="42"/>
        <v>161</v>
      </c>
      <c r="K1350" s="106"/>
      <c r="L1350" s="114"/>
      <c r="M1350" s="114">
        <f>tblAquisições[[#This Row],[VALOR UNITARIO COMPRADO]]*tblAquisições[[#This Row],[QUANTIDADE COMPRADA]]</f>
        <v>0</v>
      </c>
      <c r="N1350" s="110">
        <f>K1350-tblAquisições[[#This Row],[QUANTIDADE PLANEJADA]]</f>
        <v>-100</v>
      </c>
      <c r="O1350" s="106" t="str">
        <f t="shared" si="43"/>
        <v>Faltando Comprar</v>
      </c>
    </row>
    <row r="1351" spans="1:15" ht="31.5">
      <c r="A1351" s="16" t="s">
        <v>17</v>
      </c>
      <c r="B1351" s="16" t="s">
        <v>31</v>
      </c>
      <c r="C1351" s="17" t="s">
        <v>19</v>
      </c>
      <c r="D1351" s="18" t="s">
        <v>792</v>
      </c>
      <c r="E1351" s="18">
        <v>40</v>
      </c>
      <c r="F1351" s="18" t="s">
        <v>21</v>
      </c>
      <c r="G1351" s="18" t="s">
        <v>22</v>
      </c>
      <c r="H1351" s="18" t="s">
        <v>23</v>
      </c>
      <c r="I1351" s="19">
        <v>1.37</v>
      </c>
      <c r="J1351" s="20">
        <f t="shared" si="42"/>
        <v>54.800000000000004</v>
      </c>
      <c r="K1351" s="106"/>
      <c r="L1351" s="114"/>
      <c r="M1351" s="114">
        <f>tblAquisições[[#This Row],[VALOR UNITARIO COMPRADO]]*tblAquisições[[#This Row],[QUANTIDADE COMPRADA]]</f>
        <v>0</v>
      </c>
      <c r="N1351" s="110">
        <f>K1351-tblAquisições[[#This Row],[QUANTIDADE PLANEJADA]]</f>
        <v>-40</v>
      </c>
      <c r="O1351" s="106" t="str">
        <f t="shared" si="43"/>
        <v>Faltando Comprar</v>
      </c>
    </row>
    <row r="1352" spans="1:15" ht="31.5">
      <c r="A1352" s="16" t="s">
        <v>17</v>
      </c>
      <c r="B1352" s="16" t="s">
        <v>28</v>
      </c>
      <c r="C1352" s="17" t="s">
        <v>19</v>
      </c>
      <c r="D1352" s="18" t="s">
        <v>792</v>
      </c>
      <c r="E1352" s="18">
        <v>24</v>
      </c>
      <c r="F1352" s="18" t="s">
        <v>21</v>
      </c>
      <c r="G1352" s="18" t="s">
        <v>22</v>
      </c>
      <c r="H1352" s="18" t="s">
        <v>23</v>
      </c>
      <c r="I1352" s="19">
        <v>1.37</v>
      </c>
      <c r="J1352" s="20">
        <f t="shared" si="42"/>
        <v>32.880000000000003</v>
      </c>
      <c r="K1352" s="106"/>
      <c r="L1352" s="114"/>
      <c r="M1352" s="114">
        <f>tblAquisições[[#This Row],[VALOR UNITARIO COMPRADO]]*tblAquisições[[#This Row],[QUANTIDADE COMPRADA]]</f>
        <v>0</v>
      </c>
      <c r="N1352" s="110">
        <f>K1352-tblAquisições[[#This Row],[QUANTIDADE PLANEJADA]]</f>
        <v>-24</v>
      </c>
      <c r="O1352" s="106" t="str">
        <f t="shared" si="43"/>
        <v>Faltando Comprar</v>
      </c>
    </row>
    <row r="1353" spans="1:15" ht="47.25">
      <c r="A1353" s="16" t="s">
        <v>17</v>
      </c>
      <c r="B1353" s="16" t="s">
        <v>34</v>
      </c>
      <c r="C1353" s="17" t="s">
        <v>19</v>
      </c>
      <c r="D1353" s="18" t="s">
        <v>793</v>
      </c>
      <c r="E1353" s="18">
        <v>1</v>
      </c>
      <c r="F1353" s="18" t="s">
        <v>58</v>
      </c>
      <c r="G1353" s="18" t="s">
        <v>22</v>
      </c>
      <c r="H1353" s="18" t="s">
        <v>65</v>
      </c>
      <c r="I1353" s="19">
        <v>35.32</v>
      </c>
      <c r="J1353" s="20">
        <f t="shared" si="42"/>
        <v>35.32</v>
      </c>
      <c r="K1353" s="106"/>
      <c r="L1353" s="114"/>
      <c r="M1353" s="114">
        <f>tblAquisições[[#This Row],[VALOR UNITARIO COMPRADO]]*tblAquisições[[#This Row],[QUANTIDADE COMPRADA]]</f>
        <v>0</v>
      </c>
      <c r="N1353" s="110">
        <f>K1353-tblAquisições[[#This Row],[QUANTIDADE PLANEJADA]]</f>
        <v>-1</v>
      </c>
      <c r="O1353" s="106" t="str">
        <f t="shared" si="43"/>
        <v>Faltando Comprar</v>
      </c>
    </row>
    <row r="1354" spans="1:15" ht="47.25">
      <c r="A1354" s="16" t="s">
        <v>17</v>
      </c>
      <c r="B1354" s="16" t="s">
        <v>25</v>
      </c>
      <c r="C1354" s="17" t="s">
        <v>19</v>
      </c>
      <c r="D1354" s="18" t="s">
        <v>794</v>
      </c>
      <c r="E1354" s="18">
        <v>10</v>
      </c>
      <c r="F1354" s="18" t="s">
        <v>78</v>
      </c>
      <c r="G1354" s="18" t="s">
        <v>22</v>
      </c>
      <c r="H1354" s="18" t="s">
        <v>23</v>
      </c>
      <c r="I1354" s="19">
        <v>24.13</v>
      </c>
      <c r="J1354" s="20">
        <f t="shared" si="42"/>
        <v>241.29999999999998</v>
      </c>
      <c r="K1354" s="106"/>
      <c r="L1354" s="114"/>
      <c r="M1354" s="114">
        <f>tblAquisições[[#This Row],[VALOR UNITARIO COMPRADO]]*tblAquisições[[#This Row],[QUANTIDADE COMPRADA]]</f>
        <v>0</v>
      </c>
      <c r="N1354" s="110">
        <f>K1354-tblAquisições[[#This Row],[QUANTIDADE PLANEJADA]]</f>
        <v>-10</v>
      </c>
      <c r="O1354" s="106" t="str">
        <f t="shared" si="43"/>
        <v>Faltando Comprar</v>
      </c>
    </row>
    <row r="1355" spans="1:15" ht="47.25">
      <c r="A1355" s="16" t="s">
        <v>17</v>
      </c>
      <c r="B1355" s="16" t="s">
        <v>27</v>
      </c>
      <c r="C1355" s="17" t="s">
        <v>19</v>
      </c>
      <c r="D1355" s="18" t="s">
        <v>794</v>
      </c>
      <c r="E1355" s="18">
        <v>10</v>
      </c>
      <c r="F1355" s="18" t="s">
        <v>78</v>
      </c>
      <c r="G1355" s="18" t="s">
        <v>22</v>
      </c>
      <c r="H1355" s="18" t="s">
        <v>23</v>
      </c>
      <c r="I1355" s="19">
        <v>24.13</v>
      </c>
      <c r="J1355" s="20">
        <f t="shared" si="42"/>
        <v>241.29999999999998</v>
      </c>
      <c r="K1355" s="106"/>
      <c r="L1355" s="114"/>
      <c r="M1355" s="114">
        <f>tblAquisições[[#This Row],[VALOR UNITARIO COMPRADO]]*tblAquisições[[#This Row],[QUANTIDADE COMPRADA]]</f>
        <v>0</v>
      </c>
      <c r="N1355" s="110">
        <f>K1355-tblAquisições[[#This Row],[QUANTIDADE PLANEJADA]]</f>
        <v>-10</v>
      </c>
      <c r="O1355" s="106" t="str">
        <f t="shared" si="43"/>
        <v>Faltando Comprar</v>
      </c>
    </row>
    <row r="1356" spans="1:15" ht="47.25">
      <c r="A1356" s="16" t="s">
        <v>17</v>
      </c>
      <c r="B1356" s="16" t="s">
        <v>31</v>
      </c>
      <c r="C1356" s="17" t="s">
        <v>19</v>
      </c>
      <c r="D1356" s="18" t="s">
        <v>795</v>
      </c>
      <c r="E1356" s="18">
        <v>75</v>
      </c>
      <c r="F1356" s="18" t="s">
        <v>78</v>
      </c>
      <c r="G1356" s="18" t="s">
        <v>22</v>
      </c>
      <c r="H1356" s="18" t="s">
        <v>23</v>
      </c>
      <c r="I1356" s="19">
        <v>0.82</v>
      </c>
      <c r="J1356" s="20">
        <f t="shared" si="42"/>
        <v>61.499999999999993</v>
      </c>
      <c r="K1356" s="106"/>
      <c r="L1356" s="114"/>
      <c r="M1356" s="114">
        <f>tblAquisições[[#This Row],[VALOR UNITARIO COMPRADO]]*tblAquisições[[#This Row],[QUANTIDADE COMPRADA]]</f>
        <v>0</v>
      </c>
      <c r="N1356" s="110">
        <f>K1356-tblAquisições[[#This Row],[QUANTIDADE PLANEJADA]]</f>
        <v>-75</v>
      </c>
      <c r="O1356" s="106" t="str">
        <f t="shared" si="43"/>
        <v>Faltando Comprar</v>
      </c>
    </row>
    <row r="1357" spans="1:15" ht="31.5">
      <c r="A1357" s="16" t="s">
        <v>17</v>
      </c>
      <c r="B1357" s="16" t="s">
        <v>28</v>
      </c>
      <c r="C1357" s="17" t="s">
        <v>19</v>
      </c>
      <c r="D1357" s="18" t="s">
        <v>796</v>
      </c>
      <c r="E1357" s="18">
        <v>46</v>
      </c>
      <c r="F1357" s="18" t="s">
        <v>21</v>
      </c>
      <c r="G1357" s="18" t="s">
        <v>22</v>
      </c>
      <c r="H1357" s="18" t="s">
        <v>23</v>
      </c>
      <c r="I1357" s="19">
        <v>22.56</v>
      </c>
      <c r="J1357" s="20">
        <f t="shared" si="42"/>
        <v>1037.76</v>
      </c>
      <c r="K1357" s="106"/>
      <c r="L1357" s="114"/>
      <c r="M1357" s="114">
        <f>tblAquisições[[#This Row],[VALOR UNITARIO COMPRADO]]*tblAquisições[[#This Row],[QUANTIDADE COMPRADA]]</f>
        <v>0</v>
      </c>
      <c r="N1357" s="110">
        <f>K1357-tblAquisições[[#This Row],[QUANTIDADE PLANEJADA]]</f>
        <v>-46</v>
      </c>
      <c r="O1357" s="106" t="str">
        <f t="shared" si="43"/>
        <v>Faltando Comprar</v>
      </c>
    </row>
    <row r="1358" spans="1:15" ht="47.25">
      <c r="A1358" s="16" t="s">
        <v>17</v>
      </c>
      <c r="B1358" s="16" t="s">
        <v>25</v>
      </c>
      <c r="C1358" s="17" t="s">
        <v>19</v>
      </c>
      <c r="D1358" s="18" t="s">
        <v>797</v>
      </c>
      <c r="E1358" s="18">
        <v>10</v>
      </c>
      <c r="F1358" s="18" t="s">
        <v>78</v>
      </c>
      <c r="G1358" s="18" t="s">
        <v>22</v>
      </c>
      <c r="H1358" s="18" t="s">
        <v>23</v>
      </c>
      <c r="I1358" s="19">
        <v>42.2</v>
      </c>
      <c r="J1358" s="20">
        <f t="shared" si="42"/>
        <v>422</v>
      </c>
      <c r="K1358" s="106"/>
      <c r="L1358" s="114"/>
      <c r="M1358" s="114">
        <f>tblAquisições[[#This Row],[VALOR UNITARIO COMPRADO]]*tblAquisições[[#This Row],[QUANTIDADE COMPRADA]]</f>
        <v>0</v>
      </c>
      <c r="N1358" s="110">
        <f>K1358-tblAquisições[[#This Row],[QUANTIDADE PLANEJADA]]</f>
        <v>-10</v>
      </c>
      <c r="O1358" s="106" t="str">
        <f t="shared" si="43"/>
        <v>Faltando Comprar</v>
      </c>
    </row>
    <row r="1359" spans="1:15" ht="47.25">
      <c r="A1359" s="16" t="s">
        <v>17</v>
      </c>
      <c r="B1359" s="16" t="s">
        <v>27</v>
      </c>
      <c r="C1359" s="17" t="s">
        <v>19</v>
      </c>
      <c r="D1359" s="18" t="s">
        <v>797</v>
      </c>
      <c r="E1359" s="18">
        <v>10</v>
      </c>
      <c r="F1359" s="18" t="s">
        <v>78</v>
      </c>
      <c r="G1359" s="18" t="s">
        <v>22</v>
      </c>
      <c r="H1359" s="18" t="s">
        <v>23</v>
      </c>
      <c r="I1359" s="19">
        <v>42.2</v>
      </c>
      <c r="J1359" s="20">
        <f t="shared" si="42"/>
        <v>422</v>
      </c>
      <c r="K1359" s="106"/>
      <c r="L1359" s="114"/>
      <c r="M1359" s="114">
        <f>tblAquisições[[#This Row],[VALOR UNITARIO COMPRADO]]*tblAquisições[[#This Row],[QUANTIDADE COMPRADA]]</f>
        <v>0</v>
      </c>
      <c r="N1359" s="110">
        <f>K1359-tblAquisições[[#This Row],[QUANTIDADE PLANEJADA]]</f>
        <v>-10</v>
      </c>
      <c r="O1359" s="106" t="str">
        <f t="shared" si="43"/>
        <v>Faltando Comprar</v>
      </c>
    </row>
    <row r="1360" spans="1:15" ht="47.25">
      <c r="A1360" s="16" t="s">
        <v>17</v>
      </c>
      <c r="B1360" s="16" t="s">
        <v>28</v>
      </c>
      <c r="C1360" s="17" t="s">
        <v>19</v>
      </c>
      <c r="D1360" s="18" t="s">
        <v>797</v>
      </c>
      <c r="E1360" s="18">
        <v>6</v>
      </c>
      <c r="F1360" s="18" t="s">
        <v>78</v>
      </c>
      <c r="G1360" s="18" t="s">
        <v>22</v>
      </c>
      <c r="H1360" s="18" t="s">
        <v>23</v>
      </c>
      <c r="I1360" s="19">
        <v>42.2</v>
      </c>
      <c r="J1360" s="20">
        <f t="shared" si="42"/>
        <v>253.20000000000002</v>
      </c>
      <c r="K1360" s="106"/>
      <c r="L1360" s="114"/>
      <c r="M1360" s="114">
        <f>tblAquisições[[#This Row],[VALOR UNITARIO COMPRADO]]*tblAquisições[[#This Row],[QUANTIDADE COMPRADA]]</f>
        <v>0</v>
      </c>
      <c r="N1360" s="110">
        <f>K1360-tblAquisições[[#This Row],[QUANTIDADE PLANEJADA]]</f>
        <v>-6</v>
      </c>
      <c r="O1360" s="106" t="str">
        <f t="shared" si="43"/>
        <v>Faltando Comprar</v>
      </c>
    </row>
    <row r="1361" spans="1:15" ht="31.5">
      <c r="A1361" s="16" t="s">
        <v>17</v>
      </c>
      <c r="B1361" s="16" t="s">
        <v>41</v>
      </c>
      <c r="C1361" s="17" t="s">
        <v>19</v>
      </c>
      <c r="D1361" s="18" t="s">
        <v>798</v>
      </c>
      <c r="E1361" s="18">
        <v>20</v>
      </c>
      <c r="F1361" s="18" t="s">
        <v>21</v>
      </c>
      <c r="G1361" s="18" t="s">
        <v>22</v>
      </c>
      <c r="H1361" s="18" t="s">
        <v>23</v>
      </c>
      <c r="I1361" s="19">
        <v>5.36</v>
      </c>
      <c r="J1361" s="20">
        <f t="shared" si="42"/>
        <v>107.2</v>
      </c>
      <c r="K1361" s="106"/>
      <c r="L1361" s="114"/>
      <c r="M1361" s="114">
        <f>tblAquisições[[#This Row],[VALOR UNITARIO COMPRADO]]*tblAquisições[[#This Row],[QUANTIDADE COMPRADA]]</f>
        <v>0</v>
      </c>
      <c r="N1361" s="110">
        <f>K1361-tblAquisições[[#This Row],[QUANTIDADE PLANEJADA]]</f>
        <v>-20</v>
      </c>
      <c r="O1361" s="106" t="str">
        <f t="shared" si="43"/>
        <v>Faltando Comprar</v>
      </c>
    </row>
    <row r="1362" spans="1:15" ht="47.25">
      <c r="A1362" s="16" t="s">
        <v>17</v>
      </c>
      <c r="B1362" s="16" t="s">
        <v>26</v>
      </c>
      <c r="C1362" s="17" t="s">
        <v>19</v>
      </c>
      <c r="D1362" s="18" t="s">
        <v>799</v>
      </c>
      <c r="E1362" s="18">
        <v>10</v>
      </c>
      <c r="F1362" s="18" t="s">
        <v>58</v>
      </c>
      <c r="G1362" s="18" t="s">
        <v>22</v>
      </c>
      <c r="H1362" s="18" t="s">
        <v>23</v>
      </c>
      <c r="I1362" s="19">
        <v>29.89</v>
      </c>
      <c r="J1362" s="20">
        <f t="shared" si="42"/>
        <v>298.89999999999998</v>
      </c>
      <c r="K1362" s="106"/>
      <c r="L1362" s="114"/>
      <c r="M1362" s="114">
        <f>tblAquisições[[#This Row],[VALOR UNITARIO COMPRADO]]*tblAquisições[[#This Row],[QUANTIDADE COMPRADA]]</f>
        <v>0</v>
      </c>
      <c r="N1362" s="110">
        <f>K1362-tblAquisições[[#This Row],[QUANTIDADE PLANEJADA]]</f>
        <v>-10</v>
      </c>
      <c r="O1362" s="106" t="str">
        <f t="shared" si="43"/>
        <v>Faltando Comprar</v>
      </c>
    </row>
    <row r="1363" spans="1:15" ht="47.25">
      <c r="A1363" s="16" t="s">
        <v>17</v>
      </c>
      <c r="B1363" s="16" t="s">
        <v>28</v>
      </c>
      <c r="C1363" s="17" t="s">
        <v>19</v>
      </c>
      <c r="D1363" s="18" t="s">
        <v>799</v>
      </c>
      <c r="E1363" s="18">
        <v>10</v>
      </c>
      <c r="F1363" s="18" t="s">
        <v>58</v>
      </c>
      <c r="G1363" s="18" t="s">
        <v>22</v>
      </c>
      <c r="H1363" s="18" t="s">
        <v>23</v>
      </c>
      <c r="I1363" s="19">
        <v>29.89</v>
      </c>
      <c r="J1363" s="20">
        <f t="shared" si="42"/>
        <v>298.89999999999998</v>
      </c>
      <c r="K1363" s="106"/>
      <c r="L1363" s="114"/>
      <c r="M1363" s="114">
        <f>tblAquisições[[#This Row],[VALOR UNITARIO COMPRADO]]*tblAquisições[[#This Row],[QUANTIDADE COMPRADA]]</f>
        <v>0</v>
      </c>
      <c r="N1363" s="110">
        <f>K1363-tblAquisições[[#This Row],[QUANTIDADE PLANEJADA]]</f>
        <v>-10</v>
      </c>
      <c r="O1363" s="106" t="str">
        <f t="shared" si="43"/>
        <v>Faltando Comprar</v>
      </c>
    </row>
    <row r="1364" spans="1:15" ht="31.5">
      <c r="A1364" s="16" t="s">
        <v>17</v>
      </c>
      <c r="B1364" s="16" t="s">
        <v>80</v>
      </c>
      <c r="C1364" s="17" t="s">
        <v>19</v>
      </c>
      <c r="D1364" s="18" t="s">
        <v>800</v>
      </c>
      <c r="E1364" s="18">
        <v>6</v>
      </c>
      <c r="F1364" s="18" t="s">
        <v>38</v>
      </c>
      <c r="G1364" s="18" t="s">
        <v>39</v>
      </c>
      <c r="H1364" s="18" t="s">
        <v>23</v>
      </c>
      <c r="I1364" s="19">
        <v>7.83</v>
      </c>
      <c r="J1364" s="20">
        <f t="shared" si="42"/>
        <v>46.980000000000004</v>
      </c>
      <c r="K1364" s="106"/>
      <c r="L1364" s="114"/>
      <c r="M1364" s="114">
        <f>tblAquisições[[#This Row],[VALOR UNITARIO COMPRADO]]*tblAquisições[[#This Row],[QUANTIDADE COMPRADA]]</f>
        <v>0</v>
      </c>
      <c r="N1364" s="110">
        <f>K1364-tblAquisições[[#This Row],[QUANTIDADE PLANEJADA]]</f>
        <v>-6</v>
      </c>
      <c r="O1364" s="106" t="str">
        <f t="shared" si="43"/>
        <v>Faltando Comprar</v>
      </c>
    </row>
    <row r="1365" spans="1:15" ht="31.5">
      <c r="A1365" s="16" t="s">
        <v>17</v>
      </c>
      <c r="B1365" s="16" t="s">
        <v>41</v>
      </c>
      <c r="C1365" s="17" t="s">
        <v>19</v>
      </c>
      <c r="D1365" s="18" t="s">
        <v>801</v>
      </c>
      <c r="E1365" s="18">
        <v>20</v>
      </c>
      <c r="F1365" s="18" t="s">
        <v>21</v>
      </c>
      <c r="G1365" s="18" t="s">
        <v>22</v>
      </c>
      <c r="H1365" s="18" t="s">
        <v>23</v>
      </c>
      <c r="I1365" s="19">
        <v>7.83</v>
      </c>
      <c r="J1365" s="20">
        <f t="shared" si="42"/>
        <v>156.6</v>
      </c>
      <c r="K1365" s="106"/>
      <c r="L1365" s="114"/>
      <c r="M1365" s="114">
        <f>tblAquisições[[#This Row],[VALOR UNITARIO COMPRADO]]*tblAquisições[[#This Row],[QUANTIDADE COMPRADA]]</f>
        <v>0</v>
      </c>
      <c r="N1365" s="110">
        <f>K1365-tblAquisições[[#This Row],[QUANTIDADE PLANEJADA]]</f>
        <v>-20</v>
      </c>
      <c r="O1365" s="106" t="str">
        <f t="shared" si="43"/>
        <v>Faltando Comprar</v>
      </c>
    </row>
    <row r="1366" spans="1:15" ht="31.5">
      <c r="A1366" s="16" t="s">
        <v>17</v>
      </c>
      <c r="B1366" s="16" t="s">
        <v>28</v>
      </c>
      <c r="C1366" s="17" t="s">
        <v>19</v>
      </c>
      <c r="D1366" s="18" t="s">
        <v>802</v>
      </c>
      <c r="E1366" s="18">
        <v>50</v>
      </c>
      <c r="F1366" s="18" t="s">
        <v>21</v>
      </c>
      <c r="G1366" s="18" t="s">
        <v>22</v>
      </c>
      <c r="H1366" s="18" t="s">
        <v>23</v>
      </c>
      <c r="I1366" s="19">
        <v>23.09</v>
      </c>
      <c r="J1366" s="20">
        <f t="shared" si="42"/>
        <v>1154.5</v>
      </c>
      <c r="K1366" s="106"/>
      <c r="L1366" s="114"/>
      <c r="M1366" s="114">
        <f>tblAquisições[[#This Row],[VALOR UNITARIO COMPRADO]]*tblAquisições[[#This Row],[QUANTIDADE COMPRADA]]</f>
        <v>0</v>
      </c>
      <c r="N1366" s="110">
        <f>K1366-tblAquisições[[#This Row],[QUANTIDADE PLANEJADA]]</f>
        <v>-50</v>
      </c>
      <c r="O1366" s="106" t="str">
        <f t="shared" si="43"/>
        <v>Faltando Comprar</v>
      </c>
    </row>
    <row r="1367" spans="1:15" ht="31.5">
      <c r="A1367" s="16" t="s">
        <v>17</v>
      </c>
      <c r="B1367" s="16" t="s">
        <v>26</v>
      </c>
      <c r="C1367" s="17" t="s">
        <v>19</v>
      </c>
      <c r="D1367" s="18" t="s">
        <v>803</v>
      </c>
      <c r="E1367" s="18">
        <v>20</v>
      </c>
      <c r="F1367" s="18" t="s">
        <v>30</v>
      </c>
      <c r="G1367" s="18" t="s">
        <v>22</v>
      </c>
      <c r="H1367" s="18" t="s">
        <v>23</v>
      </c>
      <c r="I1367" s="19">
        <v>41.55</v>
      </c>
      <c r="J1367" s="20">
        <f t="shared" si="42"/>
        <v>831</v>
      </c>
      <c r="K1367" s="106"/>
      <c r="L1367" s="114"/>
      <c r="M1367" s="114">
        <f>tblAquisições[[#This Row],[VALOR UNITARIO COMPRADO]]*tblAquisições[[#This Row],[QUANTIDADE COMPRADA]]</f>
        <v>0</v>
      </c>
      <c r="N1367" s="110">
        <f>K1367-tblAquisições[[#This Row],[QUANTIDADE PLANEJADA]]</f>
        <v>-20</v>
      </c>
      <c r="O1367" s="106" t="str">
        <f t="shared" si="43"/>
        <v>Faltando Comprar</v>
      </c>
    </row>
    <row r="1368" spans="1:15" ht="31.5">
      <c r="A1368" s="16" t="s">
        <v>17</v>
      </c>
      <c r="B1368" s="16" t="s">
        <v>80</v>
      </c>
      <c r="C1368" s="17" t="s">
        <v>19</v>
      </c>
      <c r="D1368" s="18" t="s">
        <v>804</v>
      </c>
      <c r="E1368" s="18">
        <v>6</v>
      </c>
      <c r="F1368" s="18" t="s">
        <v>82</v>
      </c>
      <c r="G1368" s="18" t="s">
        <v>39</v>
      </c>
      <c r="H1368" s="21"/>
      <c r="I1368" s="19">
        <v>16.3</v>
      </c>
      <c r="J1368" s="20">
        <f t="shared" si="42"/>
        <v>97.800000000000011</v>
      </c>
      <c r="K1368" s="106"/>
      <c r="L1368" s="114"/>
      <c r="M1368" s="114">
        <f>tblAquisições[[#This Row],[VALOR UNITARIO COMPRADO]]*tblAquisições[[#This Row],[QUANTIDADE COMPRADA]]</f>
        <v>0</v>
      </c>
      <c r="N1368" s="110">
        <f>K1368-tblAquisições[[#This Row],[QUANTIDADE PLANEJADA]]</f>
        <v>-6</v>
      </c>
      <c r="O1368" s="106" t="str">
        <f t="shared" si="43"/>
        <v>Faltando Comprar</v>
      </c>
    </row>
    <row r="1369" spans="1:15" ht="31.5">
      <c r="A1369" s="16" t="s">
        <v>17</v>
      </c>
      <c r="B1369" s="16" t="s">
        <v>18</v>
      </c>
      <c r="C1369" s="17" t="s">
        <v>19</v>
      </c>
      <c r="D1369" s="18" t="s">
        <v>805</v>
      </c>
      <c r="E1369" s="18">
        <v>200</v>
      </c>
      <c r="F1369" s="18" t="s">
        <v>21</v>
      </c>
      <c r="G1369" s="18" t="s">
        <v>22</v>
      </c>
      <c r="H1369" s="18" t="s">
        <v>23</v>
      </c>
      <c r="I1369" s="19">
        <v>2.39</v>
      </c>
      <c r="J1369" s="20">
        <f t="shared" si="42"/>
        <v>478</v>
      </c>
      <c r="K1369" s="106"/>
      <c r="L1369" s="114"/>
      <c r="M1369" s="114">
        <f>tblAquisições[[#This Row],[VALOR UNITARIO COMPRADO]]*tblAquisições[[#This Row],[QUANTIDADE COMPRADA]]</f>
        <v>0</v>
      </c>
      <c r="N1369" s="110">
        <f>K1369-tblAquisições[[#This Row],[QUANTIDADE PLANEJADA]]</f>
        <v>-200</v>
      </c>
      <c r="O1369" s="106" t="str">
        <f t="shared" si="43"/>
        <v>Faltando Comprar</v>
      </c>
    </row>
    <row r="1370" spans="1:15" ht="31.5">
      <c r="A1370" s="16" t="s">
        <v>17</v>
      </c>
      <c r="B1370" s="16" t="s">
        <v>24</v>
      </c>
      <c r="C1370" s="17" t="s">
        <v>19</v>
      </c>
      <c r="D1370" s="18" t="s">
        <v>805</v>
      </c>
      <c r="E1370" s="18">
        <v>200</v>
      </c>
      <c r="F1370" s="18" t="s">
        <v>21</v>
      </c>
      <c r="G1370" s="18" t="s">
        <v>22</v>
      </c>
      <c r="H1370" s="18" t="s">
        <v>23</v>
      </c>
      <c r="I1370" s="19">
        <v>2.39</v>
      </c>
      <c r="J1370" s="20">
        <f t="shared" si="42"/>
        <v>478</v>
      </c>
      <c r="K1370" s="106"/>
      <c r="L1370" s="114"/>
      <c r="M1370" s="114">
        <f>tblAquisições[[#This Row],[VALOR UNITARIO COMPRADO]]*tblAquisições[[#This Row],[QUANTIDADE COMPRADA]]</f>
        <v>0</v>
      </c>
      <c r="N1370" s="110">
        <f>K1370-tblAquisições[[#This Row],[QUANTIDADE PLANEJADA]]</f>
        <v>-200</v>
      </c>
      <c r="O1370" s="106" t="str">
        <f t="shared" si="43"/>
        <v>Faltando Comprar</v>
      </c>
    </row>
    <row r="1371" spans="1:15" ht="31.5">
      <c r="A1371" s="16" t="s">
        <v>17</v>
      </c>
      <c r="B1371" s="16" t="s">
        <v>25</v>
      </c>
      <c r="C1371" s="17" t="s">
        <v>19</v>
      </c>
      <c r="D1371" s="18" t="s">
        <v>805</v>
      </c>
      <c r="E1371" s="18">
        <v>200</v>
      </c>
      <c r="F1371" s="18" t="s">
        <v>21</v>
      </c>
      <c r="G1371" s="18" t="s">
        <v>22</v>
      </c>
      <c r="H1371" s="18" t="s">
        <v>23</v>
      </c>
      <c r="I1371" s="19">
        <v>2.39</v>
      </c>
      <c r="J1371" s="20">
        <f t="shared" si="42"/>
        <v>478</v>
      </c>
      <c r="K1371" s="106"/>
      <c r="L1371" s="114"/>
      <c r="M1371" s="114">
        <f>tblAquisições[[#This Row],[VALOR UNITARIO COMPRADO]]*tblAquisições[[#This Row],[QUANTIDADE COMPRADA]]</f>
        <v>0</v>
      </c>
      <c r="N1371" s="110">
        <f>K1371-tblAquisições[[#This Row],[QUANTIDADE PLANEJADA]]</f>
        <v>-200</v>
      </c>
      <c r="O1371" s="106" t="str">
        <f t="shared" si="43"/>
        <v>Faltando Comprar</v>
      </c>
    </row>
    <row r="1372" spans="1:15" ht="31.5">
      <c r="A1372" s="16" t="s">
        <v>17</v>
      </c>
      <c r="B1372" s="16" t="s">
        <v>41</v>
      </c>
      <c r="C1372" s="17" t="s">
        <v>19</v>
      </c>
      <c r="D1372" s="18" t="s">
        <v>805</v>
      </c>
      <c r="E1372" s="18">
        <v>200</v>
      </c>
      <c r="F1372" s="18" t="s">
        <v>21</v>
      </c>
      <c r="G1372" s="18" t="s">
        <v>22</v>
      </c>
      <c r="H1372" s="18" t="s">
        <v>23</v>
      </c>
      <c r="I1372" s="19">
        <v>2.39</v>
      </c>
      <c r="J1372" s="20">
        <f t="shared" si="42"/>
        <v>478</v>
      </c>
      <c r="K1372" s="106"/>
      <c r="L1372" s="114"/>
      <c r="M1372" s="114">
        <f>tblAquisições[[#This Row],[VALOR UNITARIO COMPRADO]]*tblAquisições[[#This Row],[QUANTIDADE COMPRADA]]</f>
        <v>0</v>
      </c>
      <c r="N1372" s="110">
        <f>K1372-tblAquisições[[#This Row],[QUANTIDADE PLANEJADA]]</f>
        <v>-200</v>
      </c>
      <c r="O1372" s="106" t="str">
        <f t="shared" si="43"/>
        <v>Faltando Comprar</v>
      </c>
    </row>
    <row r="1373" spans="1:15" ht="31.5">
      <c r="A1373" s="16" t="s">
        <v>17</v>
      </c>
      <c r="B1373" s="16" t="s">
        <v>27</v>
      </c>
      <c r="C1373" s="17" t="s">
        <v>19</v>
      </c>
      <c r="D1373" s="18" t="s">
        <v>805</v>
      </c>
      <c r="E1373" s="18">
        <v>200</v>
      </c>
      <c r="F1373" s="18" t="s">
        <v>21</v>
      </c>
      <c r="G1373" s="18" t="s">
        <v>22</v>
      </c>
      <c r="H1373" s="18" t="s">
        <v>23</v>
      </c>
      <c r="I1373" s="19">
        <v>2.39</v>
      </c>
      <c r="J1373" s="20">
        <f t="shared" si="42"/>
        <v>478</v>
      </c>
      <c r="K1373" s="106"/>
      <c r="L1373" s="114"/>
      <c r="M1373" s="114">
        <f>tblAquisições[[#This Row],[VALOR UNITARIO COMPRADO]]*tblAquisições[[#This Row],[QUANTIDADE COMPRADA]]</f>
        <v>0</v>
      </c>
      <c r="N1373" s="110">
        <f>K1373-tblAquisições[[#This Row],[QUANTIDADE PLANEJADA]]</f>
        <v>-200</v>
      </c>
      <c r="O1373" s="106" t="str">
        <f t="shared" si="43"/>
        <v>Faltando Comprar</v>
      </c>
    </row>
    <row r="1374" spans="1:15" ht="31.5">
      <c r="A1374" s="16" t="s">
        <v>17</v>
      </c>
      <c r="B1374" s="16" t="s">
        <v>80</v>
      </c>
      <c r="C1374" s="17" t="s">
        <v>19</v>
      </c>
      <c r="D1374" s="18" t="s">
        <v>806</v>
      </c>
      <c r="E1374" s="18">
        <v>6</v>
      </c>
      <c r="F1374" s="18" t="s">
        <v>38</v>
      </c>
      <c r="G1374" s="18" t="s">
        <v>39</v>
      </c>
      <c r="H1374" s="21"/>
      <c r="I1374" s="19">
        <v>79.98</v>
      </c>
      <c r="J1374" s="20">
        <f t="shared" si="42"/>
        <v>479.88</v>
      </c>
      <c r="K1374" s="106"/>
      <c r="L1374" s="114"/>
      <c r="M1374" s="114">
        <f>tblAquisições[[#This Row],[VALOR UNITARIO COMPRADO]]*tblAquisições[[#This Row],[QUANTIDADE COMPRADA]]</f>
        <v>0</v>
      </c>
      <c r="N1374" s="110">
        <f>K1374-tblAquisições[[#This Row],[QUANTIDADE PLANEJADA]]</f>
        <v>-6</v>
      </c>
      <c r="O1374" s="106" t="str">
        <f t="shared" si="43"/>
        <v>Faltando Comprar</v>
      </c>
    </row>
    <row r="1375" spans="1:15" ht="31.5">
      <c r="A1375" s="16" t="s">
        <v>17</v>
      </c>
      <c r="B1375" s="16" t="s">
        <v>18</v>
      </c>
      <c r="C1375" s="17" t="s">
        <v>19</v>
      </c>
      <c r="D1375" s="18" t="s">
        <v>807</v>
      </c>
      <c r="E1375" s="18">
        <v>25</v>
      </c>
      <c r="F1375" s="18" t="s">
        <v>21</v>
      </c>
      <c r="G1375" s="18" t="s">
        <v>22</v>
      </c>
      <c r="H1375" s="18" t="s">
        <v>23</v>
      </c>
      <c r="I1375" s="19">
        <v>79.98</v>
      </c>
      <c r="J1375" s="20">
        <f t="shared" si="42"/>
        <v>1999.5</v>
      </c>
      <c r="K1375" s="106"/>
      <c r="L1375" s="114"/>
      <c r="M1375" s="114">
        <f>tblAquisições[[#This Row],[VALOR UNITARIO COMPRADO]]*tblAquisições[[#This Row],[QUANTIDADE COMPRADA]]</f>
        <v>0</v>
      </c>
      <c r="N1375" s="110">
        <f>K1375-tblAquisições[[#This Row],[QUANTIDADE PLANEJADA]]</f>
        <v>-25</v>
      </c>
      <c r="O1375" s="106" t="str">
        <f t="shared" si="43"/>
        <v>Faltando Comprar</v>
      </c>
    </row>
    <row r="1376" spans="1:15" ht="31.5">
      <c r="A1376" s="16" t="s">
        <v>17</v>
      </c>
      <c r="B1376" s="16" t="s">
        <v>24</v>
      </c>
      <c r="C1376" s="17" t="s">
        <v>19</v>
      </c>
      <c r="D1376" s="18" t="s">
        <v>807</v>
      </c>
      <c r="E1376" s="18">
        <v>25</v>
      </c>
      <c r="F1376" s="18" t="s">
        <v>21</v>
      </c>
      <c r="G1376" s="18" t="s">
        <v>22</v>
      </c>
      <c r="H1376" s="18" t="s">
        <v>23</v>
      </c>
      <c r="I1376" s="19">
        <v>79.98</v>
      </c>
      <c r="J1376" s="20">
        <f t="shared" si="42"/>
        <v>1999.5</v>
      </c>
      <c r="K1376" s="106"/>
      <c r="L1376" s="114"/>
      <c r="M1376" s="114">
        <f>tblAquisições[[#This Row],[VALOR UNITARIO COMPRADO]]*tblAquisições[[#This Row],[QUANTIDADE COMPRADA]]</f>
        <v>0</v>
      </c>
      <c r="N1376" s="110">
        <f>K1376-tblAquisições[[#This Row],[QUANTIDADE PLANEJADA]]</f>
        <v>-25</v>
      </c>
      <c r="O1376" s="106" t="str">
        <f t="shared" si="43"/>
        <v>Faltando Comprar</v>
      </c>
    </row>
    <row r="1377" spans="1:15" ht="31.5">
      <c r="A1377" s="16" t="s">
        <v>17</v>
      </c>
      <c r="B1377" s="16" t="s">
        <v>25</v>
      </c>
      <c r="C1377" s="17" t="s">
        <v>19</v>
      </c>
      <c r="D1377" s="18" t="s">
        <v>807</v>
      </c>
      <c r="E1377" s="18">
        <v>25</v>
      </c>
      <c r="F1377" s="18" t="s">
        <v>21</v>
      </c>
      <c r="G1377" s="18" t="s">
        <v>22</v>
      </c>
      <c r="H1377" s="18" t="s">
        <v>23</v>
      </c>
      <c r="I1377" s="19">
        <v>79.98</v>
      </c>
      <c r="J1377" s="20">
        <f t="shared" si="42"/>
        <v>1999.5</v>
      </c>
      <c r="K1377" s="106"/>
      <c r="L1377" s="114"/>
      <c r="M1377" s="114">
        <f>tblAquisições[[#This Row],[VALOR UNITARIO COMPRADO]]*tblAquisições[[#This Row],[QUANTIDADE COMPRADA]]</f>
        <v>0</v>
      </c>
      <c r="N1377" s="110">
        <f>K1377-tblAquisições[[#This Row],[QUANTIDADE PLANEJADA]]</f>
        <v>-25</v>
      </c>
      <c r="O1377" s="106" t="str">
        <f t="shared" si="43"/>
        <v>Faltando Comprar</v>
      </c>
    </row>
    <row r="1378" spans="1:15" ht="31.5">
      <c r="A1378" s="16" t="s">
        <v>17</v>
      </c>
      <c r="B1378" s="16" t="s">
        <v>28</v>
      </c>
      <c r="C1378" s="17" t="s">
        <v>19</v>
      </c>
      <c r="D1378" s="18" t="s">
        <v>807</v>
      </c>
      <c r="E1378" s="18">
        <v>50</v>
      </c>
      <c r="F1378" s="18" t="s">
        <v>21</v>
      </c>
      <c r="G1378" s="18" t="s">
        <v>22</v>
      </c>
      <c r="H1378" s="18" t="s">
        <v>23</v>
      </c>
      <c r="I1378" s="19">
        <v>79.98</v>
      </c>
      <c r="J1378" s="20">
        <f t="shared" si="42"/>
        <v>3999</v>
      </c>
      <c r="K1378" s="106"/>
      <c r="L1378" s="114"/>
      <c r="M1378" s="114">
        <f>tblAquisições[[#This Row],[VALOR UNITARIO COMPRADO]]*tblAquisições[[#This Row],[QUANTIDADE COMPRADA]]</f>
        <v>0</v>
      </c>
      <c r="N1378" s="110">
        <f>K1378-tblAquisições[[#This Row],[QUANTIDADE PLANEJADA]]</f>
        <v>-50</v>
      </c>
      <c r="O1378" s="106" t="str">
        <f t="shared" si="43"/>
        <v>Faltando Comprar</v>
      </c>
    </row>
    <row r="1379" spans="1:15" ht="47.25">
      <c r="A1379" s="16" t="s">
        <v>17</v>
      </c>
      <c r="B1379" s="16" t="s">
        <v>18</v>
      </c>
      <c r="C1379" s="17" t="s">
        <v>19</v>
      </c>
      <c r="D1379" s="18" t="s">
        <v>808</v>
      </c>
      <c r="E1379" s="18">
        <v>150</v>
      </c>
      <c r="F1379" s="18" t="s">
        <v>78</v>
      </c>
      <c r="G1379" s="18" t="s">
        <v>22</v>
      </c>
      <c r="H1379" s="18" t="s">
        <v>23</v>
      </c>
      <c r="I1379" s="19">
        <v>1.36</v>
      </c>
      <c r="J1379" s="20">
        <f t="shared" si="42"/>
        <v>204.00000000000003</v>
      </c>
      <c r="K1379" s="106"/>
      <c r="L1379" s="114"/>
      <c r="M1379" s="114">
        <f>tblAquisições[[#This Row],[VALOR UNITARIO COMPRADO]]*tblAquisições[[#This Row],[QUANTIDADE COMPRADA]]</f>
        <v>0</v>
      </c>
      <c r="N1379" s="110">
        <f>K1379-tblAquisições[[#This Row],[QUANTIDADE PLANEJADA]]</f>
        <v>-150</v>
      </c>
      <c r="O1379" s="106" t="str">
        <f t="shared" si="43"/>
        <v>Faltando Comprar</v>
      </c>
    </row>
    <row r="1380" spans="1:15" ht="47.25">
      <c r="A1380" s="16" t="s">
        <v>17</v>
      </c>
      <c r="B1380" s="16" t="s">
        <v>24</v>
      </c>
      <c r="C1380" s="17" t="s">
        <v>19</v>
      </c>
      <c r="D1380" s="18" t="s">
        <v>808</v>
      </c>
      <c r="E1380" s="18">
        <v>150</v>
      </c>
      <c r="F1380" s="18" t="s">
        <v>78</v>
      </c>
      <c r="G1380" s="18" t="s">
        <v>22</v>
      </c>
      <c r="H1380" s="18" t="s">
        <v>23</v>
      </c>
      <c r="I1380" s="19">
        <v>1.36</v>
      </c>
      <c r="J1380" s="20">
        <f t="shared" si="42"/>
        <v>204.00000000000003</v>
      </c>
      <c r="K1380" s="106"/>
      <c r="L1380" s="114"/>
      <c r="M1380" s="114">
        <f>tblAquisições[[#This Row],[VALOR UNITARIO COMPRADO]]*tblAquisições[[#This Row],[QUANTIDADE COMPRADA]]</f>
        <v>0</v>
      </c>
      <c r="N1380" s="110">
        <f>K1380-tblAquisições[[#This Row],[QUANTIDADE PLANEJADA]]</f>
        <v>-150</v>
      </c>
      <c r="O1380" s="106" t="str">
        <f t="shared" si="43"/>
        <v>Faltando Comprar</v>
      </c>
    </row>
    <row r="1381" spans="1:15" ht="47.25">
      <c r="A1381" s="16" t="s">
        <v>17</v>
      </c>
      <c r="B1381" s="16" t="s">
        <v>25</v>
      </c>
      <c r="C1381" s="17" t="s">
        <v>19</v>
      </c>
      <c r="D1381" s="18" t="s">
        <v>808</v>
      </c>
      <c r="E1381" s="18">
        <v>150</v>
      </c>
      <c r="F1381" s="18" t="s">
        <v>78</v>
      </c>
      <c r="G1381" s="18" t="s">
        <v>22</v>
      </c>
      <c r="H1381" s="18" t="s">
        <v>23</v>
      </c>
      <c r="I1381" s="19">
        <v>1.36</v>
      </c>
      <c r="J1381" s="20">
        <f t="shared" si="42"/>
        <v>204.00000000000003</v>
      </c>
      <c r="K1381" s="106"/>
      <c r="L1381" s="114"/>
      <c r="M1381" s="114">
        <f>tblAquisições[[#This Row],[VALOR UNITARIO COMPRADO]]*tblAquisições[[#This Row],[QUANTIDADE COMPRADA]]</f>
        <v>0</v>
      </c>
      <c r="N1381" s="110">
        <f>K1381-tblAquisições[[#This Row],[QUANTIDADE PLANEJADA]]</f>
        <v>-150</v>
      </c>
      <c r="O1381" s="106" t="str">
        <f t="shared" si="43"/>
        <v>Faltando Comprar</v>
      </c>
    </row>
    <row r="1382" spans="1:15" ht="47.25">
      <c r="A1382" s="16" t="s">
        <v>17</v>
      </c>
      <c r="B1382" s="16" t="s">
        <v>27</v>
      </c>
      <c r="C1382" s="17" t="s">
        <v>19</v>
      </c>
      <c r="D1382" s="18" t="s">
        <v>808</v>
      </c>
      <c r="E1382" s="18">
        <v>200</v>
      </c>
      <c r="F1382" s="18" t="s">
        <v>78</v>
      </c>
      <c r="G1382" s="18" t="s">
        <v>22</v>
      </c>
      <c r="H1382" s="18" t="s">
        <v>23</v>
      </c>
      <c r="I1382" s="19">
        <v>1.36</v>
      </c>
      <c r="J1382" s="20">
        <f t="shared" si="42"/>
        <v>272</v>
      </c>
      <c r="K1382" s="106"/>
      <c r="L1382" s="114"/>
      <c r="M1382" s="114">
        <f>tblAquisições[[#This Row],[VALOR UNITARIO COMPRADO]]*tblAquisições[[#This Row],[QUANTIDADE COMPRADA]]</f>
        <v>0</v>
      </c>
      <c r="N1382" s="110">
        <f>K1382-tblAquisições[[#This Row],[QUANTIDADE PLANEJADA]]</f>
        <v>-200</v>
      </c>
      <c r="O1382" s="106" t="str">
        <f t="shared" si="43"/>
        <v>Faltando Comprar</v>
      </c>
    </row>
    <row r="1383" spans="1:15" ht="31.5">
      <c r="A1383" s="16" t="s">
        <v>17</v>
      </c>
      <c r="B1383" s="16" t="s">
        <v>28</v>
      </c>
      <c r="C1383" s="17" t="s">
        <v>19</v>
      </c>
      <c r="D1383" s="18" t="s">
        <v>809</v>
      </c>
      <c r="E1383" s="18">
        <v>12</v>
      </c>
      <c r="F1383" s="18" t="s">
        <v>21</v>
      </c>
      <c r="G1383" s="18" t="s">
        <v>22</v>
      </c>
      <c r="H1383" s="18" t="s">
        <v>23</v>
      </c>
      <c r="I1383" s="19">
        <v>4.99</v>
      </c>
      <c r="J1383" s="20">
        <f t="shared" si="42"/>
        <v>59.88</v>
      </c>
      <c r="K1383" s="106"/>
      <c r="L1383" s="114"/>
      <c r="M1383" s="114">
        <f>tblAquisições[[#This Row],[VALOR UNITARIO COMPRADO]]*tblAquisições[[#This Row],[QUANTIDADE COMPRADA]]</f>
        <v>0</v>
      </c>
      <c r="N1383" s="110">
        <f>K1383-tblAquisições[[#This Row],[QUANTIDADE PLANEJADA]]</f>
        <v>-12</v>
      </c>
      <c r="O1383" s="106" t="str">
        <f t="shared" si="43"/>
        <v>Faltando Comprar</v>
      </c>
    </row>
    <row r="1384" spans="1:15" ht="31.5">
      <c r="A1384" s="16" t="s">
        <v>17</v>
      </c>
      <c r="B1384" s="16" t="s">
        <v>18</v>
      </c>
      <c r="C1384" s="17" t="s">
        <v>19</v>
      </c>
      <c r="D1384" s="18" t="s">
        <v>810</v>
      </c>
      <c r="E1384" s="18">
        <v>15</v>
      </c>
      <c r="F1384" s="18" t="s">
        <v>159</v>
      </c>
      <c r="G1384" s="18" t="s">
        <v>127</v>
      </c>
      <c r="H1384" s="18" t="s">
        <v>23</v>
      </c>
      <c r="I1384" s="19">
        <v>14.17</v>
      </c>
      <c r="J1384" s="20">
        <f t="shared" si="42"/>
        <v>212.55</v>
      </c>
      <c r="K1384" s="106"/>
      <c r="L1384" s="114"/>
      <c r="M1384" s="114">
        <f>tblAquisições[[#This Row],[VALOR UNITARIO COMPRADO]]*tblAquisições[[#This Row],[QUANTIDADE COMPRADA]]</f>
        <v>0</v>
      </c>
      <c r="N1384" s="110">
        <f>K1384-tblAquisições[[#This Row],[QUANTIDADE PLANEJADA]]</f>
        <v>-15</v>
      </c>
      <c r="O1384" s="106" t="str">
        <f t="shared" si="43"/>
        <v>Faltando Comprar</v>
      </c>
    </row>
    <row r="1385" spans="1:15" ht="31.5">
      <c r="A1385" s="16" t="s">
        <v>17</v>
      </c>
      <c r="B1385" s="16" t="s">
        <v>24</v>
      </c>
      <c r="C1385" s="17" t="s">
        <v>19</v>
      </c>
      <c r="D1385" s="18" t="s">
        <v>810</v>
      </c>
      <c r="E1385" s="18">
        <v>15</v>
      </c>
      <c r="F1385" s="18" t="s">
        <v>159</v>
      </c>
      <c r="G1385" s="18" t="s">
        <v>127</v>
      </c>
      <c r="H1385" s="18" t="s">
        <v>23</v>
      </c>
      <c r="I1385" s="19">
        <v>14.17</v>
      </c>
      <c r="J1385" s="20">
        <f t="shared" si="42"/>
        <v>212.55</v>
      </c>
      <c r="K1385" s="106"/>
      <c r="L1385" s="114"/>
      <c r="M1385" s="114">
        <f>tblAquisições[[#This Row],[VALOR UNITARIO COMPRADO]]*tblAquisições[[#This Row],[QUANTIDADE COMPRADA]]</f>
        <v>0</v>
      </c>
      <c r="N1385" s="110">
        <f>K1385-tblAquisições[[#This Row],[QUANTIDADE PLANEJADA]]</f>
        <v>-15</v>
      </c>
      <c r="O1385" s="106" t="str">
        <f t="shared" si="43"/>
        <v>Faltando Comprar</v>
      </c>
    </row>
    <row r="1386" spans="1:15" ht="31.5">
      <c r="A1386" s="16" t="s">
        <v>17</v>
      </c>
      <c r="B1386" s="16" t="s">
        <v>25</v>
      </c>
      <c r="C1386" s="17" t="s">
        <v>19</v>
      </c>
      <c r="D1386" s="18" t="s">
        <v>810</v>
      </c>
      <c r="E1386" s="18">
        <v>15</v>
      </c>
      <c r="F1386" s="18" t="s">
        <v>159</v>
      </c>
      <c r="G1386" s="18" t="s">
        <v>127</v>
      </c>
      <c r="H1386" s="18" t="s">
        <v>23</v>
      </c>
      <c r="I1386" s="19">
        <v>14.17</v>
      </c>
      <c r="J1386" s="20">
        <f t="shared" si="42"/>
        <v>212.55</v>
      </c>
      <c r="K1386" s="106"/>
      <c r="L1386" s="114"/>
      <c r="M1386" s="114">
        <f>tblAquisições[[#This Row],[VALOR UNITARIO COMPRADO]]*tblAquisições[[#This Row],[QUANTIDADE COMPRADA]]</f>
        <v>0</v>
      </c>
      <c r="N1386" s="110">
        <f>K1386-tblAquisições[[#This Row],[QUANTIDADE PLANEJADA]]</f>
        <v>-15</v>
      </c>
      <c r="O1386" s="106" t="str">
        <f t="shared" si="43"/>
        <v>Faltando Comprar</v>
      </c>
    </row>
    <row r="1387" spans="1:15" ht="31.5">
      <c r="A1387" s="16" t="s">
        <v>17</v>
      </c>
      <c r="B1387" s="16" t="s">
        <v>18</v>
      </c>
      <c r="C1387" s="17" t="s">
        <v>19</v>
      </c>
      <c r="D1387" s="18" t="s">
        <v>811</v>
      </c>
      <c r="E1387" s="18">
        <v>15</v>
      </c>
      <c r="F1387" s="18" t="s">
        <v>159</v>
      </c>
      <c r="G1387" s="18" t="s">
        <v>127</v>
      </c>
      <c r="H1387" s="18" t="s">
        <v>23</v>
      </c>
      <c r="I1387" s="19">
        <v>36.96</v>
      </c>
      <c r="J1387" s="20">
        <f t="shared" si="42"/>
        <v>554.4</v>
      </c>
      <c r="K1387" s="106"/>
      <c r="L1387" s="114"/>
      <c r="M1387" s="114">
        <f>tblAquisições[[#This Row],[VALOR UNITARIO COMPRADO]]*tblAquisições[[#This Row],[QUANTIDADE COMPRADA]]</f>
        <v>0</v>
      </c>
      <c r="N1387" s="110">
        <f>K1387-tblAquisições[[#This Row],[QUANTIDADE PLANEJADA]]</f>
        <v>-15</v>
      </c>
      <c r="O1387" s="106" t="str">
        <f t="shared" si="43"/>
        <v>Faltando Comprar</v>
      </c>
    </row>
    <row r="1388" spans="1:15" ht="31.5">
      <c r="A1388" s="16" t="s">
        <v>17</v>
      </c>
      <c r="B1388" s="16" t="s">
        <v>24</v>
      </c>
      <c r="C1388" s="17" t="s">
        <v>19</v>
      </c>
      <c r="D1388" s="18" t="s">
        <v>811</v>
      </c>
      <c r="E1388" s="18">
        <v>15</v>
      </c>
      <c r="F1388" s="18" t="s">
        <v>159</v>
      </c>
      <c r="G1388" s="18" t="s">
        <v>127</v>
      </c>
      <c r="H1388" s="18" t="s">
        <v>23</v>
      </c>
      <c r="I1388" s="19">
        <v>36.96</v>
      </c>
      <c r="J1388" s="20">
        <f t="shared" si="42"/>
        <v>554.4</v>
      </c>
      <c r="K1388" s="106"/>
      <c r="L1388" s="114"/>
      <c r="M1388" s="114">
        <f>tblAquisições[[#This Row],[VALOR UNITARIO COMPRADO]]*tblAquisições[[#This Row],[QUANTIDADE COMPRADA]]</f>
        <v>0</v>
      </c>
      <c r="N1388" s="110">
        <f>K1388-tblAquisições[[#This Row],[QUANTIDADE PLANEJADA]]</f>
        <v>-15</v>
      </c>
      <c r="O1388" s="106" t="str">
        <f t="shared" si="43"/>
        <v>Faltando Comprar</v>
      </c>
    </row>
    <row r="1389" spans="1:15" ht="31.5">
      <c r="A1389" s="16" t="s">
        <v>17</v>
      </c>
      <c r="B1389" s="16" t="s">
        <v>25</v>
      </c>
      <c r="C1389" s="17" t="s">
        <v>19</v>
      </c>
      <c r="D1389" s="18" t="s">
        <v>811</v>
      </c>
      <c r="E1389" s="18">
        <v>15</v>
      </c>
      <c r="F1389" s="18" t="s">
        <v>159</v>
      </c>
      <c r="G1389" s="18" t="s">
        <v>127</v>
      </c>
      <c r="H1389" s="18" t="s">
        <v>23</v>
      </c>
      <c r="I1389" s="19">
        <v>36.96</v>
      </c>
      <c r="J1389" s="20">
        <f t="shared" si="42"/>
        <v>554.4</v>
      </c>
      <c r="K1389" s="106"/>
      <c r="L1389" s="114"/>
      <c r="M1389" s="114">
        <f>tblAquisições[[#This Row],[VALOR UNITARIO COMPRADO]]*tblAquisições[[#This Row],[QUANTIDADE COMPRADA]]</f>
        <v>0</v>
      </c>
      <c r="N1389" s="110">
        <f>K1389-tblAquisições[[#This Row],[QUANTIDADE PLANEJADA]]</f>
        <v>-15</v>
      </c>
      <c r="O1389" s="106" t="str">
        <f t="shared" si="43"/>
        <v>Faltando Comprar</v>
      </c>
    </row>
    <row r="1390" spans="1:15" ht="31.5">
      <c r="A1390" s="16" t="s">
        <v>17</v>
      </c>
      <c r="B1390" s="16" t="s">
        <v>18</v>
      </c>
      <c r="C1390" s="17" t="s">
        <v>19</v>
      </c>
      <c r="D1390" s="18" t="s">
        <v>812</v>
      </c>
      <c r="E1390" s="18">
        <v>600</v>
      </c>
      <c r="F1390" s="18" t="s">
        <v>21</v>
      </c>
      <c r="G1390" s="18" t="s">
        <v>22</v>
      </c>
      <c r="H1390" s="18" t="s">
        <v>23</v>
      </c>
      <c r="I1390" s="19">
        <v>11.61</v>
      </c>
      <c r="J1390" s="20">
        <f t="shared" si="42"/>
        <v>6966</v>
      </c>
      <c r="K1390" s="106"/>
      <c r="L1390" s="114"/>
      <c r="M1390" s="114">
        <f>tblAquisições[[#This Row],[VALOR UNITARIO COMPRADO]]*tblAquisições[[#This Row],[QUANTIDADE COMPRADA]]</f>
        <v>0</v>
      </c>
      <c r="N1390" s="110">
        <f>K1390-tblAquisições[[#This Row],[QUANTIDADE PLANEJADA]]</f>
        <v>-600</v>
      </c>
      <c r="O1390" s="106" t="str">
        <f t="shared" si="43"/>
        <v>Faltando Comprar</v>
      </c>
    </row>
    <row r="1391" spans="1:15" ht="31.5">
      <c r="A1391" s="16" t="s">
        <v>17</v>
      </c>
      <c r="B1391" s="16" t="s">
        <v>24</v>
      </c>
      <c r="C1391" s="17" t="s">
        <v>19</v>
      </c>
      <c r="D1391" s="18" t="s">
        <v>812</v>
      </c>
      <c r="E1391" s="18">
        <v>600</v>
      </c>
      <c r="F1391" s="18" t="s">
        <v>21</v>
      </c>
      <c r="G1391" s="18" t="s">
        <v>22</v>
      </c>
      <c r="H1391" s="18" t="s">
        <v>23</v>
      </c>
      <c r="I1391" s="19">
        <v>11.61</v>
      </c>
      <c r="J1391" s="20">
        <f t="shared" si="42"/>
        <v>6966</v>
      </c>
      <c r="K1391" s="106"/>
      <c r="L1391" s="114"/>
      <c r="M1391" s="114">
        <f>tblAquisições[[#This Row],[VALOR UNITARIO COMPRADO]]*tblAquisições[[#This Row],[QUANTIDADE COMPRADA]]</f>
        <v>0</v>
      </c>
      <c r="N1391" s="110">
        <f>K1391-tblAquisições[[#This Row],[QUANTIDADE PLANEJADA]]</f>
        <v>-600</v>
      </c>
      <c r="O1391" s="106" t="str">
        <f t="shared" si="43"/>
        <v>Faltando Comprar</v>
      </c>
    </row>
    <row r="1392" spans="1:15" ht="31.5">
      <c r="A1392" s="16" t="s">
        <v>17</v>
      </c>
      <c r="B1392" s="16" t="s">
        <v>25</v>
      </c>
      <c r="C1392" s="17" t="s">
        <v>19</v>
      </c>
      <c r="D1392" s="18" t="s">
        <v>812</v>
      </c>
      <c r="E1392" s="18">
        <v>600</v>
      </c>
      <c r="F1392" s="18" t="s">
        <v>21</v>
      </c>
      <c r="G1392" s="18" t="s">
        <v>22</v>
      </c>
      <c r="H1392" s="18" t="s">
        <v>23</v>
      </c>
      <c r="I1392" s="19">
        <v>11.61</v>
      </c>
      <c r="J1392" s="20">
        <f t="shared" si="42"/>
        <v>6966</v>
      </c>
      <c r="K1392" s="106"/>
      <c r="L1392" s="114"/>
      <c r="M1392" s="114">
        <f>tblAquisições[[#This Row],[VALOR UNITARIO COMPRADO]]*tblAquisições[[#This Row],[QUANTIDADE COMPRADA]]</f>
        <v>0</v>
      </c>
      <c r="N1392" s="110">
        <f>K1392-tblAquisições[[#This Row],[QUANTIDADE PLANEJADA]]</f>
        <v>-600</v>
      </c>
      <c r="O1392" s="106" t="str">
        <f t="shared" si="43"/>
        <v>Faltando Comprar</v>
      </c>
    </row>
    <row r="1393" spans="1:15" ht="31.5">
      <c r="A1393" s="16" t="s">
        <v>17</v>
      </c>
      <c r="B1393" s="16" t="s">
        <v>26</v>
      </c>
      <c r="C1393" s="17" t="s">
        <v>19</v>
      </c>
      <c r="D1393" s="18" t="s">
        <v>812</v>
      </c>
      <c r="E1393" s="18">
        <v>10</v>
      </c>
      <c r="F1393" s="18" t="s">
        <v>21</v>
      </c>
      <c r="G1393" s="18" t="s">
        <v>22</v>
      </c>
      <c r="H1393" s="18" t="s">
        <v>23</v>
      </c>
      <c r="I1393" s="19">
        <v>11.61</v>
      </c>
      <c r="J1393" s="20">
        <f t="shared" si="42"/>
        <v>116.1</v>
      </c>
      <c r="K1393" s="106"/>
      <c r="L1393" s="114"/>
      <c r="M1393" s="114">
        <f>tblAquisições[[#This Row],[VALOR UNITARIO COMPRADO]]*tblAquisições[[#This Row],[QUANTIDADE COMPRADA]]</f>
        <v>0</v>
      </c>
      <c r="N1393" s="110">
        <f>K1393-tblAquisições[[#This Row],[QUANTIDADE PLANEJADA]]</f>
        <v>-10</v>
      </c>
      <c r="O1393" s="106" t="str">
        <f t="shared" si="43"/>
        <v>Faltando Comprar</v>
      </c>
    </row>
    <row r="1394" spans="1:15" ht="31.5">
      <c r="A1394" s="16" t="s">
        <v>17</v>
      </c>
      <c r="B1394" s="16" t="s">
        <v>27</v>
      </c>
      <c r="C1394" s="17" t="s">
        <v>19</v>
      </c>
      <c r="D1394" s="18" t="s">
        <v>812</v>
      </c>
      <c r="E1394" s="18">
        <v>200</v>
      </c>
      <c r="F1394" s="18" t="s">
        <v>21</v>
      </c>
      <c r="G1394" s="18" t="s">
        <v>22</v>
      </c>
      <c r="H1394" s="18" t="s">
        <v>23</v>
      </c>
      <c r="I1394" s="19">
        <v>11.61</v>
      </c>
      <c r="J1394" s="20">
        <f t="shared" si="42"/>
        <v>2322</v>
      </c>
      <c r="K1394" s="106"/>
      <c r="L1394" s="114"/>
      <c r="M1394" s="114">
        <f>tblAquisições[[#This Row],[VALOR UNITARIO COMPRADO]]*tblAquisições[[#This Row],[QUANTIDADE COMPRADA]]</f>
        <v>0</v>
      </c>
      <c r="N1394" s="110">
        <f>K1394-tblAquisições[[#This Row],[QUANTIDADE PLANEJADA]]</f>
        <v>-200</v>
      </c>
      <c r="O1394" s="106" t="str">
        <f t="shared" si="43"/>
        <v>Faltando Comprar</v>
      </c>
    </row>
    <row r="1395" spans="1:15" ht="47.25">
      <c r="A1395" s="16" t="s">
        <v>17</v>
      </c>
      <c r="B1395" s="16" t="s">
        <v>26</v>
      </c>
      <c r="C1395" s="17" t="s">
        <v>19</v>
      </c>
      <c r="D1395" s="18" t="s">
        <v>813</v>
      </c>
      <c r="E1395" s="18">
        <v>5</v>
      </c>
      <c r="F1395" s="18" t="s">
        <v>78</v>
      </c>
      <c r="G1395" s="18" t="s">
        <v>22</v>
      </c>
      <c r="H1395" s="18" t="s">
        <v>23</v>
      </c>
      <c r="I1395" s="19">
        <v>17.5</v>
      </c>
      <c r="J1395" s="20">
        <f t="shared" si="42"/>
        <v>87.5</v>
      </c>
      <c r="K1395" s="106"/>
      <c r="L1395" s="114"/>
      <c r="M1395" s="114">
        <f>tblAquisições[[#This Row],[VALOR UNITARIO COMPRADO]]*tblAquisições[[#This Row],[QUANTIDADE COMPRADA]]</f>
        <v>0</v>
      </c>
      <c r="N1395" s="110">
        <f>K1395-tblAquisições[[#This Row],[QUANTIDADE PLANEJADA]]</f>
        <v>-5</v>
      </c>
      <c r="O1395" s="106" t="str">
        <f t="shared" si="43"/>
        <v>Faltando Comprar</v>
      </c>
    </row>
    <row r="1396" spans="1:15" ht="31.5">
      <c r="A1396" s="16" t="s">
        <v>17</v>
      </c>
      <c r="B1396" s="16" t="s">
        <v>26</v>
      </c>
      <c r="C1396" s="17" t="s">
        <v>19</v>
      </c>
      <c r="D1396" s="18" t="s">
        <v>814</v>
      </c>
      <c r="E1396" s="18">
        <v>30</v>
      </c>
      <c r="F1396" s="18" t="s">
        <v>30</v>
      </c>
      <c r="G1396" s="18" t="s">
        <v>22</v>
      </c>
      <c r="H1396" s="18" t="s">
        <v>23</v>
      </c>
      <c r="I1396" s="19">
        <v>17.420000000000002</v>
      </c>
      <c r="J1396" s="20">
        <f t="shared" si="42"/>
        <v>522.6</v>
      </c>
      <c r="K1396" s="106"/>
      <c r="L1396" s="114"/>
      <c r="M1396" s="114">
        <f>tblAquisições[[#This Row],[VALOR UNITARIO COMPRADO]]*tblAquisições[[#This Row],[QUANTIDADE COMPRADA]]</f>
        <v>0</v>
      </c>
      <c r="N1396" s="110">
        <f>K1396-tblAquisições[[#This Row],[QUANTIDADE PLANEJADA]]</f>
        <v>-30</v>
      </c>
      <c r="O1396" s="106" t="str">
        <f t="shared" si="43"/>
        <v>Faltando Comprar</v>
      </c>
    </row>
    <row r="1397" spans="1:15" ht="31.5">
      <c r="A1397" s="16" t="s">
        <v>17</v>
      </c>
      <c r="B1397" s="16" t="s">
        <v>18</v>
      </c>
      <c r="C1397" s="17" t="s">
        <v>19</v>
      </c>
      <c r="D1397" s="18" t="s">
        <v>815</v>
      </c>
      <c r="E1397" s="18">
        <v>10</v>
      </c>
      <c r="F1397" s="18" t="s">
        <v>159</v>
      </c>
      <c r="G1397" s="18" t="s">
        <v>127</v>
      </c>
      <c r="H1397" s="18" t="s">
        <v>23</v>
      </c>
      <c r="I1397" s="19">
        <v>2251.89</v>
      </c>
      <c r="J1397" s="20">
        <f t="shared" si="42"/>
        <v>22518.899999999998</v>
      </c>
      <c r="K1397" s="106"/>
      <c r="L1397" s="114"/>
      <c r="M1397" s="114">
        <f>tblAquisições[[#This Row],[VALOR UNITARIO COMPRADO]]*tblAquisições[[#This Row],[QUANTIDADE COMPRADA]]</f>
        <v>0</v>
      </c>
      <c r="N1397" s="110">
        <f>K1397-tblAquisições[[#This Row],[QUANTIDADE PLANEJADA]]</f>
        <v>-10</v>
      </c>
      <c r="O1397" s="106" t="str">
        <f t="shared" si="43"/>
        <v>Faltando Comprar</v>
      </c>
    </row>
    <row r="1398" spans="1:15" ht="31.5">
      <c r="A1398" s="16" t="s">
        <v>17</v>
      </c>
      <c r="B1398" s="16" t="s">
        <v>24</v>
      </c>
      <c r="C1398" s="17" t="s">
        <v>19</v>
      </c>
      <c r="D1398" s="18" t="s">
        <v>815</v>
      </c>
      <c r="E1398" s="18">
        <v>10</v>
      </c>
      <c r="F1398" s="18" t="s">
        <v>159</v>
      </c>
      <c r="G1398" s="18" t="s">
        <v>127</v>
      </c>
      <c r="H1398" s="18" t="s">
        <v>23</v>
      </c>
      <c r="I1398" s="19">
        <v>2251.89</v>
      </c>
      <c r="J1398" s="20">
        <f t="shared" si="42"/>
        <v>22518.899999999998</v>
      </c>
      <c r="K1398" s="106"/>
      <c r="L1398" s="114"/>
      <c r="M1398" s="114">
        <f>tblAquisições[[#This Row],[VALOR UNITARIO COMPRADO]]*tblAquisições[[#This Row],[QUANTIDADE COMPRADA]]</f>
        <v>0</v>
      </c>
      <c r="N1398" s="110">
        <f>K1398-tblAquisições[[#This Row],[QUANTIDADE PLANEJADA]]</f>
        <v>-10</v>
      </c>
      <c r="O1398" s="106" t="str">
        <f t="shared" si="43"/>
        <v>Faltando Comprar</v>
      </c>
    </row>
    <row r="1399" spans="1:15" ht="31.5">
      <c r="A1399" s="16" t="s">
        <v>17</v>
      </c>
      <c r="B1399" s="16" t="s">
        <v>25</v>
      </c>
      <c r="C1399" s="17" t="s">
        <v>19</v>
      </c>
      <c r="D1399" s="18" t="s">
        <v>815</v>
      </c>
      <c r="E1399" s="18">
        <v>10</v>
      </c>
      <c r="F1399" s="18" t="s">
        <v>159</v>
      </c>
      <c r="G1399" s="18" t="s">
        <v>127</v>
      </c>
      <c r="H1399" s="18" t="s">
        <v>23</v>
      </c>
      <c r="I1399" s="19">
        <v>2251.89</v>
      </c>
      <c r="J1399" s="20">
        <f t="shared" si="42"/>
        <v>22518.899999999998</v>
      </c>
      <c r="K1399" s="106"/>
      <c r="L1399" s="114"/>
      <c r="M1399" s="114">
        <f>tblAquisições[[#This Row],[VALOR UNITARIO COMPRADO]]*tblAquisições[[#This Row],[QUANTIDADE COMPRADA]]</f>
        <v>0</v>
      </c>
      <c r="N1399" s="110">
        <f>K1399-tblAquisições[[#This Row],[QUANTIDADE PLANEJADA]]</f>
        <v>-10</v>
      </c>
      <c r="O1399" s="106" t="str">
        <f t="shared" si="43"/>
        <v>Faltando Comprar</v>
      </c>
    </row>
    <row r="1400" spans="1:15" ht="47.25">
      <c r="A1400" s="16" t="s">
        <v>17</v>
      </c>
      <c r="B1400" s="16" t="s">
        <v>28</v>
      </c>
      <c r="C1400" s="17" t="s">
        <v>19</v>
      </c>
      <c r="D1400" s="18" t="s">
        <v>816</v>
      </c>
      <c r="E1400" s="18">
        <v>3</v>
      </c>
      <c r="F1400" s="18" t="s">
        <v>78</v>
      </c>
      <c r="G1400" s="18" t="s">
        <v>22</v>
      </c>
      <c r="H1400" s="18" t="s">
        <v>23</v>
      </c>
      <c r="I1400" s="19">
        <v>258.01</v>
      </c>
      <c r="J1400" s="20">
        <f t="shared" si="42"/>
        <v>774.03</v>
      </c>
      <c r="K1400" s="106"/>
      <c r="L1400" s="114"/>
      <c r="M1400" s="114">
        <f>tblAquisições[[#This Row],[VALOR UNITARIO COMPRADO]]*tblAquisições[[#This Row],[QUANTIDADE COMPRADA]]</f>
        <v>0</v>
      </c>
      <c r="N1400" s="110">
        <f>K1400-tblAquisições[[#This Row],[QUANTIDADE PLANEJADA]]</f>
        <v>-3</v>
      </c>
      <c r="O1400" s="106" t="str">
        <f t="shared" si="43"/>
        <v>Faltando Comprar</v>
      </c>
    </row>
    <row r="1401" spans="1:15" ht="31.5">
      <c r="A1401" s="16" t="s">
        <v>17</v>
      </c>
      <c r="B1401" s="16" t="s">
        <v>28</v>
      </c>
      <c r="C1401" s="17" t="s">
        <v>19</v>
      </c>
      <c r="D1401" s="18" t="s">
        <v>817</v>
      </c>
      <c r="E1401" s="18">
        <v>25</v>
      </c>
      <c r="F1401" s="18" t="s">
        <v>21</v>
      </c>
      <c r="G1401" s="18" t="s">
        <v>22</v>
      </c>
      <c r="H1401" s="18" t="s">
        <v>23</v>
      </c>
      <c r="I1401" s="19">
        <v>41.24</v>
      </c>
      <c r="J1401" s="20">
        <f t="shared" si="42"/>
        <v>1031</v>
      </c>
      <c r="K1401" s="106"/>
      <c r="L1401" s="114"/>
      <c r="M1401" s="114">
        <f>tblAquisições[[#This Row],[VALOR UNITARIO COMPRADO]]*tblAquisições[[#This Row],[QUANTIDADE COMPRADA]]</f>
        <v>0</v>
      </c>
      <c r="N1401" s="110">
        <f>K1401-tblAquisições[[#This Row],[QUANTIDADE PLANEJADA]]</f>
        <v>-25</v>
      </c>
      <c r="O1401" s="106" t="str">
        <f t="shared" si="43"/>
        <v>Faltando Comprar</v>
      </c>
    </row>
    <row r="1402" spans="1:15" ht="31.5">
      <c r="A1402" s="16" t="s">
        <v>17</v>
      </c>
      <c r="B1402" s="16" t="s">
        <v>31</v>
      </c>
      <c r="C1402" s="17" t="s">
        <v>19</v>
      </c>
      <c r="D1402" s="18" t="s">
        <v>818</v>
      </c>
      <c r="E1402" s="18">
        <v>5</v>
      </c>
      <c r="F1402" s="18" t="s">
        <v>21</v>
      </c>
      <c r="G1402" s="18" t="s">
        <v>22</v>
      </c>
      <c r="H1402" s="18" t="s">
        <v>23</v>
      </c>
      <c r="I1402" s="19">
        <v>12.71</v>
      </c>
      <c r="J1402" s="20">
        <f t="shared" si="42"/>
        <v>63.550000000000004</v>
      </c>
      <c r="K1402" s="106"/>
      <c r="L1402" s="114"/>
      <c r="M1402" s="114">
        <f>tblAquisições[[#This Row],[VALOR UNITARIO COMPRADO]]*tblAquisições[[#This Row],[QUANTIDADE COMPRADA]]</f>
        <v>0</v>
      </c>
      <c r="N1402" s="110">
        <f>K1402-tblAquisições[[#This Row],[QUANTIDADE PLANEJADA]]</f>
        <v>-5</v>
      </c>
      <c r="O1402" s="106" t="str">
        <f t="shared" si="43"/>
        <v>Faltando Comprar</v>
      </c>
    </row>
    <row r="1403" spans="1:15" ht="31.5">
      <c r="A1403" s="16" t="s">
        <v>17</v>
      </c>
      <c r="B1403" s="16" t="s">
        <v>18</v>
      </c>
      <c r="C1403" s="17" t="s">
        <v>19</v>
      </c>
      <c r="D1403" s="18" t="s">
        <v>818</v>
      </c>
      <c r="E1403" s="18">
        <v>100</v>
      </c>
      <c r="F1403" s="18" t="s">
        <v>21</v>
      </c>
      <c r="G1403" s="18" t="s">
        <v>22</v>
      </c>
      <c r="H1403" s="18" t="s">
        <v>23</v>
      </c>
      <c r="I1403" s="19">
        <v>12.71</v>
      </c>
      <c r="J1403" s="20">
        <f t="shared" si="42"/>
        <v>1271</v>
      </c>
      <c r="K1403" s="106"/>
      <c r="L1403" s="114"/>
      <c r="M1403" s="114">
        <f>tblAquisições[[#This Row],[VALOR UNITARIO COMPRADO]]*tblAquisições[[#This Row],[QUANTIDADE COMPRADA]]</f>
        <v>0</v>
      </c>
      <c r="N1403" s="110">
        <f>K1403-tblAquisições[[#This Row],[QUANTIDADE PLANEJADA]]</f>
        <v>-100</v>
      </c>
      <c r="O1403" s="106" t="str">
        <f t="shared" si="43"/>
        <v>Faltando Comprar</v>
      </c>
    </row>
    <row r="1404" spans="1:15" ht="31.5">
      <c r="A1404" s="16" t="s">
        <v>17</v>
      </c>
      <c r="B1404" s="16" t="s">
        <v>24</v>
      </c>
      <c r="C1404" s="17" t="s">
        <v>19</v>
      </c>
      <c r="D1404" s="18" t="s">
        <v>818</v>
      </c>
      <c r="E1404" s="18">
        <v>100</v>
      </c>
      <c r="F1404" s="18" t="s">
        <v>21</v>
      </c>
      <c r="G1404" s="18" t="s">
        <v>22</v>
      </c>
      <c r="H1404" s="18" t="s">
        <v>23</v>
      </c>
      <c r="I1404" s="19">
        <v>12.71</v>
      </c>
      <c r="J1404" s="20">
        <f t="shared" si="42"/>
        <v>1271</v>
      </c>
      <c r="K1404" s="106"/>
      <c r="L1404" s="114"/>
      <c r="M1404" s="114">
        <f>tblAquisições[[#This Row],[VALOR UNITARIO COMPRADO]]*tblAquisições[[#This Row],[QUANTIDADE COMPRADA]]</f>
        <v>0</v>
      </c>
      <c r="N1404" s="110">
        <f>K1404-tblAquisições[[#This Row],[QUANTIDADE PLANEJADA]]</f>
        <v>-100</v>
      </c>
      <c r="O1404" s="106" t="str">
        <f t="shared" si="43"/>
        <v>Faltando Comprar</v>
      </c>
    </row>
    <row r="1405" spans="1:15" ht="31.5">
      <c r="A1405" s="16" t="s">
        <v>17</v>
      </c>
      <c r="B1405" s="16" t="s">
        <v>25</v>
      </c>
      <c r="C1405" s="17" t="s">
        <v>19</v>
      </c>
      <c r="D1405" s="18" t="s">
        <v>818</v>
      </c>
      <c r="E1405" s="18">
        <v>100</v>
      </c>
      <c r="F1405" s="18" t="s">
        <v>21</v>
      </c>
      <c r="G1405" s="18" t="s">
        <v>22</v>
      </c>
      <c r="H1405" s="18" t="s">
        <v>23</v>
      </c>
      <c r="I1405" s="19">
        <v>12.71</v>
      </c>
      <c r="J1405" s="20">
        <f t="shared" si="42"/>
        <v>1271</v>
      </c>
      <c r="K1405" s="106"/>
      <c r="L1405" s="114"/>
      <c r="M1405" s="114">
        <f>tblAquisições[[#This Row],[VALOR UNITARIO COMPRADO]]*tblAquisições[[#This Row],[QUANTIDADE COMPRADA]]</f>
        <v>0</v>
      </c>
      <c r="N1405" s="110">
        <f>K1405-tblAquisições[[#This Row],[QUANTIDADE PLANEJADA]]</f>
        <v>-100</v>
      </c>
      <c r="O1405" s="106" t="str">
        <f t="shared" si="43"/>
        <v>Faltando Comprar</v>
      </c>
    </row>
    <row r="1406" spans="1:15" ht="31.5">
      <c r="A1406" s="16" t="s">
        <v>17</v>
      </c>
      <c r="B1406" s="16" t="s">
        <v>41</v>
      </c>
      <c r="C1406" s="17" t="s">
        <v>19</v>
      </c>
      <c r="D1406" s="18" t="s">
        <v>818</v>
      </c>
      <c r="E1406" s="18">
        <v>20</v>
      </c>
      <c r="F1406" s="18" t="s">
        <v>21</v>
      </c>
      <c r="G1406" s="18" t="s">
        <v>22</v>
      </c>
      <c r="H1406" s="18" t="s">
        <v>23</v>
      </c>
      <c r="I1406" s="19">
        <v>12.71</v>
      </c>
      <c r="J1406" s="20">
        <f t="shared" si="42"/>
        <v>254.20000000000002</v>
      </c>
      <c r="K1406" s="106"/>
      <c r="L1406" s="114"/>
      <c r="M1406" s="114">
        <f>tblAquisições[[#This Row],[VALOR UNITARIO COMPRADO]]*tblAquisições[[#This Row],[QUANTIDADE COMPRADA]]</f>
        <v>0</v>
      </c>
      <c r="N1406" s="110">
        <f>K1406-tblAquisições[[#This Row],[QUANTIDADE PLANEJADA]]</f>
        <v>-20</v>
      </c>
      <c r="O1406" s="106" t="str">
        <f t="shared" si="43"/>
        <v>Faltando Comprar</v>
      </c>
    </row>
    <row r="1407" spans="1:15" ht="31.5">
      <c r="A1407" s="16" t="s">
        <v>17</v>
      </c>
      <c r="B1407" s="16" t="s">
        <v>27</v>
      </c>
      <c r="C1407" s="17" t="s">
        <v>19</v>
      </c>
      <c r="D1407" s="18" t="s">
        <v>818</v>
      </c>
      <c r="E1407" s="18">
        <v>100</v>
      </c>
      <c r="F1407" s="18" t="s">
        <v>21</v>
      </c>
      <c r="G1407" s="18" t="s">
        <v>22</v>
      </c>
      <c r="H1407" s="18" t="s">
        <v>23</v>
      </c>
      <c r="I1407" s="19">
        <v>12.71</v>
      </c>
      <c r="J1407" s="20">
        <f t="shared" si="42"/>
        <v>1271</v>
      </c>
      <c r="K1407" s="106"/>
      <c r="L1407" s="114"/>
      <c r="M1407" s="114">
        <f>tblAquisições[[#This Row],[VALOR UNITARIO COMPRADO]]*tblAquisições[[#This Row],[QUANTIDADE COMPRADA]]</f>
        <v>0</v>
      </c>
      <c r="N1407" s="110">
        <f>K1407-tblAquisições[[#This Row],[QUANTIDADE PLANEJADA]]</f>
        <v>-100</v>
      </c>
      <c r="O1407" s="106" t="str">
        <f t="shared" si="43"/>
        <v>Faltando Comprar</v>
      </c>
    </row>
    <row r="1408" spans="1:15" ht="31.5">
      <c r="A1408" s="16" t="s">
        <v>17</v>
      </c>
      <c r="B1408" s="16" t="s">
        <v>28</v>
      </c>
      <c r="C1408" s="17" t="s">
        <v>19</v>
      </c>
      <c r="D1408" s="18" t="s">
        <v>818</v>
      </c>
      <c r="E1408" s="18">
        <v>30</v>
      </c>
      <c r="F1408" s="18" t="s">
        <v>21</v>
      </c>
      <c r="G1408" s="18" t="s">
        <v>22</v>
      </c>
      <c r="H1408" s="18" t="s">
        <v>23</v>
      </c>
      <c r="I1408" s="19">
        <v>12.71</v>
      </c>
      <c r="J1408" s="20">
        <f t="shared" si="42"/>
        <v>381.3</v>
      </c>
      <c r="K1408" s="106"/>
      <c r="L1408" s="114"/>
      <c r="M1408" s="114">
        <f>tblAquisições[[#This Row],[VALOR UNITARIO COMPRADO]]*tblAquisições[[#This Row],[QUANTIDADE COMPRADA]]</f>
        <v>0</v>
      </c>
      <c r="N1408" s="110">
        <f>K1408-tblAquisições[[#This Row],[QUANTIDADE PLANEJADA]]</f>
        <v>-30</v>
      </c>
      <c r="O1408" s="106" t="str">
        <f t="shared" si="43"/>
        <v>Faltando Comprar</v>
      </c>
    </row>
    <row r="1409" spans="1:15" ht="31.5">
      <c r="A1409" s="16" t="s">
        <v>17</v>
      </c>
      <c r="B1409" s="16" t="s">
        <v>28</v>
      </c>
      <c r="C1409" s="17" t="s">
        <v>19</v>
      </c>
      <c r="D1409" s="18" t="s">
        <v>819</v>
      </c>
      <c r="E1409" s="18">
        <v>8</v>
      </c>
      <c r="F1409" s="18" t="s">
        <v>21</v>
      </c>
      <c r="G1409" s="18" t="s">
        <v>22</v>
      </c>
      <c r="H1409" s="18" t="s">
        <v>23</v>
      </c>
      <c r="I1409" s="19">
        <v>161.63</v>
      </c>
      <c r="J1409" s="20">
        <f t="shared" si="42"/>
        <v>1293.04</v>
      </c>
      <c r="K1409" s="106"/>
      <c r="L1409" s="114"/>
      <c r="M1409" s="114">
        <f>tblAquisições[[#This Row],[VALOR UNITARIO COMPRADO]]*tblAquisições[[#This Row],[QUANTIDADE COMPRADA]]</f>
        <v>0</v>
      </c>
      <c r="N1409" s="110">
        <f>K1409-tblAquisições[[#This Row],[QUANTIDADE PLANEJADA]]</f>
        <v>-8</v>
      </c>
      <c r="O1409" s="106" t="str">
        <f t="shared" si="43"/>
        <v>Faltando Comprar</v>
      </c>
    </row>
    <row r="1410" spans="1:15" ht="31.5">
      <c r="A1410" s="16" t="s">
        <v>17</v>
      </c>
      <c r="B1410" s="16" t="s">
        <v>26</v>
      </c>
      <c r="C1410" s="17" t="s">
        <v>19</v>
      </c>
      <c r="D1410" s="18" t="s">
        <v>820</v>
      </c>
      <c r="E1410" s="18">
        <v>10</v>
      </c>
      <c r="F1410" s="18" t="s">
        <v>30</v>
      </c>
      <c r="G1410" s="18" t="s">
        <v>22</v>
      </c>
      <c r="H1410" s="18" t="s">
        <v>23</v>
      </c>
      <c r="I1410" s="19">
        <v>472.07</v>
      </c>
      <c r="J1410" s="20">
        <f t="shared" ref="J1410:J1473" si="44">E1410*I1410</f>
        <v>4720.7</v>
      </c>
      <c r="K1410" s="106"/>
      <c r="L1410" s="114"/>
      <c r="M1410" s="114">
        <f>tblAquisições[[#This Row],[VALOR UNITARIO COMPRADO]]*tblAquisições[[#This Row],[QUANTIDADE COMPRADA]]</f>
        <v>0</v>
      </c>
      <c r="N1410" s="110">
        <f>K1410-tblAquisições[[#This Row],[QUANTIDADE PLANEJADA]]</f>
        <v>-10</v>
      </c>
      <c r="O1410" s="106" t="str">
        <f t="shared" ref="O1410:O1473" si="45">IF(K1410=E1410,"OK",IF(K1410&lt;E1410,"Faltando Comprar","Excedente"))</f>
        <v>Faltando Comprar</v>
      </c>
    </row>
    <row r="1411" spans="1:15" ht="31.5">
      <c r="A1411" s="16" t="s">
        <v>17</v>
      </c>
      <c r="B1411" s="16" t="s">
        <v>26</v>
      </c>
      <c r="C1411" s="17" t="s">
        <v>19</v>
      </c>
      <c r="D1411" s="18" t="s">
        <v>821</v>
      </c>
      <c r="E1411" s="18">
        <v>20</v>
      </c>
      <c r="F1411" s="18" t="s">
        <v>21</v>
      </c>
      <c r="G1411" s="18" t="s">
        <v>22</v>
      </c>
      <c r="H1411" s="18" t="s">
        <v>23</v>
      </c>
      <c r="I1411" s="19">
        <v>16.2</v>
      </c>
      <c r="J1411" s="20">
        <f t="shared" si="44"/>
        <v>324</v>
      </c>
      <c r="K1411" s="106"/>
      <c r="L1411" s="114"/>
      <c r="M1411" s="114">
        <f>tblAquisições[[#This Row],[VALOR UNITARIO COMPRADO]]*tblAquisições[[#This Row],[QUANTIDADE COMPRADA]]</f>
        <v>0</v>
      </c>
      <c r="N1411" s="110">
        <f>K1411-tblAquisições[[#This Row],[QUANTIDADE PLANEJADA]]</f>
        <v>-20</v>
      </c>
      <c r="O1411" s="106" t="str">
        <f t="shared" si="45"/>
        <v>Faltando Comprar</v>
      </c>
    </row>
    <row r="1412" spans="1:15" ht="31.5">
      <c r="A1412" s="16" t="s">
        <v>17</v>
      </c>
      <c r="B1412" s="16" t="s">
        <v>26</v>
      </c>
      <c r="C1412" s="17" t="s">
        <v>19</v>
      </c>
      <c r="D1412" s="18" t="s">
        <v>822</v>
      </c>
      <c r="E1412" s="18">
        <v>8</v>
      </c>
      <c r="F1412" s="18" t="s">
        <v>30</v>
      </c>
      <c r="G1412" s="18" t="s">
        <v>22</v>
      </c>
      <c r="H1412" s="18" t="s">
        <v>83</v>
      </c>
      <c r="I1412" s="19">
        <v>358.23</v>
      </c>
      <c r="J1412" s="20">
        <f t="shared" si="44"/>
        <v>2865.84</v>
      </c>
      <c r="K1412" s="106"/>
      <c r="L1412" s="114"/>
      <c r="M1412" s="114">
        <f>tblAquisições[[#This Row],[VALOR UNITARIO COMPRADO]]*tblAquisições[[#This Row],[QUANTIDADE COMPRADA]]</f>
        <v>0</v>
      </c>
      <c r="N1412" s="110">
        <f>K1412-tblAquisições[[#This Row],[QUANTIDADE PLANEJADA]]</f>
        <v>-8</v>
      </c>
      <c r="O1412" s="106" t="str">
        <f t="shared" si="45"/>
        <v>Faltando Comprar</v>
      </c>
    </row>
    <row r="1413" spans="1:15" ht="47.25">
      <c r="A1413" s="16" t="s">
        <v>17</v>
      </c>
      <c r="B1413" s="16" t="s">
        <v>28</v>
      </c>
      <c r="C1413" s="17" t="s">
        <v>19</v>
      </c>
      <c r="D1413" s="18" t="s">
        <v>823</v>
      </c>
      <c r="E1413" s="18">
        <v>5</v>
      </c>
      <c r="F1413" s="18" t="s">
        <v>78</v>
      </c>
      <c r="G1413" s="18" t="s">
        <v>22</v>
      </c>
      <c r="H1413" s="18" t="s">
        <v>23</v>
      </c>
      <c r="I1413" s="19">
        <v>884.82</v>
      </c>
      <c r="J1413" s="20">
        <f t="shared" si="44"/>
        <v>4424.1000000000004</v>
      </c>
      <c r="K1413" s="106"/>
      <c r="L1413" s="114"/>
      <c r="M1413" s="114">
        <f>tblAquisições[[#This Row],[VALOR UNITARIO COMPRADO]]*tblAquisições[[#This Row],[QUANTIDADE COMPRADA]]</f>
        <v>0</v>
      </c>
      <c r="N1413" s="110">
        <f>K1413-tblAquisições[[#This Row],[QUANTIDADE PLANEJADA]]</f>
        <v>-5</v>
      </c>
      <c r="O1413" s="106" t="str">
        <f t="shared" si="45"/>
        <v>Faltando Comprar</v>
      </c>
    </row>
    <row r="1414" spans="1:15" ht="31.5">
      <c r="A1414" s="16" t="s">
        <v>17</v>
      </c>
      <c r="B1414" s="16" t="s">
        <v>34</v>
      </c>
      <c r="C1414" s="17" t="s">
        <v>19</v>
      </c>
      <c r="D1414" s="18" t="s">
        <v>824</v>
      </c>
      <c r="E1414" s="18">
        <v>2</v>
      </c>
      <c r="F1414" s="18" t="s">
        <v>21</v>
      </c>
      <c r="G1414" s="18" t="s">
        <v>22</v>
      </c>
      <c r="H1414" s="18" t="s">
        <v>23</v>
      </c>
      <c r="I1414" s="19">
        <v>82.13</v>
      </c>
      <c r="J1414" s="20">
        <f t="shared" si="44"/>
        <v>164.26</v>
      </c>
      <c r="K1414" s="106"/>
      <c r="L1414" s="114"/>
      <c r="M1414" s="114">
        <f>tblAquisições[[#This Row],[VALOR UNITARIO COMPRADO]]*tblAquisições[[#This Row],[QUANTIDADE COMPRADA]]</f>
        <v>0</v>
      </c>
      <c r="N1414" s="110">
        <f>K1414-tblAquisições[[#This Row],[QUANTIDADE PLANEJADA]]</f>
        <v>-2</v>
      </c>
      <c r="O1414" s="106" t="str">
        <f t="shared" si="45"/>
        <v>Faltando Comprar</v>
      </c>
    </row>
    <row r="1415" spans="1:15" ht="31.5">
      <c r="A1415" s="16" t="s">
        <v>17</v>
      </c>
      <c r="B1415" s="16" t="s">
        <v>26</v>
      </c>
      <c r="C1415" s="17" t="s">
        <v>19</v>
      </c>
      <c r="D1415" s="18" t="s">
        <v>825</v>
      </c>
      <c r="E1415" s="18">
        <v>50</v>
      </c>
      <c r="F1415" s="18" t="s">
        <v>21</v>
      </c>
      <c r="G1415" s="18" t="s">
        <v>22</v>
      </c>
      <c r="H1415" s="18" t="s">
        <v>23</v>
      </c>
      <c r="I1415" s="19">
        <v>9.57</v>
      </c>
      <c r="J1415" s="20">
        <f t="shared" si="44"/>
        <v>478.5</v>
      </c>
      <c r="K1415" s="106"/>
      <c r="L1415" s="114"/>
      <c r="M1415" s="114">
        <f>tblAquisições[[#This Row],[VALOR UNITARIO COMPRADO]]*tblAquisições[[#This Row],[QUANTIDADE COMPRADA]]</f>
        <v>0</v>
      </c>
      <c r="N1415" s="110">
        <f>K1415-tblAquisições[[#This Row],[QUANTIDADE PLANEJADA]]</f>
        <v>-50</v>
      </c>
      <c r="O1415" s="106" t="str">
        <f t="shared" si="45"/>
        <v>Faltando Comprar</v>
      </c>
    </row>
    <row r="1416" spans="1:15" ht="47.25">
      <c r="A1416" s="16" t="s">
        <v>17</v>
      </c>
      <c r="B1416" s="16" t="s">
        <v>80</v>
      </c>
      <c r="C1416" s="17" t="s">
        <v>19</v>
      </c>
      <c r="D1416" s="18" t="s">
        <v>826</v>
      </c>
      <c r="E1416" s="18">
        <v>12</v>
      </c>
      <c r="F1416" s="18" t="s">
        <v>96</v>
      </c>
      <c r="G1416" s="18" t="s">
        <v>39</v>
      </c>
      <c r="H1416" s="18" t="s">
        <v>65</v>
      </c>
      <c r="I1416" s="19">
        <v>21.48</v>
      </c>
      <c r="J1416" s="20">
        <f t="shared" si="44"/>
        <v>257.76</v>
      </c>
      <c r="K1416" s="106"/>
      <c r="L1416" s="114"/>
      <c r="M1416" s="114">
        <f>tblAquisições[[#This Row],[VALOR UNITARIO COMPRADO]]*tblAquisições[[#This Row],[QUANTIDADE COMPRADA]]</f>
        <v>0</v>
      </c>
      <c r="N1416" s="110">
        <f>K1416-tblAquisições[[#This Row],[QUANTIDADE PLANEJADA]]</f>
        <v>-12</v>
      </c>
      <c r="O1416" s="106" t="str">
        <f t="shared" si="45"/>
        <v>Faltando Comprar</v>
      </c>
    </row>
    <row r="1417" spans="1:15" ht="47.25">
      <c r="A1417" s="16" t="s">
        <v>17</v>
      </c>
      <c r="B1417" s="16" t="s">
        <v>72</v>
      </c>
      <c r="C1417" s="17" t="s">
        <v>19</v>
      </c>
      <c r="D1417" s="18" t="s">
        <v>827</v>
      </c>
      <c r="E1417" s="18">
        <v>2</v>
      </c>
      <c r="F1417" s="18" t="s">
        <v>58</v>
      </c>
      <c r="G1417" s="18" t="s">
        <v>22</v>
      </c>
      <c r="H1417" s="18" t="s">
        <v>65</v>
      </c>
      <c r="I1417" s="19">
        <v>21.48</v>
      </c>
      <c r="J1417" s="20">
        <f t="shared" si="44"/>
        <v>42.96</v>
      </c>
      <c r="K1417" s="106"/>
      <c r="L1417" s="114"/>
      <c r="M1417" s="114">
        <f>tblAquisições[[#This Row],[VALOR UNITARIO COMPRADO]]*tblAquisições[[#This Row],[QUANTIDADE COMPRADA]]</f>
        <v>0</v>
      </c>
      <c r="N1417" s="110">
        <f>K1417-tblAquisições[[#This Row],[QUANTIDADE PLANEJADA]]</f>
        <v>-2</v>
      </c>
      <c r="O1417" s="106" t="str">
        <f t="shared" si="45"/>
        <v>Faltando Comprar</v>
      </c>
    </row>
    <row r="1418" spans="1:15" ht="47.25">
      <c r="A1418" s="16" t="s">
        <v>17</v>
      </c>
      <c r="B1418" s="16" t="s">
        <v>28</v>
      </c>
      <c r="C1418" s="17" t="s">
        <v>19</v>
      </c>
      <c r="D1418" s="18" t="s">
        <v>828</v>
      </c>
      <c r="E1418" s="18">
        <v>10</v>
      </c>
      <c r="F1418" s="18" t="s">
        <v>58</v>
      </c>
      <c r="G1418" s="18" t="s">
        <v>22</v>
      </c>
      <c r="H1418" s="18" t="s">
        <v>23</v>
      </c>
      <c r="I1418" s="19">
        <v>8.5299999999999994</v>
      </c>
      <c r="J1418" s="20">
        <f t="shared" si="44"/>
        <v>85.3</v>
      </c>
      <c r="K1418" s="106"/>
      <c r="L1418" s="114"/>
      <c r="M1418" s="114">
        <f>tblAquisições[[#This Row],[VALOR UNITARIO COMPRADO]]*tblAquisições[[#This Row],[QUANTIDADE COMPRADA]]</f>
        <v>0</v>
      </c>
      <c r="N1418" s="110">
        <f>K1418-tblAquisições[[#This Row],[QUANTIDADE PLANEJADA]]</f>
        <v>-10</v>
      </c>
      <c r="O1418" s="106" t="str">
        <f t="shared" si="45"/>
        <v>Faltando Comprar</v>
      </c>
    </row>
    <row r="1419" spans="1:15" ht="47.25">
      <c r="A1419" s="16" t="s">
        <v>17</v>
      </c>
      <c r="B1419" s="16" t="s">
        <v>34</v>
      </c>
      <c r="C1419" s="17" t="s">
        <v>19</v>
      </c>
      <c r="D1419" s="18" t="s">
        <v>829</v>
      </c>
      <c r="E1419" s="18">
        <v>1</v>
      </c>
      <c r="F1419" s="18" t="s">
        <v>71</v>
      </c>
      <c r="G1419" s="18" t="s">
        <v>22</v>
      </c>
      <c r="H1419" s="18" t="s">
        <v>65</v>
      </c>
      <c r="I1419" s="19">
        <v>36.119999999999997</v>
      </c>
      <c r="J1419" s="20">
        <f t="shared" si="44"/>
        <v>36.119999999999997</v>
      </c>
      <c r="K1419" s="106"/>
      <c r="L1419" s="114"/>
      <c r="M1419" s="114">
        <f>tblAquisições[[#This Row],[VALOR UNITARIO COMPRADO]]*tblAquisições[[#This Row],[QUANTIDADE COMPRADA]]</f>
        <v>0</v>
      </c>
      <c r="N1419" s="110">
        <f>K1419-tblAquisições[[#This Row],[QUANTIDADE PLANEJADA]]</f>
        <v>-1</v>
      </c>
      <c r="O1419" s="106" t="str">
        <f t="shared" si="45"/>
        <v>Faltando Comprar</v>
      </c>
    </row>
    <row r="1420" spans="1:15" ht="31.5">
      <c r="A1420" s="16" t="s">
        <v>17</v>
      </c>
      <c r="B1420" s="16" t="s">
        <v>31</v>
      </c>
      <c r="C1420" s="17" t="s">
        <v>19</v>
      </c>
      <c r="D1420" s="18" t="s">
        <v>830</v>
      </c>
      <c r="E1420" s="18">
        <v>3</v>
      </c>
      <c r="F1420" s="18" t="s">
        <v>21</v>
      </c>
      <c r="G1420" s="18" t="s">
        <v>22</v>
      </c>
      <c r="H1420" s="18" t="s">
        <v>23</v>
      </c>
      <c r="I1420" s="19">
        <v>138.6</v>
      </c>
      <c r="J1420" s="20">
        <f t="shared" si="44"/>
        <v>415.79999999999995</v>
      </c>
      <c r="K1420" s="106"/>
      <c r="L1420" s="114"/>
      <c r="M1420" s="114">
        <f>tblAquisições[[#This Row],[VALOR UNITARIO COMPRADO]]*tblAquisições[[#This Row],[QUANTIDADE COMPRADA]]</f>
        <v>0</v>
      </c>
      <c r="N1420" s="110">
        <f>K1420-tblAquisições[[#This Row],[QUANTIDADE PLANEJADA]]</f>
        <v>-3</v>
      </c>
      <c r="O1420" s="106" t="str">
        <f t="shared" si="45"/>
        <v>Faltando Comprar</v>
      </c>
    </row>
    <row r="1421" spans="1:15" ht="31.5">
      <c r="A1421" s="16" t="s">
        <v>17</v>
      </c>
      <c r="B1421" s="16" t="s">
        <v>18</v>
      </c>
      <c r="C1421" s="17" t="s">
        <v>19</v>
      </c>
      <c r="D1421" s="18" t="s">
        <v>830</v>
      </c>
      <c r="E1421" s="18">
        <v>5</v>
      </c>
      <c r="F1421" s="18" t="s">
        <v>21</v>
      </c>
      <c r="G1421" s="18" t="s">
        <v>22</v>
      </c>
      <c r="H1421" s="18" t="s">
        <v>23</v>
      </c>
      <c r="I1421" s="19">
        <v>138.6</v>
      </c>
      <c r="J1421" s="20">
        <f t="shared" si="44"/>
        <v>693</v>
      </c>
      <c r="K1421" s="106"/>
      <c r="L1421" s="114"/>
      <c r="M1421" s="114">
        <f>tblAquisições[[#This Row],[VALOR UNITARIO COMPRADO]]*tblAquisições[[#This Row],[QUANTIDADE COMPRADA]]</f>
        <v>0</v>
      </c>
      <c r="N1421" s="110">
        <f>K1421-tblAquisições[[#This Row],[QUANTIDADE PLANEJADA]]</f>
        <v>-5</v>
      </c>
      <c r="O1421" s="106" t="str">
        <f t="shared" si="45"/>
        <v>Faltando Comprar</v>
      </c>
    </row>
    <row r="1422" spans="1:15" ht="31.5">
      <c r="A1422" s="16" t="s">
        <v>17</v>
      </c>
      <c r="B1422" s="16" t="s">
        <v>24</v>
      </c>
      <c r="C1422" s="17" t="s">
        <v>19</v>
      </c>
      <c r="D1422" s="18" t="s">
        <v>830</v>
      </c>
      <c r="E1422" s="18">
        <v>5</v>
      </c>
      <c r="F1422" s="18" t="s">
        <v>21</v>
      </c>
      <c r="G1422" s="18" t="s">
        <v>22</v>
      </c>
      <c r="H1422" s="18" t="s">
        <v>23</v>
      </c>
      <c r="I1422" s="19">
        <v>138.6</v>
      </c>
      <c r="J1422" s="20">
        <f t="shared" si="44"/>
        <v>693</v>
      </c>
      <c r="K1422" s="106"/>
      <c r="L1422" s="114"/>
      <c r="M1422" s="114">
        <f>tblAquisições[[#This Row],[VALOR UNITARIO COMPRADO]]*tblAquisições[[#This Row],[QUANTIDADE COMPRADA]]</f>
        <v>0</v>
      </c>
      <c r="N1422" s="110">
        <f>K1422-tblAquisições[[#This Row],[QUANTIDADE PLANEJADA]]</f>
        <v>-5</v>
      </c>
      <c r="O1422" s="106" t="str">
        <f t="shared" si="45"/>
        <v>Faltando Comprar</v>
      </c>
    </row>
    <row r="1423" spans="1:15" ht="31.5">
      <c r="A1423" s="16" t="s">
        <v>17</v>
      </c>
      <c r="B1423" s="16" t="s">
        <v>25</v>
      </c>
      <c r="C1423" s="17" t="s">
        <v>19</v>
      </c>
      <c r="D1423" s="18" t="s">
        <v>830</v>
      </c>
      <c r="E1423" s="18">
        <v>5</v>
      </c>
      <c r="F1423" s="18" t="s">
        <v>21</v>
      </c>
      <c r="G1423" s="18" t="s">
        <v>22</v>
      </c>
      <c r="H1423" s="18" t="s">
        <v>23</v>
      </c>
      <c r="I1423" s="19">
        <v>138.6</v>
      </c>
      <c r="J1423" s="20">
        <f t="shared" si="44"/>
        <v>693</v>
      </c>
      <c r="K1423" s="106"/>
      <c r="L1423" s="114"/>
      <c r="M1423" s="114">
        <f>tblAquisições[[#This Row],[VALOR UNITARIO COMPRADO]]*tblAquisições[[#This Row],[QUANTIDADE COMPRADA]]</f>
        <v>0</v>
      </c>
      <c r="N1423" s="110">
        <f>K1423-tblAquisições[[#This Row],[QUANTIDADE PLANEJADA]]</f>
        <v>-5</v>
      </c>
      <c r="O1423" s="106" t="str">
        <f t="shared" si="45"/>
        <v>Faltando Comprar</v>
      </c>
    </row>
    <row r="1424" spans="1:15" ht="31.5">
      <c r="A1424" s="16" t="s">
        <v>17</v>
      </c>
      <c r="B1424" s="16" t="s">
        <v>27</v>
      </c>
      <c r="C1424" s="17" t="s">
        <v>19</v>
      </c>
      <c r="D1424" s="18" t="s">
        <v>830</v>
      </c>
      <c r="E1424" s="18">
        <v>7</v>
      </c>
      <c r="F1424" s="18" t="s">
        <v>21</v>
      </c>
      <c r="G1424" s="18" t="s">
        <v>22</v>
      </c>
      <c r="H1424" s="18" t="s">
        <v>23</v>
      </c>
      <c r="I1424" s="19">
        <v>138.6</v>
      </c>
      <c r="J1424" s="20">
        <f t="shared" si="44"/>
        <v>970.19999999999993</v>
      </c>
      <c r="K1424" s="106"/>
      <c r="L1424" s="114"/>
      <c r="M1424" s="114">
        <f>tblAquisições[[#This Row],[VALOR UNITARIO COMPRADO]]*tblAquisições[[#This Row],[QUANTIDADE COMPRADA]]</f>
        <v>0</v>
      </c>
      <c r="N1424" s="110">
        <f>K1424-tblAquisições[[#This Row],[QUANTIDADE PLANEJADA]]</f>
        <v>-7</v>
      </c>
      <c r="O1424" s="106" t="str">
        <f t="shared" si="45"/>
        <v>Faltando Comprar</v>
      </c>
    </row>
    <row r="1425" spans="1:15" ht="31.5">
      <c r="A1425" s="16" t="s">
        <v>17</v>
      </c>
      <c r="B1425" s="16" t="s">
        <v>31</v>
      </c>
      <c r="C1425" s="17" t="s">
        <v>19</v>
      </c>
      <c r="D1425" s="18" t="s">
        <v>831</v>
      </c>
      <c r="E1425" s="18">
        <v>252</v>
      </c>
      <c r="F1425" s="18" t="s">
        <v>21</v>
      </c>
      <c r="G1425" s="18" t="s">
        <v>22</v>
      </c>
      <c r="H1425" s="18" t="s">
        <v>23</v>
      </c>
      <c r="I1425" s="19">
        <v>7.01</v>
      </c>
      <c r="J1425" s="20">
        <f t="shared" si="44"/>
        <v>1766.52</v>
      </c>
      <c r="K1425" s="106"/>
      <c r="L1425" s="114"/>
      <c r="M1425" s="114">
        <f>tblAquisições[[#This Row],[VALOR UNITARIO COMPRADO]]*tblAquisições[[#This Row],[QUANTIDADE COMPRADA]]</f>
        <v>0</v>
      </c>
      <c r="N1425" s="110">
        <f>K1425-tblAquisições[[#This Row],[QUANTIDADE PLANEJADA]]</f>
        <v>-252</v>
      </c>
      <c r="O1425" s="106" t="str">
        <f t="shared" si="45"/>
        <v>Faltando Comprar</v>
      </c>
    </row>
    <row r="1426" spans="1:15" ht="47.25">
      <c r="A1426" s="16" t="s">
        <v>17</v>
      </c>
      <c r="B1426" s="16" t="s">
        <v>59</v>
      </c>
      <c r="C1426" s="17" t="s">
        <v>19</v>
      </c>
      <c r="D1426" s="18" t="s">
        <v>832</v>
      </c>
      <c r="E1426" s="18">
        <v>50</v>
      </c>
      <c r="F1426" s="18" t="s">
        <v>58</v>
      </c>
      <c r="G1426" s="18" t="s">
        <v>22</v>
      </c>
      <c r="H1426" s="18" t="s">
        <v>23</v>
      </c>
      <c r="I1426" s="19">
        <v>58.15</v>
      </c>
      <c r="J1426" s="20">
        <f t="shared" si="44"/>
        <v>2907.5</v>
      </c>
      <c r="K1426" s="106"/>
      <c r="L1426" s="114"/>
      <c r="M1426" s="114">
        <f>tblAquisições[[#This Row],[VALOR UNITARIO COMPRADO]]*tblAquisições[[#This Row],[QUANTIDADE COMPRADA]]</f>
        <v>0</v>
      </c>
      <c r="N1426" s="110">
        <f>K1426-tblAquisições[[#This Row],[QUANTIDADE PLANEJADA]]</f>
        <v>-50</v>
      </c>
      <c r="O1426" s="106" t="str">
        <f t="shared" si="45"/>
        <v>Faltando Comprar</v>
      </c>
    </row>
    <row r="1427" spans="1:15" ht="31.5">
      <c r="A1427" s="16" t="s">
        <v>17</v>
      </c>
      <c r="B1427" s="16" t="s">
        <v>28</v>
      </c>
      <c r="C1427" s="17" t="s">
        <v>19</v>
      </c>
      <c r="D1427" s="18" t="s">
        <v>833</v>
      </c>
      <c r="E1427" s="18">
        <v>60</v>
      </c>
      <c r="F1427" s="18" t="s">
        <v>21</v>
      </c>
      <c r="G1427" s="18" t="s">
        <v>22</v>
      </c>
      <c r="H1427" s="18" t="s">
        <v>23</v>
      </c>
      <c r="I1427" s="19">
        <v>433.52</v>
      </c>
      <c r="J1427" s="20">
        <f t="shared" si="44"/>
        <v>26011.199999999997</v>
      </c>
      <c r="K1427" s="106"/>
      <c r="L1427" s="114"/>
      <c r="M1427" s="114">
        <f>tblAquisições[[#This Row],[VALOR UNITARIO COMPRADO]]*tblAquisições[[#This Row],[QUANTIDADE COMPRADA]]</f>
        <v>0</v>
      </c>
      <c r="N1427" s="110">
        <f>K1427-tblAquisições[[#This Row],[QUANTIDADE PLANEJADA]]</f>
        <v>-60</v>
      </c>
      <c r="O1427" s="106" t="str">
        <f t="shared" si="45"/>
        <v>Faltando Comprar</v>
      </c>
    </row>
    <row r="1428" spans="1:15" ht="31.5">
      <c r="A1428" s="16" t="s">
        <v>17</v>
      </c>
      <c r="B1428" s="16" t="s">
        <v>34</v>
      </c>
      <c r="C1428" s="17" t="s">
        <v>19</v>
      </c>
      <c r="D1428" s="18" t="s">
        <v>834</v>
      </c>
      <c r="E1428" s="18">
        <v>20</v>
      </c>
      <c r="F1428" s="18" t="s">
        <v>21</v>
      </c>
      <c r="G1428" s="18" t="s">
        <v>22</v>
      </c>
      <c r="H1428" s="18" t="s">
        <v>23</v>
      </c>
      <c r="I1428" s="19">
        <v>57.49</v>
      </c>
      <c r="J1428" s="20">
        <f t="shared" si="44"/>
        <v>1149.8</v>
      </c>
      <c r="K1428" s="106"/>
      <c r="L1428" s="114"/>
      <c r="M1428" s="114">
        <f>tblAquisições[[#This Row],[VALOR UNITARIO COMPRADO]]*tblAquisições[[#This Row],[QUANTIDADE COMPRADA]]</f>
        <v>0</v>
      </c>
      <c r="N1428" s="110">
        <f>K1428-tblAquisições[[#This Row],[QUANTIDADE PLANEJADA]]</f>
        <v>-20</v>
      </c>
      <c r="O1428" s="106" t="str">
        <f t="shared" si="45"/>
        <v>Faltando Comprar</v>
      </c>
    </row>
    <row r="1429" spans="1:15" ht="31.5">
      <c r="A1429" s="16" t="s">
        <v>17</v>
      </c>
      <c r="B1429" s="16" t="s">
        <v>31</v>
      </c>
      <c r="C1429" s="17" t="s">
        <v>19</v>
      </c>
      <c r="D1429" s="18" t="s">
        <v>834</v>
      </c>
      <c r="E1429" s="18">
        <v>80</v>
      </c>
      <c r="F1429" s="18" t="s">
        <v>21</v>
      </c>
      <c r="G1429" s="18" t="s">
        <v>22</v>
      </c>
      <c r="H1429" s="18" t="s">
        <v>23</v>
      </c>
      <c r="I1429" s="19">
        <v>57.49</v>
      </c>
      <c r="J1429" s="20">
        <f t="shared" si="44"/>
        <v>4599.2</v>
      </c>
      <c r="K1429" s="106"/>
      <c r="L1429" s="114"/>
      <c r="M1429" s="114">
        <f>tblAquisições[[#This Row],[VALOR UNITARIO COMPRADO]]*tblAquisições[[#This Row],[QUANTIDADE COMPRADA]]</f>
        <v>0</v>
      </c>
      <c r="N1429" s="110">
        <f>K1429-tblAquisições[[#This Row],[QUANTIDADE PLANEJADA]]</f>
        <v>-80</v>
      </c>
      <c r="O1429" s="106" t="str">
        <f t="shared" si="45"/>
        <v>Faltando Comprar</v>
      </c>
    </row>
    <row r="1430" spans="1:15" ht="47.25">
      <c r="A1430" s="16" t="s">
        <v>17</v>
      </c>
      <c r="B1430" s="16" t="s">
        <v>80</v>
      </c>
      <c r="C1430" s="17" t="s">
        <v>19</v>
      </c>
      <c r="D1430" s="18" t="s">
        <v>835</v>
      </c>
      <c r="E1430" s="18">
        <v>30</v>
      </c>
      <c r="F1430" s="18" t="s">
        <v>191</v>
      </c>
      <c r="G1430" s="18" t="s">
        <v>39</v>
      </c>
      <c r="H1430" s="18" t="s">
        <v>23</v>
      </c>
      <c r="I1430" s="19">
        <v>2.59</v>
      </c>
      <c r="J1430" s="20">
        <f t="shared" si="44"/>
        <v>77.699999999999989</v>
      </c>
      <c r="K1430" s="106"/>
      <c r="L1430" s="114"/>
      <c r="M1430" s="114">
        <f>tblAquisições[[#This Row],[VALOR UNITARIO COMPRADO]]*tblAquisições[[#This Row],[QUANTIDADE COMPRADA]]</f>
        <v>0</v>
      </c>
      <c r="N1430" s="110">
        <f>K1430-tblAquisições[[#This Row],[QUANTIDADE PLANEJADA]]</f>
        <v>-30</v>
      </c>
      <c r="O1430" s="106" t="str">
        <f t="shared" si="45"/>
        <v>Faltando Comprar</v>
      </c>
    </row>
    <row r="1431" spans="1:15" ht="47.25">
      <c r="A1431" s="16" t="s">
        <v>17</v>
      </c>
      <c r="B1431" s="16" t="s">
        <v>26</v>
      </c>
      <c r="C1431" s="17" t="s">
        <v>19</v>
      </c>
      <c r="D1431" s="18" t="s">
        <v>836</v>
      </c>
      <c r="E1431" s="18">
        <v>4</v>
      </c>
      <c r="F1431" s="18" t="s">
        <v>58</v>
      </c>
      <c r="G1431" s="18" t="s">
        <v>22</v>
      </c>
      <c r="H1431" s="18" t="s">
        <v>65</v>
      </c>
      <c r="I1431" s="19">
        <v>38.33</v>
      </c>
      <c r="J1431" s="20">
        <f t="shared" si="44"/>
        <v>153.32</v>
      </c>
      <c r="K1431" s="106"/>
      <c r="L1431" s="114"/>
      <c r="M1431" s="114">
        <f>tblAquisições[[#This Row],[VALOR UNITARIO COMPRADO]]*tblAquisições[[#This Row],[QUANTIDADE COMPRADA]]</f>
        <v>0</v>
      </c>
      <c r="N1431" s="110">
        <f>K1431-tblAquisições[[#This Row],[QUANTIDADE PLANEJADA]]</f>
        <v>-4</v>
      </c>
      <c r="O1431" s="106" t="str">
        <f t="shared" si="45"/>
        <v>Faltando Comprar</v>
      </c>
    </row>
    <row r="1432" spans="1:15" ht="47.25">
      <c r="A1432" s="16" t="s">
        <v>17</v>
      </c>
      <c r="B1432" s="16" t="s">
        <v>28</v>
      </c>
      <c r="C1432" s="17" t="s">
        <v>19</v>
      </c>
      <c r="D1432" s="18" t="s">
        <v>836</v>
      </c>
      <c r="E1432" s="18">
        <v>3</v>
      </c>
      <c r="F1432" s="18" t="s">
        <v>58</v>
      </c>
      <c r="G1432" s="18" t="s">
        <v>22</v>
      </c>
      <c r="H1432" s="18" t="s">
        <v>65</v>
      </c>
      <c r="I1432" s="19">
        <v>38.33</v>
      </c>
      <c r="J1432" s="20">
        <f t="shared" si="44"/>
        <v>114.99</v>
      </c>
      <c r="K1432" s="106"/>
      <c r="L1432" s="114"/>
      <c r="M1432" s="114">
        <f>tblAquisições[[#This Row],[VALOR UNITARIO COMPRADO]]*tblAquisições[[#This Row],[QUANTIDADE COMPRADA]]</f>
        <v>0</v>
      </c>
      <c r="N1432" s="110">
        <f>K1432-tblAquisições[[#This Row],[QUANTIDADE PLANEJADA]]</f>
        <v>-3</v>
      </c>
      <c r="O1432" s="106" t="str">
        <f t="shared" si="45"/>
        <v>Faltando Comprar</v>
      </c>
    </row>
    <row r="1433" spans="1:15" ht="31.5">
      <c r="A1433" s="16" t="s">
        <v>17</v>
      </c>
      <c r="B1433" s="16" t="s">
        <v>26</v>
      </c>
      <c r="C1433" s="17" t="s">
        <v>19</v>
      </c>
      <c r="D1433" s="18" t="s">
        <v>837</v>
      </c>
      <c r="E1433" s="18">
        <v>15</v>
      </c>
      <c r="F1433" s="18" t="s">
        <v>838</v>
      </c>
      <c r="G1433" s="18" t="s">
        <v>22</v>
      </c>
      <c r="H1433" s="18" t="s">
        <v>23</v>
      </c>
      <c r="I1433" s="19">
        <v>5.61</v>
      </c>
      <c r="J1433" s="20">
        <f t="shared" si="44"/>
        <v>84.15</v>
      </c>
      <c r="K1433" s="106"/>
      <c r="L1433" s="114"/>
      <c r="M1433" s="114">
        <f>tblAquisições[[#This Row],[VALOR UNITARIO COMPRADO]]*tblAquisições[[#This Row],[QUANTIDADE COMPRADA]]</f>
        <v>0</v>
      </c>
      <c r="N1433" s="110">
        <f>K1433-tblAquisições[[#This Row],[QUANTIDADE PLANEJADA]]</f>
        <v>-15</v>
      </c>
      <c r="O1433" s="106" t="str">
        <f t="shared" si="45"/>
        <v>Faltando Comprar</v>
      </c>
    </row>
    <row r="1434" spans="1:15" ht="31.5">
      <c r="A1434" s="16" t="s">
        <v>17</v>
      </c>
      <c r="B1434" s="16" t="s">
        <v>26</v>
      </c>
      <c r="C1434" s="17" t="s">
        <v>19</v>
      </c>
      <c r="D1434" s="18" t="s">
        <v>839</v>
      </c>
      <c r="E1434" s="18">
        <v>20</v>
      </c>
      <c r="F1434" s="18" t="s">
        <v>30</v>
      </c>
      <c r="G1434" s="18" t="s">
        <v>22</v>
      </c>
      <c r="H1434" s="18" t="s">
        <v>23</v>
      </c>
      <c r="I1434" s="19">
        <v>324.73</v>
      </c>
      <c r="J1434" s="20">
        <f t="shared" si="44"/>
        <v>6494.6</v>
      </c>
      <c r="K1434" s="106"/>
      <c r="L1434" s="114"/>
      <c r="M1434" s="114">
        <f>tblAquisições[[#This Row],[VALOR UNITARIO COMPRADO]]*tblAquisições[[#This Row],[QUANTIDADE COMPRADA]]</f>
        <v>0</v>
      </c>
      <c r="N1434" s="110">
        <f>K1434-tblAquisições[[#This Row],[QUANTIDADE PLANEJADA]]</f>
        <v>-20</v>
      </c>
      <c r="O1434" s="106" t="str">
        <f t="shared" si="45"/>
        <v>Faltando Comprar</v>
      </c>
    </row>
    <row r="1435" spans="1:15" ht="31.5">
      <c r="A1435" s="16" t="s">
        <v>17</v>
      </c>
      <c r="B1435" s="16" t="s">
        <v>26</v>
      </c>
      <c r="C1435" s="17" t="s">
        <v>19</v>
      </c>
      <c r="D1435" s="18" t="s">
        <v>840</v>
      </c>
      <c r="E1435" s="18">
        <v>20</v>
      </c>
      <c r="F1435" s="18" t="s">
        <v>30</v>
      </c>
      <c r="G1435" s="18" t="s">
        <v>22</v>
      </c>
      <c r="H1435" s="18" t="s">
        <v>23</v>
      </c>
      <c r="I1435" s="19">
        <v>44.88</v>
      </c>
      <c r="J1435" s="20">
        <f t="shared" si="44"/>
        <v>897.6</v>
      </c>
      <c r="K1435" s="106"/>
      <c r="L1435" s="114"/>
      <c r="M1435" s="114">
        <f>tblAquisições[[#This Row],[VALOR UNITARIO COMPRADO]]*tblAquisições[[#This Row],[QUANTIDADE COMPRADA]]</f>
        <v>0</v>
      </c>
      <c r="N1435" s="110">
        <f>K1435-tblAquisições[[#This Row],[QUANTIDADE PLANEJADA]]</f>
        <v>-20</v>
      </c>
      <c r="O1435" s="106" t="str">
        <f t="shared" si="45"/>
        <v>Faltando Comprar</v>
      </c>
    </row>
    <row r="1436" spans="1:15" ht="31.5">
      <c r="A1436" s="16" t="s">
        <v>17</v>
      </c>
      <c r="B1436" s="16" t="s">
        <v>80</v>
      </c>
      <c r="C1436" s="17" t="s">
        <v>19</v>
      </c>
      <c r="D1436" s="18" t="s">
        <v>841</v>
      </c>
      <c r="E1436" s="18">
        <v>5</v>
      </c>
      <c r="F1436" s="18" t="s">
        <v>38</v>
      </c>
      <c r="G1436" s="18" t="s">
        <v>39</v>
      </c>
      <c r="H1436" s="21"/>
      <c r="I1436" s="19">
        <v>82.33</v>
      </c>
      <c r="J1436" s="20">
        <f t="shared" si="44"/>
        <v>411.65</v>
      </c>
      <c r="K1436" s="106"/>
      <c r="L1436" s="114"/>
      <c r="M1436" s="114">
        <f>tblAquisições[[#This Row],[VALOR UNITARIO COMPRADO]]*tblAquisições[[#This Row],[QUANTIDADE COMPRADA]]</f>
        <v>0</v>
      </c>
      <c r="N1436" s="110">
        <f>K1436-tblAquisições[[#This Row],[QUANTIDADE PLANEJADA]]</f>
        <v>-5</v>
      </c>
      <c r="O1436" s="106" t="str">
        <f t="shared" si="45"/>
        <v>Faltando Comprar</v>
      </c>
    </row>
    <row r="1437" spans="1:15" ht="31.5">
      <c r="A1437" s="16" t="s">
        <v>17</v>
      </c>
      <c r="B1437" s="16" t="s">
        <v>26</v>
      </c>
      <c r="C1437" s="17" t="s">
        <v>19</v>
      </c>
      <c r="D1437" s="18" t="s">
        <v>842</v>
      </c>
      <c r="E1437" s="18">
        <v>8</v>
      </c>
      <c r="F1437" s="18" t="s">
        <v>21</v>
      </c>
      <c r="G1437" s="18" t="s">
        <v>22</v>
      </c>
      <c r="H1437" s="18" t="s">
        <v>23</v>
      </c>
      <c r="I1437" s="19">
        <v>82.33</v>
      </c>
      <c r="J1437" s="20">
        <f t="shared" si="44"/>
        <v>658.64</v>
      </c>
      <c r="K1437" s="106"/>
      <c r="L1437" s="114"/>
      <c r="M1437" s="114">
        <f>tblAquisições[[#This Row],[VALOR UNITARIO COMPRADO]]*tblAquisições[[#This Row],[QUANTIDADE COMPRADA]]</f>
        <v>0</v>
      </c>
      <c r="N1437" s="110">
        <f>K1437-tblAquisições[[#This Row],[QUANTIDADE PLANEJADA]]</f>
        <v>-8</v>
      </c>
      <c r="O1437" s="106" t="str">
        <f t="shared" si="45"/>
        <v>Faltando Comprar</v>
      </c>
    </row>
    <row r="1438" spans="1:15" ht="47.25">
      <c r="A1438" s="16" t="s">
        <v>17</v>
      </c>
      <c r="B1438" s="16" t="s">
        <v>18</v>
      </c>
      <c r="C1438" s="17" t="s">
        <v>19</v>
      </c>
      <c r="D1438" s="18" t="s">
        <v>843</v>
      </c>
      <c r="E1438" s="18">
        <v>20</v>
      </c>
      <c r="F1438" s="18" t="s">
        <v>78</v>
      </c>
      <c r="G1438" s="18" t="s">
        <v>22</v>
      </c>
      <c r="H1438" s="18" t="s">
        <v>23</v>
      </c>
      <c r="I1438" s="19">
        <v>117.77</v>
      </c>
      <c r="J1438" s="20">
        <f t="shared" si="44"/>
        <v>2355.4</v>
      </c>
      <c r="K1438" s="106"/>
      <c r="L1438" s="114"/>
      <c r="M1438" s="114">
        <f>tblAquisições[[#This Row],[VALOR UNITARIO COMPRADO]]*tblAquisições[[#This Row],[QUANTIDADE COMPRADA]]</f>
        <v>0</v>
      </c>
      <c r="N1438" s="110">
        <f>K1438-tblAquisições[[#This Row],[QUANTIDADE PLANEJADA]]</f>
        <v>-20</v>
      </c>
      <c r="O1438" s="106" t="str">
        <f t="shared" si="45"/>
        <v>Faltando Comprar</v>
      </c>
    </row>
    <row r="1439" spans="1:15" ht="47.25">
      <c r="A1439" s="16" t="s">
        <v>17</v>
      </c>
      <c r="B1439" s="16" t="s">
        <v>24</v>
      </c>
      <c r="C1439" s="17" t="s">
        <v>19</v>
      </c>
      <c r="D1439" s="18" t="s">
        <v>843</v>
      </c>
      <c r="E1439" s="18">
        <v>20</v>
      </c>
      <c r="F1439" s="18" t="s">
        <v>78</v>
      </c>
      <c r="G1439" s="18" t="s">
        <v>22</v>
      </c>
      <c r="H1439" s="18" t="s">
        <v>23</v>
      </c>
      <c r="I1439" s="19">
        <v>117.77</v>
      </c>
      <c r="J1439" s="20">
        <f t="shared" si="44"/>
        <v>2355.4</v>
      </c>
      <c r="K1439" s="106"/>
      <c r="L1439" s="114"/>
      <c r="M1439" s="114">
        <f>tblAquisições[[#This Row],[VALOR UNITARIO COMPRADO]]*tblAquisições[[#This Row],[QUANTIDADE COMPRADA]]</f>
        <v>0</v>
      </c>
      <c r="N1439" s="110">
        <f>K1439-tblAquisições[[#This Row],[QUANTIDADE PLANEJADA]]</f>
        <v>-20</v>
      </c>
      <c r="O1439" s="106" t="str">
        <f t="shared" si="45"/>
        <v>Faltando Comprar</v>
      </c>
    </row>
    <row r="1440" spans="1:15" ht="47.25">
      <c r="A1440" s="16" t="s">
        <v>17</v>
      </c>
      <c r="B1440" s="16" t="s">
        <v>25</v>
      </c>
      <c r="C1440" s="17" t="s">
        <v>19</v>
      </c>
      <c r="D1440" s="18" t="s">
        <v>843</v>
      </c>
      <c r="E1440" s="18">
        <v>20</v>
      </c>
      <c r="F1440" s="18" t="s">
        <v>78</v>
      </c>
      <c r="G1440" s="18" t="s">
        <v>22</v>
      </c>
      <c r="H1440" s="18" t="s">
        <v>23</v>
      </c>
      <c r="I1440" s="19">
        <v>117.77</v>
      </c>
      <c r="J1440" s="20">
        <f t="shared" si="44"/>
        <v>2355.4</v>
      </c>
      <c r="K1440" s="106"/>
      <c r="L1440" s="114"/>
      <c r="M1440" s="114">
        <f>tblAquisições[[#This Row],[VALOR UNITARIO COMPRADO]]*tblAquisições[[#This Row],[QUANTIDADE COMPRADA]]</f>
        <v>0</v>
      </c>
      <c r="N1440" s="110">
        <f>K1440-tblAquisições[[#This Row],[QUANTIDADE PLANEJADA]]</f>
        <v>-20</v>
      </c>
      <c r="O1440" s="106" t="str">
        <f t="shared" si="45"/>
        <v>Faltando Comprar</v>
      </c>
    </row>
    <row r="1441" spans="1:15" ht="47.25">
      <c r="A1441" s="16" t="s">
        <v>17</v>
      </c>
      <c r="B1441" s="16" t="s">
        <v>26</v>
      </c>
      <c r="C1441" s="17" t="s">
        <v>19</v>
      </c>
      <c r="D1441" s="18" t="s">
        <v>843</v>
      </c>
      <c r="E1441" s="18">
        <v>3</v>
      </c>
      <c r="F1441" s="18" t="s">
        <v>78</v>
      </c>
      <c r="G1441" s="18" t="s">
        <v>22</v>
      </c>
      <c r="H1441" s="18" t="s">
        <v>23</v>
      </c>
      <c r="I1441" s="19">
        <v>117.77</v>
      </c>
      <c r="J1441" s="20">
        <f t="shared" si="44"/>
        <v>353.31</v>
      </c>
      <c r="K1441" s="106"/>
      <c r="L1441" s="114"/>
      <c r="M1441" s="114">
        <f>tblAquisições[[#This Row],[VALOR UNITARIO COMPRADO]]*tblAquisições[[#This Row],[QUANTIDADE COMPRADA]]</f>
        <v>0</v>
      </c>
      <c r="N1441" s="110">
        <f>K1441-tblAquisições[[#This Row],[QUANTIDADE PLANEJADA]]</f>
        <v>-3</v>
      </c>
      <c r="O1441" s="106" t="str">
        <f t="shared" si="45"/>
        <v>Faltando Comprar</v>
      </c>
    </row>
    <row r="1442" spans="1:15" ht="47.25">
      <c r="A1442" s="16" t="s">
        <v>17</v>
      </c>
      <c r="B1442" s="16" t="s">
        <v>27</v>
      </c>
      <c r="C1442" s="17" t="s">
        <v>19</v>
      </c>
      <c r="D1442" s="18" t="s">
        <v>843</v>
      </c>
      <c r="E1442" s="18">
        <v>15</v>
      </c>
      <c r="F1442" s="18" t="s">
        <v>78</v>
      </c>
      <c r="G1442" s="18" t="s">
        <v>22</v>
      </c>
      <c r="H1442" s="18" t="s">
        <v>23</v>
      </c>
      <c r="I1442" s="19">
        <v>117.77</v>
      </c>
      <c r="J1442" s="20">
        <f t="shared" si="44"/>
        <v>1766.55</v>
      </c>
      <c r="K1442" s="106"/>
      <c r="L1442" s="114"/>
      <c r="M1442" s="114">
        <f>tblAquisições[[#This Row],[VALOR UNITARIO COMPRADO]]*tblAquisições[[#This Row],[QUANTIDADE COMPRADA]]</f>
        <v>0</v>
      </c>
      <c r="N1442" s="110">
        <f>K1442-tblAquisições[[#This Row],[QUANTIDADE PLANEJADA]]</f>
        <v>-15</v>
      </c>
      <c r="O1442" s="106" t="str">
        <f t="shared" si="45"/>
        <v>Faltando Comprar</v>
      </c>
    </row>
    <row r="1443" spans="1:15" ht="31.5">
      <c r="A1443" s="16" t="s">
        <v>17</v>
      </c>
      <c r="B1443" s="16" t="s">
        <v>26</v>
      </c>
      <c r="C1443" s="17" t="s">
        <v>19</v>
      </c>
      <c r="D1443" s="18" t="s">
        <v>844</v>
      </c>
      <c r="E1443" s="18">
        <v>6</v>
      </c>
      <c r="F1443" s="18" t="s">
        <v>21</v>
      </c>
      <c r="G1443" s="18" t="s">
        <v>22</v>
      </c>
      <c r="H1443" s="18" t="s">
        <v>23</v>
      </c>
      <c r="I1443" s="19">
        <v>87.67</v>
      </c>
      <c r="J1443" s="20">
        <f t="shared" si="44"/>
        <v>526.02</v>
      </c>
      <c r="K1443" s="106"/>
      <c r="L1443" s="114"/>
      <c r="M1443" s="114">
        <f>tblAquisições[[#This Row],[VALOR UNITARIO COMPRADO]]*tblAquisições[[#This Row],[QUANTIDADE COMPRADA]]</f>
        <v>0</v>
      </c>
      <c r="N1443" s="110">
        <f>K1443-tblAquisições[[#This Row],[QUANTIDADE PLANEJADA]]</f>
        <v>-6</v>
      </c>
      <c r="O1443" s="106" t="str">
        <f t="shared" si="45"/>
        <v>Faltando Comprar</v>
      </c>
    </row>
    <row r="1444" spans="1:15" ht="31.5">
      <c r="A1444" s="16" t="s">
        <v>17</v>
      </c>
      <c r="B1444" s="16" t="s">
        <v>26</v>
      </c>
      <c r="C1444" s="17" t="s">
        <v>19</v>
      </c>
      <c r="D1444" s="18" t="s">
        <v>845</v>
      </c>
      <c r="E1444" s="18">
        <v>10</v>
      </c>
      <c r="F1444" s="18" t="s">
        <v>30</v>
      </c>
      <c r="G1444" s="18" t="s">
        <v>22</v>
      </c>
      <c r="H1444" s="18" t="s">
        <v>23</v>
      </c>
      <c r="I1444" s="19">
        <v>36.35</v>
      </c>
      <c r="J1444" s="20">
        <f t="shared" si="44"/>
        <v>363.5</v>
      </c>
      <c r="K1444" s="106"/>
      <c r="L1444" s="114"/>
      <c r="M1444" s="114">
        <f>tblAquisições[[#This Row],[VALOR UNITARIO COMPRADO]]*tblAquisições[[#This Row],[QUANTIDADE COMPRADA]]</f>
        <v>0</v>
      </c>
      <c r="N1444" s="110">
        <f>K1444-tblAquisições[[#This Row],[QUANTIDADE PLANEJADA]]</f>
        <v>-10</v>
      </c>
      <c r="O1444" s="106" t="str">
        <f t="shared" si="45"/>
        <v>Faltando Comprar</v>
      </c>
    </row>
    <row r="1445" spans="1:15" ht="31.5">
      <c r="A1445" s="16" t="s">
        <v>17</v>
      </c>
      <c r="B1445" s="16" t="s">
        <v>18</v>
      </c>
      <c r="C1445" s="17" t="s">
        <v>19</v>
      </c>
      <c r="D1445" s="18" t="s">
        <v>846</v>
      </c>
      <c r="E1445" s="18">
        <v>10</v>
      </c>
      <c r="F1445" s="18" t="s">
        <v>30</v>
      </c>
      <c r="G1445" s="18" t="s">
        <v>22</v>
      </c>
      <c r="H1445" s="18" t="s">
        <v>23</v>
      </c>
      <c r="I1445" s="19">
        <v>335</v>
      </c>
      <c r="J1445" s="20">
        <f t="shared" si="44"/>
        <v>3350</v>
      </c>
      <c r="K1445" s="106"/>
      <c r="L1445" s="114"/>
      <c r="M1445" s="114">
        <f>tblAquisições[[#This Row],[VALOR UNITARIO COMPRADO]]*tblAquisições[[#This Row],[QUANTIDADE COMPRADA]]</f>
        <v>0</v>
      </c>
      <c r="N1445" s="110">
        <f>K1445-tblAquisições[[#This Row],[QUANTIDADE PLANEJADA]]</f>
        <v>-10</v>
      </c>
      <c r="O1445" s="106" t="str">
        <f t="shared" si="45"/>
        <v>Faltando Comprar</v>
      </c>
    </row>
    <row r="1446" spans="1:15" ht="31.5">
      <c r="A1446" s="16" t="s">
        <v>17</v>
      </c>
      <c r="B1446" s="16" t="s">
        <v>24</v>
      </c>
      <c r="C1446" s="17" t="s">
        <v>19</v>
      </c>
      <c r="D1446" s="18" t="s">
        <v>846</v>
      </c>
      <c r="E1446" s="18">
        <v>10</v>
      </c>
      <c r="F1446" s="18" t="s">
        <v>30</v>
      </c>
      <c r="G1446" s="18" t="s">
        <v>22</v>
      </c>
      <c r="H1446" s="18" t="s">
        <v>23</v>
      </c>
      <c r="I1446" s="19">
        <v>335</v>
      </c>
      <c r="J1446" s="20">
        <f t="shared" si="44"/>
        <v>3350</v>
      </c>
      <c r="K1446" s="106"/>
      <c r="L1446" s="114"/>
      <c r="M1446" s="114">
        <f>tblAquisições[[#This Row],[VALOR UNITARIO COMPRADO]]*tblAquisições[[#This Row],[QUANTIDADE COMPRADA]]</f>
        <v>0</v>
      </c>
      <c r="N1446" s="110">
        <f>K1446-tblAquisições[[#This Row],[QUANTIDADE PLANEJADA]]</f>
        <v>-10</v>
      </c>
      <c r="O1446" s="106" t="str">
        <f t="shared" si="45"/>
        <v>Faltando Comprar</v>
      </c>
    </row>
    <row r="1447" spans="1:15" ht="31.5">
      <c r="A1447" s="16" t="s">
        <v>17</v>
      </c>
      <c r="B1447" s="16" t="s">
        <v>25</v>
      </c>
      <c r="C1447" s="17" t="s">
        <v>19</v>
      </c>
      <c r="D1447" s="18" t="s">
        <v>846</v>
      </c>
      <c r="E1447" s="18">
        <v>10</v>
      </c>
      <c r="F1447" s="18" t="s">
        <v>30</v>
      </c>
      <c r="G1447" s="18" t="s">
        <v>22</v>
      </c>
      <c r="H1447" s="18" t="s">
        <v>23</v>
      </c>
      <c r="I1447" s="19">
        <v>335</v>
      </c>
      <c r="J1447" s="20">
        <f t="shared" si="44"/>
        <v>3350</v>
      </c>
      <c r="K1447" s="106"/>
      <c r="L1447" s="114"/>
      <c r="M1447" s="114">
        <f>tblAquisições[[#This Row],[VALOR UNITARIO COMPRADO]]*tblAquisições[[#This Row],[QUANTIDADE COMPRADA]]</f>
        <v>0</v>
      </c>
      <c r="N1447" s="110">
        <f>K1447-tblAquisições[[#This Row],[QUANTIDADE PLANEJADA]]</f>
        <v>-10</v>
      </c>
      <c r="O1447" s="106" t="str">
        <f t="shared" si="45"/>
        <v>Faltando Comprar</v>
      </c>
    </row>
    <row r="1448" spans="1:15" ht="31.5">
      <c r="A1448" s="16" t="s">
        <v>17</v>
      </c>
      <c r="B1448" s="16" t="s">
        <v>18</v>
      </c>
      <c r="C1448" s="17" t="s">
        <v>19</v>
      </c>
      <c r="D1448" s="18" t="s">
        <v>847</v>
      </c>
      <c r="E1448" s="18">
        <v>20</v>
      </c>
      <c r="F1448" s="18" t="s">
        <v>30</v>
      </c>
      <c r="G1448" s="18" t="s">
        <v>22</v>
      </c>
      <c r="H1448" s="18" t="s">
        <v>23</v>
      </c>
      <c r="I1448" s="19">
        <v>111.36</v>
      </c>
      <c r="J1448" s="20">
        <f t="shared" si="44"/>
        <v>2227.1999999999998</v>
      </c>
      <c r="K1448" s="106"/>
      <c r="L1448" s="114"/>
      <c r="M1448" s="114">
        <f>tblAquisições[[#This Row],[VALOR UNITARIO COMPRADO]]*tblAquisições[[#This Row],[QUANTIDADE COMPRADA]]</f>
        <v>0</v>
      </c>
      <c r="N1448" s="110">
        <f>K1448-tblAquisições[[#This Row],[QUANTIDADE PLANEJADA]]</f>
        <v>-20</v>
      </c>
      <c r="O1448" s="106" t="str">
        <f t="shared" si="45"/>
        <v>Faltando Comprar</v>
      </c>
    </row>
    <row r="1449" spans="1:15" ht="31.5">
      <c r="A1449" s="16" t="s">
        <v>17</v>
      </c>
      <c r="B1449" s="16" t="s">
        <v>24</v>
      </c>
      <c r="C1449" s="17" t="s">
        <v>19</v>
      </c>
      <c r="D1449" s="18" t="s">
        <v>847</v>
      </c>
      <c r="E1449" s="18">
        <v>20</v>
      </c>
      <c r="F1449" s="18" t="s">
        <v>30</v>
      </c>
      <c r="G1449" s="18" t="s">
        <v>22</v>
      </c>
      <c r="H1449" s="18" t="s">
        <v>23</v>
      </c>
      <c r="I1449" s="19">
        <v>111.36</v>
      </c>
      <c r="J1449" s="20">
        <f t="shared" si="44"/>
        <v>2227.1999999999998</v>
      </c>
      <c r="K1449" s="106"/>
      <c r="L1449" s="114"/>
      <c r="M1449" s="114">
        <f>tblAquisições[[#This Row],[VALOR UNITARIO COMPRADO]]*tblAquisições[[#This Row],[QUANTIDADE COMPRADA]]</f>
        <v>0</v>
      </c>
      <c r="N1449" s="110">
        <f>K1449-tblAquisições[[#This Row],[QUANTIDADE PLANEJADA]]</f>
        <v>-20</v>
      </c>
      <c r="O1449" s="106" t="str">
        <f t="shared" si="45"/>
        <v>Faltando Comprar</v>
      </c>
    </row>
    <row r="1450" spans="1:15" ht="31.5">
      <c r="A1450" s="16" t="s">
        <v>17</v>
      </c>
      <c r="B1450" s="16" t="s">
        <v>25</v>
      </c>
      <c r="C1450" s="17" t="s">
        <v>19</v>
      </c>
      <c r="D1450" s="18" t="s">
        <v>847</v>
      </c>
      <c r="E1450" s="18">
        <v>20</v>
      </c>
      <c r="F1450" s="18" t="s">
        <v>30</v>
      </c>
      <c r="G1450" s="18" t="s">
        <v>22</v>
      </c>
      <c r="H1450" s="18" t="s">
        <v>23</v>
      </c>
      <c r="I1450" s="19">
        <v>111.36</v>
      </c>
      <c r="J1450" s="20">
        <f t="shared" si="44"/>
        <v>2227.1999999999998</v>
      </c>
      <c r="K1450" s="106"/>
      <c r="L1450" s="114"/>
      <c r="M1450" s="114">
        <f>tblAquisições[[#This Row],[VALOR UNITARIO COMPRADO]]*tblAquisições[[#This Row],[QUANTIDADE COMPRADA]]</f>
        <v>0</v>
      </c>
      <c r="N1450" s="110">
        <f>K1450-tblAquisições[[#This Row],[QUANTIDADE PLANEJADA]]</f>
        <v>-20</v>
      </c>
      <c r="O1450" s="106" t="str">
        <f t="shared" si="45"/>
        <v>Faltando Comprar</v>
      </c>
    </row>
    <row r="1451" spans="1:15" ht="31.5">
      <c r="A1451" s="16" t="s">
        <v>17</v>
      </c>
      <c r="B1451" s="16" t="s">
        <v>26</v>
      </c>
      <c r="C1451" s="17" t="s">
        <v>19</v>
      </c>
      <c r="D1451" s="18" t="s">
        <v>847</v>
      </c>
      <c r="E1451" s="18">
        <v>5</v>
      </c>
      <c r="F1451" s="18" t="s">
        <v>30</v>
      </c>
      <c r="G1451" s="18" t="s">
        <v>22</v>
      </c>
      <c r="H1451" s="18" t="s">
        <v>23</v>
      </c>
      <c r="I1451" s="19">
        <v>111.36</v>
      </c>
      <c r="J1451" s="20">
        <f t="shared" si="44"/>
        <v>556.79999999999995</v>
      </c>
      <c r="K1451" s="106"/>
      <c r="L1451" s="114"/>
      <c r="M1451" s="114">
        <f>tblAquisições[[#This Row],[VALOR UNITARIO COMPRADO]]*tblAquisições[[#This Row],[QUANTIDADE COMPRADA]]</f>
        <v>0</v>
      </c>
      <c r="N1451" s="110">
        <f>K1451-tblAquisições[[#This Row],[QUANTIDADE PLANEJADA]]</f>
        <v>-5</v>
      </c>
      <c r="O1451" s="106" t="str">
        <f t="shared" si="45"/>
        <v>Faltando Comprar</v>
      </c>
    </row>
    <row r="1452" spans="1:15" ht="31.5">
      <c r="A1452" s="16" t="s">
        <v>17</v>
      </c>
      <c r="B1452" s="16" t="s">
        <v>26</v>
      </c>
      <c r="C1452" s="17" t="s">
        <v>19</v>
      </c>
      <c r="D1452" s="18" t="s">
        <v>848</v>
      </c>
      <c r="E1452" s="18">
        <v>10</v>
      </c>
      <c r="F1452" s="18" t="s">
        <v>30</v>
      </c>
      <c r="G1452" s="18" t="s">
        <v>22</v>
      </c>
      <c r="H1452" s="18" t="s">
        <v>23</v>
      </c>
      <c r="I1452" s="19">
        <v>49.91</v>
      </c>
      <c r="J1452" s="20">
        <f t="shared" si="44"/>
        <v>499.09999999999997</v>
      </c>
      <c r="K1452" s="106"/>
      <c r="L1452" s="114"/>
      <c r="M1452" s="114">
        <f>tblAquisições[[#This Row],[VALOR UNITARIO COMPRADO]]*tblAquisições[[#This Row],[QUANTIDADE COMPRADA]]</f>
        <v>0</v>
      </c>
      <c r="N1452" s="110">
        <f>K1452-tblAquisições[[#This Row],[QUANTIDADE PLANEJADA]]</f>
        <v>-10</v>
      </c>
      <c r="O1452" s="106" t="str">
        <f t="shared" si="45"/>
        <v>Faltando Comprar</v>
      </c>
    </row>
    <row r="1453" spans="1:15" ht="31.5">
      <c r="A1453" s="16" t="s">
        <v>17</v>
      </c>
      <c r="B1453" s="16" t="s">
        <v>26</v>
      </c>
      <c r="C1453" s="17" t="s">
        <v>19</v>
      </c>
      <c r="D1453" s="18" t="s">
        <v>849</v>
      </c>
      <c r="E1453" s="18">
        <v>15</v>
      </c>
      <c r="F1453" s="18" t="s">
        <v>30</v>
      </c>
      <c r="G1453" s="18" t="s">
        <v>22</v>
      </c>
      <c r="H1453" s="18" t="s">
        <v>23</v>
      </c>
      <c r="I1453" s="19">
        <v>122.1</v>
      </c>
      <c r="J1453" s="20">
        <f t="shared" si="44"/>
        <v>1831.5</v>
      </c>
      <c r="K1453" s="106"/>
      <c r="L1453" s="114"/>
      <c r="M1453" s="114">
        <f>tblAquisições[[#This Row],[VALOR UNITARIO COMPRADO]]*tblAquisições[[#This Row],[QUANTIDADE COMPRADA]]</f>
        <v>0</v>
      </c>
      <c r="N1453" s="110">
        <f>K1453-tblAquisições[[#This Row],[QUANTIDADE PLANEJADA]]</f>
        <v>-15</v>
      </c>
      <c r="O1453" s="106" t="str">
        <f t="shared" si="45"/>
        <v>Faltando Comprar</v>
      </c>
    </row>
    <row r="1454" spans="1:15" ht="31.5">
      <c r="A1454" s="16" t="s">
        <v>17</v>
      </c>
      <c r="B1454" s="16" t="s">
        <v>26</v>
      </c>
      <c r="C1454" s="17" t="s">
        <v>19</v>
      </c>
      <c r="D1454" s="18" t="s">
        <v>850</v>
      </c>
      <c r="E1454" s="18">
        <v>20</v>
      </c>
      <c r="F1454" s="18" t="s">
        <v>21</v>
      </c>
      <c r="G1454" s="18" t="s">
        <v>22</v>
      </c>
      <c r="H1454" s="18" t="s">
        <v>23</v>
      </c>
      <c r="I1454" s="19">
        <v>178.2</v>
      </c>
      <c r="J1454" s="20">
        <f t="shared" si="44"/>
        <v>3564</v>
      </c>
      <c r="K1454" s="106"/>
      <c r="L1454" s="114"/>
      <c r="M1454" s="114">
        <f>tblAquisições[[#This Row],[VALOR UNITARIO COMPRADO]]*tblAquisições[[#This Row],[QUANTIDADE COMPRADA]]</f>
        <v>0</v>
      </c>
      <c r="N1454" s="110">
        <f>K1454-tblAquisições[[#This Row],[QUANTIDADE PLANEJADA]]</f>
        <v>-20</v>
      </c>
      <c r="O1454" s="106" t="str">
        <f t="shared" si="45"/>
        <v>Faltando Comprar</v>
      </c>
    </row>
    <row r="1455" spans="1:15" ht="31.5">
      <c r="A1455" s="16" t="s">
        <v>17</v>
      </c>
      <c r="B1455" s="16" t="s">
        <v>28</v>
      </c>
      <c r="C1455" s="17" t="s">
        <v>19</v>
      </c>
      <c r="D1455" s="18" t="s">
        <v>850</v>
      </c>
      <c r="E1455" s="18">
        <v>110</v>
      </c>
      <c r="F1455" s="18" t="s">
        <v>21</v>
      </c>
      <c r="G1455" s="18" t="s">
        <v>22</v>
      </c>
      <c r="H1455" s="18" t="s">
        <v>23</v>
      </c>
      <c r="I1455" s="19">
        <v>178.2</v>
      </c>
      <c r="J1455" s="20">
        <f t="shared" si="44"/>
        <v>19602</v>
      </c>
      <c r="K1455" s="106"/>
      <c r="L1455" s="114"/>
      <c r="M1455" s="114">
        <f>tblAquisições[[#This Row],[VALOR UNITARIO COMPRADO]]*tblAquisições[[#This Row],[QUANTIDADE COMPRADA]]</f>
        <v>0</v>
      </c>
      <c r="N1455" s="110">
        <f>K1455-tblAquisições[[#This Row],[QUANTIDADE PLANEJADA]]</f>
        <v>-110</v>
      </c>
      <c r="O1455" s="106" t="str">
        <f t="shared" si="45"/>
        <v>Faltando Comprar</v>
      </c>
    </row>
    <row r="1456" spans="1:15" ht="31.5">
      <c r="A1456" s="16" t="s">
        <v>17</v>
      </c>
      <c r="B1456" s="16" t="s">
        <v>26</v>
      </c>
      <c r="C1456" s="17" t="s">
        <v>19</v>
      </c>
      <c r="D1456" s="18" t="s">
        <v>851</v>
      </c>
      <c r="E1456" s="18">
        <v>10</v>
      </c>
      <c r="F1456" s="18" t="s">
        <v>30</v>
      </c>
      <c r="G1456" s="18" t="s">
        <v>22</v>
      </c>
      <c r="H1456" s="18" t="s">
        <v>23</v>
      </c>
      <c r="I1456" s="19">
        <v>146.52000000000001</v>
      </c>
      <c r="J1456" s="20">
        <f t="shared" si="44"/>
        <v>1465.2</v>
      </c>
      <c r="K1456" s="106"/>
      <c r="L1456" s="114"/>
      <c r="M1456" s="114">
        <f>tblAquisições[[#This Row],[VALOR UNITARIO COMPRADO]]*tblAquisições[[#This Row],[QUANTIDADE COMPRADA]]</f>
        <v>0</v>
      </c>
      <c r="N1456" s="110">
        <f>K1456-tblAquisições[[#This Row],[QUANTIDADE PLANEJADA]]</f>
        <v>-10</v>
      </c>
      <c r="O1456" s="106" t="str">
        <f t="shared" si="45"/>
        <v>Faltando Comprar</v>
      </c>
    </row>
    <row r="1457" spans="1:15" ht="31.5">
      <c r="A1457" s="16" t="s">
        <v>17</v>
      </c>
      <c r="B1457" s="16" t="s">
        <v>34</v>
      </c>
      <c r="C1457" s="17" t="s">
        <v>19</v>
      </c>
      <c r="D1457" s="18" t="s">
        <v>852</v>
      </c>
      <c r="E1457" s="18">
        <v>100</v>
      </c>
      <c r="F1457" s="18" t="s">
        <v>21</v>
      </c>
      <c r="G1457" s="18" t="s">
        <v>22</v>
      </c>
      <c r="H1457" s="18" t="s">
        <v>23</v>
      </c>
      <c r="I1457" s="19">
        <v>10.41</v>
      </c>
      <c r="J1457" s="20">
        <f t="shared" si="44"/>
        <v>1041</v>
      </c>
      <c r="K1457" s="106"/>
      <c r="L1457" s="114"/>
      <c r="M1457" s="114">
        <f>tblAquisições[[#This Row],[VALOR UNITARIO COMPRADO]]*tblAquisições[[#This Row],[QUANTIDADE COMPRADA]]</f>
        <v>0</v>
      </c>
      <c r="N1457" s="110">
        <f>K1457-tblAquisições[[#This Row],[QUANTIDADE PLANEJADA]]</f>
        <v>-100</v>
      </c>
      <c r="O1457" s="106" t="str">
        <f t="shared" si="45"/>
        <v>Faltando Comprar</v>
      </c>
    </row>
    <row r="1458" spans="1:15" ht="31.5">
      <c r="A1458" s="16" t="s">
        <v>17</v>
      </c>
      <c r="B1458" s="16" t="s">
        <v>18</v>
      </c>
      <c r="C1458" s="17" t="s">
        <v>19</v>
      </c>
      <c r="D1458" s="18" t="s">
        <v>852</v>
      </c>
      <c r="E1458" s="18">
        <v>50</v>
      </c>
      <c r="F1458" s="18" t="s">
        <v>21</v>
      </c>
      <c r="G1458" s="18" t="s">
        <v>22</v>
      </c>
      <c r="H1458" s="18" t="s">
        <v>23</v>
      </c>
      <c r="I1458" s="19">
        <v>10.41</v>
      </c>
      <c r="J1458" s="20">
        <f t="shared" si="44"/>
        <v>520.5</v>
      </c>
      <c r="K1458" s="106"/>
      <c r="L1458" s="114"/>
      <c r="M1458" s="114">
        <f>tblAquisições[[#This Row],[VALOR UNITARIO COMPRADO]]*tblAquisições[[#This Row],[QUANTIDADE COMPRADA]]</f>
        <v>0</v>
      </c>
      <c r="N1458" s="110">
        <f>K1458-tblAquisições[[#This Row],[QUANTIDADE PLANEJADA]]</f>
        <v>-50</v>
      </c>
      <c r="O1458" s="106" t="str">
        <f t="shared" si="45"/>
        <v>Faltando Comprar</v>
      </c>
    </row>
    <row r="1459" spans="1:15" ht="31.5">
      <c r="A1459" s="16" t="s">
        <v>17</v>
      </c>
      <c r="B1459" s="16" t="s">
        <v>24</v>
      </c>
      <c r="C1459" s="17" t="s">
        <v>19</v>
      </c>
      <c r="D1459" s="18" t="s">
        <v>852</v>
      </c>
      <c r="E1459" s="18">
        <v>50</v>
      </c>
      <c r="F1459" s="18" t="s">
        <v>21</v>
      </c>
      <c r="G1459" s="18" t="s">
        <v>22</v>
      </c>
      <c r="H1459" s="18" t="s">
        <v>23</v>
      </c>
      <c r="I1459" s="19">
        <v>10.41</v>
      </c>
      <c r="J1459" s="20">
        <f t="shared" si="44"/>
        <v>520.5</v>
      </c>
      <c r="K1459" s="106"/>
      <c r="L1459" s="114"/>
      <c r="M1459" s="114">
        <f>tblAquisições[[#This Row],[VALOR UNITARIO COMPRADO]]*tblAquisições[[#This Row],[QUANTIDADE COMPRADA]]</f>
        <v>0</v>
      </c>
      <c r="N1459" s="110">
        <f>K1459-tblAquisições[[#This Row],[QUANTIDADE PLANEJADA]]</f>
        <v>-50</v>
      </c>
      <c r="O1459" s="106" t="str">
        <f t="shared" si="45"/>
        <v>Faltando Comprar</v>
      </c>
    </row>
    <row r="1460" spans="1:15" ht="31.5">
      <c r="A1460" s="16" t="s">
        <v>17</v>
      </c>
      <c r="B1460" s="16" t="s">
        <v>25</v>
      </c>
      <c r="C1460" s="17" t="s">
        <v>19</v>
      </c>
      <c r="D1460" s="18" t="s">
        <v>852</v>
      </c>
      <c r="E1460" s="18">
        <v>50</v>
      </c>
      <c r="F1460" s="18" t="s">
        <v>21</v>
      </c>
      <c r="G1460" s="18" t="s">
        <v>22</v>
      </c>
      <c r="H1460" s="18" t="s">
        <v>23</v>
      </c>
      <c r="I1460" s="19">
        <v>10.41</v>
      </c>
      <c r="J1460" s="20">
        <f t="shared" si="44"/>
        <v>520.5</v>
      </c>
      <c r="K1460" s="106"/>
      <c r="L1460" s="114"/>
      <c r="M1460" s="114">
        <f>tblAquisições[[#This Row],[VALOR UNITARIO COMPRADO]]*tblAquisições[[#This Row],[QUANTIDADE COMPRADA]]</f>
        <v>0</v>
      </c>
      <c r="N1460" s="110">
        <f>K1460-tblAquisições[[#This Row],[QUANTIDADE PLANEJADA]]</f>
        <v>-50</v>
      </c>
      <c r="O1460" s="106" t="str">
        <f t="shared" si="45"/>
        <v>Faltando Comprar</v>
      </c>
    </row>
    <row r="1461" spans="1:15" ht="31.5">
      <c r="A1461" s="16" t="s">
        <v>17</v>
      </c>
      <c r="B1461" s="16" t="s">
        <v>27</v>
      </c>
      <c r="C1461" s="17" t="s">
        <v>19</v>
      </c>
      <c r="D1461" s="18" t="s">
        <v>852</v>
      </c>
      <c r="E1461" s="18">
        <v>40</v>
      </c>
      <c r="F1461" s="18" t="s">
        <v>21</v>
      </c>
      <c r="G1461" s="18" t="s">
        <v>22</v>
      </c>
      <c r="H1461" s="18" t="s">
        <v>23</v>
      </c>
      <c r="I1461" s="19">
        <v>10.41</v>
      </c>
      <c r="J1461" s="20">
        <f t="shared" si="44"/>
        <v>416.4</v>
      </c>
      <c r="K1461" s="106"/>
      <c r="L1461" s="114"/>
      <c r="M1461" s="114">
        <f>tblAquisições[[#This Row],[VALOR UNITARIO COMPRADO]]*tblAquisições[[#This Row],[QUANTIDADE COMPRADA]]</f>
        <v>0</v>
      </c>
      <c r="N1461" s="110">
        <f>K1461-tblAquisições[[#This Row],[QUANTIDADE PLANEJADA]]</f>
        <v>-40</v>
      </c>
      <c r="O1461" s="106" t="str">
        <f t="shared" si="45"/>
        <v>Faltando Comprar</v>
      </c>
    </row>
    <row r="1462" spans="1:15" ht="47.25">
      <c r="A1462" s="16" t="s">
        <v>17</v>
      </c>
      <c r="B1462" s="16" t="s">
        <v>18</v>
      </c>
      <c r="C1462" s="17" t="s">
        <v>19</v>
      </c>
      <c r="D1462" s="18" t="s">
        <v>853</v>
      </c>
      <c r="E1462" s="18">
        <v>50</v>
      </c>
      <c r="F1462" s="18" t="s">
        <v>313</v>
      </c>
      <c r="G1462" s="18" t="s">
        <v>22</v>
      </c>
      <c r="H1462" s="18" t="s">
        <v>23</v>
      </c>
      <c r="I1462" s="19">
        <v>10.029999999999999</v>
      </c>
      <c r="J1462" s="20">
        <f t="shared" si="44"/>
        <v>501.49999999999994</v>
      </c>
      <c r="K1462" s="106"/>
      <c r="L1462" s="114"/>
      <c r="M1462" s="114">
        <f>tblAquisições[[#This Row],[VALOR UNITARIO COMPRADO]]*tblAquisições[[#This Row],[QUANTIDADE COMPRADA]]</f>
        <v>0</v>
      </c>
      <c r="N1462" s="110">
        <f>K1462-tblAquisições[[#This Row],[QUANTIDADE PLANEJADA]]</f>
        <v>-50</v>
      </c>
      <c r="O1462" s="106" t="str">
        <f t="shared" si="45"/>
        <v>Faltando Comprar</v>
      </c>
    </row>
    <row r="1463" spans="1:15" ht="47.25">
      <c r="A1463" s="16" t="s">
        <v>17</v>
      </c>
      <c r="B1463" s="16" t="s">
        <v>24</v>
      </c>
      <c r="C1463" s="17" t="s">
        <v>19</v>
      </c>
      <c r="D1463" s="18" t="s">
        <v>853</v>
      </c>
      <c r="E1463" s="18">
        <v>50</v>
      </c>
      <c r="F1463" s="18" t="s">
        <v>313</v>
      </c>
      <c r="G1463" s="18" t="s">
        <v>22</v>
      </c>
      <c r="H1463" s="18" t="s">
        <v>23</v>
      </c>
      <c r="I1463" s="19">
        <v>10.029999999999999</v>
      </c>
      <c r="J1463" s="20">
        <f t="shared" si="44"/>
        <v>501.49999999999994</v>
      </c>
      <c r="K1463" s="106"/>
      <c r="L1463" s="114"/>
      <c r="M1463" s="114">
        <f>tblAquisições[[#This Row],[VALOR UNITARIO COMPRADO]]*tblAquisições[[#This Row],[QUANTIDADE COMPRADA]]</f>
        <v>0</v>
      </c>
      <c r="N1463" s="110">
        <f>K1463-tblAquisições[[#This Row],[QUANTIDADE PLANEJADA]]</f>
        <v>-50</v>
      </c>
      <c r="O1463" s="106" t="str">
        <f t="shared" si="45"/>
        <v>Faltando Comprar</v>
      </c>
    </row>
    <row r="1464" spans="1:15" ht="47.25">
      <c r="A1464" s="16" t="s">
        <v>17</v>
      </c>
      <c r="B1464" s="16" t="s">
        <v>25</v>
      </c>
      <c r="C1464" s="17" t="s">
        <v>19</v>
      </c>
      <c r="D1464" s="18" t="s">
        <v>853</v>
      </c>
      <c r="E1464" s="18">
        <v>50</v>
      </c>
      <c r="F1464" s="18" t="s">
        <v>313</v>
      </c>
      <c r="G1464" s="18" t="s">
        <v>22</v>
      </c>
      <c r="H1464" s="18" t="s">
        <v>23</v>
      </c>
      <c r="I1464" s="19">
        <v>10.029999999999999</v>
      </c>
      <c r="J1464" s="20">
        <f t="shared" si="44"/>
        <v>501.49999999999994</v>
      </c>
      <c r="K1464" s="106"/>
      <c r="L1464" s="114"/>
      <c r="M1464" s="114">
        <f>tblAquisições[[#This Row],[VALOR UNITARIO COMPRADO]]*tblAquisições[[#This Row],[QUANTIDADE COMPRADA]]</f>
        <v>0</v>
      </c>
      <c r="N1464" s="110">
        <f>K1464-tblAquisições[[#This Row],[QUANTIDADE PLANEJADA]]</f>
        <v>-50</v>
      </c>
      <c r="O1464" s="106" t="str">
        <f t="shared" si="45"/>
        <v>Faltando Comprar</v>
      </c>
    </row>
    <row r="1465" spans="1:15" ht="47.25">
      <c r="A1465" s="16" t="s">
        <v>17</v>
      </c>
      <c r="B1465" s="16" t="s">
        <v>27</v>
      </c>
      <c r="C1465" s="17" t="s">
        <v>19</v>
      </c>
      <c r="D1465" s="18" t="s">
        <v>853</v>
      </c>
      <c r="E1465" s="18">
        <v>40</v>
      </c>
      <c r="F1465" s="18" t="s">
        <v>313</v>
      </c>
      <c r="G1465" s="18" t="s">
        <v>22</v>
      </c>
      <c r="H1465" s="18" t="s">
        <v>23</v>
      </c>
      <c r="I1465" s="19">
        <v>10.029999999999999</v>
      </c>
      <c r="J1465" s="20">
        <f t="shared" si="44"/>
        <v>401.2</v>
      </c>
      <c r="K1465" s="106"/>
      <c r="L1465" s="114"/>
      <c r="M1465" s="114">
        <f>tblAquisições[[#This Row],[VALOR UNITARIO COMPRADO]]*tblAquisições[[#This Row],[QUANTIDADE COMPRADA]]</f>
        <v>0</v>
      </c>
      <c r="N1465" s="110">
        <f>K1465-tblAquisições[[#This Row],[QUANTIDADE PLANEJADA]]</f>
        <v>-40</v>
      </c>
      <c r="O1465" s="106" t="str">
        <f t="shared" si="45"/>
        <v>Faltando Comprar</v>
      </c>
    </row>
    <row r="1466" spans="1:15" ht="31.5">
      <c r="A1466" s="16" t="s">
        <v>17</v>
      </c>
      <c r="B1466" s="16" t="s">
        <v>26</v>
      </c>
      <c r="C1466" s="17" t="s">
        <v>19</v>
      </c>
      <c r="D1466" s="18" t="s">
        <v>854</v>
      </c>
      <c r="E1466" s="18">
        <v>20</v>
      </c>
      <c r="F1466" s="18" t="s">
        <v>30</v>
      </c>
      <c r="G1466" s="18" t="s">
        <v>22</v>
      </c>
      <c r="H1466" s="18" t="s">
        <v>23</v>
      </c>
      <c r="I1466" s="19">
        <v>281.01</v>
      </c>
      <c r="J1466" s="20">
        <f t="shared" si="44"/>
        <v>5620.2</v>
      </c>
      <c r="K1466" s="106"/>
      <c r="L1466" s="114"/>
      <c r="M1466" s="114">
        <f>tblAquisições[[#This Row],[VALOR UNITARIO COMPRADO]]*tblAquisições[[#This Row],[QUANTIDADE COMPRADA]]</f>
        <v>0</v>
      </c>
      <c r="N1466" s="110">
        <f>K1466-tblAquisições[[#This Row],[QUANTIDADE PLANEJADA]]</f>
        <v>-20</v>
      </c>
      <c r="O1466" s="106" t="str">
        <f t="shared" si="45"/>
        <v>Faltando Comprar</v>
      </c>
    </row>
    <row r="1467" spans="1:15" ht="31.5">
      <c r="A1467" s="16" t="s">
        <v>17</v>
      </c>
      <c r="B1467" s="16" t="s">
        <v>18</v>
      </c>
      <c r="C1467" s="17" t="s">
        <v>19</v>
      </c>
      <c r="D1467" s="18" t="s">
        <v>855</v>
      </c>
      <c r="E1467" s="18">
        <v>200</v>
      </c>
      <c r="F1467" s="18" t="s">
        <v>21</v>
      </c>
      <c r="G1467" s="18" t="s">
        <v>22</v>
      </c>
      <c r="H1467" s="18" t="s">
        <v>83</v>
      </c>
      <c r="I1467" s="19">
        <v>32.9</v>
      </c>
      <c r="J1467" s="20">
        <f t="shared" si="44"/>
        <v>6580</v>
      </c>
      <c r="K1467" s="106"/>
      <c r="L1467" s="114"/>
      <c r="M1467" s="114">
        <f>tblAquisições[[#This Row],[VALOR UNITARIO COMPRADO]]*tblAquisições[[#This Row],[QUANTIDADE COMPRADA]]</f>
        <v>0</v>
      </c>
      <c r="N1467" s="110">
        <f>K1467-tblAquisições[[#This Row],[QUANTIDADE PLANEJADA]]</f>
        <v>-200</v>
      </c>
      <c r="O1467" s="106" t="str">
        <f t="shared" si="45"/>
        <v>Faltando Comprar</v>
      </c>
    </row>
    <row r="1468" spans="1:15" ht="31.5">
      <c r="A1468" s="16" t="s">
        <v>17</v>
      </c>
      <c r="B1468" s="16" t="s">
        <v>24</v>
      </c>
      <c r="C1468" s="17" t="s">
        <v>19</v>
      </c>
      <c r="D1468" s="18" t="s">
        <v>855</v>
      </c>
      <c r="E1468" s="18">
        <v>200</v>
      </c>
      <c r="F1468" s="18" t="s">
        <v>21</v>
      </c>
      <c r="G1468" s="18" t="s">
        <v>22</v>
      </c>
      <c r="H1468" s="18" t="s">
        <v>83</v>
      </c>
      <c r="I1468" s="19">
        <v>32.9</v>
      </c>
      <c r="J1468" s="20">
        <f t="shared" si="44"/>
        <v>6580</v>
      </c>
      <c r="K1468" s="106"/>
      <c r="L1468" s="114"/>
      <c r="M1468" s="114">
        <f>tblAquisições[[#This Row],[VALOR UNITARIO COMPRADO]]*tblAquisições[[#This Row],[QUANTIDADE COMPRADA]]</f>
        <v>0</v>
      </c>
      <c r="N1468" s="110">
        <f>K1468-tblAquisições[[#This Row],[QUANTIDADE PLANEJADA]]</f>
        <v>-200</v>
      </c>
      <c r="O1468" s="106" t="str">
        <f t="shared" si="45"/>
        <v>Faltando Comprar</v>
      </c>
    </row>
    <row r="1469" spans="1:15" ht="31.5">
      <c r="A1469" s="16" t="s">
        <v>17</v>
      </c>
      <c r="B1469" s="16" t="s">
        <v>25</v>
      </c>
      <c r="C1469" s="17" t="s">
        <v>19</v>
      </c>
      <c r="D1469" s="18" t="s">
        <v>855</v>
      </c>
      <c r="E1469" s="18">
        <v>200</v>
      </c>
      <c r="F1469" s="18" t="s">
        <v>21</v>
      </c>
      <c r="G1469" s="18" t="s">
        <v>22</v>
      </c>
      <c r="H1469" s="18" t="s">
        <v>83</v>
      </c>
      <c r="I1469" s="19">
        <v>32.9</v>
      </c>
      <c r="J1469" s="20">
        <f t="shared" si="44"/>
        <v>6580</v>
      </c>
      <c r="K1469" s="106"/>
      <c r="L1469" s="114"/>
      <c r="M1469" s="114">
        <f>tblAquisições[[#This Row],[VALOR UNITARIO COMPRADO]]*tblAquisições[[#This Row],[QUANTIDADE COMPRADA]]</f>
        <v>0</v>
      </c>
      <c r="N1469" s="110">
        <f>K1469-tblAquisições[[#This Row],[QUANTIDADE PLANEJADA]]</f>
        <v>-200</v>
      </c>
      <c r="O1469" s="106" t="str">
        <f t="shared" si="45"/>
        <v>Faltando Comprar</v>
      </c>
    </row>
    <row r="1470" spans="1:15" ht="31.5">
      <c r="A1470" s="16" t="s">
        <v>17</v>
      </c>
      <c r="B1470" s="16" t="s">
        <v>28</v>
      </c>
      <c r="C1470" s="17" t="s">
        <v>19</v>
      </c>
      <c r="D1470" s="18" t="s">
        <v>855</v>
      </c>
      <c r="E1470" s="18">
        <v>200</v>
      </c>
      <c r="F1470" s="18" t="s">
        <v>21</v>
      </c>
      <c r="G1470" s="18" t="s">
        <v>22</v>
      </c>
      <c r="H1470" s="18" t="s">
        <v>83</v>
      </c>
      <c r="I1470" s="19">
        <v>32.9</v>
      </c>
      <c r="J1470" s="20">
        <f t="shared" si="44"/>
        <v>6580</v>
      </c>
      <c r="K1470" s="106"/>
      <c r="L1470" s="114"/>
      <c r="M1470" s="114">
        <f>tblAquisições[[#This Row],[VALOR UNITARIO COMPRADO]]*tblAquisições[[#This Row],[QUANTIDADE COMPRADA]]</f>
        <v>0</v>
      </c>
      <c r="N1470" s="110">
        <f>K1470-tblAquisições[[#This Row],[QUANTIDADE PLANEJADA]]</f>
        <v>-200</v>
      </c>
      <c r="O1470" s="106" t="str">
        <f t="shared" si="45"/>
        <v>Faltando Comprar</v>
      </c>
    </row>
    <row r="1471" spans="1:15" ht="31.5">
      <c r="A1471" s="16" t="s">
        <v>17</v>
      </c>
      <c r="B1471" s="16" t="s">
        <v>26</v>
      </c>
      <c r="C1471" s="17" t="s">
        <v>19</v>
      </c>
      <c r="D1471" s="18" t="s">
        <v>856</v>
      </c>
      <c r="E1471" s="18">
        <v>5</v>
      </c>
      <c r="F1471" s="18" t="s">
        <v>30</v>
      </c>
      <c r="G1471" s="18" t="s">
        <v>22</v>
      </c>
      <c r="H1471" s="18" t="s">
        <v>23</v>
      </c>
      <c r="I1471" s="19">
        <v>67.5</v>
      </c>
      <c r="J1471" s="20">
        <f t="shared" si="44"/>
        <v>337.5</v>
      </c>
      <c r="K1471" s="106"/>
      <c r="L1471" s="114"/>
      <c r="M1471" s="114">
        <f>tblAquisições[[#This Row],[VALOR UNITARIO COMPRADO]]*tblAquisições[[#This Row],[QUANTIDADE COMPRADA]]</f>
        <v>0</v>
      </c>
      <c r="N1471" s="110">
        <f>K1471-tblAquisições[[#This Row],[QUANTIDADE PLANEJADA]]</f>
        <v>-5</v>
      </c>
      <c r="O1471" s="106" t="str">
        <f t="shared" si="45"/>
        <v>Faltando Comprar</v>
      </c>
    </row>
    <row r="1472" spans="1:15" ht="47.25">
      <c r="A1472" s="16" t="s">
        <v>17</v>
      </c>
      <c r="B1472" s="16" t="s">
        <v>26</v>
      </c>
      <c r="C1472" s="17" t="s">
        <v>19</v>
      </c>
      <c r="D1472" s="18" t="s">
        <v>857</v>
      </c>
      <c r="E1472" s="18">
        <v>5</v>
      </c>
      <c r="F1472" s="18" t="s">
        <v>58</v>
      </c>
      <c r="G1472" s="18" t="s">
        <v>22</v>
      </c>
      <c r="H1472" s="18" t="s">
        <v>23</v>
      </c>
      <c r="I1472" s="19">
        <v>58.64</v>
      </c>
      <c r="J1472" s="20">
        <f t="shared" si="44"/>
        <v>293.2</v>
      </c>
      <c r="K1472" s="106"/>
      <c r="L1472" s="114"/>
      <c r="M1472" s="114">
        <f>tblAquisições[[#This Row],[VALOR UNITARIO COMPRADO]]*tblAquisições[[#This Row],[QUANTIDADE COMPRADA]]</f>
        <v>0</v>
      </c>
      <c r="N1472" s="110">
        <f>K1472-tblAquisições[[#This Row],[QUANTIDADE PLANEJADA]]</f>
        <v>-5</v>
      </c>
      <c r="O1472" s="106" t="str">
        <f t="shared" si="45"/>
        <v>Faltando Comprar</v>
      </c>
    </row>
    <row r="1473" spans="1:15" ht="31.5">
      <c r="A1473" s="16" t="s">
        <v>17</v>
      </c>
      <c r="B1473" s="16" t="s">
        <v>26</v>
      </c>
      <c r="C1473" s="17" t="s">
        <v>19</v>
      </c>
      <c r="D1473" s="18" t="s">
        <v>858</v>
      </c>
      <c r="E1473" s="18">
        <v>10</v>
      </c>
      <c r="F1473" s="18" t="s">
        <v>170</v>
      </c>
      <c r="G1473" s="18" t="s">
        <v>22</v>
      </c>
      <c r="H1473" s="18" t="s">
        <v>23</v>
      </c>
      <c r="I1473" s="19">
        <v>9.32</v>
      </c>
      <c r="J1473" s="20">
        <f t="shared" si="44"/>
        <v>93.2</v>
      </c>
      <c r="K1473" s="106"/>
      <c r="L1473" s="114"/>
      <c r="M1473" s="114">
        <f>tblAquisições[[#This Row],[VALOR UNITARIO COMPRADO]]*tblAquisições[[#This Row],[QUANTIDADE COMPRADA]]</f>
        <v>0</v>
      </c>
      <c r="N1473" s="110">
        <f>K1473-tblAquisições[[#This Row],[QUANTIDADE PLANEJADA]]</f>
        <v>-10</v>
      </c>
      <c r="O1473" s="106" t="str">
        <f t="shared" si="45"/>
        <v>Faltando Comprar</v>
      </c>
    </row>
    <row r="1474" spans="1:15" ht="31.5">
      <c r="A1474" s="16" t="s">
        <v>17</v>
      </c>
      <c r="B1474" s="16" t="s">
        <v>26</v>
      </c>
      <c r="C1474" s="17" t="s">
        <v>19</v>
      </c>
      <c r="D1474" s="18" t="s">
        <v>859</v>
      </c>
      <c r="E1474" s="18">
        <v>5</v>
      </c>
      <c r="F1474" s="18" t="s">
        <v>170</v>
      </c>
      <c r="G1474" s="18" t="s">
        <v>22</v>
      </c>
      <c r="H1474" s="18" t="s">
        <v>23</v>
      </c>
      <c r="I1474" s="19">
        <v>54.26</v>
      </c>
      <c r="J1474" s="20">
        <f t="shared" ref="J1474:J1537" si="46">E1474*I1474</f>
        <v>271.3</v>
      </c>
      <c r="K1474" s="106"/>
      <c r="L1474" s="114"/>
      <c r="M1474" s="114">
        <f>tblAquisições[[#This Row],[VALOR UNITARIO COMPRADO]]*tblAquisições[[#This Row],[QUANTIDADE COMPRADA]]</f>
        <v>0</v>
      </c>
      <c r="N1474" s="110">
        <f>K1474-tblAquisições[[#This Row],[QUANTIDADE PLANEJADA]]</f>
        <v>-5</v>
      </c>
      <c r="O1474" s="106" t="str">
        <f t="shared" ref="O1474:O1537" si="47">IF(K1474=E1474,"OK",IF(K1474&lt;E1474,"Faltando Comprar","Excedente"))</f>
        <v>Faltando Comprar</v>
      </c>
    </row>
    <row r="1475" spans="1:15" ht="31.5">
      <c r="A1475" s="16" t="s">
        <v>17</v>
      </c>
      <c r="B1475" s="16" t="s">
        <v>72</v>
      </c>
      <c r="C1475" s="17" t="s">
        <v>19</v>
      </c>
      <c r="D1475" s="18" t="s">
        <v>859</v>
      </c>
      <c r="E1475" s="18">
        <v>1</v>
      </c>
      <c r="F1475" s="18" t="s">
        <v>170</v>
      </c>
      <c r="G1475" s="18" t="s">
        <v>22</v>
      </c>
      <c r="H1475" s="18" t="s">
        <v>23</v>
      </c>
      <c r="I1475" s="19">
        <v>54.26</v>
      </c>
      <c r="J1475" s="20">
        <f t="shared" si="46"/>
        <v>54.26</v>
      </c>
      <c r="K1475" s="106"/>
      <c r="L1475" s="114"/>
      <c r="M1475" s="114">
        <f>tblAquisições[[#This Row],[VALOR UNITARIO COMPRADO]]*tblAquisições[[#This Row],[QUANTIDADE COMPRADA]]</f>
        <v>0</v>
      </c>
      <c r="N1475" s="110">
        <f>K1475-tblAquisições[[#This Row],[QUANTIDADE PLANEJADA]]</f>
        <v>-1</v>
      </c>
      <c r="O1475" s="106" t="str">
        <f t="shared" si="47"/>
        <v>Faltando Comprar</v>
      </c>
    </row>
    <row r="1476" spans="1:15" ht="31.5">
      <c r="A1476" s="16" t="s">
        <v>17</v>
      </c>
      <c r="B1476" s="16" t="s">
        <v>41</v>
      </c>
      <c r="C1476" s="17" t="s">
        <v>19</v>
      </c>
      <c r="D1476" s="18" t="s">
        <v>860</v>
      </c>
      <c r="E1476" s="18">
        <v>100</v>
      </c>
      <c r="F1476" s="18" t="s">
        <v>21</v>
      </c>
      <c r="G1476" s="18" t="s">
        <v>22</v>
      </c>
      <c r="H1476" s="18" t="s">
        <v>23</v>
      </c>
      <c r="I1476" s="19">
        <v>18.2</v>
      </c>
      <c r="J1476" s="20">
        <f t="shared" si="46"/>
        <v>1820</v>
      </c>
      <c r="K1476" s="106"/>
      <c r="L1476" s="114"/>
      <c r="M1476" s="114">
        <f>tblAquisições[[#This Row],[VALOR UNITARIO COMPRADO]]*tblAquisições[[#This Row],[QUANTIDADE COMPRADA]]</f>
        <v>0</v>
      </c>
      <c r="N1476" s="110">
        <f>K1476-tblAquisições[[#This Row],[QUANTIDADE PLANEJADA]]</f>
        <v>-100</v>
      </c>
      <c r="O1476" s="106" t="str">
        <f t="shared" si="47"/>
        <v>Faltando Comprar</v>
      </c>
    </row>
    <row r="1477" spans="1:15" ht="31.5">
      <c r="A1477" s="16" t="s">
        <v>17</v>
      </c>
      <c r="B1477" s="16" t="s">
        <v>26</v>
      </c>
      <c r="C1477" s="17" t="s">
        <v>19</v>
      </c>
      <c r="D1477" s="18" t="s">
        <v>860</v>
      </c>
      <c r="E1477" s="18">
        <v>30</v>
      </c>
      <c r="F1477" s="18" t="s">
        <v>21</v>
      </c>
      <c r="G1477" s="18" t="s">
        <v>22</v>
      </c>
      <c r="H1477" s="18" t="s">
        <v>23</v>
      </c>
      <c r="I1477" s="19">
        <v>18.2</v>
      </c>
      <c r="J1477" s="20">
        <f t="shared" si="46"/>
        <v>546</v>
      </c>
      <c r="K1477" s="106"/>
      <c r="L1477" s="114"/>
      <c r="M1477" s="114">
        <f>tblAquisições[[#This Row],[VALOR UNITARIO COMPRADO]]*tblAquisições[[#This Row],[QUANTIDADE COMPRADA]]</f>
        <v>0</v>
      </c>
      <c r="N1477" s="110">
        <f>K1477-tblAquisições[[#This Row],[QUANTIDADE PLANEJADA]]</f>
        <v>-30</v>
      </c>
      <c r="O1477" s="106" t="str">
        <f t="shared" si="47"/>
        <v>Faltando Comprar</v>
      </c>
    </row>
    <row r="1478" spans="1:15" ht="31.5">
      <c r="A1478" s="16" t="s">
        <v>17</v>
      </c>
      <c r="B1478" s="16" t="s">
        <v>28</v>
      </c>
      <c r="C1478" s="17" t="s">
        <v>19</v>
      </c>
      <c r="D1478" s="18" t="s">
        <v>861</v>
      </c>
      <c r="E1478" s="18">
        <v>60</v>
      </c>
      <c r="F1478" s="18" t="s">
        <v>21</v>
      </c>
      <c r="G1478" s="18" t="s">
        <v>22</v>
      </c>
      <c r="H1478" s="18" t="s">
        <v>23</v>
      </c>
      <c r="I1478" s="19">
        <v>72.599999999999994</v>
      </c>
      <c r="J1478" s="20">
        <f t="shared" si="46"/>
        <v>4356</v>
      </c>
      <c r="K1478" s="106"/>
      <c r="L1478" s="114"/>
      <c r="M1478" s="114">
        <f>tblAquisições[[#This Row],[VALOR UNITARIO COMPRADO]]*tblAquisições[[#This Row],[QUANTIDADE COMPRADA]]</f>
        <v>0</v>
      </c>
      <c r="N1478" s="110">
        <f>K1478-tblAquisições[[#This Row],[QUANTIDADE PLANEJADA]]</f>
        <v>-60</v>
      </c>
      <c r="O1478" s="106" t="str">
        <f t="shared" si="47"/>
        <v>Faltando Comprar</v>
      </c>
    </row>
    <row r="1479" spans="1:15" ht="31.5">
      <c r="A1479" s="16" t="s">
        <v>17</v>
      </c>
      <c r="B1479" s="16" t="s">
        <v>80</v>
      </c>
      <c r="C1479" s="17" t="s">
        <v>19</v>
      </c>
      <c r="D1479" s="18" t="s">
        <v>862</v>
      </c>
      <c r="E1479" s="18">
        <v>4</v>
      </c>
      <c r="F1479" s="18" t="s">
        <v>38</v>
      </c>
      <c r="G1479" s="18" t="s">
        <v>39</v>
      </c>
      <c r="H1479" s="18" t="s">
        <v>23</v>
      </c>
      <c r="I1479" s="19">
        <v>18.47</v>
      </c>
      <c r="J1479" s="20">
        <f t="shared" si="46"/>
        <v>73.88</v>
      </c>
      <c r="K1479" s="106"/>
      <c r="L1479" s="114"/>
      <c r="M1479" s="114">
        <f>tblAquisições[[#This Row],[VALOR UNITARIO COMPRADO]]*tblAquisições[[#This Row],[QUANTIDADE COMPRADA]]</f>
        <v>0</v>
      </c>
      <c r="N1479" s="110">
        <f>K1479-tblAquisições[[#This Row],[QUANTIDADE PLANEJADA]]</f>
        <v>-4</v>
      </c>
      <c r="O1479" s="106" t="str">
        <f t="shared" si="47"/>
        <v>Faltando Comprar</v>
      </c>
    </row>
    <row r="1480" spans="1:15" ht="31.5">
      <c r="A1480" s="16" t="s">
        <v>17</v>
      </c>
      <c r="B1480" s="16" t="s">
        <v>34</v>
      </c>
      <c r="C1480" s="17" t="s">
        <v>19</v>
      </c>
      <c r="D1480" s="18" t="s">
        <v>863</v>
      </c>
      <c r="E1480" s="18">
        <v>2</v>
      </c>
      <c r="F1480" s="18" t="s">
        <v>21</v>
      </c>
      <c r="G1480" s="18" t="s">
        <v>22</v>
      </c>
      <c r="H1480" s="18" t="s">
        <v>23</v>
      </c>
      <c r="I1480" s="19">
        <v>18.47</v>
      </c>
      <c r="J1480" s="20">
        <f t="shared" si="46"/>
        <v>36.94</v>
      </c>
      <c r="K1480" s="106"/>
      <c r="L1480" s="114"/>
      <c r="M1480" s="114">
        <f>tblAquisições[[#This Row],[VALOR UNITARIO COMPRADO]]*tblAquisições[[#This Row],[QUANTIDADE COMPRADA]]</f>
        <v>0</v>
      </c>
      <c r="N1480" s="110">
        <f>K1480-tblAquisições[[#This Row],[QUANTIDADE PLANEJADA]]</f>
        <v>-2</v>
      </c>
      <c r="O1480" s="106" t="str">
        <f t="shared" si="47"/>
        <v>Faltando Comprar</v>
      </c>
    </row>
    <row r="1481" spans="1:15" ht="31.5">
      <c r="A1481" s="16" t="s">
        <v>17</v>
      </c>
      <c r="B1481" s="16" t="s">
        <v>31</v>
      </c>
      <c r="C1481" s="17" t="s">
        <v>19</v>
      </c>
      <c r="D1481" s="18" t="s">
        <v>863</v>
      </c>
      <c r="E1481" s="18">
        <v>10</v>
      </c>
      <c r="F1481" s="18" t="s">
        <v>21</v>
      </c>
      <c r="G1481" s="18" t="s">
        <v>22</v>
      </c>
      <c r="H1481" s="18" t="s">
        <v>23</v>
      </c>
      <c r="I1481" s="19">
        <v>18.47</v>
      </c>
      <c r="J1481" s="20">
        <f t="shared" si="46"/>
        <v>184.7</v>
      </c>
      <c r="K1481" s="106"/>
      <c r="L1481" s="114"/>
      <c r="M1481" s="114">
        <f>tblAquisições[[#This Row],[VALOR UNITARIO COMPRADO]]*tblAquisições[[#This Row],[QUANTIDADE COMPRADA]]</f>
        <v>0</v>
      </c>
      <c r="N1481" s="110">
        <f>K1481-tblAquisições[[#This Row],[QUANTIDADE PLANEJADA]]</f>
        <v>-10</v>
      </c>
      <c r="O1481" s="106" t="str">
        <f t="shared" si="47"/>
        <v>Faltando Comprar</v>
      </c>
    </row>
    <row r="1482" spans="1:15" ht="31.5">
      <c r="A1482" s="16" t="s">
        <v>17</v>
      </c>
      <c r="B1482" s="16" t="s">
        <v>28</v>
      </c>
      <c r="C1482" s="17" t="s">
        <v>19</v>
      </c>
      <c r="D1482" s="18" t="s">
        <v>863</v>
      </c>
      <c r="E1482" s="18">
        <v>5</v>
      </c>
      <c r="F1482" s="18" t="s">
        <v>21</v>
      </c>
      <c r="G1482" s="18" t="s">
        <v>22</v>
      </c>
      <c r="H1482" s="18" t="s">
        <v>53</v>
      </c>
      <c r="I1482" s="19">
        <v>18.47</v>
      </c>
      <c r="J1482" s="20">
        <f t="shared" si="46"/>
        <v>92.35</v>
      </c>
      <c r="K1482" s="106"/>
      <c r="L1482" s="114"/>
      <c r="M1482" s="114">
        <f>tblAquisições[[#This Row],[VALOR UNITARIO COMPRADO]]*tblAquisições[[#This Row],[QUANTIDADE COMPRADA]]</f>
        <v>0</v>
      </c>
      <c r="N1482" s="110">
        <f>K1482-tblAquisições[[#This Row],[QUANTIDADE PLANEJADA]]</f>
        <v>-5</v>
      </c>
      <c r="O1482" s="106" t="str">
        <f t="shared" si="47"/>
        <v>Faltando Comprar</v>
      </c>
    </row>
    <row r="1483" spans="1:15" ht="31.5">
      <c r="A1483" s="16" t="s">
        <v>17</v>
      </c>
      <c r="B1483" s="16" t="s">
        <v>80</v>
      </c>
      <c r="C1483" s="17" t="s">
        <v>19</v>
      </c>
      <c r="D1483" s="18" t="s">
        <v>864</v>
      </c>
      <c r="E1483" s="18">
        <v>30</v>
      </c>
      <c r="F1483" s="18" t="s">
        <v>38</v>
      </c>
      <c r="G1483" s="18" t="s">
        <v>39</v>
      </c>
      <c r="H1483" s="21"/>
      <c r="I1483" s="19">
        <v>8.33</v>
      </c>
      <c r="J1483" s="20">
        <f t="shared" si="46"/>
        <v>249.9</v>
      </c>
      <c r="K1483" s="106"/>
      <c r="L1483" s="114"/>
      <c r="M1483" s="114">
        <f>tblAquisições[[#This Row],[VALOR UNITARIO COMPRADO]]*tblAquisições[[#This Row],[QUANTIDADE COMPRADA]]</f>
        <v>0</v>
      </c>
      <c r="N1483" s="110">
        <f>K1483-tblAquisições[[#This Row],[QUANTIDADE PLANEJADA]]</f>
        <v>-30</v>
      </c>
      <c r="O1483" s="106" t="str">
        <f t="shared" si="47"/>
        <v>Faltando Comprar</v>
      </c>
    </row>
    <row r="1484" spans="1:15" ht="31.5">
      <c r="A1484" s="16" t="s">
        <v>17</v>
      </c>
      <c r="B1484" s="16" t="s">
        <v>26</v>
      </c>
      <c r="C1484" s="17" t="s">
        <v>19</v>
      </c>
      <c r="D1484" s="18" t="s">
        <v>865</v>
      </c>
      <c r="E1484" s="18">
        <v>60</v>
      </c>
      <c r="F1484" s="18" t="s">
        <v>21</v>
      </c>
      <c r="G1484" s="18" t="s">
        <v>22</v>
      </c>
      <c r="H1484" s="18" t="s">
        <v>23</v>
      </c>
      <c r="I1484" s="19">
        <v>8.33</v>
      </c>
      <c r="J1484" s="20">
        <f t="shared" si="46"/>
        <v>499.8</v>
      </c>
      <c r="K1484" s="106"/>
      <c r="L1484" s="114"/>
      <c r="M1484" s="114">
        <f>tblAquisições[[#This Row],[VALOR UNITARIO COMPRADO]]*tblAquisições[[#This Row],[QUANTIDADE COMPRADA]]</f>
        <v>0</v>
      </c>
      <c r="N1484" s="110">
        <f>K1484-tblAquisições[[#This Row],[QUANTIDADE PLANEJADA]]</f>
        <v>-60</v>
      </c>
      <c r="O1484" s="106" t="str">
        <f t="shared" si="47"/>
        <v>Faltando Comprar</v>
      </c>
    </row>
    <row r="1485" spans="1:15" ht="31.5">
      <c r="A1485" s="16" t="s">
        <v>17</v>
      </c>
      <c r="B1485" s="16" t="s">
        <v>80</v>
      </c>
      <c r="C1485" s="17" t="s">
        <v>19</v>
      </c>
      <c r="D1485" s="18" t="s">
        <v>866</v>
      </c>
      <c r="E1485" s="18">
        <v>50</v>
      </c>
      <c r="F1485" s="18" t="s">
        <v>38</v>
      </c>
      <c r="G1485" s="18" t="s">
        <v>39</v>
      </c>
      <c r="H1485" s="18" t="s">
        <v>23</v>
      </c>
      <c r="I1485" s="19">
        <v>19</v>
      </c>
      <c r="J1485" s="20">
        <f t="shared" si="46"/>
        <v>950</v>
      </c>
      <c r="K1485" s="106"/>
      <c r="L1485" s="114"/>
      <c r="M1485" s="114">
        <f>tblAquisições[[#This Row],[VALOR UNITARIO COMPRADO]]*tblAquisições[[#This Row],[QUANTIDADE COMPRADA]]</f>
        <v>0</v>
      </c>
      <c r="N1485" s="110">
        <f>K1485-tblAquisições[[#This Row],[QUANTIDADE PLANEJADA]]</f>
        <v>-50</v>
      </c>
      <c r="O1485" s="106" t="str">
        <f t="shared" si="47"/>
        <v>Faltando Comprar</v>
      </c>
    </row>
    <row r="1486" spans="1:15" ht="31.5">
      <c r="A1486" s="16" t="s">
        <v>17</v>
      </c>
      <c r="B1486" s="16" t="s">
        <v>80</v>
      </c>
      <c r="C1486" s="17" t="s">
        <v>19</v>
      </c>
      <c r="D1486" s="18" t="s">
        <v>867</v>
      </c>
      <c r="E1486" s="18">
        <v>10</v>
      </c>
      <c r="F1486" s="18" t="s">
        <v>82</v>
      </c>
      <c r="G1486" s="18" t="s">
        <v>39</v>
      </c>
      <c r="H1486" s="21"/>
      <c r="I1486" s="19">
        <v>446.93</v>
      </c>
      <c r="J1486" s="20">
        <f t="shared" si="46"/>
        <v>4469.3</v>
      </c>
      <c r="K1486" s="106"/>
      <c r="L1486" s="114"/>
      <c r="M1486" s="114">
        <f>tblAquisições[[#This Row],[VALOR UNITARIO COMPRADO]]*tblAquisições[[#This Row],[QUANTIDADE COMPRADA]]</f>
        <v>0</v>
      </c>
      <c r="N1486" s="110">
        <f>K1486-tblAquisições[[#This Row],[QUANTIDADE PLANEJADA]]</f>
        <v>-10</v>
      </c>
      <c r="O1486" s="106" t="str">
        <f t="shared" si="47"/>
        <v>Faltando Comprar</v>
      </c>
    </row>
    <row r="1487" spans="1:15" ht="31.5">
      <c r="A1487" s="16" t="s">
        <v>17</v>
      </c>
      <c r="B1487" s="16" t="s">
        <v>18</v>
      </c>
      <c r="C1487" s="17" t="s">
        <v>19</v>
      </c>
      <c r="D1487" s="18" t="s">
        <v>868</v>
      </c>
      <c r="E1487" s="18">
        <v>20</v>
      </c>
      <c r="F1487" s="18" t="s">
        <v>30</v>
      </c>
      <c r="G1487" s="18" t="s">
        <v>22</v>
      </c>
      <c r="H1487" s="18" t="s">
        <v>23</v>
      </c>
      <c r="I1487" s="19">
        <v>92.33</v>
      </c>
      <c r="J1487" s="20">
        <f t="shared" si="46"/>
        <v>1846.6</v>
      </c>
      <c r="K1487" s="106"/>
      <c r="L1487" s="114"/>
      <c r="M1487" s="114">
        <f>tblAquisições[[#This Row],[VALOR UNITARIO COMPRADO]]*tblAquisições[[#This Row],[QUANTIDADE COMPRADA]]</f>
        <v>0</v>
      </c>
      <c r="N1487" s="110">
        <f>K1487-tblAquisições[[#This Row],[QUANTIDADE PLANEJADA]]</f>
        <v>-20</v>
      </c>
      <c r="O1487" s="106" t="str">
        <f t="shared" si="47"/>
        <v>Faltando Comprar</v>
      </c>
    </row>
    <row r="1488" spans="1:15" ht="31.5">
      <c r="A1488" s="16" t="s">
        <v>17</v>
      </c>
      <c r="B1488" s="16" t="s">
        <v>24</v>
      </c>
      <c r="C1488" s="17" t="s">
        <v>19</v>
      </c>
      <c r="D1488" s="18" t="s">
        <v>868</v>
      </c>
      <c r="E1488" s="18">
        <v>20</v>
      </c>
      <c r="F1488" s="18" t="s">
        <v>30</v>
      </c>
      <c r="G1488" s="18" t="s">
        <v>22</v>
      </c>
      <c r="H1488" s="18" t="s">
        <v>23</v>
      </c>
      <c r="I1488" s="19">
        <v>92.33</v>
      </c>
      <c r="J1488" s="20">
        <f t="shared" si="46"/>
        <v>1846.6</v>
      </c>
      <c r="K1488" s="106"/>
      <c r="L1488" s="114"/>
      <c r="M1488" s="114">
        <f>tblAquisições[[#This Row],[VALOR UNITARIO COMPRADO]]*tblAquisições[[#This Row],[QUANTIDADE COMPRADA]]</f>
        <v>0</v>
      </c>
      <c r="N1488" s="110">
        <f>K1488-tblAquisições[[#This Row],[QUANTIDADE PLANEJADA]]</f>
        <v>-20</v>
      </c>
      <c r="O1488" s="106" t="str">
        <f t="shared" si="47"/>
        <v>Faltando Comprar</v>
      </c>
    </row>
    <row r="1489" spans="1:15" ht="31.5">
      <c r="A1489" s="16" t="s">
        <v>17</v>
      </c>
      <c r="B1489" s="16" t="s">
        <v>25</v>
      </c>
      <c r="C1489" s="17" t="s">
        <v>19</v>
      </c>
      <c r="D1489" s="18" t="s">
        <v>868</v>
      </c>
      <c r="E1489" s="18">
        <v>20</v>
      </c>
      <c r="F1489" s="18" t="s">
        <v>30</v>
      </c>
      <c r="G1489" s="18" t="s">
        <v>22</v>
      </c>
      <c r="H1489" s="18" t="s">
        <v>23</v>
      </c>
      <c r="I1489" s="19">
        <v>92.33</v>
      </c>
      <c r="J1489" s="20">
        <f t="shared" si="46"/>
        <v>1846.6</v>
      </c>
      <c r="K1489" s="106"/>
      <c r="L1489" s="114"/>
      <c r="M1489" s="114">
        <f>tblAquisições[[#This Row],[VALOR UNITARIO COMPRADO]]*tblAquisições[[#This Row],[QUANTIDADE COMPRADA]]</f>
        <v>0</v>
      </c>
      <c r="N1489" s="110">
        <f>K1489-tblAquisições[[#This Row],[QUANTIDADE PLANEJADA]]</f>
        <v>-20</v>
      </c>
      <c r="O1489" s="106" t="str">
        <f t="shared" si="47"/>
        <v>Faltando Comprar</v>
      </c>
    </row>
    <row r="1490" spans="1:15" ht="31.5">
      <c r="A1490" s="16" t="s">
        <v>17</v>
      </c>
      <c r="B1490" s="16" t="s">
        <v>26</v>
      </c>
      <c r="C1490" s="17" t="s">
        <v>19</v>
      </c>
      <c r="D1490" s="18" t="s">
        <v>868</v>
      </c>
      <c r="E1490" s="18">
        <v>10</v>
      </c>
      <c r="F1490" s="18" t="s">
        <v>30</v>
      </c>
      <c r="G1490" s="18" t="s">
        <v>22</v>
      </c>
      <c r="H1490" s="18" t="s">
        <v>23</v>
      </c>
      <c r="I1490" s="19">
        <v>92.33</v>
      </c>
      <c r="J1490" s="20">
        <f t="shared" si="46"/>
        <v>923.3</v>
      </c>
      <c r="K1490" s="106"/>
      <c r="L1490" s="114"/>
      <c r="M1490" s="114">
        <f>tblAquisições[[#This Row],[VALOR UNITARIO COMPRADO]]*tblAquisições[[#This Row],[QUANTIDADE COMPRADA]]</f>
        <v>0</v>
      </c>
      <c r="N1490" s="110">
        <f>K1490-tblAquisições[[#This Row],[QUANTIDADE PLANEJADA]]</f>
        <v>-10</v>
      </c>
      <c r="O1490" s="106" t="str">
        <f t="shared" si="47"/>
        <v>Faltando Comprar</v>
      </c>
    </row>
    <row r="1491" spans="1:15" ht="47.25">
      <c r="A1491" s="16" t="s">
        <v>17</v>
      </c>
      <c r="B1491" s="16" t="s">
        <v>80</v>
      </c>
      <c r="C1491" s="17" t="s">
        <v>19</v>
      </c>
      <c r="D1491" s="18" t="s">
        <v>869</v>
      </c>
      <c r="E1491" s="18">
        <v>2</v>
      </c>
      <c r="F1491" s="18" t="s">
        <v>147</v>
      </c>
      <c r="G1491" s="18" t="s">
        <v>39</v>
      </c>
      <c r="H1491" s="21"/>
      <c r="I1491" s="19">
        <v>8.1999999999999993</v>
      </c>
      <c r="J1491" s="20">
        <f t="shared" si="46"/>
        <v>16.399999999999999</v>
      </c>
      <c r="K1491" s="106"/>
      <c r="L1491" s="114"/>
      <c r="M1491" s="114">
        <f>tblAquisições[[#This Row],[VALOR UNITARIO COMPRADO]]*tblAquisições[[#This Row],[QUANTIDADE COMPRADA]]</f>
        <v>0</v>
      </c>
      <c r="N1491" s="110">
        <f>K1491-tblAquisições[[#This Row],[QUANTIDADE PLANEJADA]]</f>
        <v>-2</v>
      </c>
      <c r="O1491" s="106" t="str">
        <f t="shared" si="47"/>
        <v>Faltando Comprar</v>
      </c>
    </row>
    <row r="1492" spans="1:15" ht="47.25">
      <c r="A1492" s="16" t="s">
        <v>17</v>
      </c>
      <c r="B1492" s="16" t="s">
        <v>34</v>
      </c>
      <c r="C1492" s="17" t="s">
        <v>19</v>
      </c>
      <c r="D1492" s="18" t="s">
        <v>870</v>
      </c>
      <c r="E1492" s="18">
        <v>60</v>
      </c>
      <c r="F1492" s="18" t="s">
        <v>78</v>
      </c>
      <c r="G1492" s="18" t="s">
        <v>22</v>
      </c>
      <c r="H1492" s="18" t="s">
        <v>83</v>
      </c>
      <c r="I1492" s="19">
        <v>52.6</v>
      </c>
      <c r="J1492" s="20">
        <f t="shared" si="46"/>
        <v>3156</v>
      </c>
      <c r="K1492" s="106"/>
      <c r="L1492" s="114"/>
      <c r="M1492" s="114">
        <f>tblAquisições[[#This Row],[VALOR UNITARIO COMPRADO]]*tblAquisições[[#This Row],[QUANTIDADE COMPRADA]]</f>
        <v>0</v>
      </c>
      <c r="N1492" s="110">
        <f>K1492-tblAquisições[[#This Row],[QUANTIDADE PLANEJADA]]</f>
        <v>-60</v>
      </c>
      <c r="O1492" s="106" t="str">
        <f t="shared" si="47"/>
        <v>Faltando Comprar</v>
      </c>
    </row>
    <row r="1493" spans="1:15" ht="31.5">
      <c r="A1493" s="16" t="s">
        <v>17</v>
      </c>
      <c r="B1493" s="16" t="s">
        <v>26</v>
      </c>
      <c r="C1493" s="17" t="s">
        <v>19</v>
      </c>
      <c r="D1493" s="18" t="s">
        <v>871</v>
      </c>
      <c r="E1493" s="18">
        <v>20</v>
      </c>
      <c r="F1493" s="18" t="s">
        <v>21</v>
      </c>
      <c r="G1493" s="18" t="s">
        <v>22</v>
      </c>
      <c r="H1493" s="18" t="s">
        <v>23</v>
      </c>
      <c r="I1493" s="19">
        <v>20</v>
      </c>
      <c r="J1493" s="20">
        <f t="shared" si="46"/>
        <v>400</v>
      </c>
      <c r="K1493" s="106"/>
      <c r="L1493" s="114"/>
      <c r="M1493" s="114">
        <f>tblAquisições[[#This Row],[VALOR UNITARIO COMPRADO]]*tblAquisições[[#This Row],[QUANTIDADE COMPRADA]]</f>
        <v>0</v>
      </c>
      <c r="N1493" s="110">
        <f>K1493-tblAquisições[[#This Row],[QUANTIDADE PLANEJADA]]</f>
        <v>-20</v>
      </c>
      <c r="O1493" s="106" t="str">
        <f t="shared" si="47"/>
        <v>Faltando Comprar</v>
      </c>
    </row>
    <row r="1494" spans="1:15" ht="31.5">
      <c r="A1494" s="16" t="s">
        <v>17</v>
      </c>
      <c r="B1494" s="16" t="s">
        <v>28</v>
      </c>
      <c r="C1494" s="17" t="s">
        <v>19</v>
      </c>
      <c r="D1494" s="18" t="s">
        <v>871</v>
      </c>
      <c r="E1494" s="18">
        <v>60</v>
      </c>
      <c r="F1494" s="18" t="s">
        <v>21</v>
      </c>
      <c r="G1494" s="18" t="s">
        <v>22</v>
      </c>
      <c r="H1494" s="18" t="s">
        <v>23</v>
      </c>
      <c r="I1494" s="19">
        <v>20</v>
      </c>
      <c r="J1494" s="20">
        <f t="shared" si="46"/>
        <v>1200</v>
      </c>
      <c r="K1494" s="106"/>
      <c r="L1494" s="114"/>
      <c r="M1494" s="114">
        <f>tblAquisições[[#This Row],[VALOR UNITARIO COMPRADO]]*tblAquisições[[#This Row],[QUANTIDADE COMPRADA]]</f>
        <v>0</v>
      </c>
      <c r="N1494" s="110">
        <f>K1494-tblAquisições[[#This Row],[QUANTIDADE PLANEJADA]]</f>
        <v>-60</v>
      </c>
      <c r="O1494" s="106" t="str">
        <f t="shared" si="47"/>
        <v>Faltando Comprar</v>
      </c>
    </row>
    <row r="1495" spans="1:15" ht="47.25">
      <c r="A1495" s="16" t="s">
        <v>17</v>
      </c>
      <c r="B1495" s="16" t="s">
        <v>28</v>
      </c>
      <c r="C1495" s="17" t="s">
        <v>19</v>
      </c>
      <c r="D1495" s="18" t="s">
        <v>872</v>
      </c>
      <c r="E1495" s="18">
        <v>12</v>
      </c>
      <c r="F1495" s="18" t="s">
        <v>78</v>
      </c>
      <c r="G1495" s="18" t="s">
        <v>22</v>
      </c>
      <c r="H1495" s="18" t="s">
        <v>65</v>
      </c>
      <c r="I1495" s="19">
        <v>11.24</v>
      </c>
      <c r="J1495" s="20">
        <f t="shared" si="46"/>
        <v>134.88</v>
      </c>
      <c r="K1495" s="106"/>
      <c r="L1495" s="114"/>
      <c r="M1495" s="114">
        <f>tblAquisições[[#This Row],[VALOR UNITARIO COMPRADO]]*tblAquisições[[#This Row],[QUANTIDADE COMPRADA]]</f>
        <v>0</v>
      </c>
      <c r="N1495" s="110">
        <f>K1495-tblAquisições[[#This Row],[QUANTIDADE PLANEJADA]]</f>
        <v>-12</v>
      </c>
      <c r="O1495" s="106" t="str">
        <f t="shared" si="47"/>
        <v>Faltando Comprar</v>
      </c>
    </row>
    <row r="1496" spans="1:15" ht="31.5">
      <c r="A1496" s="16" t="s">
        <v>17</v>
      </c>
      <c r="B1496" s="16" t="s">
        <v>31</v>
      </c>
      <c r="C1496" s="17" t="s">
        <v>19</v>
      </c>
      <c r="D1496" s="18" t="s">
        <v>873</v>
      </c>
      <c r="E1496" s="18">
        <v>150</v>
      </c>
      <c r="F1496" s="18" t="s">
        <v>229</v>
      </c>
      <c r="G1496" s="18" t="s">
        <v>22</v>
      </c>
      <c r="H1496" s="18" t="s">
        <v>23</v>
      </c>
      <c r="I1496" s="19">
        <v>31.49</v>
      </c>
      <c r="J1496" s="20">
        <f t="shared" si="46"/>
        <v>4723.5</v>
      </c>
      <c r="K1496" s="106"/>
      <c r="L1496" s="114"/>
      <c r="M1496" s="114">
        <f>tblAquisições[[#This Row],[VALOR UNITARIO COMPRADO]]*tblAquisições[[#This Row],[QUANTIDADE COMPRADA]]</f>
        <v>0</v>
      </c>
      <c r="N1496" s="110">
        <f>K1496-tblAquisições[[#This Row],[QUANTIDADE PLANEJADA]]</f>
        <v>-150</v>
      </c>
      <c r="O1496" s="106" t="str">
        <f t="shared" si="47"/>
        <v>Faltando Comprar</v>
      </c>
    </row>
    <row r="1497" spans="1:15" ht="31.5">
      <c r="A1497" s="16" t="s">
        <v>17</v>
      </c>
      <c r="B1497" s="16" t="s">
        <v>28</v>
      </c>
      <c r="C1497" s="17" t="s">
        <v>19</v>
      </c>
      <c r="D1497" s="18" t="s">
        <v>874</v>
      </c>
      <c r="E1497" s="18">
        <v>12</v>
      </c>
      <c r="F1497" s="18" t="s">
        <v>324</v>
      </c>
      <c r="G1497" s="18" t="s">
        <v>22</v>
      </c>
      <c r="H1497" s="18" t="s">
        <v>23</v>
      </c>
      <c r="I1497" s="19">
        <v>50.17</v>
      </c>
      <c r="J1497" s="20">
        <f t="shared" si="46"/>
        <v>602.04</v>
      </c>
      <c r="K1497" s="106"/>
      <c r="L1497" s="114"/>
      <c r="M1497" s="114">
        <f>tblAquisições[[#This Row],[VALOR UNITARIO COMPRADO]]*tblAquisições[[#This Row],[QUANTIDADE COMPRADA]]</f>
        <v>0</v>
      </c>
      <c r="N1497" s="110">
        <f>K1497-tblAquisições[[#This Row],[QUANTIDADE PLANEJADA]]</f>
        <v>-12</v>
      </c>
      <c r="O1497" s="106" t="str">
        <f t="shared" si="47"/>
        <v>Faltando Comprar</v>
      </c>
    </row>
    <row r="1498" spans="1:15" ht="31.5">
      <c r="A1498" s="16" t="s">
        <v>17</v>
      </c>
      <c r="B1498" s="16" t="s">
        <v>80</v>
      </c>
      <c r="C1498" s="17" t="s">
        <v>19</v>
      </c>
      <c r="D1498" s="18" t="s">
        <v>875</v>
      </c>
      <c r="E1498" s="18">
        <v>5</v>
      </c>
      <c r="F1498" s="18" t="s">
        <v>82</v>
      </c>
      <c r="G1498" s="18" t="s">
        <v>39</v>
      </c>
      <c r="H1498" s="21"/>
      <c r="I1498" s="19">
        <v>279.18</v>
      </c>
      <c r="J1498" s="20">
        <f t="shared" si="46"/>
        <v>1395.9</v>
      </c>
      <c r="K1498" s="106"/>
      <c r="L1498" s="114"/>
      <c r="M1498" s="114">
        <f>tblAquisições[[#This Row],[VALOR UNITARIO COMPRADO]]*tblAquisições[[#This Row],[QUANTIDADE COMPRADA]]</f>
        <v>0</v>
      </c>
      <c r="N1498" s="110">
        <f>K1498-tblAquisições[[#This Row],[QUANTIDADE PLANEJADA]]</f>
        <v>-5</v>
      </c>
      <c r="O1498" s="106" t="str">
        <f t="shared" si="47"/>
        <v>Faltando Comprar</v>
      </c>
    </row>
    <row r="1499" spans="1:15" ht="31.5">
      <c r="A1499" s="16" t="s">
        <v>17</v>
      </c>
      <c r="B1499" s="16" t="s">
        <v>80</v>
      </c>
      <c r="C1499" s="17" t="s">
        <v>19</v>
      </c>
      <c r="D1499" s="18" t="s">
        <v>876</v>
      </c>
      <c r="E1499" s="18">
        <v>30</v>
      </c>
      <c r="F1499" s="18" t="s">
        <v>82</v>
      </c>
      <c r="G1499" s="18" t="s">
        <v>39</v>
      </c>
      <c r="H1499" s="21"/>
      <c r="I1499" s="19">
        <v>110</v>
      </c>
      <c r="J1499" s="20">
        <f t="shared" si="46"/>
        <v>3300</v>
      </c>
      <c r="K1499" s="106"/>
      <c r="L1499" s="114"/>
      <c r="M1499" s="114">
        <f>tblAquisições[[#This Row],[VALOR UNITARIO COMPRADO]]*tblAquisições[[#This Row],[QUANTIDADE COMPRADA]]</f>
        <v>0</v>
      </c>
      <c r="N1499" s="110">
        <f>K1499-tblAquisições[[#This Row],[QUANTIDADE PLANEJADA]]</f>
        <v>-30</v>
      </c>
      <c r="O1499" s="106" t="str">
        <f t="shared" si="47"/>
        <v>Faltando Comprar</v>
      </c>
    </row>
    <row r="1500" spans="1:15" ht="31.5">
      <c r="A1500" s="16" t="s">
        <v>17</v>
      </c>
      <c r="B1500" s="16" t="s">
        <v>26</v>
      </c>
      <c r="C1500" s="17" t="s">
        <v>19</v>
      </c>
      <c r="D1500" s="18" t="s">
        <v>877</v>
      </c>
      <c r="E1500" s="18">
        <v>5</v>
      </c>
      <c r="F1500" s="18" t="s">
        <v>30</v>
      </c>
      <c r="G1500" s="18" t="s">
        <v>22</v>
      </c>
      <c r="H1500" s="18" t="s">
        <v>23</v>
      </c>
      <c r="I1500" s="19">
        <v>110</v>
      </c>
      <c r="J1500" s="20">
        <f t="shared" si="46"/>
        <v>550</v>
      </c>
      <c r="K1500" s="106"/>
      <c r="L1500" s="114"/>
      <c r="M1500" s="114">
        <f>tblAquisições[[#This Row],[VALOR UNITARIO COMPRADO]]*tblAquisições[[#This Row],[QUANTIDADE COMPRADA]]</f>
        <v>0</v>
      </c>
      <c r="N1500" s="110">
        <f>K1500-tblAquisições[[#This Row],[QUANTIDADE PLANEJADA]]</f>
        <v>-5</v>
      </c>
      <c r="O1500" s="106" t="str">
        <f t="shared" si="47"/>
        <v>Faltando Comprar</v>
      </c>
    </row>
    <row r="1501" spans="1:15" ht="31.5">
      <c r="A1501" s="16" t="s">
        <v>17</v>
      </c>
      <c r="B1501" s="16" t="s">
        <v>41</v>
      </c>
      <c r="C1501" s="17" t="s">
        <v>19</v>
      </c>
      <c r="D1501" s="18" t="s">
        <v>878</v>
      </c>
      <c r="E1501" s="18">
        <v>10</v>
      </c>
      <c r="F1501" s="18" t="s">
        <v>21</v>
      </c>
      <c r="G1501" s="18" t="s">
        <v>22</v>
      </c>
      <c r="H1501" s="18" t="s">
        <v>23</v>
      </c>
      <c r="I1501" s="19">
        <v>55.8</v>
      </c>
      <c r="J1501" s="20">
        <f t="shared" si="46"/>
        <v>558</v>
      </c>
      <c r="K1501" s="106"/>
      <c r="L1501" s="114"/>
      <c r="M1501" s="114">
        <f>tblAquisições[[#This Row],[VALOR UNITARIO COMPRADO]]*tblAquisições[[#This Row],[QUANTIDADE COMPRADA]]</f>
        <v>0</v>
      </c>
      <c r="N1501" s="110">
        <f>K1501-tblAquisições[[#This Row],[QUANTIDADE PLANEJADA]]</f>
        <v>-10</v>
      </c>
      <c r="O1501" s="106" t="str">
        <f t="shared" si="47"/>
        <v>Faltando Comprar</v>
      </c>
    </row>
    <row r="1502" spans="1:15" ht="31.5">
      <c r="A1502" s="16" t="s">
        <v>17</v>
      </c>
      <c r="B1502" s="16" t="s">
        <v>26</v>
      </c>
      <c r="C1502" s="17" t="s">
        <v>19</v>
      </c>
      <c r="D1502" s="18" t="s">
        <v>879</v>
      </c>
      <c r="E1502" s="18">
        <v>100</v>
      </c>
      <c r="F1502" s="18" t="s">
        <v>21</v>
      </c>
      <c r="G1502" s="18" t="s">
        <v>22</v>
      </c>
      <c r="H1502" s="18" t="s">
        <v>23</v>
      </c>
      <c r="I1502" s="19">
        <v>1.85</v>
      </c>
      <c r="J1502" s="20">
        <f t="shared" si="46"/>
        <v>185</v>
      </c>
      <c r="K1502" s="106"/>
      <c r="L1502" s="114"/>
      <c r="M1502" s="114">
        <f>tblAquisições[[#This Row],[VALOR UNITARIO COMPRADO]]*tblAquisições[[#This Row],[QUANTIDADE COMPRADA]]</f>
        <v>0</v>
      </c>
      <c r="N1502" s="110">
        <f>K1502-tblAquisições[[#This Row],[QUANTIDADE PLANEJADA]]</f>
        <v>-100</v>
      </c>
      <c r="O1502" s="106" t="str">
        <f t="shared" si="47"/>
        <v>Faltando Comprar</v>
      </c>
    </row>
    <row r="1503" spans="1:15" ht="31.5">
      <c r="A1503" s="16" t="s">
        <v>17</v>
      </c>
      <c r="B1503" s="16" t="s">
        <v>28</v>
      </c>
      <c r="C1503" s="17" t="s">
        <v>19</v>
      </c>
      <c r="D1503" s="18" t="s">
        <v>879</v>
      </c>
      <c r="E1503" s="18">
        <v>100</v>
      </c>
      <c r="F1503" s="18" t="s">
        <v>21</v>
      </c>
      <c r="G1503" s="18" t="s">
        <v>22</v>
      </c>
      <c r="H1503" s="18" t="s">
        <v>65</v>
      </c>
      <c r="I1503" s="24">
        <v>150</v>
      </c>
      <c r="J1503" s="20">
        <f t="shared" si="46"/>
        <v>15000</v>
      </c>
      <c r="K1503" s="106"/>
      <c r="L1503" s="114"/>
      <c r="M1503" s="114">
        <f>tblAquisições[[#This Row],[VALOR UNITARIO COMPRADO]]*tblAquisições[[#This Row],[QUANTIDADE COMPRADA]]</f>
        <v>0</v>
      </c>
      <c r="N1503" s="110">
        <f>K1503-tblAquisições[[#This Row],[QUANTIDADE PLANEJADA]]</f>
        <v>-100</v>
      </c>
      <c r="O1503" s="106" t="str">
        <f t="shared" si="47"/>
        <v>Faltando Comprar</v>
      </c>
    </row>
    <row r="1504" spans="1:15" ht="31.5">
      <c r="A1504" s="16" t="s">
        <v>17</v>
      </c>
      <c r="B1504" s="16" t="s">
        <v>28</v>
      </c>
      <c r="C1504" s="17" t="s">
        <v>19</v>
      </c>
      <c r="D1504" s="18" t="s">
        <v>880</v>
      </c>
      <c r="E1504" s="18">
        <v>20</v>
      </c>
      <c r="F1504" s="18" t="s">
        <v>324</v>
      </c>
      <c r="G1504" s="18" t="s">
        <v>22</v>
      </c>
      <c r="H1504" s="18" t="s">
        <v>53</v>
      </c>
      <c r="I1504" s="19">
        <v>35.67</v>
      </c>
      <c r="J1504" s="20">
        <f t="shared" si="46"/>
        <v>713.40000000000009</v>
      </c>
      <c r="K1504" s="106"/>
      <c r="L1504" s="114"/>
      <c r="M1504" s="114">
        <f>tblAquisições[[#This Row],[VALOR UNITARIO COMPRADO]]*tblAquisições[[#This Row],[QUANTIDADE COMPRADA]]</f>
        <v>0</v>
      </c>
      <c r="N1504" s="110">
        <f>K1504-tblAquisições[[#This Row],[QUANTIDADE PLANEJADA]]</f>
        <v>-20</v>
      </c>
      <c r="O1504" s="106" t="str">
        <f t="shared" si="47"/>
        <v>Faltando Comprar</v>
      </c>
    </row>
    <row r="1505" spans="1:15" ht="47.25">
      <c r="A1505" s="16" t="s">
        <v>17</v>
      </c>
      <c r="B1505" s="16" t="s">
        <v>41</v>
      </c>
      <c r="C1505" s="17" t="s">
        <v>19</v>
      </c>
      <c r="D1505" s="18" t="s">
        <v>881</v>
      </c>
      <c r="E1505" s="18">
        <v>10</v>
      </c>
      <c r="F1505" s="18" t="s">
        <v>214</v>
      </c>
      <c r="G1505" s="18" t="s">
        <v>127</v>
      </c>
      <c r="H1505" s="18" t="s">
        <v>23</v>
      </c>
      <c r="I1505" s="19">
        <v>54.91</v>
      </c>
      <c r="J1505" s="20">
        <f t="shared" si="46"/>
        <v>549.09999999999991</v>
      </c>
      <c r="K1505" s="106"/>
      <c r="L1505" s="114"/>
      <c r="M1505" s="114">
        <f>tblAquisições[[#This Row],[VALOR UNITARIO COMPRADO]]*tblAquisições[[#This Row],[QUANTIDADE COMPRADA]]</f>
        <v>0</v>
      </c>
      <c r="N1505" s="110">
        <f>K1505-tblAquisições[[#This Row],[QUANTIDADE PLANEJADA]]</f>
        <v>-10</v>
      </c>
      <c r="O1505" s="106" t="str">
        <f t="shared" si="47"/>
        <v>Faltando Comprar</v>
      </c>
    </row>
    <row r="1506" spans="1:15" ht="47.25">
      <c r="A1506" s="16" t="s">
        <v>17</v>
      </c>
      <c r="B1506" s="16" t="s">
        <v>28</v>
      </c>
      <c r="C1506" s="17" t="s">
        <v>19</v>
      </c>
      <c r="D1506" s="18" t="s">
        <v>881</v>
      </c>
      <c r="E1506" s="18">
        <v>50</v>
      </c>
      <c r="F1506" s="18" t="s">
        <v>214</v>
      </c>
      <c r="G1506" s="18" t="s">
        <v>127</v>
      </c>
      <c r="H1506" s="18" t="s">
        <v>23</v>
      </c>
      <c r="I1506" s="19">
        <v>54.91</v>
      </c>
      <c r="J1506" s="20">
        <f t="shared" si="46"/>
        <v>2745.5</v>
      </c>
      <c r="K1506" s="106"/>
      <c r="L1506" s="114"/>
      <c r="M1506" s="114">
        <f>tblAquisições[[#This Row],[VALOR UNITARIO COMPRADO]]*tblAquisições[[#This Row],[QUANTIDADE COMPRADA]]</f>
        <v>0</v>
      </c>
      <c r="N1506" s="110">
        <f>K1506-tblAquisições[[#This Row],[QUANTIDADE PLANEJADA]]</f>
        <v>-50</v>
      </c>
      <c r="O1506" s="106" t="str">
        <f t="shared" si="47"/>
        <v>Faltando Comprar</v>
      </c>
    </row>
    <row r="1507" spans="1:15" ht="47.25">
      <c r="A1507" s="16" t="s">
        <v>17</v>
      </c>
      <c r="B1507" s="16" t="s">
        <v>28</v>
      </c>
      <c r="C1507" s="17" t="s">
        <v>19</v>
      </c>
      <c r="D1507" s="18" t="s">
        <v>882</v>
      </c>
      <c r="E1507" s="18">
        <v>20</v>
      </c>
      <c r="F1507" s="18" t="s">
        <v>214</v>
      </c>
      <c r="G1507" s="18" t="s">
        <v>127</v>
      </c>
      <c r="H1507" s="18" t="s">
        <v>23</v>
      </c>
      <c r="I1507" s="19">
        <v>84.3</v>
      </c>
      <c r="J1507" s="20">
        <f t="shared" si="46"/>
        <v>1686</v>
      </c>
      <c r="K1507" s="106"/>
      <c r="L1507" s="114"/>
      <c r="M1507" s="114">
        <f>tblAquisições[[#This Row],[VALOR UNITARIO COMPRADO]]*tblAquisições[[#This Row],[QUANTIDADE COMPRADA]]</f>
        <v>0</v>
      </c>
      <c r="N1507" s="110">
        <f>K1507-tblAquisições[[#This Row],[QUANTIDADE PLANEJADA]]</f>
        <v>-20</v>
      </c>
      <c r="O1507" s="106" t="str">
        <f t="shared" si="47"/>
        <v>Faltando Comprar</v>
      </c>
    </row>
    <row r="1508" spans="1:15" ht="47.25">
      <c r="A1508" s="16" t="s">
        <v>17</v>
      </c>
      <c r="B1508" s="16" t="s">
        <v>28</v>
      </c>
      <c r="C1508" s="17" t="s">
        <v>19</v>
      </c>
      <c r="D1508" s="18" t="s">
        <v>883</v>
      </c>
      <c r="E1508" s="18">
        <v>5</v>
      </c>
      <c r="F1508" s="18" t="s">
        <v>78</v>
      </c>
      <c r="G1508" s="18" t="s">
        <v>22</v>
      </c>
      <c r="H1508" s="18" t="s">
        <v>23</v>
      </c>
      <c r="I1508" s="19">
        <v>3368.46</v>
      </c>
      <c r="J1508" s="20">
        <f t="shared" si="46"/>
        <v>16842.3</v>
      </c>
      <c r="K1508" s="106"/>
      <c r="L1508" s="114"/>
      <c r="M1508" s="114">
        <f>tblAquisições[[#This Row],[VALOR UNITARIO COMPRADO]]*tblAquisições[[#This Row],[QUANTIDADE COMPRADA]]</f>
        <v>0</v>
      </c>
      <c r="N1508" s="110">
        <f>K1508-tblAquisições[[#This Row],[QUANTIDADE PLANEJADA]]</f>
        <v>-5</v>
      </c>
      <c r="O1508" s="106" t="str">
        <f t="shared" si="47"/>
        <v>Faltando Comprar</v>
      </c>
    </row>
    <row r="1509" spans="1:15" ht="31.5">
      <c r="A1509" s="16" t="s">
        <v>17</v>
      </c>
      <c r="B1509" s="16" t="s">
        <v>28</v>
      </c>
      <c r="C1509" s="17" t="s">
        <v>19</v>
      </c>
      <c r="D1509" s="18" t="s">
        <v>884</v>
      </c>
      <c r="E1509" s="18">
        <v>25</v>
      </c>
      <c r="F1509" s="18" t="s">
        <v>324</v>
      </c>
      <c r="G1509" s="18" t="s">
        <v>22</v>
      </c>
      <c r="H1509" s="18" t="s">
        <v>23</v>
      </c>
      <c r="I1509" s="19">
        <v>9.2200000000000006</v>
      </c>
      <c r="J1509" s="20">
        <f t="shared" si="46"/>
        <v>230.50000000000003</v>
      </c>
      <c r="K1509" s="106"/>
      <c r="L1509" s="114"/>
      <c r="M1509" s="114">
        <f>tblAquisições[[#This Row],[VALOR UNITARIO COMPRADO]]*tblAquisições[[#This Row],[QUANTIDADE COMPRADA]]</f>
        <v>0</v>
      </c>
      <c r="N1509" s="110">
        <f>K1509-tblAquisições[[#This Row],[QUANTIDADE PLANEJADA]]</f>
        <v>-25</v>
      </c>
      <c r="O1509" s="106" t="str">
        <f t="shared" si="47"/>
        <v>Faltando Comprar</v>
      </c>
    </row>
    <row r="1510" spans="1:15" ht="47.25">
      <c r="A1510" s="16" t="s">
        <v>17</v>
      </c>
      <c r="B1510" s="16" t="s">
        <v>26</v>
      </c>
      <c r="C1510" s="17" t="s">
        <v>19</v>
      </c>
      <c r="D1510" s="18" t="s">
        <v>885</v>
      </c>
      <c r="E1510" s="18">
        <v>6</v>
      </c>
      <c r="F1510" s="18" t="s">
        <v>78</v>
      </c>
      <c r="G1510" s="18" t="s">
        <v>22</v>
      </c>
      <c r="H1510" s="18" t="s">
        <v>23</v>
      </c>
      <c r="I1510" s="19">
        <v>7.06</v>
      </c>
      <c r="J1510" s="20">
        <f t="shared" si="46"/>
        <v>42.36</v>
      </c>
      <c r="K1510" s="106"/>
      <c r="L1510" s="114"/>
      <c r="M1510" s="114">
        <f>tblAquisições[[#This Row],[VALOR UNITARIO COMPRADO]]*tblAquisições[[#This Row],[QUANTIDADE COMPRADA]]</f>
        <v>0</v>
      </c>
      <c r="N1510" s="110">
        <f>K1510-tblAquisições[[#This Row],[QUANTIDADE PLANEJADA]]</f>
        <v>-6</v>
      </c>
      <c r="O1510" s="106" t="str">
        <f t="shared" si="47"/>
        <v>Faltando Comprar</v>
      </c>
    </row>
    <row r="1511" spans="1:15" ht="47.25">
      <c r="A1511" s="16" t="s">
        <v>17</v>
      </c>
      <c r="B1511" s="16" t="s">
        <v>34</v>
      </c>
      <c r="C1511" s="17" t="s">
        <v>19</v>
      </c>
      <c r="D1511" s="18" t="s">
        <v>886</v>
      </c>
      <c r="E1511" s="18">
        <v>200</v>
      </c>
      <c r="F1511" s="18" t="s">
        <v>78</v>
      </c>
      <c r="G1511" s="18" t="s">
        <v>22</v>
      </c>
      <c r="H1511" s="18" t="s">
        <v>23</v>
      </c>
      <c r="I1511" s="19">
        <v>45.08</v>
      </c>
      <c r="J1511" s="20">
        <f t="shared" si="46"/>
        <v>9016</v>
      </c>
      <c r="K1511" s="106"/>
      <c r="L1511" s="114"/>
      <c r="M1511" s="114">
        <f>tblAquisições[[#This Row],[VALOR UNITARIO COMPRADO]]*tblAquisições[[#This Row],[QUANTIDADE COMPRADA]]</f>
        <v>0</v>
      </c>
      <c r="N1511" s="110">
        <f>K1511-tblAquisições[[#This Row],[QUANTIDADE PLANEJADA]]</f>
        <v>-200</v>
      </c>
      <c r="O1511" s="106" t="str">
        <f t="shared" si="47"/>
        <v>Faltando Comprar</v>
      </c>
    </row>
    <row r="1512" spans="1:15" ht="47.25">
      <c r="A1512" s="16" t="s">
        <v>17</v>
      </c>
      <c r="B1512" s="16" t="s">
        <v>27</v>
      </c>
      <c r="C1512" s="17" t="s">
        <v>19</v>
      </c>
      <c r="D1512" s="18" t="s">
        <v>887</v>
      </c>
      <c r="E1512" s="18">
        <v>15</v>
      </c>
      <c r="F1512" s="18" t="s">
        <v>118</v>
      </c>
      <c r="G1512" s="18" t="s">
        <v>22</v>
      </c>
      <c r="H1512" s="18" t="s">
        <v>23</v>
      </c>
      <c r="I1512" s="19">
        <v>11.92</v>
      </c>
      <c r="J1512" s="20">
        <f t="shared" si="46"/>
        <v>178.8</v>
      </c>
      <c r="K1512" s="106"/>
      <c r="L1512" s="114"/>
      <c r="M1512" s="114">
        <f>tblAquisições[[#This Row],[VALOR UNITARIO COMPRADO]]*tblAquisições[[#This Row],[QUANTIDADE COMPRADA]]</f>
        <v>0</v>
      </c>
      <c r="N1512" s="110">
        <f>K1512-tblAquisições[[#This Row],[QUANTIDADE PLANEJADA]]</f>
        <v>-15</v>
      </c>
      <c r="O1512" s="106" t="str">
        <f t="shared" si="47"/>
        <v>Faltando Comprar</v>
      </c>
    </row>
    <row r="1513" spans="1:15" ht="47.25">
      <c r="A1513" s="16" t="s">
        <v>17</v>
      </c>
      <c r="B1513" s="16" t="s">
        <v>31</v>
      </c>
      <c r="C1513" s="17" t="s">
        <v>19</v>
      </c>
      <c r="D1513" s="18" t="s">
        <v>888</v>
      </c>
      <c r="E1513" s="18">
        <v>6</v>
      </c>
      <c r="F1513" s="18" t="s">
        <v>118</v>
      </c>
      <c r="G1513" s="18" t="s">
        <v>22</v>
      </c>
      <c r="H1513" s="18" t="s">
        <v>23</v>
      </c>
      <c r="I1513" s="19">
        <v>108.75</v>
      </c>
      <c r="J1513" s="20">
        <f t="shared" si="46"/>
        <v>652.5</v>
      </c>
      <c r="K1513" s="106"/>
      <c r="L1513" s="114"/>
      <c r="M1513" s="114">
        <f>tblAquisições[[#This Row],[VALOR UNITARIO COMPRADO]]*tblAquisições[[#This Row],[QUANTIDADE COMPRADA]]</f>
        <v>0</v>
      </c>
      <c r="N1513" s="110">
        <f>K1513-tblAquisições[[#This Row],[QUANTIDADE PLANEJADA]]</f>
        <v>-6</v>
      </c>
      <c r="O1513" s="106" t="str">
        <f t="shared" si="47"/>
        <v>Faltando Comprar</v>
      </c>
    </row>
    <row r="1514" spans="1:15" ht="47.25">
      <c r="A1514" s="16" t="s">
        <v>17</v>
      </c>
      <c r="B1514" s="16" t="s">
        <v>18</v>
      </c>
      <c r="C1514" s="17" t="s">
        <v>19</v>
      </c>
      <c r="D1514" s="18" t="s">
        <v>889</v>
      </c>
      <c r="E1514" s="18">
        <v>400</v>
      </c>
      <c r="F1514" s="18" t="s">
        <v>78</v>
      </c>
      <c r="G1514" s="18" t="s">
        <v>22</v>
      </c>
      <c r="H1514" s="18" t="s">
        <v>83</v>
      </c>
      <c r="I1514" s="19">
        <v>17.87</v>
      </c>
      <c r="J1514" s="20">
        <f t="shared" si="46"/>
        <v>7148</v>
      </c>
      <c r="K1514" s="106"/>
      <c r="L1514" s="114"/>
      <c r="M1514" s="114">
        <f>tblAquisições[[#This Row],[VALOR UNITARIO COMPRADO]]*tblAquisições[[#This Row],[QUANTIDADE COMPRADA]]</f>
        <v>0</v>
      </c>
      <c r="N1514" s="110">
        <f>K1514-tblAquisições[[#This Row],[QUANTIDADE PLANEJADA]]</f>
        <v>-400</v>
      </c>
      <c r="O1514" s="106" t="str">
        <f t="shared" si="47"/>
        <v>Faltando Comprar</v>
      </c>
    </row>
    <row r="1515" spans="1:15" ht="47.25">
      <c r="A1515" s="16" t="s">
        <v>17</v>
      </c>
      <c r="B1515" s="16" t="s">
        <v>24</v>
      </c>
      <c r="C1515" s="17" t="s">
        <v>19</v>
      </c>
      <c r="D1515" s="18" t="s">
        <v>889</v>
      </c>
      <c r="E1515" s="18">
        <v>400</v>
      </c>
      <c r="F1515" s="18" t="s">
        <v>78</v>
      </c>
      <c r="G1515" s="18" t="s">
        <v>22</v>
      </c>
      <c r="H1515" s="18" t="s">
        <v>83</v>
      </c>
      <c r="I1515" s="19">
        <v>17.87</v>
      </c>
      <c r="J1515" s="20">
        <f t="shared" si="46"/>
        <v>7148</v>
      </c>
      <c r="K1515" s="106"/>
      <c r="L1515" s="114"/>
      <c r="M1515" s="114">
        <f>tblAquisições[[#This Row],[VALOR UNITARIO COMPRADO]]*tblAquisições[[#This Row],[QUANTIDADE COMPRADA]]</f>
        <v>0</v>
      </c>
      <c r="N1515" s="110">
        <f>K1515-tblAquisições[[#This Row],[QUANTIDADE PLANEJADA]]</f>
        <v>-400</v>
      </c>
      <c r="O1515" s="106" t="str">
        <f t="shared" si="47"/>
        <v>Faltando Comprar</v>
      </c>
    </row>
    <row r="1516" spans="1:15" ht="47.25">
      <c r="A1516" s="16" t="s">
        <v>17</v>
      </c>
      <c r="B1516" s="16" t="s">
        <v>25</v>
      </c>
      <c r="C1516" s="17" t="s">
        <v>19</v>
      </c>
      <c r="D1516" s="18" t="s">
        <v>889</v>
      </c>
      <c r="E1516" s="18">
        <v>400</v>
      </c>
      <c r="F1516" s="18" t="s">
        <v>78</v>
      </c>
      <c r="G1516" s="18" t="s">
        <v>22</v>
      </c>
      <c r="H1516" s="18" t="s">
        <v>83</v>
      </c>
      <c r="I1516" s="19">
        <v>17.87</v>
      </c>
      <c r="J1516" s="20">
        <f t="shared" si="46"/>
        <v>7148</v>
      </c>
      <c r="K1516" s="106"/>
      <c r="L1516" s="114"/>
      <c r="M1516" s="114">
        <f>tblAquisições[[#This Row],[VALOR UNITARIO COMPRADO]]*tblAquisições[[#This Row],[QUANTIDADE COMPRADA]]</f>
        <v>0</v>
      </c>
      <c r="N1516" s="110">
        <f>K1516-tblAquisições[[#This Row],[QUANTIDADE PLANEJADA]]</f>
        <v>-400</v>
      </c>
      <c r="O1516" s="106" t="str">
        <f t="shared" si="47"/>
        <v>Faltando Comprar</v>
      </c>
    </row>
    <row r="1517" spans="1:15" ht="47.25">
      <c r="A1517" s="16" t="s">
        <v>17</v>
      </c>
      <c r="B1517" s="16" t="s">
        <v>28</v>
      </c>
      <c r="C1517" s="17" t="s">
        <v>19</v>
      </c>
      <c r="D1517" s="18" t="s">
        <v>889</v>
      </c>
      <c r="E1517" s="18">
        <v>700</v>
      </c>
      <c r="F1517" s="18" t="s">
        <v>78</v>
      </c>
      <c r="G1517" s="18" t="s">
        <v>22</v>
      </c>
      <c r="H1517" s="18" t="s">
        <v>83</v>
      </c>
      <c r="I1517" s="19">
        <v>17.87</v>
      </c>
      <c r="J1517" s="20">
        <f t="shared" si="46"/>
        <v>12509</v>
      </c>
      <c r="K1517" s="106"/>
      <c r="L1517" s="114"/>
      <c r="M1517" s="114">
        <f>tblAquisições[[#This Row],[VALOR UNITARIO COMPRADO]]*tblAquisições[[#This Row],[QUANTIDADE COMPRADA]]</f>
        <v>0</v>
      </c>
      <c r="N1517" s="110">
        <f>K1517-tblAquisições[[#This Row],[QUANTIDADE PLANEJADA]]</f>
        <v>-700</v>
      </c>
      <c r="O1517" s="106" t="str">
        <f t="shared" si="47"/>
        <v>Faltando Comprar</v>
      </c>
    </row>
    <row r="1518" spans="1:15" ht="31.5">
      <c r="A1518" s="16" t="s">
        <v>17</v>
      </c>
      <c r="B1518" s="16" t="s">
        <v>26</v>
      </c>
      <c r="C1518" s="17" t="s">
        <v>19</v>
      </c>
      <c r="D1518" s="18" t="s">
        <v>890</v>
      </c>
      <c r="E1518" s="18">
        <v>15</v>
      </c>
      <c r="F1518" s="18" t="s">
        <v>30</v>
      </c>
      <c r="G1518" s="18" t="s">
        <v>22</v>
      </c>
      <c r="H1518" s="18" t="s">
        <v>23</v>
      </c>
      <c r="I1518" s="19">
        <v>3.84</v>
      </c>
      <c r="J1518" s="20">
        <f t="shared" si="46"/>
        <v>57.599999999999994</v>
      </c>
      <c r="K1518" s="106"/>
      <c r="L1518" s="114"/>
      <c r="M1518" s="114">
        <f>tblAquisições[[#This Row],[VALOR UNITARIO COMPRADO]]*tblAquisições[[#This Row],[QUANTIDADE COMPRADA]]</f>
        <v>0</v>
      </c>
      <c r="N1518" s="110">
        <f>K1518-tblAquisições[[#This Row],[QUANTIDADE PLANEJADA]]</f>
        <v>-15</v>
      </c>
      <c r="O1518" s="106" t="str">
        <f t="shared" si="47"/>
        <v>Faltando Comprar</v>
      </c>
    </row>
    <row r="1519" spans="1:15" ht="31.5">
      <c r="A1519" s="16" t="s">
        <v>17</v>
      </c>
      <c r="B1519" s="16" t="s">
        <v>26</v>
      </c>
      <c r="C1519" s="17" t="s">
        <v>19</v>
      </c>
      <c r="D1519" s="18" t="s">
        <v>891</v>
      </c>
      <c r="E1519" s="18">
        <v>10</v>
      </c>
      <c r="F1519" s="18" t="s">
        <v>21</v>
      </c>
      <c r="G1519" s="18" t="s">
        <v>22</v>
      </c>
      <c r="H1519" s="18" t="s">
        <v>23</v>
      </c>
      <c r="I1519" s="19">
        <v>13.73</v>
      </c>
      <c r="J1519" s="20">
        <f t="shared" si="46"/>
        <v>137.30000000000001</v>
      </c>
      <c r="K1519" s="106"/>
      <c r="L1519" s="114"/>
      <c r="M1519" s="114">
        <f>tblAquisições[[#This Row],[VALOR UNITARIO COMPRADO]]*tblAquisições[[#This Row],[QUANTIDADE COMPRADA]]</f>
        <v>0</v>
      </c>
      <c r="N1519" s="110">
        <f>K1519-tblAquisições[[#This Row],[QUANTIDADE PLANEJADA]]</f>
        <v>-10</v>
      </c>
      <c r="O1519" s="106" t="str">
        <f t="shared" si="47"/>
        <v>Faltando Comprar</v>
      </c>
    </row>
    <row r="1520" spans="1:15" ht="31.5">
      <c r="A1520" s="16" t="s">
        <v>17</v>
      </c>
      <c r="B1520" s="16" t="s">
        <v>26</v>
      </c>
      <c r="C1520" s="17" t="s">
        <v>19</v>
      </c>
      <c r="D1520" s="18" t="s">
        <v>892</v>
      </c>
      <c r="E1520" s="18">
        <v>5</v>
      </c>
      <c r="F1520" s="18" t="s">
        <v>21</v>
      </c>
      <c r="G1520" s="18" t="s">
        <v>22</v>
      </c>
      <c r="H1520" s="18" t="s">
        <v>23</v>
      </c>
      <c r="I1520" s="19">
        <v>156.04</v>
      </c>
      <c r="J1520" s="20">
        <f t="shared" si="46"/>
        <v>780.19999999999993</v>
      </c>
      <c r="K1520" s="106"/>
      <c r="L1520" s="114"/>
      <c r="M1520" s="114">
        <f>tblAquisições[[#This Row],[VALOR UNITARIO COMPRADO]]*tblAquisições[[#This Row],[QUANTIDADE COMPRADA]]</f>
        <v>0</v>
      </c>
      <c r="N1520" s="110">
        <f>K1520-tblAquisições[[#This Row],[QUANTIDADE PLANEJADA]]</f>
        <v>-5</v>
      </c>
      <c r="O1520" s="106" t="str">
        <f t="shared" si="47"/>
        <v>Faltando Comprar</v>
      </c>
    </row>
    <row r="1521" spans="1:15" ht="47.25">
      <c r="A1521" s="16" t="s">
        <v>17</v>
      </c>
      <c r="B1521" s="16" t="s">
        <v>34</v>
      </c>
      <c r="C1521" s="17" t="s">
        <v>19</v>
      </c>
      <c r="D1521" s="18" t="s">
        <v>893</v>
      </c>
      <c r="E1521" s="18">
        <v>2</v>
      </c>
      <c r="F1521" s="18" t="s">
        <v>78</v>
      </c>
      <c r="G1521" s="18" t="s">
        <v>22</v>
      </c>
      <c r="H1521" s="18" t="s">
        <v>23</v>
      </c>
      <c r="I1521" s="19">
        <v>146.5</v>
      </c>
      <c r="J1521" s="20">
        <f t="shared" si="46"/>
        <v>293</v>
      </c>
      <c r="K1521" s="106"/>
      <c r="L1521" s="114"/>
      <c r="M1521" s="114">
        <f>tblAquisições[[#This Row],[VALOR UNITARIO COMPRADO]]*tblAquisições[[#This Row],[QUANTIDADE COMPRADA]]</f>
        <v>0</v>
      </c>
      <c r="N1521" s="110">
        <f>K1521-tblAquisições[[#This Row],[QUANTIDADE PLANEJADA]]</f>
        <v>-2</v>
      </c>
      <c r="O1521" s="106" t="str">
        <f t="shared" si="47"/>
        <v>Faltando Comprar</v>
      </c>
    </row>
    <row r="1522" spans="1:15" ht="47.25">
      <c r="A1522" s="16" t="s">
        <v>17</v>
      </c>
      <c r="B1522" s="16" t="s">
        <v>28</v>
      </c>
      <c r="C1522" s="17" t="s">
        <v>19</v>
      </c>
      <c r="D1522" s="18" t="s">
        <v>894</v>
      </c>
      <c r="E1522" s="18">
        <v>10</v>
      </c>
      <c r="F1522" s="18" t="s">
        <v>58</v>
      </c>
      <c r="G1522" s="18" t="s">
        <v>22</v>
      </c>
      <c r="H1522" s="18" t="s">
        <v>23</v>
      </c>
      <c r="I1522" s="19">
        <v>44</v>
      </c>
      <c r="J1522" s="20">
        <f t="shared" si="46"/>
        <v>440</v>
      </c>
      <c r="K1522" s="106"/>
      <c r="L1522" s="114"/>
      <c r="M1522" s="114">
        <f>tblAquisições[[#This Row],[VALOR UNITARIO COMPRADO]]*tblAquisições[[#This Row],[QUANTIDADE COMPRADA]]</f>
        <v>0</v>
      </c>
      <c r="N1522" s="110">
        <f>K1522-tblAquisições[[#This Row],[QUANTIDADE PLANEJADA]]</f>
        <v>-10</v>
      </c>
      <c r="O1522" s="106" t="str">
        <f t="shared" si="47"/>
        <v>Faltando Comprar</v>
      </c>
    </row>
    <row r="1523" spans="1:15" ht="47.25">
      <c r="A1523" s="16" t="s">
        <v>17</v>
      </c>
      <c r="B1523" s="16" t="s">
        <v>34</v>
      </c>
      <c r="C1523" s="17" t="s">
        <v>19</v>
      </c>
      <c r="D1523" s="18" t="s">
        <v>895</v>
      </c>
      <c r="E1523" s="18">
        <v>8</v>
      </c>
      <c r="F1523" s="18" t="s">
        <v>78</v>
      </c>
      <c r="G1523" s="18" t="s">
        <v>22</v>
      </c>
      <c r="H1523" s="18" t="s">
        <v>23</v>
      </c>
      <c r="I1523" s="19">
        <v>145.13999999999999</v>
      </c>
      <c r="J1523" s="20">
        <f t="shared" si="46"/>
        <v>1161.1199999999999</v>
      </c>
      <c r="K1523" s="106"/>
      <c r="L1523" s="114"/>
      <c r="M1523" s="114">
        <f>tblAquisições[[#This Row],[VALOR UNITARIO COMPRADO]]*tblAquisições[[#This Row],[QUANTIDADE COMPRADA]]</f>
        <v>0</v>
      </c>
      <c r="N1523" s="110">
        <f>K1523-tblAquisições[[#This Row],[QUANTIDADE PLANEJADA]]</f>
        <v>-8</v>
      </c>
      <c r="O1523" s="106" t="str">
        <f t="shared" si="47"/>
        <v>Faltando Comprar</v>
      </c>
    </row>
    <row r="1524" spans="1:15" ht="47.25">
      <c r="A1524" s="16" t="s">
        <v>17</v>
      </c>
      <c r="B1524" s="16" t="s">
        <v>26</v>
      </c>
      <c r="C1524" s="17" t="s">
        <v>19</v>
      </c>
      <c r="D1524" s="18" t="s">
        <v>896</v>
      </c>
      <c r="E1524" s="18">
        <v>5</v>
      </c>
      <c r="F1524" s="18" t="s">
        <v>58</v>
      </c>
      <c r="G1524" s="18" t="s">
        <v>22</v>
      </c>
      <c r="H1524" s="18" t="s">
        <v>23</v>
      </c>
      <c r="I1524" s="19">
        <v>26.05</v>
      </c>
      <c r="J1524" s="20">
        <f t="shared" si="46"/>
        <v>130.25</v>
      </c>
      <c r="K1524" s="106"/>
      <c r="L1524" s="114"/>
      <c r="M1524" s="114">
        <f>tblAquisições[[#This Row],[VALOR UNITARIO COMPRADO]]*tblAquisições[[#This Row],[QUANTIDADE COMPRADA]]</f>
        <v>0</v>
      </c>
      <c r="N1524" s="110">
        <f>K1524-tblAquisições[[#This Row],[QUANTIDADE PLANEJADA]]</f>
        <v>-5</v>
      </c>
      <c r="O1524" s="106" t="str">
        <f t="shared" si="47"/>
        <v>Faltando Comprar</v>
      </c>
    </row>
    <row r="1525" spans="1:15" ht="47.25">
      <c r="A1525" s="16" t="s">
        <v>17</v>
      </c>
      <c r="B1525" s="16" t="s">
        <v>28</v>
      </c>
      <c r="C1525" s="17" t="s">
        <v>19</v>
      </c>
      <c r="D1525" s="18" t="s">
        <v>897</v>
      </c>
      <c r="E1525" s="18">
        <v>10</v>
      </c>
      <c r="F1525" s="18" t="s">
        <v>78</v>
      </c>
      <c r="G1525" s="18" t="s">
        <v>22</v>
      </c>
      <c r="H1525" s="18" t="s">
        <v>23</v>
      </c>
      <c r="I1525" s="19">
        <v>25.04</v>
      </c>
      <c r="J1525" s="20">
        <f t="shared" si="46"/>
        <v>250.39999999999998</v>
      </c>
      <c r="K1525" s="106"/>
      <c r="L1525" s="114"/>
      <c r="M1525" s="114">
        <f>tblAquisições[[#This Row],[VALOR UNITARIO COMPRADO]]*tblAquisições[[#This Row],[QUANTIDADE COMPRADA]]</f>
        <v>0</v>
      </c>
      <c r="N1525" s="110">
        <f>K1525-tblAquisições[[#This Row],[QUANTIDADE PLANEJADA]]</f>
        <v>-10</v>
      </c>
      <c r="O1525" s="106" t="str">
        <f t="shared" si="47"/>
        <v>Faltando Comprar</v>
      </c>
    </row>
    <row r="1526" spans="1:15" ht="47.25">
      <c r="A1526" s="16" t="s">
        <v>17</v>
      </c>
      <c r="B1526" s="16" t="s">
        <v>28</v>
      </c>
      <c r="C1526" s="17" t="s">
        <v>19</v>
      </c>
      <c r="D1526" s="18" t="s">
        <v>898</v>
      </c>
      <c r="E1526" s="18">
        <v>27</v>
      </c>
      <c r="F1526" s="18" t="s">
        <v>78</v>
      </c>
      <c r="G1526" s="18" t="s">
        <v>22</v>
      </c>
      <c r="H1526" s="18" t="s">
        <v>23</v>
      </c>
      <c r="I1526" s="19">
        <v>24.09</v>
      </c>
      <c r="J1526" s="20">
        <f t="shared" si="46"/>
        <v>650.42999999999995</v>
      </c>
      <c r="K1526" s="106"/>
      <c r="L1526" s="114"/>
      <c r="M1526" s="114">
        <f>tblAquisições[[#This Row],[VALOR UNITARIO COMPRADO]]*tblAquisições[[#This Row],[QUANTIDADE COMPRADA]]</f>
        <v>0</v>
      </c>
      <c r="N1526" s="110">
        <f>K1526-tblAquisições[[#This Row],[QUANTIDADE PLANEJADA]]</f>
        <v>-27</v>
      </c>
      <c r="O1526" s="106" t="str">
        <f t="shared" si="47"/>
        <v>Faltando Comprar</v>
      </c>
    </row>
    <row r="1527" spans="1:15" ht="31.5">
      <c r="A1527" s="16" t="s">
        <v>17</v>
      </c>
      <c r="B1527" s="16" t="s">
        <v>80</v>
      </c>
      <c r="C1527" s="17" t="s">
        <v>19</v>
      </c>
      <c r="D1527" s="18" t="s">
        <v>899</v>
      </c>
      <c r="E1527" s="18">
        <v>10</v>
      </c>
      <c r="F1527" s="18" t="s">
        <v>272</v>
      </c>
      <c r="G1527" s="18" t="s">
        <v>39</v>
      </c>
      <c r="H1527" s="18" t="s">
        <v>23</v>
      </c>
      <c r="I1527" s="19">
        <v>8.98</v>
      </c>
      <c r="J1527" s="20">
        <f t="shared" si="46"/>
        <v>89.800000000000011</v>
      </c>
      <c r="K1527" s="106"/>
      <c r="L1527" s="114"/>
      <c r="M1527" s="114">
        <f>tblAquisições[[#This Row],[VALOR UNITARIO COMPRADO]]*tblAquisições[[#This Row],[QUANTIDADE COMPRADA]]</f>
        <v>0</v>
      </c>
      <c r="N1527" s="110">
        <f>K1527-tblAquisições[[#This Row],[QUANTIDADE PLANEJADA]]</f>
        <v>-10</v>
      </c>
      <c r="O1527" s="106" t="str">
        <f t="shared" si="47"/>
        <v>Faltando Comprar</v>
      </c>
    </row>
    <row r="1528" spans="1:15" ht="31.5">
      <c r="A1528" s="16" t="s">
        <v>17</v>
      </c>
      <c r="B1528" s="16" t="s">
        <v>41</v>
      </c>
      <c r="C1528" s="17" t="s">
        <v>19</v>
      </c>
      <c r="D1528" s="18" t="s">
        <v>900</v>
      </c>
      <c r="E1528" s="18">
        <v>50</v>
      </c>
      <c r="F1528" s="18" t="s">
        <v>324</v>
      </c>
      <c r="G1528" s="18" t="s">
        <v>22</v>
      </c>
      <c r="H1528" s="18" t="s">
        <v>23</v>
      </c>
      <c r="I1528" s="19">
        <v>8.98</v>
      </c>
      <c r="J1528" s="20">
        <f t="shared" si="46"/>
        <v>449</v>
      </c>
      <c r="K1528" s="106"/>
      <c r="L1528" s="114"/>
      <c r="M1528" s="114">
        <f>tblAquisições[[#This Row],[VALOR UNITARIO COMPRADO]]*tblAquisições[[#This Row],[QUANTIDADE COMPRADA]]</f>
        <v>0</v>
      </c>
      <c r="N1528" s="110">
        <f>K1528-tblAquisições[[#This Row],[QUANTIDADE PLANEJADA]]</f>
        <v>-50</v>
      </c>
      <c r="O1528" s="106" t="str">
        <f t="shared" si="47"/>
        <v>Faltando Comprar</v>
      </c>
    </row>
    <row r="1529" spans="1:15" ht="31.5">
      <c r="A1529" s="16" t="s">
        <v>17</v>
      </c>
      <c r="B1529" s="16" t="s">
        <v>28</v>
      </c>
      <c r="C1529" s="17" t="s">
        <v>19</v>
      </c>
      <c r="D1529" s="18" t="s">
        <v>900</v>
      </c>
      <c r="E1529" s="18">
        <v>12</v>
      </c>
      <c r="F1529" s="18" t="s">
        <v>324</v>
      </c>
      <c r="G1529" s="18" t="s">
        <v>22</v>
      </c>
      <c r="H1529" s="18" t="s">
        <v>65</v>
      </c>
      <c r="I1529" s="24">
        <v>588</v>
      </c>
      <c r="J1529" s="20">
        <f t="shared" si="46"/>
        <v>7056</v>
      </c>
      <c r="K1529" s="106"/>
      <c r="L1529" s="114"/>
      <c r="M1529" s="114">
        <f>tblAquisições[[#This Row],[VALOR UNITARIO COMPRADO]]*tblAquisições[[#This Row],[QUANTIDADE COMPRADA]]</f>
        <v>0</v>
      </c>
      <c r="N1529" s="110">
        <f>K1529-tblAquisições[[#This Row],[QUANTIDADE PLANEJADA]]</f>
        <v>-12</v>
      </c>
      <c r="O1529" s="106" t="str">
        <f t="shared" si="47"/>
        <v>Faltando Comprar</v>
      </c>
    </row>
    <row r="1530" spans="1:15" ht="31.5">
      <c r="A1530" s="16" t="s">
        <v>17</v>
      </c>
      <c r="B1530" s="16" t="s">
        <v>26</v>
      </c>
      <c r="C1530" s="17" t="s">
        <v>19</v>
      </c>
      <c r="D1530" s="18" t="s">
        <v>901</v>
      </c>
      <c r="E1530" s="18">
        <v>1</v>
      </c>
      <c r="F1530" s="18" t="s">
        <v>21</v>
      </c>
      <c r="G1530" s="18" t="s">
        <v>22</v>
      </c>
      <c r="H1530" s="18" t="s">
        <v>65</v>
      </c>
      <c r="I1530" s="19">
        <v>26.52</v>
      </c>
      <c r="J1530" s="20">
        <f t="shared" si="46"/>
        <v>26.52</v>
      </c>
      <c r="K1530" s="106"/>
      <c r="L1530" s="114"/>
      <c r="M1530" s="114">
        <f>tblAquisições[[#This Row],[VALOR UNITARIO COMPRADO]]*tblAquisições[[#This Row],[QUANTIDADE COMPRADA]]</f>
        <v>0</v>
      </c>
      <c r="N1530" s="110">
        <f>K1530-tblAquisições[[#This Row],[QUANTIDADE PLANEJADA]]</f>
        <v>-1</v>
      </c>
      <c r="O1530" s="106" t="str">
        <f t="shared" si="47"/>
        <v>Faltando Comprar</v>
      </c>
    </row>
    <row r="1531" spans="1:15" ht="31.5">
      <c r="A1531" s="16" t="s">
        <v>17</v>
      </c>
      <c r="B1531" s="16" t="s">
        <v>80</v>
      </c>
      <c r="C1531" s="17" t="s">
        <v>19</v>
      </c>
      <c r="D1531" s="18" t="s">
        <v>902</v>
      </c>
      <c r="E1531" s="18">
        <v>6</v>
      </c>
      <c r="F1531" s="18" t="s">
        <v>82</v>
      </c>
      <c r="G1531" s="18" t="s">
        <v>39</v>
      </c>
      <c r="H1531" s="21"/>
      <c r="I1531" s="19">
        <v>25.29</v>
      </c>
      <c r="J1531" s="20">
        <f t="shared" si="46"/>
        <v>151.74</v>
      </c>
      <c r="K1531" s="106"/>
      <c r="L1531" s="114"/>
      <c r="M1531" s="114">
        <f>tblAquisições[[#This Row],[VALOR UNITARIO COMPRADO]]*tblAquisições[[#This Row],[QUANTIDADE COMPRADA]]</f>
        <v>0</v>
      </c>
      <c r="N1531" s="110">
        <f>K1531-tblAquisições[[#This Row],[QUANTIDADE PLANEJADA]]</f>
        <v>-6</v>
      </c>
      <c r="O1531" s="106" t="str">
        <f t="shared" si="47"/>
        <v>Faltando Comprar</v>
      </c>
    </row>
    <row r="1532" spans="1:15" ht="47.25">
      <c r="A1532" s="16" t="s">
        <v>17</v>
      </c>
      <c r="B1532" s="16" t="s">
        <v>41</v>
      </c>
      <c r="C1532" s="17" t="s">
        <v>19</v>
      </c>
      <c r="D1532" s="18" t="s">
        <v>903</v>
      </c>
      <c r="E1532" s="18">
        <v>30</v>
      </c>
      <c r="F1532" s="18" t="s">
        <v>239</v>
      </c>
      <c r="G1532" s="18" t="s">
        <v>22</v>
      </c>
      <c r="H1532" s="18" t="s">
        <v>23</v>
      </c>
      <c r="I1532" s="19">
        <v>16.329999999999998</v>
      </c>
      <c r="J1532" s="20">
        <f t="shared" si="46"/>
        <v>489.9</v>
      </c>
      <c r="K1532" s="106"/>
      <c r="L1532" s="114"/>
      <c r="M1532" s="114">
        <f>tblAquisições[[#This Row],[VALOR UNITARIO COMPRADO]]*tblAquisições[[#This Row],[QUANTIDADE COMPRADA]]</f>
        <v>0</v>
      </c>
      <c r="N1532" s="110">
        <f>K1532-tblAquisições[[#This Row],[QUANTIDADE PLANEJADA]]</f>
        <v>-30</v>
      </c>
      <c r="O1532" s="106" t="str">
        <f t="shared" si="47"/>
        <v>Faltando Comprar</v>
      </c>
    </row>
    <row r="1533" spans="1:15" ht="31.5">
      <c r="A1533" s="16" t="s">
        <v>17</v>
      </c>
      <c r="B1533" s="16" t="s">
        <v>80</v>
      </c>
      <c r="C1533" s="17" t="s">
        <v>19</v>
      </c>
      <c r="D1533" s="18" t="s">
        <v>904</v>
      </c>
      <c r="E1533" s="18">
        <v>6</v>
      </c>
      <c r="F1533" s="18" t="s">
        <v>38</v>
      </c>
      <c r="G1533" s="18" t="s">
        <v>39</v>
      </c>
      <c r="H1533" s="18" t="s">
        <v>23</v>
      </c>
      <c r="I1533" s="19">
        <v>23.97</v>
      </c>
      <c r="J1533" s="20">
        <f t="shared" si="46"/>
        <v>143.82</v>
      </c>
      <c r="K1533" s="106"/>
      <c r="L1533" s="114"/>
      <c r="M1533" s="114">
        <f>tblAquisições[[#This Row],[VALOR UNITARIO COMPRADO]]*tblAquisições[[#This Row],[QUANTIDADE COMPRADA]]</f>
        <v>0</v>
      </c>
      <c r="N1533" s="110">
        <f>K1533-tblAquisições[[#This Row],[QUANTIDADE PLANEJADA]]</f>
        <v>-6</v>
      </c>
      <c r="O1533" s="106" t="str">
        <f t="shared" si="47"/>
        <v>Faltando Comprar</v>
      </c>
    </row>
    <row r="1534" spans="1:15" ht="31.5">
      <c r="A1534" s="16" t="s">
        <v>17</v>
      </c>
      <c r="B1534" s="16" t="s">
        <v>31</v>
      </c>
      <c r="C1534" s="17" t="s">
        <v>19</v>
      </c>
      <c r="D1534" s="18" t="s">
        <v>905</v>
      </c>
      <c r="E1534" s="18">
        <v>30</v>
      </c>
      <c r="F1534" s="18" t="s">
        <v>21</v>
      </c>
      <c r="G1534" s="18" t="s">
        <v>22</v>
      </c>
      <c r="H1534" s="18" t="s">
        <v>23</v>
      </c>
      <c r="I1534" s="19">
        <v>23.97</v>
      </c>
      <c r="J1534" s="20">
        <f t="shared" si="46"/>
        <v>719.09999999999991</v>
      </c>
      <c r="K1534" s="106"/>
      <c r="L1534" s="114"/>
      <c r="M1534" s="114">
        <f>tblAquisições[[#This Row],[VALOR UNITARIO COMPRADO]]*tblAquisições[[#This Row],[QUANTIDADE COMPRADA]]</f>
        <v>0</v>
      </c>
      <c r="N1534" s="110">
        <f>K1534-tblAquisições[[#This Row],[QUANTIDADE PLANEJADA]]</f>
        <v>-30</v>
      </c>
      <c r="O1534" s="106" t="str">
        <f t="shared" si="47"/>
        <v>Faltando Comprar</v>
      </c>
    </row>
    <row r="1535" spans="1:15" ht="47.25">
      <c r="A1535" s="16" t="s">
        <v>17</v>
      </c>
      <c r="B1535" s="16" t="s">
        <v>26</v>
      </c>
      <c r="C1535" s="17" t="s">
        <v>19</v>
      </c>
      <c r="D1535" s="18" t="s">
        <v>906</v>
      </c>
      <c r="E1535" s="18">
        <v>1</v>
      </c>
      <c r="F1535" s="18" t="s">
        <v>58</v>
      </c>
      <c r="G1535" s="18" t="s">
        <v>22</v>
      </c>
      <c r="H1535" s="18" t="s">
        <v>65</v>
      </c>
      <c r="I1535" s="19">
        <v>76.290000000000006</v>
      </c>
      <c r="J1535" s="20">
        <f t="shared" si="46"/>
        <v>76.290000000000006</v>
      </c>
      <c r="K1535" s="106"/>
      <c r="L1535" s="114"/>
      <c r="M1535" s="114">
        <f>tblAquisições[[#This Row],[VALOR UNITARIO COMPRADO]]*tblAquisições[[#This Row],[QUANTIDADE COMPRADA]]</f>
        <v>0</v>
      </c>
      <c r="N1535" s="110">
        <f>K1535-tblAquisições[[#This Row],[QUANTIDADE PLANEJADA]]</f>
        <v>-1</v>
      </c>
      <c r="O1535" s="106" t="str">
        <f t="shared" si="47"/>
        <v>Faltando Comprar</v>
      </c>
    </row>
    <row r="1536" spans="1:15" ht="47.25">
      <c r="A1536" s="16" t="s">
        <v>17</v>
      </c>
      <c r="B1536" s="16" t="s">
        <v>28</v>
      </c>
      <c r="C1536" s="17" t="s">
        <v>19</v>
      </c>
      <c r="D1536" s="18" t="s">
        <v>906</v>
      </c>
      <c r="E1536" s="18">
        <v>15</v>
      </c>
      <c r="F1536" s="18" t="s">
        <v>58</v>
      </c>
      <c r="G1536" s="18" t="s">
        <v>22</v>
      </c>
      <c r="H1536" s="18" t="s">
        <v>23</v>
      </c>
      <c r="I1536" s="19">
        <v>76.290000000000006</v>
      </c>
      <c r="J1536" s="20">
        <f t="shared" si="46"/>
        <v>1144.3500000000001</v>
      </c>
      <c r="K1536" s="106"/>
      <c r="L1536" s="114"/>
      <c r="M1536" s="114">
        <f>tblAquisições[[#This Row],[VALOR UNITARIO COMPRADO]]*tblAquisições[[#This Row],[QUANTIDADE COMPRADA]]</f>
        <v>0</v>
      </c>
      <c r="N1536" s="110">
        <f>K1536-tblAquisições[[#This Row],[QUANTIDADE PLANEJADA]]</f>
        <v>-15</v>
      </c>
      <c r="O1536" s="106" t="str">
        <f t="shared" si="47"/>
        <v>Faltando Comprar</v>
      </c>
    </row>
    <row r="1537" spans="1:15" ht="47.25">
      <c r="A1537" s="16" t="s">
        <v>17</v>
      </c>
      <c r="B1537" s="16" t="s">
        <v>72</v>
      </c>
      <c r="C1537" s="17" t="s">
        <v>19</v>
      </c>
      <c r="D1537" s="18" t="s">
        <v>906</v>
      </c>
      <c r="E1537" s="18">
        <v>24</v>
      </c>
      <c r="F1537" s="18" t="s">
        <v>58</v>
      </c>
      <c r="G1537" s="18" t="s">
        <v>22</v>
      </c>
      <c r="H1537" s="18" t="s">
        <v>23</v>
      </c>
      <c r="I1537" s="19">
        <v>76.290000000000006</v>
      </c>
      <c r="J1537" s="20">
        <f t="shared" si="46"/>
        <v>1830.96</v>
      </c>
      <c r="K1537" s="106"/>
      <c r="L1537" s="114"/>
      <c r="M1537" s="114">
        <f>tblAquisições[[#This Row],[VALOR UNITARIO COMPRADO]]*tblAquisições[[#This Row],[QUANTIDADE COMPRADA]]</f>
        <v>0</v>
      </c>
      <c r="N1537" s="110">
        <f>K1537-tblAquisições[[#This Row],[QUANTIDADE PLANEJADA]]</f>
        <v>-24</v>
      </c>
      <c r="O1537" s="106" t="str">
        <f t="shared" si="47"/>
        <v>Faltando Comprar</v>
      </c>
    </row>
    <row r="1538" spans="1:15" ht="31.5">
      <c r="A1538" s="16" t="s">
        <v>17</v>
      </c>
      <c r="B1538" s="16" t="s">
        <v>28</v>
      </c>
      <c r="C1538" s="17" t="s">
        <v>19</v>
      </c>
      <c r="D1538" s="18" t="s">
        <v>907</v>
      </c>
      <c r="E1538" s="18">
        <v>12</v>
      </c>
      <c r="F1538" s="18" t="s">
        <v>21</v>
      </c>
      <c r="G1538" s="18" t="s">
        <v>22</v>
      </c>
      <c r="H1538" s="18" t="s">
        <v>53</v>
      </c>
      <c r="I1538" s="19">
        <v>25.03</v>
      </c>
      <c r="J1538" s="20">
        <f t="shared" ref="J1538:J1601" si="48">E1538*I1538</f>
        <v>300.36</v>
      </c>
      <c r="K1538" s="106"/>
      <c r="L1538" s="114"/>
      <c r="M1538" s="114">
        <f>tblAquisições[[#This Row],[VALOR UNITARIO COMPRADO]]*tblAquisições[[#This Row],[QUANTIDADE COMPRADA]]</f>
        <v>0</v>
      </c>
      <c r="N1538" s="110">
        <f>K1538-tblAquisições[[#This Row],[QUANTIDADE PLANEJADA]]</f>
        <v>-12</v>
      </c>
      <c r="O1538" s="106" t="str">
        <f t="shared" ref="O1538:O1601" si="49">IF(K1538=E1538,"OK",IF(K1538&lt;E1538,"Faltando Comprar","Excedente"))</f>
        <v>Faltando Comprar</v>
      </c>
    </row>
    <row r="1539" spans="1:15" ht="47.25">
      <c r="A1539" s="16" t="s">
        <v>17</v>
      </c>
      <c r="B1539" s="16" t="s">
        <v>27</v>
      </c>
      <c r="C1539" s="17" t="s">
        <v>19</v>
      </c>
      <c r="D1539" s="18" t="s">
        <v>908</v>
      </c>
      <c r="E1539" s="18">
        <v>4</v>
      </c>
      <c r="F1539" s="18" t="s">
        <v>78</v>
      </c>
      <c r="G1539" s="18" t="s">
        <v>22</v>
      </c>
      <c r="H1539" s="18" t="s">
        <v>23</v>
      </c>
      <c r="I1539" s="19">
        <v>2978.33</v>
      </c>
      <c r="J1539" s="20">
        <f t="shared" si="48"/>
        <v>11913.32</v>
      </c>
      <c r="K1539" s="106"/>
      <c r="L1539" s="114"/>
      <c r="M1539" s="114">
        <f>tblAquisições[[#This Row],[VALOR UNITARIO COMPRADO]]*tblAquisições[[#This Row],[QUANTIDADE COMPRADA]]</f>
        <v>0</v>
      </c>
      <c r="N1539" s="110">
        <f>K1539-tblAquisições[[#This Row],[QUANTIDADE PLANEJADA]]</f>
        <v>-4</v>
      </c>
      <c r="O1539" s="106" t="str">
        <f t="shared" si="49"/>
        <v>Faltando Comprar</v>
      </c>
    </row>
    <row r="1540" spans="1:15" ht="47.25">
      <c r="A1540" s="16" t="s">
        <v>17</v>
      </c>
      <c r="B1540" s="16" t="s">
        <v>18</v>
      </c>
      <c r="C1540" s="17" t="s">
        <v>19</v>
      </c>
      <c r="D1540" s="18" t="s">
        <v>909</v>
      </c>
      <c r="E1540" s="18">
        <v>50</v>
      </c>
      <c r="F1540" s="18" t="s">
        <v>222</v>
      </c>
      <c r="G1540" s="18" t="s">
        <v>127</v>
      </c>
      <c r="H1540" s="18" t="s">
        <v>23</v>
      </c>
      <c r="I1540" s="19">
        <v>358.1</v>
      </c>
      <c r="J1540" s="20">
        <f t="shared" si="48"/>
        <v>17905</v>
      </c>
      <c r="K1540" s="106"/>
      <c r="L1540" s="114"/>
      <c r="M1540" s="114">
        <f>tblAquisições[[#This Row],[VALOR UNITARIO COMPRADO]]*tblAquisições[[#This Row],[QUANTIDADE COMPRADA]]</f>
        <v>0</v>
      </c>
      <c r="N1540" s="110">
        <f>K1540-tblAquisições[[#This Row],[QUANTIDADE PLANEJADA]]</f>
        <v>-50</v>
      </c>
      <c r="O1540" s="106" t="str">
        <f t="shared" si="49"/>
        <v>Faltando Comprar</v>
      </c>
    </row>
    <row r="1541" spans="1:15" ht="47.25">
      <c r="A1541" s="16" t="s">
        <v>17</v>
      </c>
      <c r="B1541" s="16" t="s">
        <v>24</v>
      </c>
      <c r="C1541" s="17" t="s">
        <v>19</v>
      </c>
      <c r="D1541" s="18" t="s">
        <v>909</v>
      </c>
      <c r="E1541" s="18">
        <v>50</v>
      </c>
      <c r="F1541" s="18" t="s">
        <v>222</v>
      </c>
      <c r="G1541" s="18" t="s">
        <v>127</v>
      </c>
      <c r="H1541" s="18" t="s">
        <v>23</v>
      </c>
      <c r="I1541" s="19">
        <v>358.1</v>
      </c>
      <c r="J1541" s="20">
        <f t="shared" si="48"/>
        <v>17905</v>
      </c>
      <c r="K1541" s="106"/>
      <c r="L1541" s="114"/>
      <c r="M1541" s="114">
        <f>tblAquisições[[#This Row],[VALOR UNITARIO COMPRADO]]*tblAquisições[[#This Row],[QUANTIDADE COMPRADA]]</f>
        <v>0</v>
      </c>
      <c r="N1541" s="110">
        <f>K1541-tblAquisições[[#This Row],[QUANTIDADE PLANEJADA]]</f>
        <v>-50</v>
      </c>
      <c r="O1541" s="106" t="str">
        <f t="shared" si="49"/>
        <v>Faltando Comprar</v>
      </c>
    </row>
    <row r="1542" spans="1:15" ht="47.25">
      <c r="A1542" s="16" t="s">
        <v>17</v>
      </c>
      <c r="B1542" s="16" t="s">
        <v>25</v>
      </c>
      <c r="C1542" s="17" t="s">
        <v>19</v>
      </c>
      <c r="D1542" s="18" t="s">
        <v>909</v>
      </c>
      <c r="E1542" s="18">
        <v>20</v>
      </c>
      <c r="F1542" s="18" t="s">
        <v>222</v>
      </c>
      <c r="G1542" s="18" t="s">
        <v>127</v>
      </c>
      <c r="H1542" s="18" t="s">
        <v>23</v>
      </c>
      <c r="I1542" s="19">
        <v>358.1</v>
      </c>
      <c r="J1542" s="20">
        <f t="shared" si="48"/>
        <v>7162</v>
      </c>
      <c r="K1542" s="106"/>
      <c r="L1542" s="114"/>
      <c r="M1542" s="114">
        <f>tblAquisições[[#This Row],[VALOR UNITARIO COMPRADO]]*tblAquisições[[#This Row],[QUANTIDADE COMPRADA]]</f>
        <v>0</v>
      </c>
      <c r="N1542" s="110">
        <f>K1542-tblAquisições[[#This Row],[QUANTIDADE PLANEJADA]]</f>
        <v>-20</v>
      </c>
      <c r="O1542" s="106" t="str">
        <f t="shared" si="49"/>
        <v>Faltando Comprar</v>
      </c>
    </row>
    <row r="1543" spans="1:15" ht="47.25">
      <c r="A1543" s="16" t="s">
        <v>17</v>
      </c>
      <c r="B1543" s="16" t="s">
        <v>34</v>
      </c>
      <c r="C1543" s="17" t="s">
        <v>19</v>
      </c>
      <c r="D1543" s="18" t="s">
        <v>910</v>
      </c>
      <c r="E1543" s="18">
        <v>60</v>
      </c>
      <c r="F1543" s="18" t="s">
        <v>78</v>
      </c>
      <c r="G1543" s="18" t="s">
        <v>22</v>
      </c>
      <c r="H1543" s="18" t="s">
        <v>83</v>
      </c>
      <c r="I1543" s="19">
        <v>252.44</v>
      </c>
      <c r="J1543" s="20">
        <f t="shared" si="48"/>
        <v>15146.4</v>
      </c>
      <c r="K1543" s="106"/>
      <c r="L1543" s="114"/>
      <c r="M1543" s="114">
        <f>tblAquisições[[#This Row],[VALOR UNITARIO COMPRADO]]*tblAquisições[[#This Row],[QUANTIDADE COMPRADA]]</f>
        <v>0</v>
      </c>
      <c r="N1543" s="110">
        <f>K1543-tblAquisições[[#This Row],[QUANTIDADE PLANEJADA]]</f>
        <v>-60</v>
      </c>
      <c r="O1543" s="106" t="str">
        <f t="shared" si="49"/>
        <v>Faltando Comprar</v>
      </c>
    </row>
    <row r="1544" spans="1:15" ht="47.25">
      <c r="A1544" s="16" t="s">
        <v>17</v>
      </c>
      <c r="B1544" s="16" t="s">
        <v>34</v>
      </c>
      <c r="C1544" s="17" t="s">
        <v>19</v>
      </c>
      <c r="D1544" s="18" t="s">
        <v>911</v>
      </c>
      <c r="E1544" s="18">
        <v>1</v>
      </c>
      <c r="F1544" s="18" t="s">
        <v>78</v>
      </c>
      <c r="G1544" s="18" t="s">
        <v>22</v>
      </c>
      <c r="H1544" s="18" t="s">
        <v>23</v>
      </c>
      <c r="I1544" s="19">
        <v>141.13</v>
      </c>
      <c r="J1544" s="20">
        <f t="shared" si="48"/>
        <v>141.13</v>
      </c>
      <c r="K1544" s="106"/>
      <c r="L1544" s="114"/>
      <c r="M1544" s="114">
        <f>tblAquisições[[#This Row],[VALOR UNITARIO COMPRADO]]*tblAquisições[[#This Row],[QUANTIDADE COMPRADA]]</f>
        <v>0</v>
      </c>
      <c r="N1544" s="110">
        <f>K1544-tblAquisições[[#This Row],[QUANTIDADE PLANEJADA]]</f>
        <v>-1</v>
      </c>
      <c r="O1544" s="106" t="str">
        <f t="shared" si="49"/>
        <v>Faltando Comprar</v>
      </c>
    </row>
    <row r="1545" spans="1:15" ht="47.25">
      <c r="A1545" s="16" t="s">
        <v>17</v>
      </c>
      <c r="B1545" s="16" t="s">
        <v>28</v>
      </c>
      <c r="C1545" s="17" t="s">
        <v>19</v>
      </c>
      <c r="D1545" s="18" t="s">
        <v>912</v>
      </c>
      <c r="E1545" s="18">
        <v>50</v>
      </c>
      <c r="F1545" s="18" t="s">
        <v>78</v>
      </c>
      <c r="G1545" s="18" t="s">
        <v>22</v>
      </c>
      <c r="H1545" s="18" t="s">
        <v>53</v>
      </c>
      <c r="I1545" s="19">
        <v>14.12</v>
      </c>
      <c r="J1545" s="20">
        <f t="shared" si="48"/>
        <v>706</v>
      </c>
      <c r="K1545" s="106"/>
      <c r="L1545" s="114"/>
      <c r="M1545" s="114">
        <f>tblAquisições[[#This Row],[VALOR UNITARIO COMPRADO]]*tblAquisições[[#This Row],[QUANTIDADE COMPRADA]]</f>
        <v>0</v>
      </c>
      <c r="N1545" s="110">
        <f>K1545-tblAquisições[[#This Row],[QUANTIDADE PLANEJADA]]</f>
        <v>-50</v>
      </c>
      <c r="O1545" s="106" t="str">
        <f t="shared" si="49"/>
        <v>Faltando Comprar</v>
      </c>
    </row>
    <row r="1546" spans="1:15" ht="31.5">
      <c r="A1546" s="16" t="s">
        <v>17</v>
      </c>
      <c r="B1546" s="16" t="s">
        <v>34</v>
      </c>
      <c r="C1546" s="17" t="s">
        <v>19</v>
      </c>
      <c r="D1546" s="18" t="s">
        <v>913</v>
      </c>
      <c r="E1546" s="18">
        <v>2</v>
      </c>
      <c r="F1546" s="18" t="s">
        <v>328</v>
      </c>
      <c r="G1546" s="18" t="s">
        <v>22</v>
      </c>
      <c r="H1546" s="18" t="s">
        <v>23</v>
      </c>
      <c r="I1546" s="19">
        <v>27.4</v>
      </c>
      <c r="J1546" s="20">
        <f t="shared" si="48"/>
        <v>54.8</v>
      </c>
      <c r="K1546" s="106"/>
      <c r="L1546" s="114"/>
      <c r="M1546" s="114">
        <f>tblAquisições[[#This Row],[VALOR UNITARIO COMPRADO]]*tblAquisições[[#This Row],[QUANTIDADE COMPRADA]]</f>
        <v>0</v>
      </c>
      <c r="N1546" s="110">
        <f>K1546-tblAquisições[[#This Row],[QUANTIDADE PLANEJADA]]</f>
        <v>-2</v>
      </c>
      <c r="O1546" s="106" t="str">
        <f t="shared" si="49"/>
        <v>Faltando Comprar</v>
      </c>
    </row>
    <row r="1547" spans="1:15" ht="47.25">
      <c r="A1547" s="16" t="s">
        <v>17</v>
      </c>
      <c r="B1547" s="16" t="s">
        <v>26</v>
      </c>
      <c r="C1547" s="17" t="s">
        <v>19</v>
      </c>
      <c r="D1547" s="18" t="s">
        <v>914</v>
      </c>
      <c r="E1547" s="18">
        <v>15</v>
      </c>
      <c r="F1547" s="18" t="s">
        <v>239</v>
      </c>
      <c r="G1547" s="18" t="s">
        <v>22</v>
      </c>
      <c r="H1547" s="18" t="s">
        <v>23</v>
      </c>
      <c r="I1547" s="19">
        <v>16.260000000000002</v>
      </c>
      <c r="J1547" s="20">
        <f t="shared" si="48"/>
        <v>243.90000000000003</v>
      </c>
      <c r="K1547" s="106"/>
      <c r="L1547" s="114"/>
      <c r="M1547" s="114">
        <f>tblAquisições[[#This Row],[VALOR UNITARIO COMPRADO]]*tblAquisições[[#This Row],[QUANTIDADE COMPRADA]]</f>
        <v>0</v>
      </c>
      <c r="N1547" s="110">
        <f>K1547-tblAquisições[[#This Row],[QUANTIDADE PLANEJADA]]</f>
        <v>-15</v>
      </c>
      <c r="O1547" s="106" t="str">
        <f t="shared" si="49"/>
        <v>Faltando Comprar</v>
      </c>
    </row>
    <row r="1548" spans="1:15" ht="47.25">
      <c r="A1548" s="16" t="s">
        <v>17</v>
      </c>
      <c r="B1548" s="16" t="s">
        <v>28</v>
      </c>
      <c r="C1548" s="17" t="s">
        <v>19</v>
      </c>
      <c r="D1548" s="18" t="s">
        <v>914</v>
      </c>
      <c r="E1548" s="18">
        <v>10</v>
      </c>
      <c r="F1548" s="18" t="s">
        <v>239</v>
      </c>
      <c r="G1548" s="18" t="s">
        <v>22</v>
      </c>
      <c r="H1548" s="18" t="s">
        <v>23</v>
      </c>
      <c r="I1548" s="19">
        <v>16.260000000000002</v>
      </c>
      <c r="J1548" s="20">
        <f t="shared" si="48"/>
        <v>162.60000000000002</v>
      </c>
      <c r="K1548" s="106"/>
      <c r="L1548" s="114"/>
      <c r="M1548" s="114">
        <f>tblAquisições[[#This Row],[VALOR UNITARIO COMPRADO]]*tblAquisições[[#This Row],[QUANTIDADE COMPRADA]]</f>
        <v>0</v>
      </c>
      <c r="N1548" s="110">
        <f>K1548-tblAquisições[[#This Row],[QUANTIDADE PLANEJADA]]</f>
        <v>-10</v>
      </c>
      <c r="O1548" s="106" t="str">
        <f t="shared" si="49"/>
        <v>Faltando Comprar</v>
      </c>
    </row>
    <row r="1549" spans="1:15" ht="47.25">
      <c r="A1549" s="16" t="s">
        <v>17</v>
      </c>
      <c r="B1549" s="16" t="s">
        <v>28</v>
      </c>
      <c r="C1549" s="17" t="s">
        <v>19</v>
      </c>
      <c r="D1549" s="18" t="s">
        <v>915</v>
      </c>
      <c r="E1549" s="18">
        <v>8</v>
      </c>
      <c r="F1549" s="18" t="s">
        <v>916</v>
      </c>
      <c r="G1549" s="18" t="s">
        <v>22</v>
      </c>
      <c r="H1549" s="18" t="s">
        <v>23</v>
      </c>
      <c r="I1549" s="19">
        <v>261.88</v>
      </c>
      <c r="J1549" s="20">
        <f t="shared" si="48"/>
        <v>2095.04</v>
      </c>
      <c r="K1549" s="106"/>
      <c r="L1549" s="114"/>
      <c r="M1549" s="114">
        <f>tblAquisições[[#This Row],[VALOR UNITARIO COMPRADO]]*tblAquisições[[#This Row],[QUANTIDADE COMPRADA]]</f>
        <v>0</v>
      </c>
      <c r="N1549" s="110">
        <f>K1549-tblAquisições[[#This Row],[QUANTIDADE PLANEJADA]]</f>
        <v>-8</v>
      </c>
      <c r="O1549" s="106" t="str">
        <f t="shared" si="49"/>
        <v>Faltando Comprar</v>
      </c>
    </row>
    <row r="1550" spans="1:15" ht="31.5">
      <c r="A1550" s="16" t="s">
        <v>17</v>
      </c>
      <c r="B1550" s="16" t="s">
        <v>26</v>
      </c>
      <c r="C1550" s="17" t="s">
        <v>19</v>
      </c>
      <c r="D1550" s="18" t="s">
        <v>917</v>
      </c>
      <c r="E1550" s="18">
        <v>8</v>
      </c>
      <c r="F1550" s="18" t="s">
        <v>30</v>
      </c>
      <c r="G1550" s="18" t="s">
        <v>22</v>
      </c>
      <c r="H1550" s="18" t="s">
        <v>23</v>
      </c>
      <c r="I1550" s="19">
        <v>300</v>
      </c>
      <c r="J1550" s="20">
        <f t="shared" si="48"/>
        <v>2400</v>
      </c>
      <c r="K1550" s="106"/>
      <c r="L1550" s="114"/>
      <c r="M1550" s="114">
        <f>tblAquisições[[#This Row],[VALOR UNITARIO COMPRADO]]*tblAquisições[[#This Row],[QUANTIDADE COMPRADA]]</f>
        <v>0</v>
      </c>
      <c r="N1550" s="110">
        <f>K1550-tblAquisições[[#This Row],[QUANTIDADE PLANEJADA]]</f>
        <v>-8</v>
      </c>
      <c r="O1550" s="106" t="str">
        <f t="shared" si="49"/>
        <v>Faltando Comprar</v>
      </c>
    </row>
    <row r="1551" spans="1:15" ht="47.25">
      <c r="A1551" s="16" t="s">
        <v>17</v>
      </c>
      <c r="B1551" s="16" t="s">
        <v>28</v>
      </c>
      <c r="C1551" s="17" t="s">
        <v>19</v>
      </c>
      <c r="D1551" s="18" t="s">
        <v>918</v>
      </c>
      <c r="E1551" s="18">
        <v>3</v>
      </c>
      <c r="F1551" s="18" t="s">
        <v>58</v>
      </c>
      <c r="G1551" s="18" t="s">
        <v>22</v>
      </c>
      <c r="H1551" s="18" t="s">
        <v>65</v>
      </c>
      <c r="I1551" s="24">
        <v>59.9</v>
      </c>
      <c r="J1551" s="20">
        <f t="shared" si="48"/>
        <v>179.7</v>
      </c>
      <c r="K1551" s="106"/>
      <c r="L1551" s="114"/>
      <c r="M1551" s="114">
        <f>tblAquisições[[#This Row],[VALOR UNITARIO COMPRADO]]*tblAquisições[[#This Row],[QUANTIDADE COMPRADA]]</f>
        <v>0</v>
      </c>
      <c r="N1551" s="110">
        <f>K1551-tblAquisições[[#This Row],[QUANTIDADE PLANEJADA]]</f>
        <v>-3</v>
      </c>
      <c r="O1551" s="106" t="str">
        <f t="shared" si="49"/>
        <v>Faltando Comprar</v>
      </c>
    </row>
    <row r="1552" spans="1:15" ht="47.25">
      <c r="A1552" s="16" t="s">
        <v>17</v>
      </c>
      <c r="B1552" s="16" t="s">
        <v>28</v>
      </c>
      <c r="C1552" s="17" t="s">
        <v>19</v>
      </c>
      <c r="D1552" s="18" t="s">
        <v>919</v>
      </c>
      <c r="E1552" s="18">
        <v>20</v>
      </c>
      <c r="F1552" s="18" t="s">
        <v>78</v>
      </c>
      <c r="G1552" s="18" t="s">
        <v>22</v>
      </c>
      <c r="H1552" s="18" t="s">
        <v>23</v>
      </c>
      <c r="I1552" s="19">
        <v>6.22</v>
      </c>
      <c r="J1552" s="20">
        <f t="shared" si="48"/>
        <v>124.39999999999999</v>
      </c>
      <c r="K1552" s="106"/>
      <c r="L1552" s="114"/>
      <c r="M1552" s="114">
        <f>tblAquisições[[#This Row],[VALOR UNITARIO COMPRADO]]*tblAquisições[[#This Row],[QUANTIDADE COMPRADA]]</f>
        <v>0</v>
      </c>
      <c r="N1552" s="110">
        <f>K1552-tblAquisições[[#This Row],[QUANTIDADE PLANEJADA]]</f>
        <v>-20</v>
      </c>
      <c r="O1552" s="106" t="str">
        <f t="shared" si="49"/>
        <v>Faltando Comprar</v>
      </c>
    </row>
    <row r="1553" spans="1:15" ht="31.5">
      <c r="A1553" s="16" t="s">
        <v>17</v>
      </c>
      <c r="B1553" s="16" t="s">
        <v>26</v>
      </c>
      <c r="C1553" s="17" t="s">
        <v>19</v>
      </c>
      <c r="D1553" s="18" t="s">
        <v>920</v>
      </c>
      <c r="E1553" s="18">
        <v>27</v>
      </c>
      <c r="F1553" s="18" t="s">
        <v>30</v>
      </c>
      <c r="G1553" s="18" t="s">
        <v>22</v>
      </c>
      <c r="H1553" s="18" t="s">
        <v>23</v>
      </c>
      <c r="I1553" s="19">
        <v>3000</v>
      </c>
      <c r="J1553" s="20">
        <f t="shared" si="48"/>
        <v>81000</v>
      </c>
      <c r="K1553" s="106"/>
      <c r="L1553" s="114"/>
      <c r="M1553" s="114">
        <f>tblAquisições[[#This Row],[VALOR UNITARIO COMPRADO]]*tblAquisições[[#This Row],[QUANTIDADE COMPRADA]]</f>
        <v>0</v>
      </c>
      <c r="N1553" s="110">
        <f>K1553-tblAquisições[[#This Row],[QUANTIDADE PLANEJADA]]</f>
        <v>-27</v>
      </c>
      <c r="O1553" s="106" t="str">
        <f t="shared" si="49"/>
        <v>Faltando Comprar</v>
      </c>
    </row>
    <row r="1554" spans="1:15" ht="31.5">
      <c r="A1554" s="16" t="s">
        <v>17</v>
      </c>
      <c r="B1554" s="16" t="s">
        <v>28</v>
      </c>
      <c r="C1554" s="17" t="s">
        <v>19</v>
      </c>
      <c r="D1554" s="18" t="s">
        <v>921</v>
      </c>
      <c r="E1554" s="18">
        <v>10</v>
      </c>
      <c r="F1554" s="18" t="s">
        <v>21</v>
      </c>
      <c r="G1554" s="18" t="s">
        <v>22</v>
      </c>
      <c r="H1554" s="18" t="s">
        <v>65</v>
      </c>
      <c r="I1554" s="19">
        <v>7.9</v>
      </c>
      <c r="J1554" s="20">
        <f t="shared" si="48"/>
        <v>79</v>
      </c>
      <c r="K1554" s="106"/>
      <c r="L1554" s="114"/>
      <c r="M1554" s="114">
        <f>tblAquisições[[#This Row],[VALOR UNITARIO COMPRADO]]*tblAquisições[[#This Row],[QUANTIDADE COMPRADA]]</f>
        <v>0</v>
      </c>
      <c r="N1554" s="110">
        <f>K1554-tblAquisições[[#This Row],[QUANTIDADE PLANEJADA]]</f>
        <v>-10</v>
      </c>
      <c r="O1554" s="106" t="str">
        <f t="shared" si="49"/>
        <v>Faltando Comprar</v>
      </c>
    </row>
    <row r="1555" spans="1:15" ht="31.5">
      <c r="A1555" s="16" t="s">
        <v>17</v>
      </c>
      <c r="B1555" s="16" t="s">
        <v>17</v>
      </c>
      <c r="C1555" s="17" t="s">
        <v>19</v>
      </c>
      <c r="D1555" s="18" t="s">
        <v>922</v>
      </c>
      <c r="E1555" s="18">
        <v>20</v>
      </c>
      <c r="F1555" s="18" t="s">
        <v>38</v>
      </c>
      <c r="G1555" s="18" t="s">
        <v>39</v>
      </c>
      <c r="H1555" s="18" t="s">
        <v>23</v>
      </c>
      <c r="I1555" s="19">
        <v>131.04</v>
      </c>
      <c r="J1555" s="20">
        <f t="shared" si="48"/>
        <v>2620.7999999999997</v>
      </c>
      <c r="K1555" s="106"/>
      <c r="L1555" s="114"/>
      <c r="M1555" s="114">
        <f>tblAquisições[[#This Row],[VALOR UNITARIO COMPRADO]]*tblAquisições[[#This Row],[QUANTIDADE COMPRADA]]</f>
        <v>0</v>
      </c>
      <c r="N1555" s="110">
        <f>K1555-tblAquisições[[#This Row],[QUANTIDADE PLANEJADA]]</f>
        <v>-20</v>
      </c>
      <c r="O1555" s="106" t="str">
        <f t="shared" si="49"/>
        <v>Faltando Comprar</v>
      </c>
    </row>
    <row r="1556" spans="1:15" ht="31.5">
      <c r="A1556" s="16" t="s">
        <v>17</v>
      </c>
      <c r="B1556" s="16" t="s">
        <v>80</v>
      </c>
      <c r="C1556" s="17" t="s">
        <v>19</v>
      </c>
      <c r="D1556" s="18" t="s">
        <v>922</v>
      </c>
      <c r="E1556" s="18">
        <v>10</v>
      </c>
      <c r="F1556" s="18" t="s">
        <v>38</v>
      </c>
      <c r="G1556" s="18" t="s">
        <v>39</v>
      </c>
      <c r="H1556" s="18" t="s">
        <v>23</v>
      </c>
      <c r="I1556" s="19">
        <v>131.04</v>
      </c>
      <c r="J1556" s="20">
        <f t="shared" si="48"/>
        <v>1310.3999999999999</v>
      </c>
      <c r="K1556" s="106"/>
      <c r="L1556" s="114"/>
      <c r="M1556" s="114">
        <f>tblAquisições[[#This Row],[VALOR UNITARIO COMPRADO]]*tblAquisições[[#This Row],[QUANTIDADE COMPRADA]]</f>
        <v>0</v>
      </c>
      <c r="N1556" s="110">
        <f>K1556-tblAquisições[[#This Row],[QUANTIDADE PLANEJADA]]</f>
        <v>-10</v>
      </c>
      <c r="O1556" s="106" t="str">
        <f t="shared" si="49"/>
        <v>Faltando Comprar</v>
      </c>
    </row>
    <row r="1557" spans="1:15" ht="31.5">
      <c r="A1557" s="16" t="s">
        <v>17</v>
      </c>
      <c r="B1557" s="16" t="s">
        <v>28</v>
      </c>
      <c r="C1557" s="17" t="s">
        <v>19</v>
      </c>
      <c r="D1557" s="18" t="s">
        <v>922</v>
      </c>
      <c r="E1557" s="18">
        <v>24</v>
      </c>
      <c r="F1557" s="18" t="s">
        <v>21</v>
      </c>
      <c r="G1557" s="18" t="s">
        <v>22</v>
      </c>
      <c r="H1557" s="18" t="s">
        <v>23</v>
      </c>
      <c r="I1557" s="19">
        <v>131.04</v>
      </c>
      <c r="J1557" s="20">
        <f t="shared" si="48"/>
        <v>3144.96</v>
      </c>
      <c r="K1557" s="106"/>
      <c r="L1557" s="114"/>
      <c r="M1557" s="114">
        <f>tblAquisições[[#This Row],[VALOR UNITARIO COMPRADO]]*tblAquisições[[#This Row],[QUANTIDADE COMPRADA]]</f>
        <v>0</v>
      </c>
      <c r="N1557" s="110">
        <f>K1557-tblAquisições[[#This Row],[QUANTIDADE PLANEJADA]]</f>
        <v>-24</v>
      </c>
      <c r="O1557" s="106" t="str">
        <f t="shared" si="49"/>
        <v>Faltando Comprar</v>
      </c>
    </row>
    <row r="1558" spans="1:15" ht="31.5">
      <c r="A1558" s="16" t="s">
        <v>17</v>
      </c>
      <c r="B1558" s="16" t="s">
        <v>26</v>
      </c>
      <c r="C1558" s="17" t="s">
        <v>19</v>
      </c>
      <c r="D1558" s="18" t="s">
        <v>923</v>
      </c>
      <c r="E1558" s="18">
        <v>20</v>
      </c>
      <c r="F1558" s="18" t="s">
        <v>324</v>
      </c>
      <c r="G1558" s="18" t="s">
        <v>22</v>
      </c>
      <c r="H1558" s="18" t="s">
        <v>23</v>
      </c>
      <c r="I1558" s="19">
        <v>57.67</v>
      </c>
      <c r="J1558" s="20">
        <f t="shared" si="48"/>
        <v>1153.4000000000001</v>
      </c>
      <c r="K1558" s="106"/>
      <c r="L1558" s="114"/>
      <c r="M1558" s="114">
        <f>tblAquisições[[#This Row],[VALOR UNITARIO COMPRADO]]*tblAquisições[[#This Row],[QUANTIDADE COMPRADA]]</f>
        <v>0</v>
      </c>
      <c r="N1558" s="110">
        <f>K1558-tblAquisições[[#This Row],[QUANTIDADE PLANEJADA]]</f>
        <v>-20</v>
      </c>
      <c r="O1558" s="106" t="str">
        <f t="shared" si="49"/>
        <v>Faltando Comprar</v>
      </c>
    </row>
    <row r="1559" spans="1:15" ht="47.25">
      <c r="A1559" s="16" t="s">
        <v>17</v>
      </c>
      <c r="B1559" s="16" t="s">
        <v>18</v>
      </c>
      <c r="C1559" s="17" t="s">
        <v>19</v>
      </c>
      <c r="D1559" s="18" t="s">
        <v>924</v>
      </c>
      <c r="E1559" s="18">
        <v>200</v>
      </c>
      <c r="F1559" s="18" t="s">
        <v>78</v>
      </c>
      <c r="G1559" s="18" t="s">
        <v>22</v>
      </c>
      <c r="H1559" s="18" t="s">
        <v>23</v>
      </c>
      <c r="I1559" s="19">
        <v>1.89</v>
      </c>
      <c r="J1559" s="20">
        <f t="shared" si="48"/>
        <v>378</v>
      </c>
      <c r="K1559" s="106"/>
      <c r="L1559" s="114"/>
      <c r="M1559" s="114">
        <f>tblAquisições[[#This Row],[VALOR UNITARIO COMPRADO]]*tblAquisições[[#This Row],[QUANTIDADE COMPRADA]]</f>
        <v>0</v>
      </c>
      <c r="N1559" s="110">
        <f>K1559-tblAquisições[[#This Row],[QUANTIDADE PLANEJADA]]</f>
        <v>-200</v>
      </c>
      <c r="O1559" s="106" t="str">
        <f t="shared" si="49"/>
        <v>Faltando Comprar</v>
      </c>
    </row>
    <row r="1560" spans="1:15" ht="47.25">
      <c r="A1560" s="16" t="s">
        <v>17</v>
      </c>
      <c r="B1560" s="16" t="s">
        <v>24</v>
      </c>
      <c r="C1560" s="17" t="s">
        <v>19</v>
      </c>
      <c r="D1560" s="18" t="s">
        <v>924</v>
      </c>
      <c r="E1560" s="18">
        <v>200</v>
      </c>
      <c r="F1560" s="18" t="s">
        <v>78</v>
      </c>
      <c r="G1560" s="18" t="s">
        <v>22</v>
      </c>
      <c r="H1560" s="18" t="s">
        <v>23</v>
      </c>
      <c r="I1560" s="19">
        <v>1.89</v>
      </c>
      <c r="J1560" s="20">
        <f t="shared" si="48"/>
        <v>378</v>
      </c>
      <c r="K1560" s="106"/>
      <c r="L1560" s="114"/>
      <c r="M1560" s="114">
        <f>tblAquisições[[#This Row],[VALOR UNITARIO COMPRADO]]*tblAquisições[[#This Row],[QUANTIDADE COMPRADA]]</f>
        <v>0</v>
      </c>
      <c r="N1560" s="110">
        <f>K1560-tblAquisições[[#This Row],[QUANTIDADE PLANEJADA]]</f>
        <v>-200</v>
      </c>
      <c r="O1560" s="106" t="str">
        <f t="shared" si="49"/>
        <v>Faltando Comprar</v>
      </c>
    </row>
    <row r="1561" spans="1:15" ht="47.25">
      <c r="A1561" s="16" t="s">
        <v>17</v>
      </c>
      <c r="B1561" s="16" t="s">
        <v>25</v>
      </c>
      <c r="C1561" s="17" t="s">
        <v>19</v>
      </c>
      <c r="D1561" s="18" t="s">
        <v>924</v>
      </c>
      <c r="E1561" s="18">
        <v>200</v>
      </c>
      <c r="F1561" s="18" t="s">
        <v>78</v>
      </c>
      <c r="G1561" s="18" t="s">
        <v>22</v>
      </c>
      <c r="H1561" s="18" t="s">
        <v>23</v>
      </c>
      <c r="I1561" s="19">
        <v>1.89</v>
      </c>
      <c r="J1561" s="20">
        <f t="shared" si="48"/>
        <v>378</v>
      </c>
      <c r="K1561" s="106"/>
      <c r="L1561" s="114"/>
      <c r="M1561" s="114">
        <f>tblAquisições[[#This Row],[VALOR UNITARIO COMPRADO]]*tblAquisições[[#This Row],[QUANTIDADE COMPRADA]]</f>
        <v>0</v>
      </c>
      <c r="N1561" s="110">
        <f>K1561-tblAquisições[[#This Row],[QUANTIDADE PLANEJADA]]</f>
        <v>-200</v>
      </c>
      <c r="O1561" s="106" t="str">
        <f t="shared" si="49"/>
        <v>Faltando Comprar</v>
      </c>
    </row>
    <row r="1562" spans="1:15" ht="47.25">
      <c r="A1562" s="16" t="s">
        <v>17</v>
      </c>
      <c r="B1562" s="16" t="s">
        <v>27</v>
      </c>
      <c r="C1562" s="17" t="s">
        <v>19</v>
      </c>
      <c r="D1562" s="18" t="s">
        <v>924</v>
      </c>
      <c r="E1562" s="18">
        <v>200</v>
      </c>
      <c r="F1562" s="18" t="s">
        <v>78</v>
      </c>
      <c r="G1562" s="18" t="s">
        <v>22</v>
      </c>
      <c r="H1562" s="18" t="s">
        <v>23</v>
      </c>
      <c r="I1562" s="19">
        <v>1.89</v>
      </c>
      <c r="J1562" s="20">
        <f t="shared" si="48"/>
        <v>378</v>
      </c>
      <c r="K1562" s="106"/>
      <c r="L1562" s="114"/>
      <c r="M1562" s="114">
        <f>tblAquisições[[#This Row],[VALOR UNITARIO COMPRADO]]*tblAquisições[[#This Row],[QUANTIDADE COMPRADA]]</f>
        <v>0</v>
      </c>
      <c r="N1562" s="110">
        <f>K1562-tblAquisições[[#This Row],[QUANTIDADE PLANEJADA]]</f>
        <v>-200</v>
      </c>
      <c r="O1562" s="106" t="str">
        <f t="shared" si="49"/>
        <v>Faltando Comprar</v>
      </c>
    </row>
    <row r="1563" spans="1:15" ht="31.5">
      <c r="A1563" s="16" t="s">
        <v>17</v>
      </c>
      <c r="B1563" s="16" t="s">
        <v>26</v>
      </c>
      <c r="C1563" s="17" t="s">
        <v>19</v>
      </c>
      <c r="D1563" s="18" t="s">
        <v>925</v>
      </c>
      <c r="E1563" s="18">
        <v>5</v>
      </c>
      <c r="F1563" s="18" t="s">
        <v>21</v>
      </c>
      <c r="G1563" s="18" t="s">
        <v>22</v>
      </c>
      <c r="H1563" s="18" t="s">
        <v>23</v>
      </c>
      <c r="I1563" s="19">
        <v>24.17</v>
      </c>
      <c r="J1563" s="20">
        <f t="shared" si="48"/>
        <v>120.85000000000001</v>
      </c>
      <c r="K1563" s="106"/>
      <c r="L1563" s="114"/>
      <c r="M1563" s="114">
        <f>tblAquisições[[#This Row],[VALOR UNITARIO COMPRADO]]*tblAquisições[[#This Row],[QUANTIDADE COMPRADA]]</f>
        <v>0</v>
      </c>
      <c r="N1563" s="110">
        <f>K1563-tblAquisições[[#This Row],[QUANTIDADE PLANEJADA]]</f>
        <v>-5</v>
      </c>
      <c r="O1563" s="106" t="str">
        <f t="shared" si="49"/>
        <v>Faltando Comprar</v>
      </c>
    </row>
    <row r="1564" spans="1:15" ht="47.25">
      <c r="A1564" s="16" t="s">
        <v>17</v>
      </c>
      <c r="B1564" s="16" t="s">
        <v>28</v>
      </c>
      <c r="C1564" s="17" t="s">
        <v>19</v>
      </c>
      <c r="D1564" s="18" t="s">
        <v>926</v>
      </c>
      <c r="E1564" s="18">
        <v>15</v>
      </c>
      <c r="F1564" s="18" t="s">
        <v>78</v>
      </c>
      <c r="G1564" s="18" t="s">
        <v>22</v>
      </c>
      <c r="H1564" s="18" t="s">
        <v>23</v>
      </c>
      <c r="I1564" s="19">
        <v>24.46</v>
      </c>
      <c r="J1564" s="20">
        <f t="shared" si="48"/>
        <v>366.90000000000003</v>
      </c>
      <c r="K1564" s="106"/>
      <c r="L1564" s="114"/>
      <c r="M1564" s="114">
        <f>tblAquisições[[#This Row],[VALOR UNITARIO COMPRADO]]*tblAquisições[[#This Row],[QUANTIDADE COMPRADA]]</f>
        <v>0</v>
      </c>
      <c r="N1564" s="110">
        <f>K1564-tblAquisições[[#This Row],[QUANTIDADE PLANEJADA]]</f>
        <v>-15</v>
      </c>
      <c r="O1564" s="106" t="str">
        <f t="shared" si="49"/>
        <v>Faltando Comprar</v>
      </c>
    </row>
    <row r="1565" spans="1:15" ht="47.25">
      <c r="A1565" s="16" t="s">
        <v>17</v>
      </c>
      <c r="B1565" s="16" t="s">
        <v>26</v>
      </c>
      <c r="C1565" s="17" t="s">
        <v>19</v>
      </c>
      <c r="D1565" s="18" t="s">
        <v>927</v>
      </c>
      <c r="E1565" s="18">
        <v>5</v>
      </c>
      <c r="F1565" s="18" t="s">
        <v>78</v>
      </c>
      <c r="G1565" s="18" t="s">
        <v>22</v>
      </c>
      <c r="H1565" s="18" t="s">
        <v>23</v>
      </c>
      <c r="I1565" s="19">
        <v>37.83</v>
      </c>
      <c r="J1565" s="20">
        <f t="shared" si="48"/>
        <v>189.14999999999998</v>
      </c>
      <c r="K1565" s="106"/>
      <c r="L1565" s="114"/>
      <c r="M1565" s="114">
        <f>tblAquisições[[#This Row],[VALOR UNITARIO COMPRADO]]*tblAquisições[[#This Row],[QUANTIDADE COMPRADA]]</f>
        <v>0</v>
      </c>
      <c r="N1565" s="110">
        <f>K1565-tblAquisições[[#This Row],[QUANTIDADE PLANEJADA]]</f>
        <v>-5</v>
      </c>
      <c r="O1565" s="106" t="str">
        <f t="shared" si="49"/>
        <v>Faltando Comprar</v>
      </c>
    </row>
    <row r="1566" spans="1:15" ht="47.25">
      <c r="A1566" s="16" t="s">
        <v>17</v>
      </c>
      <c r="B1566" s="16" t="s">
        <v>28</v>
      </c>
      <c r="C1566" s="17" t="s">
        <v>19</v>
      </c>
      <c r="D1566" s="18" t="s">
        <v>927</v>
      </c>
      <c r="E1566" s="18">
        <v>10</v>
      </c>
      <c r="F1566" s="18" t="s">
        <v>78</v>
      </c>
      <c r="G1566" s="18" t="s">
        <v>22</v>
      </c>
      <c r="H1566" s="18" t="s">
        <v>23</v>
      </c>
      <c r="I1566" s="19">
        <v>37.83</v>
      </c>
      <c r="J1566" s="20">
        <f t="shared" si="48"/>
        <v>378.29999999999995</v>
      </c>
      <c r="K1566" s="106"/>
      <c r="L1566" s="114"/>
      <c r="M1566" s="114">
        <f>tblAquisições[[#This Row],[VALOR UNITARIO COMPRADO]]*tblAquisições[[#This Row],[QUANTIDADE COMPRADA]]</f>
        <v>0</v>
      </c>
      <c r="N1566" s="110">
        <f>K1566-tblAquisições[[#This Row],[QUANTIDADE PLANEJADA]]</f>
        <v>-10</v>
      </c>
      <c r="O1566" s="106" t="str">
        <f t="shared" si="49"/>
        <v>Faltando Comprar</v>
      </c>
    </row>
    <row r="1567" spans="1:15" ht="31.5">
      <c r="A1567" s="16" t="s">
        <v>17</v>
      </c>
      <c r="B1567" s="16" t="s">
        <v>28</v>
      </c>
      <c r="C1567" s="17" t="s">
        <v>19</v>
      </c>
      <c r="D1567" s="18" t="s">
        <v>928</v>
      </c>
      <c r="E1567" s="18">
        <v>6</v>
      </c>
      <c r="F1567" s="18" t="s">
        <v>324</v>
      </c>
      <c r="G1567" s="18" t="s">
        <v>22</v>
      </c>
      <c r="H1567" s="18" t="s">
        <v>23</v>
      </c>
      <c r="I1567" s="19">
        <v>191.93</v>
      </c>
      <c r="J1567" s="20">
        <f t="shared" si="48"/>
        <v>1151.58</v>
      </c>
      <c r="K1567" s="106"/>
      <c r="L1567" s="114"/>
      <c r="M1567" s="114">
        <f>tblAquisições[[#This Row],[VALOR UNITARIO COMPRADO]]*tblAquisições[[#This Row],[QUANTIDADE COMPRADA]]</f>
        <v>0</v>
      </c>
      <c r="N1567" s="110">
        <f>K1567-tblAquisições[[#This Row],[QUANTIDADE PLANEJADA]]</f>
        <v>-6</v>
      </c>
      <c r="O1567" s="106" t="str">
        <f t="shared" si="49"/>
        <v>Faltando Comprar</v>
      </c>
    </row>
    <row r="1568" spans="1:15" ht="31.5">
      <c r="A1568" s="16" t="s">
        <v>17</v>
      </c>
      <c r="B1568" s="16" t="s">
        <v>80</v>
      </c>
      <c r="C1568" s="17" t="s">
        <v>19</v>
      </c>
      <c r="D1568" s="18" t="s">
        <v>929</v>
      </c>
      <c r="E1568" s="18">
        <v>4</v>
      </c>
      <c r="F1568" s="18" t="s">
        <v>38</v>
      </c>
      <c r="G1568" s="18" t="s">
        <v>39</v>
      </c>
      <c r="H1568" s="18" t="s">
        <v>23</v>
      </c>
      <c r="I1568" s="19">
        <v>156.02000000000001</v>
      </c>
      <c r="J1568" s="20">
        <f t="shared" si="48"/>
        <v>624.08000000000004</v>
      </c>
      <c r="K1568" s="106"/>
      <c r="L1568" s="114"/>
      <c r="M1568" s="114">
        <f>tblAquisições[[#This Row],[VALOR UNITARIO COMPRADO]]*tblAquisições[[#This Row],[QUANTIDADE COMPRADA]]</f>
        <v>0</v>
      </c>
      <c r="N1568" s="110">
        <f>K1568-tblAquisições[[#This Row],[QUANTIDADE PLANEJADA]]</f>
        <v>-4</v>
      </c>
      <c r="O1568" s="106" t="str">
        <f t="shared" si="49"/>
        <v>Faltando Comprar</v>
      </c>
    </row>
    <row r="1569" spans="1:15" ht="31.5">
      <c r="A1569" s="16" t="s">
        <v>17</v>
      </c>
      <c r="B1569" s="16" t="s">
        <v>28</v>
      </c>
      <c r="C1569" s="17" t="s">
        <v>19</v>
      </c>
      <c r="D1569" s="18" t="s">
        <v>930</v>
      </c>
      <c r="E1569" s="18">
        <v>40</v>
      </c>
      <c r="F1569" s="18" t="s">
        <v>21</v>
      </c>
      <c r="G1569" s="18" t="s">
        <v>22</v>
      </c>
      <c r="H1569" s="18" t="s">
        <v>23</v>
      </c>
      <c r="I1569" s="19">
        <v>156.02000000000001</v>
      </c>
      <c r="J1569" s="20">
        <f t="shared" si="48"/>
        <v>6240.8</v>
      </c>
      <c r="K1569" s="106"/>
      <c r="L1569" s="114"/>
      <c r="M1569" s="114">
        <f>tblAquisições[[#This Row],[VALOR UNITARIO COMPRADO]]*tblAquisições[[#This Row],[QUANTIDADE COMPRADA]]</f>
        <v>0</v>
      </c>
      <c r="N1569" s="110">
        <f>K1569-tblAquisições[[#This Row],[QUANTIDADE PLANEJADA]]</f>
        <v>-40</v>
      </c>
      <c r="O1569" s="106" t="str">
        <f t="shared" si="49"/>
        <v>Faltando Comprar</v>
      </c>
    </row>
    <row r="1570" spans="1:15" ht="47.25">
      <c r="A1570" s="16" t="s">
        <v>17</v>
      </c>
      <c r="B1570" s="16" t="s">
        <v>80</v>
      </c>
      <c r="C1570" s="17" t="s">
        <v>19</v>
      </c>
      <c r="D1570" s="18" t="s">
        <v>931</v>
      </c>
      <c r="E1570" s="18">
        <v>3</v>
      </c>
      <c r="F1570" s="18" t="s">
        <v>191</v>
      </c>
      <c r="G1570" s="18" t="s">
        <v>39</v>
      </c>
      <c r="H1570" s="18" t="s">
        <v>23</v>
      </c>
      <c r="I1570" s="19">
        <v>27.8</v>
      </c>
      <c r="J1570" s="20">
        <f t="shared" si="48"/>
        <v>83.4</v>
      </c>
      <c r="K1570" s="106"/>
      <c r="L1570" s="114"/>
      <c r="M1570" s="114">
        <f>tblAquisições[[#This Row],[VALOR UNITARIO COMPRADO]]*tblAquisições[[#This Row],[QUANTIDADE COMPRADA]]</f>
        <v>0</v>
      </c>
      <c r="N1570" s="110">
        <f>K1570-tblAquisições[[#This Row],[QUANTIDADE PLANEJADA]]</f>
        <v>-3</v>
      </c>
      <c r="O1570" s="106" t="str">
        <f t="shared" si="49"/>
        <v>Faltando Comprar</v>
      </c>
    </row>
    <row r="1571" spans="1:15" ht="47.25">
      <c r="A1571" s="16" t="s">
        <v>17</v>
      </c>
      <c r="B1571" s="16" t="s">
        <v>26</v>
      </c>
      <c r="C1571" s="17" t="s">
        <v>19</v>
      </c>
      <c r="D1571" s="18" t="s">
        <v>932</v>
      </c>
      <c r="E1571" s="18">
        <v>2</v>
      </c>
      <c r="F1571" s="18" t="s">
        <v>239</v>
      </c>
      <c r="G1571" s="18" t="s">
        <v>22</v>
      </c>
      <c r="H1571" s="18" t="s">
        <v>23</v>
      </c>
      <c r="I1571" s="19">
        <v>27.8</v>
      </c>
      <c r="J1571" s="20">
        <f t="shared" si="48"/>
        <v>55.6</v>
      </c>
      <c r="K1571" s="106"/>
      <c r="L1571" s="114"/>
      <c r="M1571" s="114">
        <f>tblAquisições[[#This Row],[VALOR UNITARIO COMPRADO]]*tblAquisições[[#This Row],[QUANTIDADE COMPRADA]]</f>
        <v>0</v>
      </c>
      <c r="N1571" s="110">
        <f>K1571-tblAquisições[[#This Row],[QUANTIDADE PLANEJADA]]</f>
        <v>-2</v>
      </c>
      <c r="O1571" s="106" t="str">
        <f t="shared" si="49"/>
        <v>Faltando Comprar</v>
      </c>
    </row>
    <row r="1572" spans="1:15" ht="47.25">
      <c r="A1572" s="16" t="s">
        <v>17</v>
      </c>
      <c r="B1572" s="16" t="s">
        <v>80</v>
      </c>
      <c r="C1572" s="17" t="s">
        <v>19</v>
      </c>
      <c r="D1572" s="18" t="s">
        <v>933</v>
      </c>
      <c r="E1572" s="18">
        <v>10</v>
      </c>
      <c r="F1572" s="18" t="s">
        <v>191</v>
      </c>
      <c r="G1572" s="18" t="s">
        <v>39</v>
      </c>
      <c r="H1572" s="18" t="s">
        <v>23</v>
      </c>
      <c r="I1572" s="19">
        <v>32.56</v>
      </c>
      <c r="J1572" s="20">
        <f t="shared" si="48"/>
        <v>325.60000000000002</v>
      </c>
      <c r="K1572" s="106"/>
      <c r="L1572" s="114"/>
      <c r="M1572" s="114">
        <f>tblAquisições[[#This Row],[VALOR UNITARIO COMPRADO]]*tblAquisições[[#This Row],[QUANTIDADE COMPRADA]]</f>
        <v>0</v>
      </c>
      <c r="N1572" s="110">
        <f>K1572-tblAquisições[[#This Row],[QUANTIDADE PLANEJADA]]</f>
        <v>-10</v>
      </c>
      <c r="O1572" s="106" t="str">
        <f t="shared" si="49"/>
        <v>Faltando Comprar</v>
      </c>
    </row>
    <row r="1573" spans="1:15" ht="47.25">
      <c r="A1573" s="16" t="s">
        <v>17</v>
      </c>
      <c r="B1573" s="16" t="s">
        <v>41</v>
      </c>
      <c r="C1573" s="17" t="s">
        <v>19</v>
      </c>
      <c r="D1573" s="18" t="s">
        <v>934</v>
      </c>
      <c r="E1573" s="18">
        <v>12</v>
      </c>
      <c r="F1573" s="18" t="s">
        <v>78</v>
      </c>
      <c r="G1573" s="18" t="s">
        <v>22</v>
      </c>
      <c r="H1573" s="18" t="s">
        <v>23</v>
      </c>
      <c r="I1573" s="19">
        <v>13.72</v>
      </c>
      <c r="J1573" s="20">
        <f t="shared" si="48"/>
        <v>164.64000000000001</v>
      </c>
      <c r="K1573" s="106"/>
      <c r="L1573" s="114"/>
      <c r="M1573" s="114">
        <f>tblAquisições[[#This Row],[VALOR UNITARIO COMPRADO]]*tblAquisições[[#This Row],[QUANTIDADE COMPRADA]]</f>
        <v>0</v>
      </c>
      <c r="N1573" s="110">
        <f>K1573-tblAquisições[[#This Row],[QUANTIDADE PLANEJADA]]</f>
        <v>-12</v>
      </c>
      <c r="O1573" s="106" t="str">
        <f t="shared" si="49"/>
        <v>Faltando Comprar</v>
      </c>
    </row>
    <row r="1574" spans="1:15" ht="47.25">
      <c r="A1574" s="16" t="s">
        <v>17</v>
      </c>
      <c r="B1574" s="16" t="s">
        <v>28</v>
      </c>
      <c r="C1574" s="17" t="s">
        <v>19</v>
      </c>
      <c r="D1574" s="18" t="s">
        <v>934</v>
      </c>
      <c r="E1574" s="18">
        <v>60</v>
      </c>
      <c r="F1574" s="18" t="s">
        <v>78</v>
      </c>
      <c r="G1574" s="18" t="s">
        <v>22</v>
      </c>
      <c r="H1574" s="18" t="s">
        <v>23</v>
      </c>
      <c r="I1574" s="19">
        <v>13.72</v>
      </c>
      <c r="J1574" s="20">
        <f t="shared" si="48"/>
        <v>823.2</v>
      </c>
      <c r="K1574" s="106"/>
      <c r="L1574" s="114"/>
      <c r="M1574" s="114">
        <f>tblAquisições[[#This Row],[VALOR UNITARIO COMPRADO]]*tblAquisições[[#This Row],[QUANTIDADE COMPRADA]]</f>
        <v>0</v>
      </c>
      <c r="N1574" s="110">
        <f>K1574-tblAquisições[[#This Row],[QUANTIDADE PLANEJADA]]</f>
        <v>-60</v>
      </c>
      <c r="O1574" s="106" t="str">
        <f t="shared" si="49"/>
        <v>Faltando Comprar</v>
      </c>
    </row>
    <row r="1575" spans="1:15" ht="31.5">
      <c r="A1575" s="16" t="s">
        <v>17</v>
      </c>
      <c r="B1575" s="16" t="s">
        <v>18</v>
      </c>
      <c r="C1575" s="17" t="s">
        <v>19</v>
      </c>
      <c r="D1575" s="18" t="s">
        <v>935</v>
      </c>
      <c r="E1575" s="18">
        <v>20</v>
      </c>
      <c r="F1575" s="18" t="s">
        <v>21</v>
      </c>
      <c r="G1575" s="18" t="s">
        <v>22</v>
      </c>
      <c r="H1575" s="18" t="s">
        <v>23</v>
      </c>
      <c r="I1575" s="19">
        <v>13.06</v>
      </c>
      <c r="J1575" s="20">
        <f t="shared" si="48"/>
        <v>261.2</v>
      </c>
      <c r="K1575" s="106"/>
      <c r="L1575" s="114"/>
      <c r="M1575" s="114">
        <f>tblAquisições[[#This Row],[VALOR UNITARIO COMPRADO]]*tblAquisições[[#This Row],[QUANTIDADE COMPRADA]]</f>
        <v>0</v>
      </c>
      <c r="N1575" s="110">
        <f>K1575-tblAquisições[[#This Row],[QUANTIDADE PLANEJADA]]</f>
        <v>-20</v>
      </c>
      <c r="O1575" s="106" t="str">
        <f t="shared" si="49"/>
        <v>Faltando Comprar</v>
      </c>
    </row>
    <row r="1576" spans="1:15" ht="31.5">
      <c r="A1576" s="16" t="s">
        <v>17</v>
      </c>
      <c r="B1576" s="16" t="s">
        <v>24</v>
      </c>
      <c r="C1576" s="17" t="s">
        <v>19</v>
      </c>
      <c r="D1576" s="18" t="s">
        <v>935</v>
      </c>
      <c r="E1576" s="18">
        <v>20</v>
      </c>
      <c r="F1576" s="18" t="s">
        <v>21</v>
      </c>
      <c r="G1576" s="18" t="s">
        <v>22</v>
      </c>
      <c r="H1576" s="18" t="s">
        <v>23</v>
      </c>
      <c r="I1576" s="19">
        <v>13.06</v>
      </c>
      <c r="J1576" s="20">
        <f t="shared" si="48"/>
        <v>261.2</v>
      </c>
      <c r="K1576" s="106"/>
      <c r="L1576" s="114"/>
      <c r="M1576" s="114">
        <f>tblAquisições[[#This Row],[VALOR UNITARIO COMPRADO]]*tblAquisições[[#This Row],[QUANTIDADE COMPRADA]]</f>
        <v>0</v>
      </c>
      <c r="N1576" s="110">
        <f>K1576-tblAquisições[[#This Row],[QUANTIDADE PLANEJADA]]</f>
        <v>-20</v>
      </c>
      <c r="O1576" s="106" t="str">
        <f t="shared" si="49"/>
        <v>Faltando Comprar</v>
      </c>
    </row>
    <row r="1577" spans="1:15" ht="31.5">
      <c r="A1577" s="16" t="s">
        <v>17</v>
      </c>
      <c r="B1577" s="16" t="s">
        <v>25</v>
      </c>
      <c r="C1577" s="17" t="s">
        <v>19</v>
      </c>
      <c r="D1577" s="18" t="s">
        <v>935</v>
      </c>
      <c r="E1577" s="18">
        <v>20</v>
      </c>
      <c r="F1577" s="18" t="s">
        <v>21</v>
      </c>
      <c r="G1577" s="18" t="s">
        <v>22</v>
      </c>
      <c r="H1577" s="18" t="s">
        <v>23</v>
      </c>
      <c r="I1577" s="19">
        <v>13.06</v>
      </c>
      <c r="J1577" s="20">
        <f t="shared" si="48"/>
        <v>261.2</v>
      </c>
      <c r="K1577" s="106"/>
      <c r="L1577" s="114"/>
      <c r="M1577" s="114">
        <f>tblAquisições[[#This Row],[VALOR UNITARIO COMPRADO]]*tblAquisições[[#This Row],[QUANTIDADE COMPRADA]]</f>
        <v>0</v>
      </c>
      <c r="N1577" s="110">
        <f>K1577-tblAquisições[[#This Row],[QUANTIDADE PLANEJADA]]</f>
        <v>-20</v>
      </c>
      <c r="O1577" s="106" t="str">
        <f t="shared" si="49"/>
        <v>Faltando Comprar</v>
      </c>
    </row>
    <row r="1578" spans="1:15" ht="31.5">
      <c r="A1578" s="16" t="s">
        <v>17</v>
      </c>
      <c r="B1578" s="16" t="s">
        <v>27</v>
      </c>
      <c r="C1578" s="17" t="s">
        <v>19</v>
      </c>
      <c r="D1578" s="18" t="s">
        <v>935</v>
      </c>
      <c r="E1578" s="18">
        <v>40</v>
      </c>
      <c r="F1578" s="18" t="s">
        <v>21</v>
      </c>
      <c r="G1578" s="18" t="s">
        <v>22</v>
      </c>
      <c r="H1578" s="18" t="s">
        <v>23</v>
      </c>
      <c r="I1578" s="19">
        <v>13.06</v>
      </c>
      <c r="J1578" s="20">
        <f t="shared" si="48"/>
        <v>522.4</v>
      </c>
      <c r="K1578" s="106"/>
      <c r="L1578" s="114"/>
      <c r="M1578" s="114">
        <f>tblAquisições[[#This Row],[VALOR UNITARIO COMPRADO]]*tblAquisições[[#This Row],[QUANTIDADE COMPRADA]]</f>
        <v>0</v>
      </c>
      <c r="N1578" s="110">
        <f>K1578-tblAquisições[[#This Row],[QUANTIDADE PLANEJADA]]</f>
        <v>-40</v>
      </c>
      <c r="O1578" s="106" t="str">
        <f t="shared" si="49"/>
        <v>Faltando Comprar</v>
      </c>
    </row>
    <row r="1579" spans="1:15" ht="31.5">
      <c r="A1579" s="16" t="s">
        <v>17</v>
      </c>
      <c r="B1579" s="16" t="s">
        <v>80</v>
      </c>
      <c r="C1579" s="17" t="s">
        <v>19</v>
      </c>
      <c r="D1579" s="18" t="s">
        <v>936</v>
      </c>
      <c r="E1579" s="18">
        <v>20</v>
      </c>
      <c r="F1579" s="18" t="s">
        <v>38</v>
      </c>
      <c r="G1579" s="18" t="s">
        <v>39</v>
      </c>
      <c r="H1579" s="21"/>
      <c r="I1579" s="19">
        <v>18.23</v>
      </c>
      <c r="J1579" s="20">
        <f t="shared" si="48"/>
        <v>364.6</v>
      </c>
      <c r="K1579" s="106"/>
      <c r="L1579" s="114"/>
      <c r="M1579" s="114">
        <f>tblAquisições[[#This Row],[VALOR UNITARIO COMPRADO]]*tblAquisições[[#This Row],[QUANTIDADE COMPRADA]]</f>
        <v>0</v>
      </c>
      <c r="N1579" s="110">
        <f>K1579-tblAquisições[[#This Row],[QUANTIDADE PLANEJADA]]</f>
        <v>-20</v>
      </c>
      <c r="O1579" s="106" t="str">
        <f t="shared" si="49"/>
        <v>Faltando Comprar</v>
      </c>
    </row>
    <row r="1580" spans="1:15" ht="31.5">
      <c r="A1580" s="16" t="s">
        <v>17</v>
      </c>
      <c r="B1580" s="16" t="s">
        <v>25</v>
      </c>
      <c r="C1580" s="17" t="s">
        <v>19</v>
      </c>
      <c r="D1580" s="18" t="s">
        <v>937</v>
      </c>
      <c r="E1580" s="18">
        <v>10</v>
      </c>
      <c r="F1580" s="18" t="s">
        <v>21</v>
      </c>
      <c r="G1580" s="18" t="s">
        <v>22</v>
      </c>
      <c r="H1580" s="18" t="s">
        <v>65</v>
      </c>
      <c r="I1580" s="19">
        <v>18.23</v>
      </c>
      <c r="J1580" s="20">
        <f t="shared" si="48"/>
        <v>182.3</v>
      </c>
      <c r="K1580" s="106"/>
      <c r="L1580" s="114"/>
      <c r="M1580" s="114">
        <f>tblAquisições[[#This Row],[VALOR UNITARIO COMPRADO]]*tblAquisições[[#This Row],[QUANTIDADE COMPRADA]]</f>
        <v>0</v>
      </c>
      <c r="N1580" s="110">
        <f>K1580-tblAquisições[[#This Row],[QUANTIDADE PLANEJADA]]</f>
        <v>-10</v>
      </c>
      <c r="O1580" s="106" t="str">
        <f t="shared" si="49"/>
        <v>Faltando Comprar</v>
      </c>
    </row>
    <row r="1581" spans="1:15" ht="31.5">
      <c r="A1581" s="16" t="s">
        <v>17</v>
      </c>
      <c r="B1581" s="16" t="s">
        <v>26</v>
      </c>
      <c r="C1581" s="17" t="s">
        <v>19</v>
      </c>
      <c r="D1581" s="18" t="s">
        <v>937</v>
      </c>
      <c r="E1581" s="18">
        <v>100</v>
      </c>
      <c r="F1581" s="18" t="s">
        <v>21</v>
      </c>
      <c r="G1581" s="18" t="s">
        <v>22</v>
      </c>
      <c r="H1581" s="18" t="s">
        <v>65</v>
      </c>
      <c r="I1581" s="19">
        <v>18.23</v>
      </c>
      <c r="J1581" s="20">
        <f t="shared" si="48"/>
        <v>1823</v>
      </c>
      <c r="K1581" s="106"/>
      <c r="L1581" s="114"/>
      <c r="M1581" s="114">
        <f>tblAquisições[[#This Row],[VALOR UNITARIO COMPRADO]]*tblAquisições[[#This Row],[QUANTIDADE COMPRADA]]</f>
        <v>0</v>
      </c>
      <c r="N1581" s="110">
        <f>K1581-tblAquisições[[#This Row],[QUANTIDADE PLANEJADA]]</f>
        <v>-100</v>
      </c>
      <c r="O1581" s="106" t="str">
        <f t="shared" si="49"/>
        <v>Faltando Comprar</v>
      </c>
    </row>
    <row r="1582" spans="1:15" ht="31.5">
      <c r="A1582" s="16" t="s">
        <v>17</v>
      </c>
      <c r="B1582" s="16" t="s">
        <v>27</v>
      </c>
      <c r="C1582" s="17" t="s">
        <v>19</v>
      </c>
      <c r="D1582" s="18" t="s">
        <v>937</v>
      </c>
      <c r="E1582" s="18">
        <v>10</v>
      </c>
      <c r="F1582" s="18" t="s">
        <v>21</v>
      </c>
      <c r="G1582" s="18" t="s">
        <v>22</v>
      </c>
      <c r="H1582" s="18" t="s">
        <v>65</v>
      </c>
      <c r="I1582" s="19">
        <v>18.23</v>
      </c>
      <c r="J1582" s="20">
        <f t="shared" si="48"/>
        <v>182.3</v>
      </c>
      <c r="K1582" s="106"/>
      <c r="L1582" s="114"/>
      <c r="M1582" s="114">
        <f>tblAquisições[[#This Row],[VALOR UNITARIO COMPRADO]]*tblAquisições[[#This Row],[QUANTIDADE COMPRADA]]</f>
        <v>0</v>
      </c>
      <c r="N1582" s="110">
        <f>K1582-tblAquisições[[#This Row],[QUANTIDADE PLANEJADA]]</f>
        <v>-10</v>
      </c>
      <c r="O1582" s="106" t="str">
        <f t="shared" si="49"/>
        <v>Faltando Comprar</v>
      </c>
    </row>
    <row r="1583" spans="1:15" ht="31.5">
      <c r="A1583" s="16" t="s">
        <v>17</v>
      </c>
      <c r="B1583" s="16" t="s">
        <v>26</v>
      </c>
      <c r="C1583" s="17" t="s">
        <v>19</v>
      </c>
      <c r="D1583" s="18" t="s">
        <v>938</v>
      </c>
      <c r="E1583" s="23">
        <v>250000</v>
      </c>
      <c r="F1583" s="18" t="s">
        <v>52</v>
      </c>
      <c r="G1583" s="18" t="s">
        <v>22</v>
      </c>
      <c r="H1583" s="18" t="s">
        <v>100</v>
      </c>
      <c r="I1583" s="19">
        <v>1.74</v>
      </c>
      <c r="J1583" s="20">
        <f t="shared" si="48"/>
        <v>435000</v>
      </c>
      <c r="K1583" s="106"/>
      <c r="L1583" s="114"/>
      <c r="M1583" s="114">
        <f>tblAquisições[[#This Row],[VALOR UNITARIO COMPRADO]]*tblAquisições[[#This Row],[QUANTIDADE COMPRADA]]</f>
        <v>0</v>
      </c>
      <c r="N1583" s="110">
        <f>K1583-tblAquisições[[#This Row],[QUANTIDADE PLANEJADA]]</f>
        <v>-250000</v>
      </c>
      <c r="O1583" s="106" t="str">
        <f t="shared" si="49"/>
        <v>Faltando Comprar</v>
      </c>
    </row>
    <row r="1584" spans="1:15" ht="47.25">
      <c r="A1584" s="16" t="s">
        <v>17</v>
      </c>
      <c r="B1584" s="16" t="s">
        <v>17</v>
      </c>
      <c r="C1584" s="17" t="s">
        <v>19</v>
      </c>
      <c r="D1584" s="18" t="s">
        <v>939</v>
      </c>
      <c r="E1584" s="18">
        <v>200</v>
      </c>
      <c r="F1584" s="18" t="s">
        <v>38</v>
      </c>
      <c r="G1584" s="18" t="s">
        <v>39</v>
      </c>
      <c r="H1584" s="18" t="s">
        <v>23</v>
      </c>
      <c r="I1584" s="19">
        <v>13.33</v>
      </c>
      <c r="J1584" s="20">
        <f t="shared" si="48"/>
        <v>2666</v>
      </c>
      <c r="K1584" s="106"/>
      <c r="L1584" s="114"/>
      <c r="M1584" s="114">
        <f>tblAquisições[[#This Row],[VALOR UNITARIO COMPRADO]]*tblAquisições[[#This Row],[QUANTIDADE COMPRADA]]</f>
        <v>0</v>
      </c>
      <c r="N1584" s="110">
        <f>K1584-tblAquisições[[#This Row],[QUANTIDADE PLANEJADA]]</f>
        <v>-200</v>
      </c>
      <c r="O1584" s="106" t="str">
        <f t="shared" si="49"/>
        <v>Faltando Comprar</v>
      </c>
    </row>
    <row r="1585" spans="1:15" ht="47.25">
      <c r="A1585" s="16" t="s">
        <v>17</v>
      </c>
      <c r="B1585" s="16" t="s">
        <v>31</v>
      </c>
      <c r="C1585" s="17" t="s">
        <v>19</v>
      </c>
      <c r="D1585" s="18" t="s">
        <v>940</v>
      </c>
      <c r="E1585" s="18">
        <v>100</v>
      </c>
      <c r="F1585" s="18" t="s">
        <v>21</v>
      </c>
      <c r="G1585" s="18" t="s">
        <v>22</v>
      </c>
      <c r="H1585" s="18" t="s">
        <v>23</v>
      </c>
      <c r="I1585" s="19">
        <v>13.33</v>
      </c>
      <c r="J1585" s="20">
        <f t="shared" si="48"/>
        <v>1333</v>
      </c>
      <c r="K1585" s="106"/>
      <c r="L1585" s="114"/>
      <c r="M1585" s="114">
        <f>tblAquisições[[#This Row],[VALOR UNITARIO COMPRADO]]*tblAquisições[[#This Row],[QUANTIDADE COMPRADA]]</f>
        <v>0</v>
      </c>
      <c r="N1585" s="110">
        <f>K1585-tblAquisições[[#This Row],[QUANTIDADE PLANEJADA]]</f>
        <v>-100</v>
      </c>
      <c r="O1585" s="106" t="str">
        <f t="shared" si="49"/>
        <v>Faltando Comprar</v>
      </c>
    </row>
    <row r="1586" spans="1:15" ht="47.25">
      <c r="A1586" s="16" t="s">
        <v>17</v>
      </c>
      <c r="B1586" s="16" t="s">
        <v>18</v>
      </c>
      <c r="C1586" s="17" t="s">
        <v>19</v>
      </c>
      <c r="D1586" s="18" t="s">
        <v>940</v>
      </c>
      <c r="E1586" s="18">
        <v>300</v>
      </c>
      <c r="F1586" s="18" t="s">
        <v>21</v>
      </c>
      <c r="G1586" s="18" t="s">
        <v>22</v>
      </c>
      <c r="H1586" s="18" t="s">
        <v>23</v>
      </c>
      <c r="I1586" s="19">
        <v>13.33</v>
      </c>
      <c r="J1586" s="20">
        <f t="shared" si="48"/>
        <v>3999</v>
      </c>
      <c r="K1586" s="106"/>
      <c r="L1586" s="114"/>
      <c r="M1586" s="114">
        <f>tblAquisições[[#This Row],[VALOR UNITARIO COMPRADO]]*tblAquisições[[#This Row],[QUANTIDADE COMPRADA]]</f>
        <v>0</v>
      </c>
      <c r="N1586" s="110">
        <f>K1586-tblAquisições[[#This Row],[QUANTIDADE PLANEJADA]]</f>
        <v>-300</v>
      </c>
      <c r="O1586" s="106" t="str">
        <f t="shared" si="49"/>
        <v>Faltando Comprar</v>
      </c>
    </row>
    <row r="1587" spans="1:15" ht="47.25">
      <c r="A1587" s="16" t="s">
        <v>17</v>
      </c>
      <c r="B1587" s="16" t="s">
        <v>24</v>
      </c>
      <c r="C1587" s="17" t="s">
        <v>19</v>
      </c>
      <c r="D1587" s="18" t="s">
        <v>940</v>
      </c>
      <c r="E1587" s="18">
        <v>300</v>
      </c>
      <c r="F1587" s="18" t="s">
        <v>21</v>
      </c>
      <c r="G1587" s="18" t="s">
        <v>22</v>
      </c>
      <c r="H1587" s="18" t="s">
        <v>23</v>
      </c>
      <c r="I1587" s="19">
        <v>13.33</v>
      </c>
      <c r="J1587" s="20">
        <f t="shared" si="48"/>
        <v>3999</v>
      </c>
      <c r="K1587" s="106"/>
      <c r="L1587" s="114"/>
      <c r="M1587" s="114">
        <f>tblAquisições[[#This Row],[VALOR UNITARIO COMPRADO]]*tblAquisições[[#This Row],[QUANTIDADE COMPRADA]]</f>
        <v>0</v>
      </c>
      <c r="N1587" s="110">
        <f>K1587-tblAquisições[[#This Row],[QUANTIDADE PLANEJADA]]</f>
        <v>-300</v>
      </c>
      <c r="O1587" s="106" t="str">
        <f t="shared" si="49"/>
        <v>Faltando Comprar</v>
      </c>
    </row>
    <row r="1588" spans="1:15" ht="47.25">
      <c r="A1588" s="16" t="s">
        <v>17</v>
      </c>
      <c r="B1588" s="16" t="s">
        <v>25</v>
      </c>
      <c r="C1588" s="17" t="s">
        <v>19</v>
      </c>
      <c r="D1588" s="18" t="s">
        <v>940</v>
      </c>
      <c r="E1588" s="18">
        <v>300</v>
      </c>
      <c r="F1588" s="18" t="s">
        <v>21</v>
      </c>
      <c r="G1588" s="18" t="s">
        <v>22</v>
      </c>
      <c r="H1588" s="18" t="s">
        <v>23</v>
      </c>
      <c r="I1588" s="19">
        <v>13.33</v>
      </c>
      <c r="J1588" s="20">
        <f t="shared" si="48"/>
        <v>3999</v>
      </c>
      <c r="K1588" s="106"/>
      <c r="L1588" s="114"/>
      <c r="M1588" s="114">
        <f>tblAquisições[[#This Row],[VALOR UNITARIO COMPRADO]]*tblAquisições[[#This Row],[QUANTIDADE COMPRADA]]</f>
        <v>0</v>
      </c>
      <c r="N1588" s="110">
        <f>K1588-tblAquisições[[#This Row],[QUANTIDADE PLANEJADA]]</f>
        <v>-300</v>
      </c>
      <c r="O1588" s="106" t="str">
        <f t="shared" si="49"/>
        <v>Faltando Comprar</v>
      </c>
    </row>
    <row r="1589" spans="1:15" ht="47.25">
      <c r="A1589" s="16" t="s">
        <v>17</v>
      </c>
      <c r="B1589" s="16" t="s">
        <v>41</v>
      </c>
      <c r="C1589" s="17" t="s">
        <v>19</v>
      </c>
      <c r="D1589" s="18" t="s">
        <v>940</v>
      </c>
      <c r="E1589" s="18">
        <v>100</v>
      </c>
      <c r="F1589" s="18" t="s">
        <v>21</v>
      </c>
      <c r="G1589" s="18" t="s">
        <v>22</v>
      </c>
      <c r="H1589" s="18" t="s">
        <v>23</v>
      </c>
      <c r="I1589" s="19">
        <v>13.33</v>
      </c>
      <c r="J1589" s="20">
        <f t="shared" si="48"/>
        <v>1333</v>
      </c>
      <c r="K1589" s="106"/>
      <c r="L1589" s="114"/>
      <c r="M1589" s="114">
        <f>tblAquisições[[#This Row],[VALOR UNITARIO COMPRADO]]*tblAquisições[[#This Row],[QUANTIDADE COMPRADA]]</f>
        <v>0</v>
      </c>
      <c r="N1589" s="110">
        <f>K1589-tblAquisições[[#This Row],[QUANTIDADE PLANEJADA]]</f>
        <v>-100</v>
      </c>
      <c r="O1589" s="106" t="str">
        <f t="shared" si="49"/>
        <v>Faltando Comprar</v>
      </c>
    </row>
    <row r="1590" spans="1:15" ht="47.25">
      <c r="A1590" s="16" t="s">
        <v>17</v>
      </c>
      <c r="B1590" s="16" t="s">
        <v>28</v>
      </c>
      <c r="C1590" s="17" t="s">
        <v>19</v>
      </c>
      <c r="D1590" s="18" t="s">
        <v>940</v>
      </c>
      <c r="E1590" s="18">
        <v>200</v>
      </c>
      <c r="F1590" s="18" t="s">
        <v>21</v>
      </c>
      <c r="G1590" s="18" t="s">
        <v>22</v>
      </c>
      <c r="H1590" s="18" t="s">
        <v>23</v>
      </c>
      <c r="I1590" s="19">
        <v>13.33</v>
      </c>
      <c r="J1590" s="20">
        <f t="shared" si="48"/>
        <v>2666</v>
      </c>
      <c r="K1590" s="106"/>
      <c r="L1590" s="114"/>
      <c r="M1590" s="114">
        <f>tblAquisições[[#This Row],[VALOR UNITARIO COMPRADO]]*tblAquisições[[#This Row],[QUANTIDADE COMPRADA]]</f>
        <v>0</v>
      </c>
      <c r="N1590" s="110">
        <f>K1590-tblAquisições[[#This Row],[QUANTIDADE PLANEJADA]]</f>
        <v>-200</v>
      </c>
      <c r="O1590" s="106" t="str">
        <f t="shared" si="49"/>
        <v>Faltando Comprar</v>
      </c>
    </row>
    <row r="1591" spans="1:15" ht="47.25">
      <c r="A1591" s="16" t="s">
        <v>17</v>
      </c>
      <c r="B1591" s="16" t="s">
        <v>27</v>
      </c>
      <c r="C1591" s="17" t="s">
        <v>19</v>
      </c>
      <c r="D1591" s="18" t="s">
        <v>941</v>
      </c>
      <c r="E1591" s="18">
        <v>40</v>
      </c>
      <c r="F1591" s="18" t="s">
        <v>78</v>
      </c>
      <c r="G1591" s="18" t="s">
        <v>22</v>
      </c>
      <c r="H1591" s="18" t="s">
        <v>23</v>
      </c>
      <c r="I1591" s="19">
        <v>223.51</v>
      </c>
      <c r="J1591" s="20">
        <f t="shared" si="48"/>
        <v>8940.4</v>
      </c>
      <c r="K1591" s="106"/>
      <c r="L1591" s="114"/>
      <c r="M1591" s="114">
        <f>tblAquisições[[#This Row],[VALOR UNITARIO COMPRADO]]*tblAquisições[[#This Row],[QUANTIDADE COMPRADA]]</f>
        <v>0</v>
      </c>
      <c r="N1591" s="110">
        <f>K1591-tblAquisições[[#This Row],[QUANTIDADE PLANEJADA]]</f>
        <v>-40</v>
      </c>
      <c r="O1591" s="106" t="str">
        <f t="shared" si="49"/>
        <v>Faltando Comprar</v>
      </c>
    </row>
    <row r="1592" spans="1:15" ht="47.25">
      <c r="A1592" s="16" t="s">
        <v>17</v>
      </c>
      <c r="B1592" s="16" t="s">
        <v>26</v>
      </c>
      <c r="C1592" s="17" t="s">
        <v>19</v>
      </c>
      <c r="D1592" s="18" t="s">
        <v>942</v>
      </c>
      <c r="E1592" s="18">
        <v>10</v>
      </c>
      <c r="F1592" s="18" t="s">
        <v>30</v>
      </c>
      <c r="G1592" s="18" t="s">
        <v>22</v>
      </c>
      <c r="H1592" s="18" t="s">
        <v>23</v>
      </c>
      <c r="I1592" s="19">
        <v>25</v>
      </c>
      <c r="J1592" s="20">
        <f t="shared" si="48"/>
        <v>250</v>
      </c>
      <c r="K1592" s="106"/>
      <c r="L1592" s="114"/>
      <c r="M1592" s="114">
        <f>tblAquisições[[#This Row],[VALOR UNITARIO COMPRADO]]*tblAquisições[[#This Row],[QUANTIDADE COMPRADA]]</f>
        <v>0</v>
      </c>
      <c r="N1592" s="110">
        <f>K1592-tblAquisições[[#This Row],[QUANTIDADE PLANEJADA]]</f>
        <v>-10</v>
      </c>
      <c r="O1592" s="106" t="str">
        <f t="shared" si="49"/>
        <v>Faltando Comprar</v>
      </c>
    </row>
    <row r="1593" spans="1:15" ht="47.25">
      <c r="A1593" s="16" t="s">
        <v>17</v>
      </c>
      <c r="B1593" s="16" t="s">
        <v>28</v>
      </c>
      <c r="C1593" s="17" t="s">
        <v>19</v>
      </c>
      <c r="D1593" s="18" t="s">
        <v>943</v>
      </c>
      <c r="E1593" s="18">
        <v>25</v>
      </c>
      <c r="F1593" s="18" t="s">
        <v>78</v>
      </c>
      <c r="G1593" s="18" t="s">
        <v>22</v>
      </c>
      <c r="H1593" s="18" t="s">
        <v>23</v>
      </c>
      <c r="I1593" s="19">
        <v>50.42</v>
      </c>
      <c r="J1593" s="20">
        <f t="shared" si="48"/>
        <v>1260.5</v>
      </c>
      <c r="K1593" s="106"/>
      <c r="L1593" s="114"/>
      <c r="M1593" s="114">
        <f>tblAquisições[[#This Row],[VALOR UNITARIO COMPRADO]]*tblAquisições[[#This Row],[QUANTIDADE COMPRADA]]</f>
        <v>0</v>
      </c>
      <c r="N1593" s="110">
        <f>K1593-tblAquisições[[#This Row],[QUANTIDADE PLANEJADA]]</f>
        <v>-25</v>
      </c>
      <c r="O1593" s="106" t="str">
        <f t="shared" si="49"/>
        <v>Faltando Comprar</v>
      </c>
    </row>
    <row r="1594" spans="1:15" ht="47.25">
      <c r="A1594" s="16" t="s">
        <v>17</v>
      </c>
      <c r="B1594" s="16" t="s">
        <v>59</v>
      </c>
      <c r="C1594" s="17" t="s">
        <v>19</v>
      </c>
      <c r="D1594" s="18" t="s">
        <v>944</v>
      </c>
      <c r="E1594" s="18">
        <v>10</v>
      </c>
      <c r="F1594" s="18" t="s">
        <v>58</v>
      </c>
      <c r="G1594" s="18" t="s">
        <v>22</v>
      </c>
      <c r="H1594" s="18" t="s">
        <v>65</v>
      </c>
      <c r="I1594" s="19">
        <v>38.270000000000003</v>
      </c>
      <c r="J1594" s="20">
        <f t="shared" si="48"/>
        <v>382.70000000000005</v>
      </c>
      <c r="K1594" s="106"/>
      <c r="L1594" s="114"/>
      <c r="M1594" s="114">
        <f>tblAquisições[[#This Row],[VALOR UNITARIO COMPRADO]]*tblAquisições[[#This Row],[QUANTIDADE COMPRADA]]</f>
        <v>0</v>
      </c>
      <c r="N1594" s="110">
        <f>K1594-tblAquisições[[#This Row],[QUANTIDADE PLANEJADA]]</f>
        <v>-10</v>
      </c>
      <c r="O1594" s="106" t="str">
        <f t="shared" si="49"/>
        <v>Faltando Comprar</v>
      </c>
    </row>
    <row r="1595" spans="1:15" ht="47.25">
      <c r="A1595" s="16" t="s">
        <v>17</v>
      </c>
      <c r="B1595" s="16" t="s">
        <v>28</v>
      </c>
      <c r="C1595" s="17" t="s">
        <v>19</v>
      </c>
      <c r="D1595" s="18" t="s">
        <v>945</v>
      </c>
      <c r="E1595" s="18">
        <v>3</v>
      </c>
      <c r="F1595" s="18" t="s">
        <v>78</v>
      </c>
      <c r="G1595" s="18" t="s">
        <v>22</v>
      </c>
      <c r="H1595" s="18" t="s">
        <v>23</v>
      </c>
      <c r="I1595" s="19">
        <v>42.96</v>
      </c>
      <c r="J1595" s="20">
        <f t="shared" si="48"/>
        <v>128.88</v>
      </c>
      <c r="K1595" s="106"/>
      <c r="L1595" s="114"/>
      <c r="M1595" s="114">
        <f>tblAquisições[[#This Row],[VALOR UNITARIO COMPRADO]]*tblAquisições[[#This Row],[QUANTIDADE COMPRADA]]</f>
        <v>0</v>
      </c>
      <c r="N1595" s="110">
        <f>K1595-tblAquisições[[#This Row],[QUANTIDADE PLANEJADA]]</f>
        <v>-3</v>
      </c>
      <c r="O1595" s="106" t="str">
        <f t="shared" si="49"/>
        <v>Faltando Comprar</v>
      </c>
    </row>
    <row r="1596" spans="1:15" ht="47.25">
      <c r="A1596" s="16" t="s">
        <v>17</v>
      </c>
      <c r="B1596" s="16" t="s">
        <v>28</v>
      </c>
      <c r="C1596" s="17" t="s">
        <v>19</v>
      </c>
      <c r="D1596" s="18" t="s">
        <v>946</v>
      </c>
      <c r="E1596" s="18">
        <v>10</v>
      </c>
      <c r="F1596" s="18" t="s">
        <v>78</v>
      </c>
      <c r="G1596" s="18" t="s">
        <v>22</v>
      </c>
      <c r="H1596" s="18" t="s">
        <v>23</v>
      </c>
      <c r="I1596" s="19">
        <v>616.23</v>
      </c>
      <c r="J1596" s="20">
        <f t="shared" si="48"/>
        <v>6162.3</v>
      </c>
      <c r="K1596" s="106"/>
      <c r="L1596" s="114"/>
      <c r="M1596" s="114">
        <f>tblAquisições[[#This Row],[VALOR UNITARIO COMPRADO]]*tblAquisições[[#This Row],[QUANTIDADE COMPRADA]]</f>
        <v>0</v>
      </c>
      <c r="N1596" s="110">
        <f>K1596-tblAquisições[[#This Row],[QUANTIDADE PLANEJADA]]</f>
        <v>-10</v>
      </c>
      <c r="O1596" s="106" t="str">
        <f t="shared" si="49"/>
        <v>Faltando Comprar</v>
      </c>
    </row>
    <row r="1597" spans="1:15" ht="47.25">
      <c r="A1597" s="16" t="s">
        <v>17</v>
      </c>
      <c r="B1597" s="16" t="s">
        <v>31</v>
      </c>
      <c r="C1597" s="17" t="s">
        <v>19</v>
      </c>
      <c r="D1597" s="18" t="s">
        <v>947</v>
      </c>
      <c r="E1597" s="18">
        <v>1</v>
      </c>
      <c r="F1597" s="18" t="s">
        <v>21</v>
      </c>
      <c r="G1597" s="18" t="s">
        <v>22</v>
      </c>
      <c r="H1597" s="18" t="s">
        <v>23</v>
      </c>
      <c r="I1597" s="19">
        <v>13319.12</v>
      </c>
      <c r="J1597" s="20">
        <f t="shared" si="48"/>
        <v>13319.12</v>
      </c>
      <c r="K1597" s="106"/>
      <c r="L1597" s="114"/>
      <c r="M1597" s="114">
        <f>tblAquisições[[#This Row],[VALOR UNITARIO COMPRADO]]*tblAquisições[[#This Row],[QUANTIDADE COMPRADA]]</f>
        <v>0</v>
      </c>
      <c r="N1597" s="110">
        <f>K1597-tblAquisições[[#This Row],[QUANTIDADE PLANEJADA]]</f>
        <v>-1</v>
      </c>
      <c r="O1597" s="106" t="str">
        <f t="shared" si="49"/>
        <v>Faltando Comprar</v>
      </c>
    </row>
    <row r="1598" spans="1:15" ht="47.25">
      <c r="A1598" s="16" t="s">
        <v>17</v>
      </c>
      <c r="B1598" s="16" t="s">
        <v>18</v>
      </c>
      <c r="C1598" s="17" t="s">
        <v>19</v>
      </c>
      <c r="D1598" s="18" t="s">
        <v>947</v>
      </c>
      <c r="E1598" s="18">
        <v>5</v>
      </c>
      <c r="F1598" s="18" t="s">
        <v>21</v>
      </c>
      <c r="G1598" s="18" t="s">
        <v>22</v>
      </c>
      <c r="H1598" s="18" t="s">
        <v>23</v>
      </c>
      <c r="I1598" s="19">
        <v>13319.12</v>
      </c>
      <c r="J1598" s="20">
        <f t="shared" si="48"/>
        <v>66595.600000000006</v>
      </c>
      <c r="K1598" s="106"/>
      <c r="L1598" s="114"/>
      <c r="M1598" s="114">
        <f>tblAquisições[[#This Row],[VALOR UNITARIO COMPRADO]]*tblAquisições[[#This Row],[QUANTIDADE COMPRADA]]</f>
        <v>0</v>
      </c>
      <c r="N1598" s="110">
        <f>K1598-tblAquisições[[#This Row],[QUANTIDADE PLANEJADA]]</f>
        <v>-5</v>
      </c>
      <c r="O1598" s="106" t="str">
        <f t="shared" si="49"/>
        <v>Faltando Comprar</v>
      </c>
    </row>
    <row r="1599" spans="1:15" ht="47.25">
      <c r="A1599" s="16" t="s">
        <v>17</v>
      </c>
      <c r="B1599" s="16" t="s">
        <v>24</v>
      </c>
      <c r="C1599" s="17" t="s">
        <v>19</v>
      </c>
      <c r="D1599" s="18" t="s">
        <v>947</v>
      </c>
      <c r="E1599" s="18">
        <v>5</v>
      </c>
      <c r="F1599" s="18" t="s">
        <v>21</v>
      </c>
      <c r="G1599" s="18" t="s">
        <v>22</v>
      </c>
      <c r="H1599" s="18" t="s">
        <v>23</v>
      </c>
      <c r="I1599" s="19">
        <v>13319.12</v>
      </c>
      <c r="J1599" s="20">
        <f t="shared" si="48"/>
        <v>66595.600000000006</v>
      </c>
      <c r="K1599" s="106"/>
      <c r="L1599" s="114"/>
      <c r="M1599" s="114">
        <f>tblAquisições[[#This Row],[VALOR UNITARIO COMPRADO]]*tblAquisições[[#This Row],[QUANTIDADE COMPRADA]]</f>
        <v>0</v>
      </c>
      <c r="N1599" s="110">
        <f>K1599-tblAquisições[[#This Row],[QUANTIDADE PLANEJADA]]</f>
        <v>-5</v>
      </c>
      <c r="O1599" s="106" t="str">
        <f t="shared" si="49"/>
        <v>Faltando Comprar</v>
      </c>
    </row>
    <row r="1600" spans="1:15" ht="47.25">
      <c r="A1600" s="16" t="s">
        <v>17</v>
      </c>
      <c r="B1600" s="16" t="s">
        <v>26</v>
      </c>
      <c r="C1600" s="17" t="s">
        <v>19</v>
      </c>
      <c r="D1600" s="18" t="s">
        <v>947</v>
      </c>
      <c r="E1600" s="18">
        <v>2</v>
      </c>
      <c r="F1600" s="18" t="s">
        <v>21</v>
      </c>
      <c r="G1600" s="18" t="s">
        <v>22</v>
      </c>
      <c r="H1600" s="18" t="s">
        <v>23</v>
      </c>
      <c r="I1600" s="19">
        <v>13319.12</v>
      </c>
      <c r="J1600" s="20">
        <f t="shared" si="48"/>
        <v>26638.240000000002</v>
      </c>
      <c r="K1600" s="106"/>
      <c r="L1600" s="114"/>
      <c r="M1600" s="114">
        <f>tblAquisições[[#This Row],[VALOR UNITARIO COMPRADO]]*tblAquisições[[#This Row],[QUANTIDADE COMPRADA]]</f>
        <v>0</v>
      </c>
      <c r="N1600" s="110">
        <f>K1600-tblAquisições[[#This Row],[QUANTIDADE PLANEJADA]]</f>
        <v>-2</v>
      </c>
      <c r="O1600" s="106" t="str">
        <f t="shared" si="49"/>
        <v>Faltando Comprar</v>
      </c>
    </row>
    <row r="1601" spans="1:15" ht="47.25">
      <c r="A1601" s="16" t="s">
        <v>17</v>
      </c>
      <c r="B1601" s="16" t="s">
        <v>26</v>
      </c>
      <c r="C1601" s="17" t="s">
        <v>19</v>
      </c>
      <c r="D1601" s="18" t="s">
        <v>948</v>
      </c>
      <c r="E1601" s="18">
        <v>1</v>
      </c>
      <c r="F1601" s="18" t="s">
        <v>126</v>
      </c>
      <c r="G1601" s="18" t="s">
        <v>127</v>
      </c>
      <c r="H1601" s="18" t="s">
        <v>23</v>
      </c>
      <c r="I1601" s="19">
        <v>15836.32</v>
      </c>
      <c r="J1601" s="20">
        <f t="shared" si="48"/>
        <v>15836.32</v>
      </c>
      <c r="K1601" s="106"/>
      <c r="L1601" s="114"/>
      <c r="M1601" s="114">
        <f>tblAquisições[[#This Row],[VALOR UNITARIO COMPRADO]]*tblAquisições[[#This Row],[QUANTIDADE COMPRADA]]</f>
        <v>0</v>
      </c>
      <c r="N1601" s="110">
        <f>K1601-tblAquisições[[#This Row],[QUANTIDADE PLANEJADA]]</f>
        <v>-1</v>
      </c>
      <c r="O1601" s="106" t="str">
        <f t="shared" si="49"/>
        <v>Faltando Comprar</v>
      </c>
    </row>
    <row r="1602" spans="1:15" ht="47.25">
      <c r="A1602" s="16" t="s">
        <v>17</v>
      </c>
      <c r="B1602" s="16" t="s">
        <v>26</v>
      </c>
      <c r="C1602" s="17" t="s">
        <v>19</v>
      </c>
      <c r="D1602" s="18" t="s">
        <v>949</v>
      </c>
      <c r="E1602" s="18">
        <v>1</v>
      </c>
      <c r="F1602" s="18" t="s">
        <v>126</v>
      </c>
      <c r="G1602" s="18" t="s">
        <v>127</v>
      </c>
      <c r="H1602" s="22"/>
      <c r="I1602" s="19">
        <v>48858</v>
      </c>
      <c r="J1602" s="20">
        <f t="shared" ref="J1602:J1665" si="50">E1602*I1602</f>
        <v>48858</v>
      </c>
      <c r="K1602" s="106"/>
      <c r="L1602" s="114"/>
      <c r="M1602" s="114">
        <f>tblAquisições[[#This Row],[VALOR UNITARIO COMPRADO]]*tblAquisições[[#This Row],[QUANTIDADE COMPRADA]]</f>
        <v>0</v>
      </c>
      <c r="N1602" s="110">
        <f>K1602-tblAquisições[[#This Row],[QUANTIDADE PLANEJADA]]</f>
        <v>-1</v>
      </c>
      <c r="O1602" s="106" t="str">
        <f t="shared" ref="O1602:O1665" si="51">IF(K1602=E1602,"OK",IF(K1602&lt;E1602,"Faltando Comprar","Excedente"))</f>
        <v>Faltando Comprar</v>
      </c>
    </row>
    <row r="1603" spans="1:15" ht="47.25">
      <c r="A1603" s="16" t="s">
        <v>17</v>
      </c>
      <c r="B1603" s="16" t="s">
        <v>28</v>
      </c>
      <c r="C1603" s="17" t="s">
        <v>19</v>
      </c>
      <c r="D1603" s="18" t="s">
        <v>950</v>
      </c>
      <c r="E1603" s="18">
        <v>4</v>
      </c>
      <c r="F1603" s="18" t="s">
        <v>21</v>
      </c>
      <c r="G1603" s="18" t="s">
        <v>22</v>
      </c>
      <c r="H1603" s="18" t="s">
        <v>23</v>
      </c>
      <c r="I1603" s="19">
        <v>25501.439999999999</v>
      </c>
      <c r="J1603" s="20">
        <f t="shared" si="50"/>
        <v>102005.75999999999</v>
      </c>
      <c r="K1603" s="106"/>
      <c r="L1603" s="114"/>
      <c r="M1603" s="114">
        <f>tblAquisições[[#This Row],[VALOR UNITARIO COMPRADO]]*tblAquisições[[#This Row],[QUANTIDADE COMPRADA]]</f>
        <v>0</v>
      </c>
      <c r="N1603" s="110">
        <f>K1603-tblAquisições[[#This Row],[QUANTIDADE PLANEJADA]]</f>
        <v>-4</v>
      </c>
      <c r="O1603" s="106" t="str">
        <f t="shared" si="51"/>
        <v>Faltando Comprar</v>
      </c>
    </row>
    <row r="1604" spans="1:15" ht="47.25">
      <c r="A1604" s="16" t="s">
        <v>17</v>
      </c>
      <c r="B1604" s="16" t="s">
        <v>28</v>
      </c>
      <c r="C1604" s="17" t="s">
        <v>19</v>
      </c>
      <c r="D1604" s="18" t="s">
        <v>951</v>
      </c>
      <c r="E1604" s="18">
        <v>7</v>
      </c>
      <c r="F1604" s="18" t="s">
        <v>21</v>
      </c>
      <c r="G1604" s="18" t="s">
        <v>22</v>
      </c>
      <c r="H1604" s="18" t="s">
        <v>23</v>
      </c>
      <c r="I1604" s="19">
        <v>26970</v>
      </c>
      <c r="J1604" s="20">
        <f t="shared" si="50"/>
        <v>188790</v>
      </c>
      <c r="K1604" s="106"/>
      <c r="L1604" s="114"/>
      <c r="M1604" s="114">
        <f>tblAquisições[[#This Row],[VALOR UNITARIO COMPRADO]]*tblAquisições[[#This Row],[QUANTIDADE COMPRADA]]</f>
        <v>0</v>
      </c>
      <c r="N1604" s="110">
        <f>K1604-tblAquisições[[#This Row],[QUANTIDADE PLANEJADA]]</f>
        <v>-7</v>
      </c>
      <c r="O1604" s="106" t="str">
        <f t="shared" si="51"/>
        <v>Faltando Comprar</v>
      </c>
    </row>
    <row r="1605" spans="1:15" ht="31.5">
      <c r="A1605" s="16" t="s">
        <v>17</v>
      </c>
      <c r="B1605" s="16" t="s">
        <v>26</v>
      </c>
      <c r="C1605" s="17" t="s">
        <v>19</v>
      </c>
      <c r="D1605" s="18" t="s">
        <v>952</v>
      </c>
      <c r="E1605" s="18">
        <v>5</v>
      </c>
      <c r="F1605" s="18" t="s">
        <v>170</v>
      </c>
      <c r="G1605" s="18" t="s">
        <v>22</v>
      </c>
      <c r="H1605" s="18" t="s">
        <v>23</v>
      </c>
      <c r="I1605" s="19">
        <v>64.599999999999994</v>
      </c>
      <c r="J1605" s="20">
        <f t="shared" si="50"/>
        <v>323</v>
      </c>
      <c r="K1605" s="106"/>
      <c r="L1605" s="114"/>
      <c r="M1605" s="114">
        <f>tblAquisições[[#This Row],[VALOR UNITARIO COMPRADO]]*tblAquisições[[#This Row],[QUANTIDADE COMPRADA]]</f>
        <v>0</v>
      </c>
      <c r="N1605" s="110">
        <f>K1605-tblAquisições[[#This Row],[QUANTIDADE PLANEJADA]]</f>
        <v>-5</v>
      </c>
      <c r="O1605" s="106" t="str">
        <f t="shared" si="51"/>
        <v>Faltando Comprar</v>
      </c>
    </row>
    <row r="1606" spans="1:15" ht="47.25">
      <c r="A1606" s="16" t="s">
        <v>17</v>
      </c>
      <c r="B1606" s="16" t="s">
        <v>18</v>
      </c>
      <c r="C1606" s="17" t="s">
        <v>19</v>
      </c>
      <c r="D1606" s="18" t="s">
        <v>953</v>
      </c>
      <c r="E1606" s="18">
        <v>2</v>
      </c>
      <c r="F1606" s="18" t="s">
        <v>126</v>
      </c>
      <c r="G1606" s="18" t="s">
        <v>127</v>
      </c>
      <c r="H1606" s="18" t="s">
        <v>23</v>
      </c>
      <c r="I1606" s="19">
        <v>16500</v>
      </c>
      <c r="J1606" s="20">
        <f t="shared" si="50"/>
        <v>33000</v>
      </c>
      <c r="K1606" s="106"/>
      <c r="L1606" s="114"/>
      <c r="M1606" s="114">
        <f>tblAquisições[[#This Row],[VALOR UNITARIO COMPRADO]]*tblAquisições[[#This Row],[QUANTIDADE COMPRADA]]</f>
        <v>0</v>
      </c>
      <c r="N1606" s="110">
        <f>K1606-tblAquisições[[#This Row],[QUANTIDADE PLANEJADA]]</f>
        <v>-2</v>
      </c>
      <c r="O1606" s="106" t="str">
        <f t="shared" si="51"/>
        <v>Faltando Comprar</v>
      </c>
    </row>
    <row r="1607" spans="1:15" ht="47.25">
      <c r="A1607" s="16" t="s">
        <v>17</v>
      </c>
      <c r="B1607" s="16" t="s">
        <v>24</v>
      </c>
      <c r="C1607" s="17" t="s">
        <v>19</v>
      </c>
      <c r="D1607" s="18" t="s">
        <v>953</v>
      </c>
      <c r="E1607" s="18">
        <v>2</v>
      </c>
      <c r="F1607" s="18" t="s">
        <v>126</v>
      </c>
      <c r="G1607" s="18" t="s">
        <v>127</v>
      </c>
      <c r="H1607" s="18" t="s">
        <v>23</v>
      </c>
      <c r="I1607" s="19">
        <v>16500</v>
      </c>
      <c r="J1607" s="20">
        <f t="shared" si="50"/>
        <v>33000</v>
      </c>
      <c r="K1607" s="106"/>
      <c r="L1607" s="114"/>
      <c r="M1607" s="114">
        <f>tblAquisições[[#This Row],[VALOR UNITARIO COMPRADO]]*tblAquisições[[#This Row],[QUANTIDADE COMPRADA]]</f>
        <v>0</v>
      </c>
      <c r="N1607" s="110">
        <f>K1607-tblAquisições[[#This Row],[QUANTIDADE PLANEJADA]]</f>
        <v>-2</v>
      </c>
      <c r="O1607" s="106" t="str">
        <f t="shared" si="51"/>
        <v>Faltando Comprar</v>
      </c>
    </row>
    <row r="1608" spans="1:15" ht="47.25">
      <c r="A1608" s="16" t="s">
        <v>17</v>
      </c>
      <c r="B1608" s="16" t="s">
        <v>25</v>
      </c>
      <c r="C1608" s="17" t="s">
        <v>19</v>
      </c>
      <c r="D1608" s="18" t="s">
        <v>953</v>
      </c>
      <c r="E1608" s="18">
        <v>2</v>
      </c>
      <c r="F1608" s="18" t="s">
        <v>126</v>
      </c>
      <c r="G1608" s="18" t="s">
        <v>127</v>
      </c>
      <c r="H1608" s="18" t="s">
        <v>23</v>
      </c>
      <c r="I1608" s="19">
        <v>16500</v>
      </c>
      <c r="J1608" s="20">
        <f t="shared" si="50"/>
        <v>33000</v>
      </c>
      <c r="K1608" s="106"/>
      <c r="L1608" s="114"/>
      <c r="M1608" s="114">
        <f>tblAquisições[[#This Row],[VALOR UNITARIO COMPRADO]]*tblAquisições[[#This Row],[QUANTIDADE COMPRADA]]</f>
        <v>0</v>
      </c>
      <c r="N1608" s="110">
        <f>K1608-tblAquisições[[#This Row],[QUANTIDADE PLANEJADA]]</f>
        <v>-2</v>
      </c>
      <c r="O1608" s="106" t="str">
        <f t="shared" si="51"/>
        <v>Faltando Comprar</v>
      </c>
    </row>
    <row r="1609" spans="1:15" ht="47.25">
      <c r="A1609" s="16" t="s">
        <v>17</v>
      </c>
      <c r="B1609" s="16" t="s">
        <v>59</v>
      </c>
      <c r="C1609" s="17" t="s">
        <v>19</v>
      </c>
      <c r="D1609" s="18" t="s">
        <v>954</v>
      </c>
      <c r="E1609" s="18">
        <v>10</v>
      </c>
      <c r="F1609" s="18" t="s">
        <v>58</v>
      </c>
      <c r="G1609" s="18" t="s">
        <v>22</v>
      </c>
      <c r="H1609" s="18" t="s">
        <v>23</v>
      </c>
      <c r="I1609" s="19">
        <v>7.85</v>
      </c>
      <c r="J1609" s="20">
        <f t="shared" si="50"/>
        <v>78.5</v>
      </c>
      <c r="K1609" s="106"/>
      <c r="L1609" s="114"/>
      <c r="M1609" s="114">
        <f>tblAquisições[[#This Row],[VALOR UNITARIO COMPRADO]]*tblAquisições[[#This Row],[QUANTIDADE COMPRADA]]</f>
        <v>0</v>
      </c>
      <c r="N1609" s="110">
        <f>K1609-tblAquisições[[#This Row],[QUANTIDADE PLANEJADA]]</f>
        <v>-10</v>
      </c>
      <c r="O1609" s="106" t="str">
        <f t="shared" si="51"/>
        <v>Faltando Comprar</v>
      </c>
    </row>
    <row r="1610" spans="1:15" ht="31.5">
      <c r="A1610" s="16" t="s">
        <v>17</v>
      </c>
      <c r="B1610" s="16" t="s">
        <v>41</v>
      </c>
      <c r="C1610" s="17" t="s">
        <v>19</v>
      </c>
      <c r="D1610" s="18" t="s">
        <v>955</v>
      </c>
      <c r="E1610" s="18">
        <v>100</v>
      </c>
      <c r="F1610" s="18" t="s">
        <v>21</v>
      </c>
      <c r="G1610" s="18" t="s">
        <v>22</v>
      </c>
      <c r="H1610" s="18" t="s">
        <v>23</v>
      </c>
      <c r="I1610" s="19">
        <v>1.08</v>
      </c>
      <c r="J1610" s="20">
        <f t="shared" si="50"/>
        <v>108</v>
      </c>
      <c r="K1610" s="106"/>
      <c r="L1610" s="114"/>
      <c r="M1610" s="114">
        <f>tblAquisições[[#This Row],[VALOR UNITARIO COMPRADO]]*tblAquisições[[#This Row],[QUANTIDADE COMPRADA]]</f>
        <v>0</v>
      </c>
      <c r="N1610" s="110">
        <f>K1610-tblAquisições[[#This Row],[QUANTIDADE PLANEJADA]]</f>
        <v>-100</v>
      </c>
      <c r="O1610" s="106" t="str">
        <f t="shared" si="51"/>
        <v>Faltando Comprar</v>
      </c>
    </row>
    <row r="1611" spans="1:15" ht="31.5">
      <c r="A1611" s="16" t="s">
        <v>17</v>
      </c>
      <c r="B1611" s="16" t="s">
        <v>28</v>
      </c>
      <c r="C1611" s="17" t="s">
        <v>19</v>
      </c>
      <c r="D1611" s="18" t="s">
        <v>955</v>
      </c>
      <c r="E1611" s="18">
        <v>24</v>
      </c>
      <c r="F1611" s="18" t="s">
        <v>21</v>
      </c>
      <c r="G1611" s="18" t="s">
        <v>22</v>
      </c>
      <c r="H1611" s="18" t="s">
        <v>23</v>
      </c>
      <c r="I1611" s="19">
        <v>1.08</v>
      </c>
      <c r="J1611" s="20">
        <f t="shared" si="50"/>
        <v>25.92</v>
      </c>
      <c r="K1611" s="106"/>
      <c r="L1611" s="114"/>
      <c r="M1611" s="114">
        <f>tblAquisições[[#This Row],[VALOR UNITARIO COMPRADO]]*tblAquisições[[#This Row],[QUANTIDADE COMPRADA]]</f>
        <v>0</v>
      </c>
      <c r="N1611" s="110">
        <f>K1611-tblAquisições[[#This Row],[QUANTIDADE PLANEJADA]]</f>
        <v>-24</v>
      </c>
      <c r="O1611" s="106" t="str">
        <f t="shared" si="51"/>
        <v>Faltando Comprar</v>
      </c>
    </row>
    <row r="1612" spans="1:15" ht="31.5">
      <c r="A1612" s="16" t="s">
        <v>17</v>
      </c>
      <c r="B1612" s="16" t="s">
        <v>17</v>
      </c>
      <c r="C1612" s="17" t="s">
        <v>19</v>
      </c>
      <c r="D1612" s="18" t="s">
        <v>956</v>
      </c>
      <c r="E1612" s="18">
        <v>15</v>
      </c>
      <c r="F1612" s="18" t="s">
        <v>38</v>
      </c>
      <c r="G1612" s="18" t="s">
        <v>39</v>
      </c>
      <c r="H1612" s="18" t="s">
        <v>65</v>
      </c>
      <c r="I1612" s="24">
        <v>81.599999999999994</v>
      </c>
      <c r="J1612" s="20">
        <f t="shared" si="50"/>
        <v>1224</v>
      </c>
      <c r="K1612" s="106"/>
      <c r="L1612" s="114"/>
      <c r="M1612" s="114">
        <f>tblAquisições[[#This Row],[VALOR UNITARIO COMPRADO]]*tblAquisições[[#This Row],[QUANTIDADE COMPRADA]]</f>
        <v>0</v>
      </c>
      <c r="N1612" s="110">
        <f>K1612-tblAquisições[[#This Row],[QUANTIDADE PLANEJADA]]</f>
        <v>-15</v>
      </c>
      <c r="O1612" s="106" t="str">
        <f t="shared" si="51"/>
        <v>Faltando Comprar</v>
      </c>
    </row>
    <row r="1613" spans="1:15" ht="31.5">
      <c r="A1613" s="16" t="s">
        <v>17</v>
      </c>
      <c r="B1613" s="16" t="s">
        <v>18</v>
      </c>
      <c r="C1613" s="17" t="s">
        <v>19</v>
      </c>
      <c r="D1613" s="18" t="s">
        <v>957</v>
      </c>
      <c r="E1613" s="18">
        <v>800</v>
      </c>
      <c r="F1613" s="18" t="s">
        <v>21</v>
      </c>
      <c r="G1613" s="18" t="s">
        <v>22</v>
      </c>
      <c r="H1613" s="18" t="s">
        <v>83</v>
      </c>
      <c r="I1613" s="19">
        <v>0.83</v>
      </c>
      <c r="J1613" s="20">
        <f t="shared" si="50"/>
        <v>664</v>
      </c>
      <c r="K1613" s="106"/>
      <c r="L1613" s="114"/>
      <c r="M1613" s="114">
        <f>tblAquisições[[#This Row],[VALOR UNITARIO COMPRADO]]*tblAquisições[[#This Row],[QUANTIDADE COMPRADA]]</f>
        <v>0</v>
      </c>
      <c r="N1613" s="110">
        <f>K1613-tblAquisições[[#This Row],[QUANTIDADE PLANEJADA]]</f>
        <v>-800</v>
      </c>
      <c r="O1613" s="106" t="str">
        <f t="shared" si="51"/>
        <v>Faltando Comprar</v>
      </c>
    </row>
    <row r="1614" spans="1:15" ht="31.5">
      <c r="A1614" s="16" t="s">
        <v>17</v>
      </c>
      <c r="B1614" s="16" t="s">
        <v>24</v>
      </c>
      <c r="C1614" s="17" t="s">
        <v>19</v>
      </c>
      <c r="D1614" s="18" t="s">
        <v>957</v>
      </c>
      <c r="E1614" s="18">
        <v>800</v>
      </c>
      <c r="F1614" s="18" t="s">
        <v>21</v>
      </c>
      <c r="G1614" s="18" t="s">
        <v>22</v>
      </c>
      <c r="H1614" s="18" t="s">
        <v>83</v>
      </c>
      <c r="I1614" s="19">
        <v>0.83</v>
      </c>
      <c r="J1614" s="20">
        <f t="shared" si="50"/>
        <v>664</v>
      </c>
      <c r="K1614" s="106"/>
      <c r="L1614" s="114"/>
      <c r="M1614" s="114">
        <f>tblAquisições[[#This Row],[VALOR UNITARIO COMPRADO]]*tblAquisições[[#This Row],[QUANTIDADE COMPRADA]]</f>
        <v>0</v>
      </c>
      <c r="N1614" s="110">
        <f>K1614-tblAquisições[[#This Row],[QUANTIDADE PLANEJADA]]</f>
        <v>-800</v>
      </c>
      <c r="O1614" s="106" t="str">
        <f t="shared" si="51"/>
        <v>Faltando Comprar</v>
      </c>
    </row>
    <row r="1615" spans="1:15" ht="31.5">
      <c r="A1615" s="16" t="s">
        <v>17</v>
      </c>
      <c r="B1615" s="16" t="s">
        <v>25</v>
      </c>
      <c r="C1615" s="17" t="s">
        <v>19</v>
      </c>
      <c r="D1615" s="18" t="s">
        <v>957</v>
      </c>
      <c r="E1615" s="18">
        <v>800</v>
      </c>
      <c r="F1615" s="18" t="s">
        <v>21</v>
      </c>
      <c r="G1615" s="18" t="s">
        <v>22</v>
      </c>
      <c r="H1615" s="18" t="s">
        <v>83</v>
      </c>
      <c r="I1615" s="19">
        <v>0.83</v>
      </c>
      <c r="J1615" s="20">
        <f t="shared" si="50"/>
        <v>664</v>
      </c>
      <c r="K1615" s="106"/>
      <c r="L1615" s="114"/>
      <c r="M1615" s="114">
        <f>tblAquisições[[#This Row],[VALOR UNITARIO COMPRADO]]*tblAquisições[[#This Row],[QUANTIDADE COMPRADA]]</f>
        <v>0</v>
      </c>
      <c r="N1615" s="110">
        <f>K1615-tblAquisições[[#This Row],[QUANTIDADE PLANEJADA]]</f>
        <v>-800</v>
      </c>
      <c r="O1615" s="106" t="str">
        <f t="shared" si="51"/>
        <v>Faltando Comprar</v>
      </c>
    </row>
    <row r="1616" spans="1:15" ht="31.5">
      <c r="A1616" s="16" t="s">
        <v>17</v>
      </c>
      <c r="B1616" s="16" t="s">
        <v>80</v>
      </c>
      <c r="C1616" s="17" t="s">
        <v>19</v>
      </c>
      <c r="D1616" s="18" t="s">
        <v>958</v>
      </c>
      <c r="E1616" s="18">
        <v>468</v>
      </c>
      <c r="F1616" s="18" t="s">
        <v>38</v>
      </c>
      <c r="G1616" s="18" t="s">
        <v>39</v>
      </c>
      <c r="H1616" s="18" t="s">
        <v>23</v>
      </c>
      <c r="I1616" s="19">
        <v>14.93</v>
      </c>
      <c r="J1616" s="20">
        <f t="shared" si="50"/>
        <v>6987.24</v>
      </c>
      <c r="K1616" s="106"/>
      <c r="L1616" s="114"/>
      <c r="M1616" s="114">
        <f>tblAquisições[[#This Row],[VALOR UNITARIO COMPRADO]]*tblAquisições[[#This Row],[QUANTIDADE COMPRADA]]</f>
        <v>0</v>
      </c>
      <c r="N1616" s="110">
        <f>K1616-tblAquisições[[#This Row],[QUANTIDADE PLANEJADA]]</f>
        <v>-468</v>
      </c>
      <c r="O1616" s="106" t="str">
        <f t="shared" si="51"/>
        <v>Faltando Comprar</v>
      </c>
    </row>
    <row r="1617" spans="1:15" ht="31.5">
      <c r="A1617" s="16" t="s">
        <v>17</v>
      </c>
      <c r="B1617" s="16" t="s">
        <v>959</v>
      </c>
      <c r="C1617" s="17" t="s">
        <v>19</v>
      </c>
      <c r="D1617" s="18" t="s">
        <v>958</v>
      </c>
      <c r="E1617" s="18">
        <v>468</v>
      </c>
      <c r="F1617" s="18" t="s">
        <v>38</v>
      </c>
      <c r="G1617" s="18" t="s">
        <v>39</v>
      </c>
      <c r="H1617" s="18" t="s">
        <v>23</v>
      </c>
      <c r="I1617" s="19">
        <v>14.93</v>
      </c>
      <c r="J1617" s="20">
        <f t="shared" si="50"/>
        <v>6987.24</v>
      </c>
      <c r="K1617" s="106"/>
      <c r="L1617" s="114"/>
      <c r="M1617" s="114">
        <f>tblAquisições[[#This Row],[VALOR UNITARIO COMPRADO]]*tblAquisições[[#This Row],[QUANTIDADE COMPRADA]]</f>
        <v>0</v>
      </c>
      <c r="N1617" s="110">
        <f>K1617-tblAquisições[[#This Row],[QUANTIDADE PLANEJADA]]</f>
        <v>-468</v>
      </c>
      <c r="O1617" s="106" t="str">
        <f t="shared" si="51"/>
        <v>Faltando Comprar</v>
      </c>
    </row>
    <row r="1618" spans="1:15" ht="31.5">
      <c r="A1618" s="16" t="s">
        <v>17</v>
      </c>
      <c r="B1618" s="16" t="s">
        <v>26</v>
      </c>
      <c r="C1618" s="17" t="s">
        <v>19</v>
      </c>
      <c r="D1618" s="18" t="s">
        <v>960</v>
      </c>
      <c r="E1618" s="18">
        <v>200</v>
      </c>
      <c r="F1618" s="18" t="s">
        <v>21</v>
      </c>
      <c r="G1618" s="18" t="s">
        <v>22</v>
      </c>
      <c r="H1618" s="18" t="s">
        <v>23</v>
      </c>
      <c r="I1618" s="19">
        <v>14.93</v>
      </c>
      <c r="J1618" s="20">
        <f t="shared" si="50"/>
        <v>2986</v>
      </c>
      <c r="K1618" s="106"/>
      <c r="L1618" s="114"/>
      <c r="M1618" s="114">
        <f>tblAquisições[[#This Row],[VALOR UNITARIO COMPRADO]]*tblAquisições[[#This Row],[QUANTIDADE COMPRADA]]</f>
        <v>0</v>
      </c>
      <c r="N1618" s="110">
        <f>K1618-tblAquisições[[#This Row],[QUANTIDADE PLANEJADA]]</f>
        <v>-200</v>
      </c>
      <c r="O1618" s="106" t="str">
        <f t="shared" si="51"/>
        <v>Faltando Comprar</v>
      </c>
    </row>
    <row r="1619" spans="1:15" ht="31.5">
      <c r="A1619" s="16" t="s">
        <v>17</v>
      </c>
      <c r="B1619" s="16" t="s">
        <v>28</v>
      </c>
      <c r="C1619" s="17" t="s">
        <v>19</v>
      </c>
      <c r="D1619" s="18" t="s">
        <v>961</v>
      </c>
      <c r="E1619" s="18">
        <v>60</v>
      </c>
      <c r="F1619" s="18" t="s">
        <v>21</v>
      </c>
      <c r="G1619" s="18" t="s">
        <v>22</v>
      </c>
      <c r="H1619" s="18" t="s">
        <v>23</v>
      </c>
      <c r="I1619" s="19">
        <v>0.93</v>
      </c>
      <c r="J1619" s="20">
        <f t="shared" si="50"/>
        <v>55.800000000000004</v>
      </c>
      <c r="K1619" s="106"/>
      <c r="L1619" s="114"/>
      <c r="M1619" s="114">
        <f>tblAquisições[[#This Row],[VALOR UNITARIO COMPRADO]]*tblAquisições[[#This Row],[QUANTIDADE COMPRADA]]</f>
        <v>0</v>
      </c>
      <c r="N1619" s="110">
        <f>K1619-tblAquisições[[#This Row],[QUANTIDADE PLANEJADA]]</f>
        <v>-60</v>
      </c>
      <c r="O1619" s="106" t="str">
        <f t="shared" si="51"/>
        <v>Faltando Comprar</v>
      </c>
    </row>
    <row r="1620" spans="1:15" ht="31.5">
      <c r="A1620" s="16" t="s">
        <v>17</v>
      </c>
      <c r="B1620" s="16" t="s">
        <v>31</v>
      </c>
      <c r="C1620" s="17" t="s">
        <v>19</v>
      </c>
      <c r="D1620" s="18" t="s">
        <v>962</v>
      </c>
      <c r="E1620" s="18">
        <v>90</v>
      </c>
      <c r="F1620" s="18" t="s">
        <v>21</v>
      </c>
      <c r="G1620" s="18" t="s">
        <v>22</v>
      </c>
      <c r="H1620" s="18" t="s">
        <v>23</v>
      </c>
      <c r="I1620" s="19">
        <v>11.07</v>
      </c>
      <c r="J1620" s="20">
        <f t="shared" si="50"/>
        <v>996.30000000000007</v>
      </c>
      <c r="K1620" s="106"/>
      <c r="L1620" s="114"/>
      <c r="M1620" s="114">
        <f>tblAquisições[[#This Row],[VALOR UNITARIO COMPRADO]]*tblAquisições[[#This Row],[QUANTIDADE COMPRADA]]</f>
        <v>0</v>
      </c>
      <c r="N1620" s="110">
        <f>K1620-tblAquisições[[#This Row],[QUANTIDADE PLANEJADA]]</f>
        <v>-90</v>
      </c>
      <c r="O1620" s="106" t="str">
        <f t="shared" si="51"/>
        <v>Faltando Comprar</v>
      </c>
    </row>
    <row r="1621" spans="1:15" ht="31.5">
      <c r="A1621" s="16" t="s">
        <v>17</v>
      </c>
      <c r="B1621" s="16" t="s">
        <v>28</v>
      </c>
      <c r="C1621" s="17" t="s">
        <v>19</v>
      </c>
      <c r="D1621" s="18" t="s">
        <v>963</v>
      </c>
      <c r="E1621" s="18">
        <v>15</v>
      </c>
      <c r="F1621" s="18" t="s">
        <v>21</v>
      </c>
      <c r="G1621" s="18" t="s">
        <v>22</v>
      </c>
      <c r="H1621" s="18" t="s">
        <v>23</v>
      </c>
      <c r="I1621" s="19">
        <v>161.62</v>
      </c>
      <c r="J1621" s="20">
        <f t="shared" si="50"/>
        <v>2424.3000000000002</v>
      </c>
      <c r="K1621" s="106"/>
      <c r="L1621" s="114"/>
      <c r="M1621" s="114">
        <f>tblAquisições[[#This Row],[VALOR UNITARIO COMPRADO]]*tblAquisições[[#This Row],[QUANTIDADE COMPRADA]]</f>
        <v>0</v>
      </c>
      <c r="N1621" s="110">
        <f>K1621-tblAquisições[[#This Row],[QUANTIDADE PLANEJADA]]</f>
        <v>-15</v>
      </c>
      <c r="O1621" s="106" t="str">
        <f t="shared" si="51"/>
        <v>Faltando Comprar</v>
      </c>
    </row>
    <row r="1622" spans="1:15" ht="31.5">
      <c r="A1622" s="16" t="s">
        <v>17</v>
      </c>
      <c r="B1622" s="16" t="s">
        <v>18</v>
      </c>
      <c r="C1622" s="17" t="s">
        <v>19</v>
      </c>
      <c r="D1622" s="18" t="s">
        <v>964</v>
      </c>
      <c r="E1622" s="18">
        <v>1</v>
      </c>
      <c r="F1622" s="18" t="s">
        <v>21</v>
      </c>
      <c r="G1622" s="18" t="s">
        <v>22</v>
      </c>
      <c r="H1622" s="18" t="s">
        <v>23</v>
      </c>
      <c r="I1622" s="19">
        <v>73.8</v>
      </c>
      <c r="J1622" s="20">
        <f t="shared" si="50"/>
        <v>73.8</v>
      </c>
      <c r="K1622" s="106"/>
      <c r="L1622" s="114"/>
      <c r="M1622" s="114">
        <f>tblAquisições[[#This Row],[VALOR UNITARIO COMPRADO]]*tblAquisições[[#This Row],[QUANTIDADE COMPRADA]]</f>
        <v>0</v>
      </c>
      <c r="N1622" s="110">
        <f>K1622-tblAquisições[[#This Row],[QUANTIDADE PLANEJADA]]</f>
        <v>-1</v>
      </c>
      <c r="O1622" s="106" t="str">
        <f t="shared" si="51"/>
        <v>Faltando Comprar</v>
      </c>
    </row>
    <row r="1623" spans="1:15" ht="31.5">
      <c r="A1623" s="16" t="s">
        <v>17</v>
      </c>
      <c r="B1623" s="16" t="s">
        <v>24</v>
      </c>
      <c r="C1623" s="17" t="s">
        <v>19</v>
      </c>
      <c r="D1623" s="18" t="s">
        <v>964</v>
      </c>
      <c r="E1623" s="18">
        <v>1</v>
      </c>
      <c r="F1623" s="18" t="s">
        <v>21</v>
      </c>
      <c r="G1623" s="18" t="s">
        <v>22</v>
      </c>
      <c r="H1623" s="18" t="s">
        <v>23</v>
      </c>
      <c r="I1623" s="19">
        <v>73.8</v>
      </c>
      <c r="J1623" s="20">
        <f t="shared" si="50"/>
        <v>73.8</v>
      </c>
      <c r="K1623" s="106"/>
      <c r="L1623" s="114"/>
      <c r="M1623" s="114">
        <f>tblAquisições[[#This Row],[VALOR UNITARIO COMPRADO]]*tblAquisições[[#This Row],[QUANTIDADE COMPRADA]]</f>
        <v>0</v>
      </c>
      <c r="N1623" s="110">
        <f>K1623-tblAquisições[[#This Row],[QUANTIDADE PLANEJADA]]</f>
        <v>-1</v>
      </c>
      <c r="O1623" s="106" t="str">
        <f t="shared" si="51"/>
        <v>Faltando Comprar</v>
      </c>
    </row>
    <row r="1624" spans="1:15" ht="47.25">
      <c r="A1624" s="16" t="s">
        <v>17</v>
      </c>
      <c r="B1624" s="16" t="s">
        <v>18</v>
      </c>
      <c r="C1624" s="17" t="s">
        <v>19</v>
      </c>
      <c r="D1624" s="18" t="s">
        <v>965</v>
      </c>
      <c r="E1624" s="18">
        <v>1</v>
      </c>
      <c r="F1624" s="18" t="s">
        <v>126</v>
      </c>
      <c r="G1624" s="18" t="s">
        <v>127</v>
      </c>
      <c r="H1624" s="18" t="s">
        <v>23</v>
      </c>
      <c r="I1624" s="19">
        <v>52500</v>
      </c>
      <c r="J1624" s="20">
        <f t="shared" si="50"/>
        <v>52500</v>
      </c>
      <c r="K1624" s="106"/>
      <c r="L1624" s="114"/>
      <c r="M1624" s="114">
        <f>tblAquisições[[#This Row],[VALOR UNITARIO COMPRADO]]*tblAquisições[[#This Row],[QUANTIDADE COMPRADA]]</f>
        <v>0</v>
      </c>
      <c r="N1624" s="110">
        <f>K1624-tblAquisições[[#This Row],[QUANTIDADE PLANEJADA]]</f>
        <v>-1</v>
      </c>
      <c r="O1624" s="106" t="str">
        <f t="shared" si="51"/>
        <v>Faltando Comprar</v>
      </c>
    </row>
    <row r="1625" spans="1:15" ht="47.25">
      <c r="A1625" s="16" t="s">
        <v>17</v>
      </c>
      <c r="B1625" s="16" t="s">
        <v>24</v>
      </c>
      <c r="C1625" s="17" t="s">
        <v>19</v>
      </c>
      <c r="D1625" s="18" t="s">
        <v>965</v>
      </c>
      <c r="E1625" s="18">
        <v>1</v>
      </c>
      <c r="F1625" s="18" t="s">
        <v>126</v>
      </c>
      <c r="G1625" s="18" t="s">
        <v>127</v>
      </c>
      <c r="H1625" s="18" t="s">
        <v>23</v>
      </c>
      <c r="I1625" s="19">
        <v>52500</v>
      </c>
      <c r="J1625" s="20">
        <f t="shared" si="50"/>
        <v>52500</v>
      </c>
      <c r="K1625" s="106"/>
      <c r="L1625" s="114"/>
      <c r="M1625" s="114">
        <f>tblAquisições[[#This Row],[VALOR UNITARIO COMPRADO]]*tblAquisições[[#This Row],[QUANTIDADE COMPRADA]]</f>
        <v>0</v>
      </c>
      <c r="N1625" s="110">
        <f>K1625-tblAquisições[[#This Row],[QUANTIDADE PLANEJADA]]</f>
        <v>-1</v>
      </c>
      <c r="O1625" s="106" t="str">
        <f t="shared" si="51"/>
        <v>Faltando Comprar</v>
      </c>
    </row>
    <row r="1626" spans="1:15" ht="63">
      <c r="A1626" s="16" t="s">
        <v>17</v>
      </c>
      <c r="B1626" s="16" t="s">
        <v>18</v>
      </c>
      <c r="C1626" s="17" t="s">
        <v>19</v>
      </c>
      <c r="D1626" s="18" t="s">
        <v>966</v>
      </c>
      <c r="E1626" s="18">
        <v>8</v>
      </c>
      <c r="F1626" s="18" t="s">
        <v>30</v>
      </c>
      <c r="G1626" s="18" t="s">
        <v>22</v>
      </c>
      <c r="H1626" s="18" t="s">
        <v>23</v>
      </c>
      <c r="I1626" s="19">
        <v>8000</v>
      </c>
      <c r="J1626" s="20">
        <f t="shared" si="50"/>
        <v>64000</v>
      </c>
      <c r="K1626" s="106"/>
      <c r="L1626" s="114"/>
      <c r="M1626" s="114">
        <f>tblAquisições[[#This Row],[VALOR UNITARIO COMPRADO]]*tblAquisições[[#This Row],[QUANTIDADE COMPRADA]]</f>
        <v>0</v>
      </c>
      <c r="N1626" s="110">
        <f>K1626-tblAquisições[[#This Row],[QUANTIDADE PLANEJADA]]</f>
        <v>-8</v>
      </c>
      <c r="O1626" s="106" t="str">
        <f t="shared" si="51"/>
        <v>Faltando Comprar</v>
      </c>
    </row>
    <row r="1627" spans="1:15" ht="63">
      <c r="A1627" s="16" t="s">
        <v>17</v>
      </c>
      <c r="B1627" s="16" t="s">
        <v>24</v>
      </c>
      <c r="C1627" s="17" t="s">
        <v>19</v>
      </c>
      <c r="D1627" s="18" t="s">
        <v>966</v>
      </c>
      <c r="E1627" s="18">
        <v>8</v>
      </c>
      <c r="F1627" s="18" t="s">
        <v>30</v>
      </c>
      <c r="G1627" s="18" t="s">
        <v>22</v>
      </c>
      <c r="H1627" s="18" t="s">
        <v>23</v>
      </c>
      <c r="I1627" s="19">
        <v>8000</v>
      </c>
      <c r="J1627" s="20">
        <f t="shared" si="50"/>
        <v>64000</v>
      </c>
      <c r="K1627" s="106"/>
      <c r="L1627" s="114"/>
      <c r="M1627" s="114">
        <f>tblAquisições[[#This Row],[VALOR UNITARIO COMPRADO]]*tblAquisições[[#This Row],[QUANTIDADE COMPRADA]]</f>
        <v>0</v>
      </c>
      <c r="N1627" s="110">
        <f>K1627-tblAquisições[[#This Row],[QUANTIDADE PLANEJADA]]</f>
        <v>-8</v>
      </c>
      <c r="O1627" s="106" t="str">
        <f t="shared" si="51"/>
        <v>Faltando Comprar</v>
      </c>
    </row>
    <row r="1628" spans="1:15" ht="63">
      <c r="A1628" s="16" t="s">
        <v>17</v>
      </c>
      <c r="B1628" s="16" t="s">
        <v>25</v>
      </c>
      <c r="C1628" s="17" t="s">
        <v>19</v>
      </c>
      <c r="D1628" s="18" t="s">
        <v>966</v>
      </c>
      <c r="E1628" s="18">
        <v>8</v>
      </c>
      <c r="F1628" s="18" t="s">
        <v>30</v>
      </c>
      <c r="G1628" s="18" t="s">
        <v>22</v>
      </c>
      <c r="H1628" s="18" t="s">
        <v>23</v>
      </c>
      <c r="I1628" s="19">
        <v>8000</v>
      </c>
      <c r="J1628" s="20">
        <f t="shared" si="50"/>
        <v>64000</v>
      </c>
      <c r="K1628" s="106"/>
      <c r="L1628" s="114"/>
      <c r="M1628" s="114">
        <f>tblAquisições[[#This Row],[VALOR UNITARIO COMPRADO]]*tblAquisições[[#This Row],[QUANTIDADE COMPRADA]]</f>
        <v>0</v>
      </c>
      <c r="N1628" s="110">
        <f>K1628-tblAquisições[[#This Row],[QUANTIDADE PLANEJADA]]</f>
        <v>-8</v>
      </c>
      <c r="O1628" s="106" t="str">
        <f t="shared" si="51"/>
        <v>Faltando Comprar</v>
      </c>
    </row>
    <row r="1629" spans="1:15" ht="63">
      <c r="A1629" s="16" t="s">
        <v>17</v>
      </c>
      <c r="B1629" s="16" t="s">
        <v>26</v>
      </c>
      <c r="C1629" s="17" t="s">
        <v>19</v>
      </c>
      <c r="D1629" s="18" t="s">
        <v>966</v>
      </c>
      <c r="E1629" s="18">
        <v>3</v>
      </c>
      <c r="F1629" s="18" t="s">
        <v>30</v>
      </c>
      <c r="G1629" s="18" t="s">
        <v>22</v>
      </c>
      <c r="H1629" s="18" t="s">
        <v>23</v>
      </c>
      <c r="I1629" s="19">
        <v>8000</v>
      </c>
      <c r="J1629" s="20">
        <f t="shared" si="50"/>
        <v>24000</v>
      </c>
      <c r="K1629" s="106"/>
      <c r="L1629" s="114"/>
      <c r="M1629" s="114">
        <f>tblAquisições[[#This Row],[VALOR UNITARIO COMPRADO]]*tblAquisições[[#This Row],[QUANTIDADE COMPRADA]]</f>
        <v>0</v>
      </c>
      <c r="N1629" s="110">
        <f>K1629-tblAquisições[[#This Row],[QUANTIDADE PLANEJADA]]</f>
        <v>-3</v>
      </c>
      <c r="O1629" s="106" t="str">
        <f t="shared" si="51"/>
        <v>Faltando Comprar</v>
      </c>
    </row>
    <row r="1630" spans="1:15" ht="31.5">
      <c r="A1630" s="16" t="s">
        <v>17</v>
      </c>
      <c r="B1630" s="16" t="s">
        <v>18</v>
      </c>
      <c r="C1630" s="17" t="s">
        <v>19</v>
      </c>
      <c r="D1630" s="18" t="s">
        <v>967</v>
      </c>
      <c r="E1630" s="18">
        <v>1200</v>
      </c>
      <c r="F1630" s="18" t="s">
        <v>21</v>
      </c>
      <c r="G1630" s="18" t="s">
        <v>22</v>
      </c>
      <c r="H1630" s="18" t="s">
        <v>23</v>
      </c>
      <c r="I1630" s="19">
        <v>7.53</v>
      </c>
      <c r="J1630" s="20">
        <f t="shared" si="50"/>
        <v>9036</v>
      </c>
      <c r="K1630" s="106"/>
      <c r="L1630" s="114"/>
      <c r="M1630" s="114">
        <f>tblAquisições[[#This Row],[VALOR UNITARIO COMPRADO]]*tblAquisições[[#This Row],[QUANTIDADE COMPRADA]]</f>
        <v>0</v>
      </c>
      <c r="N1630" s="110">
        <f>K1630-tblAquisições[[#This Row],[QUANTIDADE PLANEJADA]]</f>
        <v>-1200</v>
      </c>
      <c r="O1630" s="106" t="str">
        <f t="shared" si="51"/>
        <v>Faltando Comprar</v>
      </c>
    </row>
    <row r="1631" spans="1:15" ht="31.5">
      <c r="A1631" s="16" t="s">
        <v>17</v>
      </c>
      <c r="B1631" s="16" t="s">
        <v>24</v>
      </c>
      <c r="C1631" s="17" t="s">
        <v>19</v>
      </c>
      <c r="D1631" s="18" t="s">
        <v>967</v>
      </c>
      <c r="E1631" s="18">
        <v>1200</v>
      </c>
      <c r="F1631" s="18" t="s">
        <v>21</v>
      </c>
      <c r="G1631" s="18" t="s">
        <v>22</v>
      </c>
      <c r="H1631" s="18" t="s">
        <v>23</v>
      </c>
      <c r="I1631" s="19">
        <v>7.53</v>
      </c>
      <c r="J1631" s="20">
        <f t="shared" si="50"/>
        <v>9036</v>
      </c>
      <c r="K1631" s="106"/>
      <c r="L1631" s="114"/>
      <c r="M1631" s="114">
        <f>tblAquisições[[#This Row],[VALOR UNITARIO COMPRADO]]*tblAquisições[[#This Row],[QUANTIDADE COMPRADA]]</f>
        <v>0</v>
      </c>
      <c r="N1631" s="110">
        <f>K1631-tblAquisições[[#This Row],[QUANTIDADE PLANEJADA]]</f>
        <v>-1200</v>
      </c>
      <c r="O1631" s="106" t="str">
        <f t="shared" si="51"/>
        <v>Faltando Comprar</v>
      </c>
    </row>
    <row r="1632" spans="1:15" ht="31.5">
      <c r="A1632" s="16" t="s">
        <v>17</v>
      </c>
      <c r="B1632" s="16" t="s">
        <v>25</v>
      </c>
      <c r="C1632" s="17" t="s">
        <v>19</v>
      </c>
      <c r="D1632" s="18" t="s">
        <v>967</v>
      </c>
      <c r="E1632" s="18">
        <v>1200</v>
      </c>
      <c r="F1632" s="18" t="s">
        <v>21</v>
      </c>
      <c r="G1632" s="18" t="s">
        <v>22</v>
      </c>
      <c r="H1632" s="18" t="s">
        <v>23</v>
      </c>
      <c r="I1632" s="19">
        <v>7.53</v>
      </c>
      <c r="J1632" s="20">
        <f t="shared" si="50"/>
        <v>9036</v>
      </c>
      <c r="K1632" s="106"/>
      <c r="L1632" s="114"/>
      <c r="M1632" s="114">
        <f>tblAquisições[[#This Row],[VALOR UNITARIO COMPRADO]]*tblAquisições[[#This Row],[QUANTIDADE COMPRADA]]</f>
        <v>0</v>
      </c>
      <c r="N1632" s="110">
        <f>K1632-tblAquisições[[#This Row],[QUANTIDADE PLANEJADA]]</f>
        <v>-1200</v>
      </c>
      <c r="O1632" s="106" t="str">
        <f t="shared" si="51"/>
        <v>Faltando Comprar</v>
      </c>
    </row>
    <row r="1633" spans="1:15" ht="47.25">
      <c r="A1633" s="16" t="s">
        <v>17</v>
      </c>
      <c r="B1633" s="16" t="s">
        <v>31</v>
      </c>
      <c r="C1633" s="17" t="s">
        <v>19</v>
      </c>
      <c r="D1633" s="18" t="s">
        <v>968</v>
      </c>
      <c r="E1633" s="18">
        <v>50</v>
      </c>
      <c r="F1633" s="18" t="s">
        <v>118</v>
      </c>
      <c r="G1633" s="18" t="s">
        <v>22</v>
      </c>
      <c r="H1633" s="18" t="s">
        <v>100</v>
      </c>
      <c r="I1633" s="19">
        <v>44.67</v>
      </c>
      <c r="J1633" s="20">
        <f t="shared" si="50"/>
        <v>2233.5</v>
      </c>
      <c r="K1633" s="106"/>
      <c r="L1633" s="114"/>
      <c r="M1633" s="114">
        <f>tblAquisições[[#This Row],[VALOR UNITARIO COMPRADO]]*tblAquisições[[#This Row],[QUANTIDADE COMPRADA]]</f>
        <v>0</v>
      </c>
      <c r="N1633" s="110">
        <f>K1633-tblAquisições[[#This Row],[QUANTIDADE PLANEJADA]]</f>
        <v>-50</v>
      </c>
      <c r="O1633" s="106" t="str">
        <f t="shared" si="51"/>
        <v>Faltando Comprar</v>
      </c>
    </row>
    <row r="1634" spans="1:15" ht="47.25">
      <c r="A1634" s="16" t="s">
        <v>17</v>
      </c>
      <c r="B1634" s="16" t="s">
        <v>18</v>
      </c>
      <c r="C1634" s="17" t="s">
        <v>19</v>
      </c>
      <c r="D1634" s="18" t="s">
        <v>969</v>
      </c>
      <c r="E1634" s="18">
        <v>4</v>
      </c>
      <c r="F1634" s="18" t="s">
        <v>78</v>
      </c>
      <c r="G1634" s="18" t="s">
        <v>22</v>
      </c>
      <c r="H1634" s="18" t="s">
        <v>23</v>
      </c>
      <c r="I1634" s="19">
        <v>1099</v>
      </c>
      <c r="J1634" s="20">
        <f t="shared" si="50"/>
        <v>4396</v>
      </c>
      <c r="K1634" s="106"/>
      <c r="L1634" s="114"/>
      <c r="M1634" s="114">
        <f>tblAquisições[[#This Row],[VALOR UNITARIO COMPRADO]]*tblAquisições[[#This Row],[QUANTIDADE COMPRADA]]</f>
        <v>0</v>
      </c>
      <c r="N1634" s="110">
        <f>K1634-tblAquisições[[#This Row],[QUANTIDADE PLANEJADA]]</f>
        <v>-4</v>
      </c>
      <c r="O1634" s="106" t="str">
        <f t="shared" si="51"/>
        <v>Faltando Comprar</v>
      </c>
    </row>
    <row r="1635" spans="1:15" ht="47.25">
      <c r="A1635" s="16" t="s">
        <v>17</v>
      </c>
      <c r="B1635" s="16" t="s">
        <v>24</v>
      </c>
      <c r="C1635" s="17" t="s">
        <v>19</v>
      </c>
      <c r="D1635" s="18" t="s">
        <v>969</v>
      </c>
      <c r="E1635" s="18">
        <v>4</v>
      </c>
      <c r="F1635" s="18" t="s">
        <v>78</v>
      </c>
      <c r="G1635" s="18" t="s">
        <v>22</v>
      </c>
      <c r="H1635" s="18" t="s">
        <v>23</v>
      </c>
      <c r="I1635" s="19">
        <v>1099</v>
      </c>
      <c r="J1635" s="20">
        <f t="shared" si="50"/>
        <v>4396</v>
      </c>
      <c r="K1635" s="106"/>
      <c r="L1635" s="114"/>
      <c r="M1635" s="114">
        <f>tblAquisições[[#This Row],[VALOR UNITARIO COMPRADO]]*tblAquisições[[#This Row],[QUANTIDADE COMPRADA]]</f>
        <v>0</v>
      </c>
      <c r="N1635" s="110">
        <f>K1635-tblAquisições[[#This Row],[QUANTIDADE PLANEJADA]]</f>
        <v>-4</v>
      </c>
      <c r="O1635" s="106" t="str">
        <f t="shared" si="51"/>
        <v>Faltando Comprar</v>
      </c>
    </row>
    <row r="1636" spans="1:15" ht="47.25">
      <c r="A1636" s="16" t="s">
        <v>17</v>
      </c>
      <c r="B1636" s="16" t="s">
        <v>25</v>
      </c>
      <c r="C1636" s="17" t="s">
        <v>19</v>
      </c>
      <c r="D1636" s="18" t="s">
        <v>969</v>
      </c>
      <c r="E1636" s="18">
        <v>4</v>
      </c>
      <c r="F1636" s="18" t="s">
        <v>78</v>
      </c>
      <c r="G1636" s="18" t="s">
        <v>22</v>
      </c>
      <c r="H1636" s="18" t="s">
        <v>23</v>
      </c>
      <c r="I1636" s="19">
        <v>1099</v>
      </c>
      <c r="J1636" s="20">
        <f t="shared" si="50"/>
        <v>4396</v>
      </c>
      <c r="K1636" s="106"/>
      <c r="L1636" s="114"/>
      <c r="M1636" s="114">
        <f>tblAquisições[[#This Row],[VALOR UNITARIO COMPRADO]]*tblAquisições[[#This Row],[QUANTIDADE COMPRADA]]</f>
        <v>0</v>
      </c>
      <c r="N1636" s="110">
        <f>K1636-tblAquisições[[#This Row],[QUANTIDADE PLANEJADA]]</f>
        <v>-4</v>
      </c>
      <c r="O1636" s="106" t="str">
        <f t="shared" si="51"/>
        <v>Faltando Comprar</v>
      </c>
    </row>
    <row r="1637" spans="1:15" ht="47.25">
      <c r="A1637" s="16" t="s">
        <v>17</v>
      </c>
      <c r="B1637" s="16" t="s">
        <v>27</v>
      </c>
      <c r="C1637" s="17" t="s">
        <v>19</v>
      </c>
      <c r="D1637" s="18" t="s">
        <v>969</v>
      </c>
      <c r="E1637" s="18">
        <v>4</v>
      </c>
      <c r="F1637" s="18" t="s">
        <v>78</v>
      </c>
      <c r="G1637" s="18" t="s">
        <v>22</v>
      </c>
      <c r="H1637" s="18" t="s">
        <v>23</v>
      </c>
      <c r="I1637" s="19">
        <v>1099</v>
      </c>
      <c r="J1637" s="20">
        <f t="shared" si="50"/>
        <v>4396</v>
      </c>
      <c r="K1637" s="106"/>
      <c r="L1637" s="114"/>
      <c r="M1637" s="114">
        <f>tblAquisições[[#This Row],[VALOR UNITARIO COMPRADO]]*tblAquisições[[#This Row],[QUANTIDADE COMPRADA]]</f>
        <v>0</v>
      </c>
      <c r="N1637" s="110">
        <f>K1637-tblAquisições[[#This Row],[QUANTIDADE PLANEJADA]]</f>
        <v>-4</v>
      </c>
      <c r="O1637" s="106" t="str">
        <f t="shared" si="51"/>
        <v>Faltando Comprar</v>
      </c>
    </row>
    <row r="1638" spans="1:15" ht="31.5">
      <c r="A1638" s="16" t="s">
        <v>17</v>
      </c>
      <c r="B1638" s="16" t="s">
        <v>26</v>
      </c>
      <c r="C1638" s="17" t="s">
        <v>19</v>
      </c>
      <c r="D1638" s="18" t="s">
        <v>970</v>
      </c>
      <c r="E1638" s="18">
        <v>100</v>
      </c>
      <c r="F1638" s="18" t="s">
        <v>21</v>
      </c>
      <c r="G1638" s="18" t="s">
        <v>22</v>
      </c>
      <c r="H1638" s="18" t="s">
        <v>23</v>
      </c>
      <c r="I1638" s="19">
        <v>483.33</v>
      </c>
      <c r="J1638" s="20">
        <f t="shared" si="50"/>
        <v>48333</v>
      </c>
      <c r="K1638" s="106"/>
      <c r="L1638" s="114"/>
      <c r="M1638" s="114">
        <f>tblAquisições[[#This Row],[VALOR UNITARIO COMPRADO]]*tblAquisições[[#This Row],[QUANTIDADE COMPRADA]]</f>
        <v>0</v>
      </c>
      <c r="N1638" s="110">
        <f>K1638-tblAquisições[[#This Row],[QUANTIDADE PLANEJADA]]</f>
        <v>-100</v>
      </c>
      <c r="O1638" s="106" t="str">
        <f t="shared" si="51"/>
        <v>Faltando Comprar</v>
      </c>
    </row>
    <row r="1639" spans="1:15" ht="47.25">
      <c r="A1639" s="16" t="s">
        <v>17</v>
      </c>
      <c r="B1639" s="16" t="s">
        <v>26</v>
      </c>
      <c r="C1639" s="17" t="s">
        <v>19</v>
      </c>
      <c r="D1639" s="18" t="s">
        <v>971</v>
      </c>
      <c r="E1639" s="18">
        <v>40</v>
      </c>
      <c r="F1639" s="18" t="s">
        <v>239</v>
      </c>
      <c r="G1639" s="18" t="s">
        <v>22</v>
      </c>
      <c r="H1639" s="18" t="s">
        <v>23</v>
      </c>
      <c r="I1639" s="19">
        <v>5</v>
      </c>
      <c r="J1639" s="20">
        <f t="shared" si="50"/>
        <v>200</v>
      </c>
      <c r="K1639" s="106"/>
      <c r="L1639" s="114"/>
      <c r="M1639" s="114">
        <f>tblAquisições[[#This Row],[VALOR UNITARIO COMPRADO]]*tblAquisições[[#This Row],[QUANTIDADE COMPRADA]]</f>
        <v>0</v>
      </c>
      <c r="N1639" s="110">
        <f>K1639-tblAquisições[[#This Row],[QUANTIDADE PLANEJADA]]</f>
        <v>-40</v>
      </c>
      <c r="O1639" s="106" t="str">
        <f t="shared" si="51"/>
        <v>Faltando Comprar</v>
      </c>
    </row>
    <row r="1640" spans="1:15" ht="47.25">
      <c r="A1640" s="16" t="s">
        <v>17</v>
      </c>
      <c r="B1640" s="16" t="s">
        <v>28</v>
      </c>
      <c r="C1640" s="17" t="s">
        <v>19</v>
      </c>
      <c r="D1640" s="18" t="s">
        <v>972</v>
      </c>
      <c r="E1640" s="18">
        <v>20</v>
      </c>
      <c r="F1640" s="18" t="s">
        <v>239</v>
      </c>
      <c r="G1640" s="18" t="s">
        <v>22</v>
      </c>
      <c r="H1640" s="18" t="s">
        <v>23</v>
      </c>
      <c r="I1640" s="19">
        <v>28.31</v>
      </c>
      <c r="J1640" s="20">
        <f t="shared" si="50"/>
        <v>566.19999999999993</v>
      </c>
      <c r="K1640" s="106"/>
      <c r="L1640" s="114"/>
      <c r="M1640" s="114">
        <f>tblAquisições[[#This Row],[VALOR UNITARIO COMPRADO]]*tblAquisições[[#This Row],[QUANTIDADE COMPRADA]]</f>
        <v>0</v>
      </c>
      <c r="N1640" s="110">
        <f>K1640-tblAquisições[[#This Row],[QUANTIDADE PLANEJADA]]</f>
        <v>-20</v>
      </c>
      <c r="O1640" s="106" t="str">
        <f t="shared" si="51"/>
        <v>Faltando Comprar</v>
      </c>
    </row>
    <row r="1641" spans="1:15" ht="31.5">
      <c r="A1641" s="16" t="s">
        <v>17</v>
      </c>
      <c r="B1641" s="16" t="s">
        <v>34</v>
      </c>
      <c r="C1641" s="17" t="s">
        <v>19</v>
      </c>
      <c r="D1641" s="18" t="s">
        <v>973</v>
      </c>
      <c r="E1641" s="18">
        <v>2</v>
      </c>
      <c r="F1641" s="18" t="s">
        <v>21</v>
      </c>
      <c r="G1641" s="18" t="s">
        <v>22</v>
      </c>
      <c r="H1641" s="18" t="s">
        <v>23</v>
      </c>
      <c r="I1641" s="19">
        <v>1269.72</v>
      </c>
      <c r="J1641" s="20">
        <f t="shared" si="50"/>
        <v>2539.44</v>
      </c>
      <c r="K1641" s="106"/>
      <c r="L1641" s="114"/>
      <c r="M1641" s="114">
        <f>tblAquisições[[#This Row],[VALOR UNITARIO COMPRADO]]*tblAquisições[[#This Row],[QUANTIDADE COMPRADA]]</f>
        <v>0</v>
      </c>
      <c r="N1641" s="110">
        <f>K1641-tblAquisições[[#This Row],[QUANTIDADE PLANEJADA]]</f>
        <v>-2</v>
      </c>
      <c r="O1641" s="106" t="str">
        <f t="shared" si="51"/>
        <v>Faltando Comprar</v>
      </c>
    </row>
    <row r="1642" spans="1:15" ht="31.5">
      <c r="A1642" s="16" t="s">
        <v>17</v>
      </c>
      <c r="B1642" s="16" t="s">
        <v>18</v>
      </c>
      <c r="C1642" s="17" t="s">
        <v>19</v>
      </c>
      <c r="D1642" s="18" t="s">
        <v>973</v>
      </c>
      <c r="E1642" s="18">
        <v>10</v>
      </c>
      <c r="F1642" s="18" t="s">
        <v>21</v>
      </c>
      <c r="G1642" s="18" t="s">
        <v>22</v>
      </c>
      <c r="H1642" s="18" t="s">
        <v>23</v>
      </c>
      <c r="I1642" s="19">
        <v>1269.72</v>
      </c>
      <c r="J1642" s="20">
        <f t="shared" si="50"/>
        <v>12697.2</v>
      </c>
      <c r="K1642" s="106"/>
      <c r="L1642" s="114"/>
      <c r="M1642" s="114">
        <f>tblAquisições[[#This Row],[VALOR UNITARIO COMPRADO]]*tblAquisições[[#This Row],[QUANTIDADE COMPRADA]]</f>
        <v>0</v>
      </c>
      <c r="N1642" s="110">
        <f>K1642-tblAquisições[[#This Row],[QUANTIDADE PLANEJADA]]</f>
        <v>-10</v>
      </c>
      <c r="O1642" s="106" t="str">
        <f t="shared" si="51"/>
        <v>Faltando Comprar</v>
      </c>
    </row>
    <row r="1643" spans="1:15" ht="31.5">
      <c r="A1643" s="16" t="s">
        <v>17</v>
      </c>
      <c r="B1643" s="16" t="s">
        <v>24</v>
      </c>
      <c r="C1643" s="17" t="s">
        <v>19</v>
      </c>
      <c r="D1643" s="18" t="s">
        <v>973</v>
      </c>
      <c r="E1643" s="18">
        <v>10</v>
      </c>
      <c r="F1643" s="18" t="s">
        <v>21</v>
      </c>
      <c r="G1643" s="18" t="s">
        <v>22</v>
      </c>
      <c r="H1643" s="18" t="s">
        <v>23</v>
      </c>
      <c r="I1643" s="19">
        <v>1269.72</v>
      </c>
      <c r="J1643" s="20">
        <f t="shared" si="50"/>
        <v>12697.2</v>
      </c>
      <c r="K1643" s="106"/>
      <c r="L1643" s="114"/>
      <c r="M1643" s="114">
        <f>tblAquisições[[#This Row],[VALOR UNITARIO COMPRADO]]*tblAquisições[[#This Row],[QUANTIDADE COMPRADA]]</f>
        <v>0</v>
      </c>
      <c r="N1643" s="110">
        <f>K1643-tblAquisições[[#This Row],[QUANTIDADE PLANEJADA]]</f>
        <v>-10</v>
      </c>
      <c r="O1643" s="106" t="str">
        <f t="shared" si="51"/>
        <v>Faltando Comprar</v>
      </c>
    </row>
    <row r="1644" spans="1:15" ht="31.5">
      <c r="A1644" s="16" t="s">
        <v>17</v>
      </c>
      <c r="B1644" s="16" t="s">
        <v>25</v>
      </c>
      <c r="C1644" s="17" t="s">
        <v>19</v>
      </c>
      <c r="D1644" s="18" t="s">
        <v>973</v>
      </c>
      <c r="E1644" s="18">
        <v>10</v>
      </c>
      <c r="F1644" s="18" t="s">
        <v>21</v>
      </c>
      <c r="G1644" s="18" t="s">
        <v>22</v>
      </c>
      <c r="H1644" s="18" t="s">
        <v>23</v>
      </c>
      <c r="I1644" s="19">
        <v>1269.72</v>
      </c>
      <c r="J1644" s="20">
        <f t="shared" si="50"/>
        <v>12697.2</v>
      </c>
      <c r="K1644" s="106"/>
      <c r="L1644" s="114"/>
      <c r="M1644" s="114">
        <f>tblAquisições[[#This Row],[VALOR UNITARIO COMPRADO]]*tblAquisições[[#This Row],[QUANTIDADE COMPRADA]]</f>
        <v>0</v>
      </c>
      <c r="N1644" s="110">
        <f>K1644-tblAquisições[[#This Row],[QUANTIDADE PLANEJADA]]</f>
        <v>-10</v>
      </c>
      <c r="O1644" s="106" t="str">
        <f t="shared" si="51"/>
        <v>Faltando Comprar</v>
      </c>
    </row>
    <row r="1645" spans="1:15" ht="31.5">
      <c r="A1645" s="16" t="s">
        <v>17</v>
      </c>
      <c r="B1645" s="16" t="s">
        <v>26</v>
      </c>
      <c r="C1645" s="17" t="s">
        <v>19</v>
      </c>
      <c r="D1645" s="18" t="s">
        <v>973</v>
      </c>
      <c r="E1645" s="18">
        <v>20</v>
      </c>
      <c r="F1645" s="18" t="s">
        <v>21</v>
      </c>
      <c r="G1645" s="18" t="s">
        <v>22</v>
      </c>
      <c r="H1645" s="18" t="s">
        <v>23</v>
      </c>
      <c r="I1645" s="19">
        <v>1269.72</v>
      </c>
      <c r="J1645" s="20">
        <f t="shared" si="50"/>
        <v>25394.400000000001</v>
      </c>
      <c r="K1645" s="106"/>
      <c r="L1645" s="114"/>
      <c r="M1645" s="114">
        <f>tblAquisições[[#This Row],[VALOR UNITARIO COMPRADO]]*tblAquisições[[#This Row],[QUANTIDADE COMPRADA]]</f>
        <v>0</v>
      </c>
      <c r="N1645" s="110">
        <f>K1645-tblAquisições[[#This Row],[QUANTIDADE PLANEJADA]]</f>
        <v>-20</v>
      </c>
      <c r="O1645" s="106" t="str">
        <f t="shared" si="51"/>
        <v>Faltando Comprar</v>
      </c>
    </row>
    <row r="1646" spans="1:15" ht="31.5">
      <c r="A1646" s="16" t="s">
        <v>17</v>
      </c>
      <c r="B1646" s="16" t="s">
        <v>27</v>
      </c>
      <c r="C1646" s="17" t="s">
        <v>19</v>
      </c>
      <c r="D1646" s="18" t="s">
        <v>973</v>
      </c>
      <c r="E1646" s="18">
        <v>6</v>
      </c>
      <c r="F1646" s="18" t="s">
        <v>21</v>
      </c>
      <c r="G1646" s="18" t="s">
        <v>22</v>
      </c>
      <c r="H1646" s="18" t="s">
        <v>23</v>
      </c>
      <c r="I1646" s="19">
        <v>1269.72</v>
      </c>
      <c r="J1646" s="20">
        <f t="shared" si="50"/>
        <v>7618.32</v>
      </c>
      <c r="K1646" s="106"/>
      <c r="L1646" s="114"/>
      <c r="M1646" s="114">
        <f>tblAquisições[[#This Row],[VALOR UNITARIO COMPRADO]]*tblAquisições[[#This Row],[QUANTIDADE COMPRADA]]</f>
        <v>0</v>
      </c>
      <c r="N1646" s="110">
        <f>K1646-tblAquisições[[#This Row],[QUANTIDADE PLANEJADA]]</f>
        <v>-6</v>
      </c>
      <c r="O1646" s="106" t="str">
        <f t="shared" si="51"/>
        <v>Faltando Comprar</v>
      </c>
    </row>
    <row r="1647" spans="1:15" ht="47.25">
      <c r="A1647" s="16" t="s">
        <v>17</v>
      </c>
      <c r="B1647" s="16" t="s">
        <v>34</v>
      </c>
      <c r="C1647" s="17" t="s">
        <v>19</v>
      </c>
      <c r="D1647" s="18" t="s">
        <v>974</v>
      </c>
      <c r="E1647" s="18">
        <v>2</v>
      </c>
      <c r="F1647" s="18" t="s">
        <v>21</v>
      </c>
      <c r="G1647" s="18" t="s">
        <v>22</v>
      </c>
      <c r="H1647" s="18" t="s">
        <v>23</v>
      </c>
      <c r="I1647" s="19">
        <v>1269.72</v>
      </c>
      <c r="J1647" s="20">
        <f t="shared" si="50"/>
        <v>2539.44</v>
      </c>
      <c r="K1647" s="106"/>
      <c r="L1647" s="114"/>
      <c r="M1647" s="114">
        <f>tblAquisições[[#This Row],[VALOR UNITARIO COMPRADO]]*tblAquisições[[#This Row],[QUANTIDADE COMPRADA]]</f>
        <v>0</v>
      </c>
      <c r="N1647" s="110">
        <f>K1647-tblAquisições[[#This Row],[QUANTIDADE PLANEJADA]]</f>
        <v>-2</v>
      </c>
      <c r="O1647" s="106" t="str">
        <f t="shared" si="51"/>
        <v>Faltando Comprar</v>
      </c>
    </row>
    <row r="1648" spans="1:15" ht="47.25">
      <c r="A1648" s="16" t="s">
        <v>17</v>
      </c>
      <c r="B1648" s="16" t="s">
        <v>34</v>
      </c>
      <c r="C1648" s="17" t="s">
        <v>19</v>
      </c>
      <c r="D1648" s="18" t="s">
        <v>975</v>
      </c>
      <c r="E1648" s="18">
        <v>2</v>
      </c>
      <c r="F1648" s="18" t="s">
        <v>21</v>
      </c>
      <c r="G1648" s="18" t="s">
        <v>22</v>
      </c>
      <c r="H1648" s="18" t="s">
        <v>23</v>
      </c>
      <c r="I1648" s="19">
        <v>1269.72</v>
      </c>
      <c r="J1648" s="20">
        <f t="shared" si="50"/>
        <v>2539.44</v>
      </c>
      <c r="K1648" s="106"/>
      <c r="L1648" s="114"/>
      <c r="M1648" s="114">
        <f>tblAquisições[[#This Row],[VALOR UNITARIO COMPRADO]]*tblAquisições[[#This Row],[QUANTIDADE COMPRADA]]</f>
        <v>0</v>
      </c>
      <c r="N1648" s="110">
        <f>K1648-tblAquisições[[#This Row],[QUANTIDADE PLANEJADA]]</f>
        <v>-2</v>
      </c>
      <c r="O1648" s="106" t="str">
        <f t="shared" si="51"/>
        <v>Faltando Comprar</v>
      </c>
    </row>
    <row r="1649" spans="1:15" ht="31.5">
      <c r="A1649" s="16" t="s">
        <v>17</v>
      </c>
      <c r="B1649" s="16" t="s">
        <v>34</v>
      </c>
      <c r="C1649" s="17" t="s">
        <v>19</v>
      </c>
      <c r="D1649" s="18" t="s">
        <v>976</v>
      </c>
      <c r="E1649" s="18">
        <v>2</v>
      </c>
      <c r="F1649" s="18" t="s">
        <v>21</v>
      </c>
      <c r="G1649" s="18" t="s">
        <v>22</v>
      </c>
      <c r="H1649" s="18" t="s">
        <v>23</v>
      </c>
      <c r="I1649" s="19">
        <v>2246.64</v>
      </c>
      <c r="J1649" s="20">
        <f t="shared" si="50"/>
        <v>4493.28</v>
      </c>
      <c r="K1649" s="106"/>
      <c r="L1649" s="114"/>
      <c r="M1649" s="114">
        <f>tblAquisições[[#This Row],[VALOR UNITARIO COMPRADO]]*tblAquisições[[#This Row],[QUANTIDADE COMPRADA]]</f>
        <v>0</v>
      </c>
      <c r="N1649" s="110">
        <f>K1649-tblAquisições[[#This Row],[QUANTIDADE PLANEJADA]]</f>
        <v>-2</v>
      </c>
      <c r="O1649" s="106" t="str">
        <f t="shared" si="51"/>
        <v>Faltando Comprar</v>
      </c>
    </row>
    <row r="1650" spans="1:15" ht="31.5">
      <c r="A1650" s="16" t="s">
        <v>17</v>
      </c>
      <c r="B1650" s="16" t="s">
        <v>18</v>
      </c>
      <c r="C1650" s="17" t="s">
        <v>19</v>
      </c>
      <c r="D1650" s="18" t="s">
        <v>976</v>
      </c>
      <c r="E1650" s="18">
        <v>5</v>
      </c>
      <c r="F1650" s="18" t="s">
        <v>21</v>
      </c>
      <c r="G1650" s="18" t="s">
        <v>22</v>
      </c>
      <c r="H1650" s="18" t="s">
        <v>23</v>
      </c>
      <c r="I1650" s="19">
        <v>2246.64</v>
      </c>
      <c r="J1650" s="20">
        <f t="shared" si="50"/>
        <v>11233.199999999999</v>
      </c>
      <c r="K1650" s="106"/>
      <c r="L1650" s="114"/>
      <c r="M1650" s="114">
        <f>tblAquisições[[#This Row],[VALOR UNITARIO COMPRADO]]*tblAquisições[[#This Row],[QUANTIDADE COMPRADA]]</f>
        <v>0</v>
      </c>
      <c r="N1650" s="110">
        <f>K1650-tblAquisições[[#This Row],[QUANTIDADE PLANEJADA]]</f>
        <v>-5</v>
      </c>
      <c r="O1650" s="106" t="str">
        <f t="shared" si="51"/>
        <v>Faltando Comprar</v>
      </c>
    </row>
    <row r="1651" spans="1:15" ht="31.5">
      <c r="A1651" s="16" t="s">
        <v>17</v>
      </c>
      <c r="B1651" s="16" t="s">
        <v>24</v>
      </c>
      <c r="C1651" s="17" t="s">
        <v>19</v>
      </c>
      <c r="D1651" s="18" t="s">
        <v>976</v>
      </c>
      <c r="E1651" s="18">
        <v>5</v>
      </c>
      <c r="F1651" s="18" t="s">
        <v>21</v>
      </c>
      <c r="G1651" s="18" t="s">
        <v>22</v>
      </c>
      <c r="H1651" s="18" t="s">
        <v>23</v>
      </c>
      <c r="I1651" s="19">
        <v>2246.64</v>
      </c>
      <c r="J1651" s="20">
        <f t="shared" si="50"/>
        <v>11233.199999999999</v>
      </c>
      <c r="K1651" s="106"/>
      <c r="L1651" s="114"/>
      <c r="M1651" s="114">
        <f>tblAquisições[[#This Row],[VALOR UNITARIO COMPRADO]]*tblAquisições[[#This Row],[QUANTIDADE COMPRADA]]</f>
        <v>0</v>
      </c>
      <c r="N1651" s="110">
        <f>K1651-tblAquisições[[#This Row],[QUANTIDADE PLANEJADA]]</f>
        <v>-5</v>
      </c>
      <c r="O1651" s="106" t="str">
        <f t="shared" si="51"/>
        <v>Faltando Comprar</v>
      </c>
    </row>
    <row r="1652" spans="1:15" ht="31.5">
      <c r="A1652" s="16" t="s">
        <v>17</v>
      </c>
      <c r="B1652" s="16" t="s">
        <v>25</v>
      </c>
      <c r="C1652" s="17" t="s">
        <v>19</v>
      </c>
      <c r="D1652" s="18" t="s">
        <v>976</v>
      </c>
      <c r="E1652" s="18">
        <v>5</v>
      </c>
      <c r="F1652" s="18" t="s">
        <v>21</v>
      </c>
      <c r="G1652" s="18" t="s">
        <v>22</v>
      </c>
      <c r="H1652" s="18" t="s">
        <v>23</v>
      </c>
      <c r="I1652" s="19">
        <v>2246.64</v>
      </c>
      <c r="J1652" s="20">
        <f t="shared" si="50"/>
        <v>11233.199999999999</v>
      </c>
      <c r="K1652" s="106"/>
      <c r="L1652" s="114"/>
      <c r="M1652" s="114">
        <f>tblAquisições[[#This Row],[VALOR UNITARIO COMPRADO]]*tblAquisições[[#This Row],[QUANTIDADE COMPRADA]]</f>
        <v>0</v>
      </c>
      <c r="N1652" s="110">
        <f>K1652-tblAquisições[[#This Row],[QUANTIDADE PLANEJADA]]</f>
        <v>-5</v>
      </c>
      <c r="O1652" s="106" t="str">
        <f t="shared" si="51"/>
        <v>Faltando Comprar</v>
      </c>
    </row>
    <row r="1653" spans="1:15" ht="31.5">
      <c r="A1653" s="16" t="s">
        <v>17</v>
      </c>
      <c r="B1653" s="16" t="s">
        <v>27</v>
      </c>
      <c r="C1653" s="17" t="s">
        <v>19</v>
      </c>
      <c r="D1653" s="18" t="s">
        <v>976</v>
      </c>
      <c r="E1653" s="18">
        <v>6</v>
      </c>
      <c r="F1653" s="18" t="s">
        <v>21</v>
      </c>
      <c r="G1653" s="18" t="s">
        <v>22</v>
      </c>
      <c r="H1653" s="18" t="s">
        <v>23</v>
      </c>
      <c r="I1653" s="19">
        <v>2246.64</v>
      </c>
      <c r="J1653" s="20">
        <f t="shared" si="50"/>
        <v>13479.84</v>
      </c>
      <c r="K1653" s="106"/>
      <c r="L1653" s="114"/>
      <c r="M1653" s="114">
        <f>tblAquisições[[#This Row],[VALOR UNITARIO COMPRADO]]*tblAquisições[[#This Row],[QUANTIDADE COMPRADA]]</f>
        <v>0</v>
      </c>
      <c r="N1653" s="110">
        <f>K1653-tblAquisições[[#This Row],[QUANTIDADE PLANEJADA]]</f>
        <v>-6</v>
      </c>
      <c r="O1653" s="106" t="str">
        <f t="shared" si="51"/>
        <v>Faltando Comprar</v>
      </c>
    </row>
    <row r="1654" spans="1:15" ht="47.25">
      <c r="A1654" s="16" t="s">
        <v>17</v>
      </c>
      <c r="B1654" s="16" t="s">
        <v>34</v>
      </c>
      <c r="C1654" s="17" t="s">
        <v>19</v>
      </c>
      <c r="D1654" s="18" t="s">
        <v>977</v>
      </c>
      <c r="E1654" s="18">
        <v>2</v>
      </c>
      <c r="F1654" s="18" t="s">
        <v>21</v>
      </c>
      <c r="G1654" s="18" t="s">
        <v>22</v>
      </c>
      <c r="H1654" s="18" t="s">
        <v>23</v>
      </c>
      <c r="I1654" s="19">
        <v>2246.64</v>
      </c>
      <c r="J1654" s="20">
        <f t="shared" si="50"/>
        <v>4493.28</v>
      </c>
      <c r="K1654" s="106"/>
      <c r="L1654" s="114"/>
      <c r="M1654" s="114">
        <f>tblAquisições[[#This Row],[VALOR UNITARIO COMPRADO]]*tblAquisições[[#This Row],[QUANTIDADE COMPRADA]]</f>
        <v>0</v>
      </c>
      <c r="N1654" s="110">
        <f>K1654-tblAquisições[[#This Row],[QUANTIDADE PLANEJADA]]</f>
        <v>-2</v>
      </c>
      <c r="O1654" s="106" t="str">
        <f t="shared" si="51"/>
        <v>Faltando Comprar</v>
      </c>
    </row>
    <row r="1655" spans="1:15" ht="47.25">
      <c r="A1655" s="16" t="s">
        <v>17</v>
      </c>
      <c r="B1655" s="16" t="s">
        <v>34</v>
      </c>
      <c r="C1655" s="17" t="s">
        <v>19</v>
      </c>
      <c r="D1655" s="18" t="s">
        <v>978</v>
      </c>
      <c r="E1655" s="18">
        <v>2</v>
      </c>
      <c r="F1655" s="18" t="s">
        <v>21</v>
      </c>
      <c r="G1655" s="18" t="s">
        <v>22</v>
      </c>
      <c r="H1655" s="18" t="s">
        <v>23</v>
      </c>
      <c r="I1655" s="19">
        <v>2246.64</v>
      </c>
      <c r="J1655" s="20">
        <f t="shared" si="50"/>
        <v>4493.28</v>
      </c>
      <c r="K1655" s="106"/>
      <c r="L1655" s="114"/>
      <c r="M1655" s="114">
        <f>tblAquisições[[#This Row],[VALOR UNITARIO COMPRADO]]*tblAquisições[[#This Row],[QUANTIDADE COMPRADA]]</f>
        <v>0</v>
      </c>
      <c r="N1655" s="110">
        <f>K1655-tblAquisições[[#This Row],[QUANTIDADE PLANEJADA]]</f>
        <v>-2</v>
      </c>
      <c r="O1655" s="106" t="str">
        <f t="shared" si="51"/>
        <v>Faltando Comprar</v>
      </c>
    </row>
    <row r="1656" spans="1:15" ht="47.25">
      <c r="A1656" s="16" t="s">
        <v>17</v>
      </c>
      <c r="B1656" s="16" t="s">
        <v>34</v>
      </c>
      <c r="C1656" s="17" t="s">
        <v>19</v>
      </c>
      <c r="D1656" s="18" t="s">
        <v>979</v>
      </c>
      <c r="E1656" s="18">
        <v>2</v>
      </c>
      <c r="F1656" s="18" t="s">
        <v>21</v>
      </c>
      <c r="G1656" s="18" t="s">
        <v>22</v>
      </c>
      <c r="H1656" s="18" t="s">
        <v>23</v>
      </c>
      <c r="I1656" s="19">
        <v>2246.64</v>
      </c>
      <c r="J1656" s="20">
        <f t="shared" si="50"/>
        <v>4493.28</v>
      </c>
      <c r="K1656" s="106"/>
      <c r="L1656" s="114"/>
      <c r="M1656" s="114">
        <f>tblAquisições[[#This Row],[VALOR UNITARIO COMPRADO]]*tblAquisições[[#This Row],[QUANTIDADE COMPRADA]]</f>
        <v>0</v>
      </c>
      <c r="N1656" s="110">
        <f>K1656-tblAquisições[[#This Row],[QUANTIDADE PLANEJADA]]</f>
        <v>-2</v>
      </c>
      <c r="O1656" s="106" t="str">
        <f t="shared" si="51"/>
        <v>Faltando Comprar</v>
      </c>
    </row>
    <row r="1657" spans="1:15" ht="47.25">
      <c r="A1657" s="16" t="s">
        <v>17</v>
      </c>
      <c r="B1657" s="16" t="s">
        <v>26</v>
      </c>
      <c r="C1657" s="17" t="s">
        <v>19</v>
      </c>
      <c r="D1657" s="18" t="s">
        <v>979</v>
      </c>
      <c r="E1657" s="18">
        <v>4</v>
      </c>
      <c r="F1657" s="18" t="s">
        <v>21</v>
      </c>
      <c r="G1657" s="18" t="s">
        <v>22</v>
      </c>
      <c r="H1657" s="18" t="s">
        <v>23</v>
      </c>
      <c r="I1657" s="19">
        <v>2246.64</v>
      </c>
      <c r="J1657" s="20">
        <f t="shared" si="50"/>
        <v>8986.56</v>
      </c>
      <c r="K1657" s="106"/>
      <c r="L1657" s="114"/>
      <c r="M1657" s="114">
        <f>tblAquisições[[#This Row],[VALOR UNITARIO COMPRADO]]*tblAquisições[[#This Row],[QUANTIDADE COMPRADA]]</f>
        <v>0</v>
      </c>
      <c r="N1657" s="110">
        <f>K1657-tblAquisições[[#This Row],[QUANTIDADE PLANEJADA]]</f>
        <v>-4</v>
      </c>
      <c r="O1657" s="106" t="str">
        <f t="shared" si="51"/>
        <v>Faltando Comprar</v>
      </c>
    </row>
    <row r="1658" spans="1:15" ht="31.5">
      <c r="A1658" s="16" t="s">
        <v>17</v>
      </c>
      <c r="B1658" s="16" t="s">
        <v>34</v>
      </c>
      <c r="C1658" s="17" t="s">
        <v>19</v>
      </c>
      <c r="D1658" s="18" t="s">
        <v>980</v>
      </c>
      <c r="E1658" s="18">
        <v>2</v>
      </c>
      <c r="F1658" s="18" t="s">
        <v>21</v>
      </c>
      <c r="G1658" s="18" t="s">
        <v>22</v>
      </c>
      <c r="H1658" s="18" t="s">
        <v>23</v>
      </c>
      <c r="I1658" s="19">
        <v>3259.22</v>
      </c>
      <c r="J1658" s="20">
        <f t="shared" si="50"/>
        <v>6518.44</v>
      </c>
      <c r="K1658" s="106"/>
      <c r="L1658" s="114"/>
      <c r="M1658" s="114">
        <f>tblAquisições[[#This Row],[VALOR UNITARIO COMPRADO]]*tblAquisições[[#This Row],[QUANTIDADE COMPRADA]]</f>
        <v>0</v>
      </c>
      <c r="N1658" s="110">
        <f>K1658-tblAquisições[[#This Row],[QUANTIDADE PLANEJADA]]</f>
        <v>-2</v>
      </c>
      <c r="O1658" s="106" t="str">
        <f t="shared" si="51"/>
        <v>Faltando Comprar</v>
      </c>
    </row>
    <row r="1659" spans="1:15" ht="47.25">
      <c r="A1659" s="16" t="s">
        <v>17</v>
      </c>
      <c r="B1659" s="16" t="s">
        <v>34</v>
      </c>
      <c r="C1659" s="17" t="s">
        <v>19</v>
      </c>
      <c r="D1659" s="18" t="s">
        <v>981</v>
      </c>
      <c r="E1659" s="18">
        <v>2</v>
      </c>
      <c r="F1659" s="18" t="s">
        <v>21</v>
      </c>
      <c r="G1659" s="18" t="s">
        <v>22</v>
      </c>
      <c r="H1659" s="18" t="s">
        <v>23</v>
      </c>
      <c r="I1659" s="19">
        <v>3259.22</v>
      </c>
      <c r="J1659" s="20">
        <f t="shared" si="50"/>
        <v>6518.44</v>
      </c>
      <c r="K1659" s="106"/>
      <c r="L1659" s="114"/>
      <c r="M1659" s="114">
        <f>tblAquisições[[#This Row],[VALOR UNITARIO COMPRADO]]*tblAquisições[[#This Row],[QUANTIDADE COMPRADA]]</f>
        <v>0</v>
      </c>
      <c r="N1659" s="110">
        <f>K1659-tblAquisições[[#This Row],[QUANTIDADE PLANEJADA]]</f>
        <v>-2</v>
      </c>
      <c r="O1659" s="106" t="str">
        <f t="shared" si="51"/>
        <v>Faltando Comprar</v>
      </c>
    </row>
    <row r="1660" spans="1:15" ht="47.25">
      <c r="A1660" s="16" t="s">
        <v>17</v>
      </c>
      <c r="B1660" s="16" t="s">
        <v>34</v>
      </c>
      <c r="C1660" s="17" t="s">
        <v>19</v>
      </c>
      <c r="D1660" s="18" t="s">
        <v>982</v>
      </c>
      <c r="E1660" s="18">
        <v>2</v>
      </c>
      <c r="F1660" s="18" t="s">
        <v>21</v>
      </c>
      <c r="G1660" s="18" t="s">
        <v>22</v>
      </c>
      <c r="H1660" s="18" t="s">
        <v>23</v>
      </c>
      <c r="I1660" s="19">
        <v>3259.22</v>
      </c>
      <c r="J1660" s="20">
        <f t="shared" si="50"/>
        <v>6518.44</v>
      </c>
      <c r="K1660" s="106"/>
      <c r="L1660" s="114"/>
      <c r="M1660" s="114">
        <f>tblAquisições[[#This Row],[VALOR UNITARIO COMPRADO]]*tblAquisições[[#This Row],[QUANTIDADE COMPRADA]]</f>
        <v>0</v>
      </c>
      <c r="N1660" s="110">
        <f>K1660-tblAquisições[[#This Row],[QUANTIDADE PLANEJADA]]</f>
        <v>-2</v>
      </c>
      <c r="O1660" s="106" t="str">
        <f t="shared" si="51"/>
        <v>Faltando Comprar</v>
      </c>
    </row>
    <row r="1661" spans="1:15" ht="47.25">
      <c r="A1661" s="16" t="s">
        <v>17</v>
      </c>
      <c r="B1661" s="16" t="s">
        <v>34</v>
      </c>
      <c r="C1661" s="17" t="s">
        <v>19</v>
      </c>
      <c r="D1661" s="18" t="s">
        <v>983</v>
      </c>
      <c r="E1661" s="18">
        <v>2</v>
      </c>
      <c r="F1661" s="18" t="s">
        <v>21</v>
      </c>
      <c r="G1661" s="18" t="s">
        <v>22</v>
      </c>
      <c r="H1661" s="18" t="s">
        <v>23</v>
      </c>
      <c r="I1661" s="19">
        <v>5794.66</v>
      </c>
      <c r="J1661" s="20">
        <f t="shared" si="50"/>
        <v>11589.32</v>
      </c>
      <c r="K1661" s="106"/>
      <c r="L1661" s="114"/>
      <c r="M1661" s="114">
        <f>tblAquisições[[#This Row],[VALOR UNITARIO COMPRADO]]*tblAquisições[[#This Row],[QUANTIDADE COMPRADA]]</f>
        <v>0</v>
      </c>
      <c r="N1661" s="110">
        <f>K1661-tblAquisições[[#This Row],[QUANTIDADE PLANEJADA]]</f>
        <v>-2</v>
      </c>
      <c r="O1661" s="106" t="str">
        <f t="shared" si="51"/>
        <v>Faltando Comprar</v>
      </c>
    </row>
    <row r="1662" spans="1:15" ht="47.25">
      <c r="A1662" s="16" t="s">
        <v>17</v>
      </c>
      <c r="B1662" s="16" t="s">
        <v>18</v>
      </c>
      <c r="C1662" s="17" t="s">
        <v>19</v>
      </c>
      <c r="D1662" s="18" t="s">
        <v>983</v>
      </c>
      <c r="E1662" s="18">
        <v>4</v>
      </c>
      <c r="F1662" s="18" t="s">
        <v>21</v>
      </c>
      <c r="G1662" s="18" t="s">
        <v>22</v>
      </c>
      <c r="H1662" s="18" t="s">
        <v>23</v>
      </c>
      <c r="I1662" s="19">
        <v>5794.66</v>
      </c>
      <c r="J1662" s="20">
        <f t="shared" si="50"/>
        <v>23178.639999999999</v>
      </c>
      <c r="K1662" s="106"/>
      <c r="L1662" s="114"/>
      <c r="M1662" s="114">
        <f>tblAquisições[[#This Row],[VALOR UNITARIO COMPRADO]]*tblAquisições[[#This Row],[QUANTIDADE COMPRADA]]</f>
        <v>0</v>
      </c>
      <c r="N1662" s="110">
        <f>K1662-tblAquisições[[#This Row],[QUANTIDADE PLANEJADA]]</f>
        <v>-4</v>
      </c>
      <c r="O1662" s="106" t="str">
        <f t="shared" si="51"/>
        <v>Faltando Comprar</v>
      </c>
    </row>
    <row r="1663" spans="1:15" ht="47.25">
      <c r="A1663" s="16" t="s">
        <v>17</v>
      </c>
      <c r="B1663" s="16" t="s">
        <v>24</v>
      </c>
      <c r="C1663" s="17" t="s">
        <v>19</v>
      </c>
      <c r="D1663" s="18" t="s">
        <v>983</v>
      </c>
      <c r="E1663" s="18">
        <v>4</v>
      </c>
      <c r="F1663" s="18" t="s">
        <v>21</v>
      </c>
      <c r="G1663" s="18" t="s">
        <v>22</v>
      </c>
      <c r="H1663" s="18" t="s">
        <v>23</v>
      </c>
      <c r="I1663" s="19">
        <v>5794.66</v>
      </c>
      <c r="J1663" s="20">
        <f t="shared" si="50"/>
        <v>23178.639999999999</v>
      </c>
      <c r="K1663" s="106"/>
      <c r="L1663" s="114"/>
      <c r="M1663" s="114">
        <f>tblAquisições[[#This Row],[VALOR UNITARIO COMPRADO]]*tblAquisições[[#This Row],[QUANTIDADE COMPRADA]]</f>
        <v>0</v>
      </c>
      <c r="N1663" s="110">
        <f>K1663-tblAquisições[[#This Row],[QUANTIDADE PLANEJADA]]</f>
        <v>-4</v>
      </c>
      <c r="O1663" s="106" t="str">
        <f t="shared" si="51"/>
        <v>Faltando Comprar</v>
      </c>
    </row>
    <row r="1664" spans="1:15" ht="47.25">
      <c r="A1664" s="16" t="s">
        <v>17</v>
      </c>
      <c r="B1664" s="16" t="s">
        <v>25</v>
      </c>
      <c r="C1664" s="17" t="s">
        <v>19</v>
      </c>
      <c r="D1664" s="18" t="s">
        <v>983</v>
      </c>
      <c r="E1664" s="18">
        <v>4</v>
      </c>
      <c r="F1664" s="18" t="s">
        <v>21</v>
      </c>
      <c r="G1664" s="18" t="s">
        <v>22</v>
      </c>
      <c r="H1664" s="18" t="s">
        <v>23</v>
      </c>
      <c r="I1664" s="19">
        <v>5794.66</v>
      </c>
      <c r="J1664" s="20">
        <f t="shared" si="50"/>
        <v>23178.639999999999</v>
      </c>
      <c r="K1664" s="106"/>
      <c r="L1664" s="114"/>
      <c r="M1664" s="114">
        <f>tblAquisições[[#This Row],[VALOR UNITARIO COMPRADO]]*tblAquisições[[#This Row],[QUANTIDADE COMPRADA]]</f>
        <v>0</v>
      </c>
      <c r="N1664" s="110">
        <f>K1664-tblAquisições[[#This Row],[QUANTIDADE PLANEJADA]]</f>
        <v>-4</v>
      </c>
      <c r="O1664" s="106" t="str">
        <f t="shared" si="51"/>
        <v>Faltando Comprar</v>
      </c>
    </row>
    <row r="1665" spans="1:15" ht="47.25">
      <c r="A1665" s="16" t="s">
        <v>17</v>
      </c>
      <c r="B1665" s="16" t="s">
        <v>27</v>
      </c>
      <c r="C1665" s="17" t="s">
        <v>19</v>
      </c>
      <c r="D1665" s="18" t="s">
        <v>983</v>
      </c>
      <c r="E1665" s="18">
        <v>4</v>
      </c>
      <c r="F1665" s="18" t="s">
        <v>21</v>
      </c>
      <c r="G1665" s="18" t="s">
        <v>22</v>
      </c>
      <c r="H1665" s="18" t="s">
        <v>23</v>
      </c>
      <c r="I1665" s="19">
        <v>5794.66</v>
      </c>
      <c r="J1665" s="20">
        <f t="shared" si="50"/>
        <v>23178.639999999999</v>
      </c>
      <c r="K1665" s="106"/>
      <c r="L1665" s="114"/>
      <c r="M1665" s="114">
        <f>tblAquisições[[#This Row],[VALOR UNITARIO COMPRADO]]*tblAquisições[[#This Row],[QUANTIDADE COMPRADA]]</f>
        <v>0</v>
      </c>
      <c r="N1665" s="110">
        <f>K1665-tblAquisições[[#This Row],[QUANTIDADE PLANEJADA]]</f>
        <v>-4</v>
      </c>
      <c r="O1665" s="106" t="str">
        <f t="shared" si="51"/>
        <v>Faltando Comprar</v>
      </c>
    </row>
    <row r="1666" spans="1:15" ht="47.25">
      <c r="A1666" s="16" t="s">
        <v>17</v>
      </c>
      <c r="B1666" s="16" t="s">
        <v>34</v>
      </c>
      <c r="C1666" s="17" t="s">
        <v>19</v>
      </c>
      <c r="D1666" s="18" t="s">
        <v>984</v>
      </c>
      <c r="E1666" s="18">
        <v>2</v>
      </c>
      <c r="F1666" s="18" t="s">
        <v>21</v>
      </c>
      <c r="G1666" s="18" t="s">
        <v>22</v>
      </c>
      <c r="H1666" s="18" t="s">
        <v>23</v>
      </c>
      <c r="I1666" s="19">
        <v>5794.66</v>
      </c>
      <c r="J1666" s="20">
        <f t="shared" ref="J1666:J1729" si="52">E1666*I1666</f>
        <v>11589.32</v>
      </c>
      <c r="K1666" s="106"/>
      <c r="L1666" s="114"/>
      <c r="M1666" s="114">
        <f>tblAquisições[[#This Row],[VALOR UNITARIO COMPRADO]]*tblAquisições[[#This Row],[QUANTIDADE COMPRADA]]</f>
        <v>0</v>
      </c>
      <c r="N1666" s="110">
        <f>K1666-tblAquisições[[#This Row],[QUANTIDADE PLANEJADA]]</f>
        <v>-2</v>
      </c>
      <c r="O1666" s="106" t="str">
        <f t="shared" ref="O1666:O1729" si="53">IF(K1666=E1666,"OK",IF(K1666&lt;E1666,"Faltando Comprar","Excedente"))</f>
        <v>Faltando Comprar</v>
      </c>
    </row>
    <row r="1667" spans="1:15" ht="47.25">
      <c r="A1667" s="16" t="s">
        <v>17</v>
      </c>
      <c r="B1667" s="16" t="s">
        <v>34</v>
      </c>
      <c r="C1667" s="17" t="s">
        <v>19</v>
      </c>
      <c r="D1667" s="18" t="s">
        <v>985</v>
      </c>
      <c r="E1667" s="18">
        <v>2</v>
      </c>
      <c r="F1667" s="18" t="s">
        <v>21</v>
      </c>
      <c r="G1667" s="18" t="s">
        <v>22</v>
      </c>
      <c r="H1667" s="18" t="s">
        <v>23</v>
      </c>
      <c r="I1667" s="19">
        <v>5794.66</v>
      </c>
      <c r="J1667" s="20">
        <f t="shared" si="52"/>
        <v>11589.32</v>
      </c>
      <c r="K1667" s="106"/>
      <c r="L1667" s="114"/>
      <c r="M1667" s="114">
        <f>tblAquisições[[#This Row],[VALOR UNITARIO COMPRADO]]*tblAquisições[[#This Row],[QUANTIDADE COMPRADA]]</f>
        <v>0</v>
      </c>
      <c r="N1667" s="110">
        <f>K1667-tblAquisições[[#This Row],[QUANTIDADE PLANEJADA]]</f>
        <v>-2</v>
      </c>
      <c r="O1667" s="106" t="str">
        <f t="shared" si="53"/>
        <v>Faltando Comprar</v>
      </c>
    </row>
    <row r="1668" spans="1:15" ht="31.5">
      <c r="A1668" s="16" t="s">
        <v>17</v>
      </c>
      <c r="B1668" s="16" t="s">
        <v>34</v>
      </c>
      <c r="C1668" s="17" t="s">
        <v>19</v>
      </c>
      <c r="D1668" s="18" t="s">
        <v>986</v>
      </c>
      <c r="E1668" s="18">
        <v>2</v>
      </c>
      <c r="F1668" s="18" t="s">
        <v>21</v>
      </c>
      <c r="G1668" s="18" t="s">
        <v>22</v>
      </c>
      <c r="H1668" s="18" t="s">
        <v>23</v>
      </c>
      <c r="I1668" s="19">
        <v>6375.44</v>
      </c>
      <c r="J1668" s="20">
        <f t="shared" si="52"/>
        <v>12750.88</v>
      </c>
      <c r="K1668" s="106"/>
      <c r="L1668" s="114"/>
      <c r="M1668" s="114">
        <f>tblAquisições[[#This Row],[VALOR UNITARIO COMPRADO]]*tblAquisições[[#This Row],[QUANTIDADE COMPRADA]]</f>
        <v>0</v>
      </c>
      <c r="N1668" s="110">
        <f>K1668-tblAquisições[[#This Row],[QUANTIDADE PLANEJADA]]</f>
        <v>-2</v>
      </c>
      <c r="O1668" s="106" t="str">
        <f t="shared" si="53"/>
        <v>Faltando Comprar</v>
      </c>
    </row>
    <row r="1669" spans="1:15" ht="47.25">
      <c r="A1669" s="16" t="s">
        <v>17</v>
      </c>
      <c r="B1669" s="16" t="s">
        <v>34</v>
      </c>
      <c r="C1669" s="17" t="s">
        <v>19</v>
      </c>
      <c r="D1669" s="18" t="s">
        <v>987</v>
      </c>
      <c r="E1669" s="18">
        <v>2</v>
      </c>
      <c r="F1669" s="18" t="s">
        <v>21</v>
      </c>
      <c r="G1669" s="18" t="s">
        <v>22</v>
      </c>
      <c r="H1669" s="18" t="s">
        <v>23</v>
      </c>
      <c r="I1669" s="19">
        <v>6375.44</v>
      </c>
      <c r="J1669" s="20">
        <f t="shared" si="52"/>
        <v>12750.88</v>
      </c>
      <c r="K1669" s="106"/>
      <c r="L1669" s="114"/>
      <c r="M1669" s="114">
        <f>tblAquisições[[#This Row],[VALOR UNITARIO COMPRADO]]*tblAquisições[[#This Row],[QUANTIDADE COMPRADA]]</f>
        <v>0</v>
      </c>
      <c r="N1669" s="110">
        <f>K1669-tblAquisições[[#This Row],[QUANTIDADE PLANEJADA]]</f>
        <v>-2</v>
      </c>
      <c r="O1669" s="106" t="str">
        <f t="shared" si="53"/>
        <v>Faltando Comprar</v>
      </c>
    </row>
    <row r="1670" spans="1:15" ht="47.25">
      <c r="A1670" s="16" t="s">
        <v>17</v>
      </c>
      <c r="B1670" s="16" t="s">
        <v>34</v>
      </c>
      <c r="C1670" s="17" t="s">
        <v>19</v>
      </c>
      <c r="D1670" s="18" t="s">
        <v>988</v>
      </c>
      <c r="E1670" s="18">
        <v>2</v>
      </c>
      <c r="F1670" s="18" t="s">
        <v>21</v>
      </c>
      <c r="G1670" s="18" t="s">
        <v>22</v>
      </c>
      <c r="H1670" s="18" t="s">
        <v>23</v>
      </c>
      <c r="I1670" s="19">
        <v>6375.44</v>
      </c>
      <c r="J1670" s="20">
        <f t="shared" si="52"/>
        <v>12750.88</v>
      </c>
      <c r="K1670" s="106"/>
      <c r="L1670" s="114"/>
      <c r="M1670" s="114">
        <f>tblAquisições[[#This Row],[VALOR UNITARIO COMPRADO]]*tblAquisições[[#This Row],[QUANTIDADE COMPRADA]]</f>
        <v>0</v>
      </c>
      <c r="N1670" s="110">
        <f>K1670-tblAquisições[[#This Row],[QUANTIDADE PLANEJADA]]</f>
        <v>-2</v>
      </c>
      <c r="O1670" s="106" t="str">
        <f t="shared" si="53"/>
        <v>Faltando Comprar</v>
      </c>
    </row>
    <row r="1671" spans="1:15" ht="47.25">
      <c r="A1671" s="16" t="s">
        <v>17</v>
      </c>
      <c r="B1671" s="16" t="s">
        <v>34</v>
      </c>
      <c r="C1671" s="17" t="s">
        <v>19</v>
      </c>
      <c r="D1671" s="18" t="s">
        <v>989</v>
      </c>
      <c r="E1671" s="18">
        <v>2</v>
      </c>
      <c r="F1671" s="18" t="s">
        <v>21</v>
      </c>
      <c r="G1671" s="18" t="s">
        <v>22</v>
      </c>
      <c r="H1671" s="18" t="s">
        <v>23</v>
      </c>
      <c r="I1671" s="19">
        <v>6375.44</v>
      </c>
      <c r="J1671" s="20">
        <f t="shared" si="52"/>
        <v>12750.88</v>
      </c>
      <c r="K1671" s="106"/>
      <c r="L1671" s="114"/>
      <c r="M1671" s="114">
        <f>tblAquisições[[#This Row],[VALOR UNITARIO COMPRADO]]*tblAquisições[[#This Row],[QUANTIDADE COMPRADA]]</f>
        <v>0</v>
      </c>
      <c r="N1671" s="110">
        <f>K1671-tblAquisições[[#This Row],[QUANTIDADE PLANEJADA]]</f>
        <v>-2</v>
      </c>
      <c r="O1671" s="106" t="str">
        <f t="shared" si="53"/>
        <v>Faltando Comprar</v>
      </c>
    </row>
    <row r="1672" spans="1:15" ht="31.5">
      <c r="A1672" s="16" t="s">
        <v>17</v>
      </c>
      <c r="B1672" s="16" t="s">
        <v>34</v>
      </c>
      <c r="C1672" s="17" t="s">
        <v>19</v>
      </c>
      <c r="D1672" s="18" t="s">
        <v>990</v>
      </c>
      <c r="E1672" s="18">
        <v>2</v>
      </c>
      <c r="F1672" s="18" t="s">
        <v>21</v>
      </c>
      <c r="G1672" s="18" t="s">
        <v>22</v>
      </c>
      <c r="H1672" s="18" t="s">
        <v>23</v>
      </c>
      <c r="I1672" s="19">
        <v>7000</v>
      </c>
      <c r="J1672" s="20">
        <f t="shared" si="52"/>
        <v>14000</v>
      </c>
      <c r="K1672" s="106"/>
      <c r="L1672" s="114"/>
      <c r="M1672" s="114">
        <f>tblAquisições[[#This Row],[VALOR UNITARIO COMPRADO]]*tblAquisições[[#This Row],[QUANTIDADE COMPRADA]]</f>
        <v>0</v>
      </c>
      <c r="N1672" s="110">
        <f>K1672-tblAquisições[[#This Row],[QUANTIDADE PLANEJADA]]</f>
        <v>-2</v>
      </c>
      <c r="O1672" s="106" t="str">
        <f t="shared" si="53"/>
        <v>Faltando Comprar</v>
      </c>
    </row>
    <row r="1673" spans="1:15" ht="31.5">
      <c r="A1673" s="16" t="s">
        <v>17</v>
      </c>
      <c r="B1673" s="16" t="s">
        <v>18</v>
      </c>
      <c r="C1673" s="17" t="s">
        <v>19</v>
      </c>
      <c r="D1673" s="18" t="s">
        <v>991</v>
      </c>
      <c r="E1673" s="18">
        <v>1</v>
      </c>
      <c r="F1673" s="18" t="s">
        <v>992</v>
      </c>
      <c r="G1673" s="18" t="s">
        <v>127</v>
      </c>
      <c r="H1673" s="18" t="s">
        <v>23</v>
      </c>
      <c r="I1673" s="19">
        <v>200000</v>
      </c>
      <c r="J1673" s="20">
        <f t="shared" si="52"/>
        <v>200000</v>
      </c>
      <c r="K1673" s="106"/>
      <c r="L1673" s="114"/>
      <c r="M1673" s="114">
        <f>tblAquisições[[#This Row],[VALOR UNITARIO COMPRADO]]*tblAquisições[[#This Row],[QUANTIDADE COMPRADA]]</f>
        <v>0</v>
      </c>
      <c r="N1673" s="110">
        <f>K1673-tblAquisições[[#This Row],[QUANTIDADE PLANEJADA]]</f>
        <v>-1</v>
      </c>
      <c r="O1673" s="106" t="str">
        <f t="shared" si="53"/>
        <v>Faltando Comprar</v>
      </c>
    </row>
    <row r="1674" spans="1:15" ht="31.5">
      <c r="A1674" s="16" t="s">
        <v>17</v>
      </c>
      <c r="B1674" s="16" t="s">
        <v>24</v>
      </c>
      <c r="C1674" s="17" t="s">
        <v>19</v>
      </c>
      <c r="D1674" s="18" t="s">
        <v>991</v>
      </c>
      <c r="E1674" s="18">
        <v>1</v>
      </c>
      <c r="F1674" s="18" t="s">
        <v>992</v>
      </c>
      <c r="G1674" s="18" t="s">
        <v>127</v>
      </c>
      <c r="H1674" s="18" t="s">
        <v>23</v>
      </c>
      <c r="I1674" s="19">
        <v>200000</v>
      </c>
      <c r="J1674" s="20">
        <f t="shared" si="52"/>
        <v>200000</v>
      </c>
      <c r="K1674" s="106"/>
      <c r="L1674" s="114"/>
      <c r="M1674" s="114">
        <f>tblAquisições[[#This Row],[VALOR UNITARIO COMPRADO]]*tblAquisições[[#This Row],[QUANTIDADE COMPRADA]]</f>
        <v>0</v>
      </c>
      <c r="N1674" s="110">
        <f>K1674-tblAquisições[[#This Row],[QUANTIDADE PLANEJADA]]</f>
        <v>-1</v>
      </c>
      <c r="O1674" s="106" t="str">
        <f t="shared" si="53"/>
        <v>Faltando Comprar</v>
      </c>
    </row>
    <row r="1675" spans="1:15" ht="31.5">
      <c r="A1675" s="16" t="s">
        <v>17</v>
      </c>
      <c r="B1675" s="16" t="s">
        <v>25</v>
      </c>
      <c r="C1675" s="17" t="s">
        <v>19</v>
      </c>
      <c r="D1675" s="18" t="s">
        <v>991</v>
      </c>
      <c r="E1675" s="18">
        <v>1</v>
      </c>
      <c r="F1675" s="18" t="s">
        <v>992</v>
      </c>
      <c r="G1675" s="18" t="s">
        <v>127</v>
      </c>
      <c r="H1675" s="18" t="s">
        <v>23</v>
      </c>
      <c r="I1675" s="19">
        <v>200000</v>
      </c>
      <c r="J1675" s="20">
        <f t="shared" si="52"/>
        <v>200000</v>
      </c>
      <c r="K1675" s="106"/>
      <c r="L1675" s="114"/>
      <c r="M1675" s="114">
        <f>tblAquisições[[#This Row],[VALOR UNITARIO COMPRADO]]*tblAquisições[[#This Row],[QUANTIDADE COMPRADA]]</f>
        <v>0</v>
      </c>
      <c r="N1675" s="110">
        <f>K1675-tblAquisições[[#This Row],[QUANTIDADE PLANEJADA]]</f>
        <v>-1</v>
      </c>
      <c r="O1675" s="106" t="str">
        <f t="shared" si="53"/>
        <v>Faltando Comprar</v>
      </c>
    </row>
    <row r="1676" spans="1:15" ht="31.5">
      <c r="A1676" s="16" t="s">
        <v>17</v>
      </c>
      <c r="B1676" s="16" t="s">
        <v>41</v>
      </c>
      <c r="C1676" s="17" t="s">
        <v>19</v>
      </c>
      <c r="D1676" s="18" t="s">
        <v>991</v>
      </c>
      <c r="E1676" s="18">
        <v>2</v>
      </c>
      <c r="F1676" s="18" t="s">
        <v>992</v>
      </c>
      <c r="G1676" s="18" t="s">
        <v>127</v>
      </c>
      <c r="H1676" s="18" t="s">
        <v>23</v>
      </c>
      <c r="I1676" s="19">
        <v>200000</v>
      </c>
      <c r="J1676" s="20">
        <f t="shared" si="52"/>
        <v>400000</v>
      </c>
      <c r="K1676" s="106"/>
      <c r="L1676" s="114"/>
      <c r="M1676" s="114">
        <f>tblAquisições[[#This Row],[VALOR UNITARIO COMPRADO]]*tblAquisições[[#This Row],[QUANTIDADE COMPRADA]]</f>
        <v>0</v>
      </c>
      <c r="N1676" s="110">
        <f>K1676-tblAquisições[[#This Row],[QUANTIDADE PLANEJADA]]</f>
        <v>-2</v>
      </c>
      <c r="O1676" s="106" t="str">
        <f t="shared" si="53"/>
        <v>Faltando Comprar</v>
      </c>
    </row>
    <row r="1677" spans="1:15" ht="31.5">
      <c r="A1677" s="16" t="s">
        <v>17</v>
      </c>
      <c r="B1677" s="16" t="s">
        <v>28</v>
      </c>
      <c r="C1677" s="17" t="s">
        <v>19</v>
      </c>
      <c r="D1677" s="18" t="s">
        <v>991</v>
      </c>
      <c r="E1677" s="18">
        <v>1</v>
      </c>
      <c r="F1677" s="18" t="s">
        <v>992</v>
      </c>
      <c r="G1677" s="18" t="s">
        <v>127</v>
      </c>
      <c r="H1677" s="18" t="s">
        <v>23</v>
      </c>
      <c r="I1677" s="19">
        <v>200000</v>
      </c>
      <c r="J1677" s="20">
        <f t="shared" si="52"/>
        <v>200000</v>
      </c>
      <c r="K1677" s="106"/>
      <c r="L1677" s="114"/>
      <c r="M1677" s="114">
        <f>tblAquisições[[#This Row],[VALOR UNITARIO COMPRADO]]*tblAquisições[[#This Row],[QUANTIDADE COMPRADA]]</f>
        <v>0</v>
      </c>
      <c r="N1677" s="110">
        <f>K1677-tblAquisições[[#This Row],[QUANTIDADE PLANEJADA]]</f>
        <v>-1</v>
      </c>
      <c r="O1677" s="106" t="str">
        <f t="shared" si="53"/>
        <v>Faltando Comprar</v>
      </c>
    </row>
    <row r="1678" spans="1:15" ht="47.25">
      <c r="A1678" s="16" t="s">
        <v>17</v>
      </c>
      <c r="B1678" s="16" t="s">
        <v>26</v>
      </c>
      <c r="C1678" s="17" t="s">
        <v>19</v>
      </c>
      <c r="D1678" s="18" t="s">
        <v>993</v>
      </c>
      <c r="E1678" s="18">
        <v>8</v>
      </c>
      <c r="F1678" s="18" t="s">
        <v>30</v>
      </c>
      <c r="G1678" s="18" t="s">
        <v>22</v>
      </c>
      <c r="H1678" s="18" t="s">
        <v>23</v>
      </c>
      <c r="I1678" s="19">
        <v>1616.67</v>
      </c>
      <c r="J1678" s="20">
        <f t="shared" si="52"/>
        <v>12933.36</v>
      </c>
      <c r="K1678" s="106"/>
      <c r="L1678" s="114"/>
      <c r="M1678" s="114">
        <f>tblAquisições[[#This Row],[VALOR UNITARIO COMPRADO]]*tblAquisições[[#This Row],[QUANTIDADE COMPRADA]]</f>
        <v>0</v>
      </c>
      <c r="N1678" s="110">
        <f>K1678-tblAquisições[[#This Row],[QUANTIDADE PLANEJADA]]</f>
        <v>-8</v>
      </c>
      <c r="O1678" s="106" t="str">
        <f t="shared" si="53"/>
        <v>Faltando Comprar</v>
      </c>
    </row>
    <row r="1679" spans="1:15" ht="47.25">
      <c r="A1679" s="16" t="s">
        <v>17</v>
      </c>
      <c r="B1679" s="16" t="s">
        <v>80</v>
      </c>
      <c r="C1679" s="17" t="s">
        <v>19</v>
      </c>
      <c r="D1679" s="18" t="s">
        <v>994</v>
      </c>
      <c r="E1679" s="18">
        <v>2</v>
      </c>
      <c r="F1679" s="18" t="s">
        <v>82</v>
      </c>
      <c r="G1679" s="18" t="s">
        <v>39</v>
      </c>
      <c r="H1679" s="21"/>
      <c r="I1679" s="19">
        <v>4547.51</v>
      </c>
      <c r="J1679" s="20">
        <f t="shared" si="52"/>
        <v>9095.02</v>
      </c>
      <c r="K1679" s="106"/>
      <c r="L1679" s="114"/>
      <c r="M1679" s="114">
        <f>tblAquisições[[#This Row],[VALOR UNITARIO COMPRADO]]*tblAquisições[[#This Row],[QUANTIDADE COMPRADA]]</f>
        <v>0</v>
      </c>
      <c r="N1679" s="110">
        <f>K1679-tblAquisições[[#This Row],[QUANTIDADE PLANEJADA]]</f>
        <v>-2</v>
      </c>
      <c r="O1679" s="106" t="str">
        <f t="shared" si="53"/>
        <v>Faltando Comprar</v>
      </c>
    </row>
    <row r="1680" spans="1:15" ht="47.25">
      <c r="A1680" s="16" t="s">
        <v>17</v>
      </c>
      <c r="B1680" s="16" t="s">
        <v>27</v>
      </c>
      <c r="C1680" s="17" t="s">
        <v>19</v>
      </c>
      <c r="D1680" s="18" t="s">
        <v>995</v>
      </c>
      <c r="E1680" s="18">
        <v>3</v>
      </c>
      <c r="F1680" s="18" t="s">
        <v>30</v>
      </c>
      <c r="G1680" s="18" t="s">
        <v>22</v>
      </c>
      <c r="H1680" s="18" t="s">
        <v>23</v>
      </c>
      <c r="I1680" s="19">
        <v>4547.51</v>
      </c>
      <c r="J1680" s="20">
        <f t="shared" si="52"/>
        <v>13642.53</v>
      </c>
      <c r="K1680" s="106"/>
      <c r="L1680" s="114"/>
      <c r="M1680" s="114">
        <f>tblAquisições[[#This Row],[VALOR UNITARIO COMPRADO]]*tblAquisições[[#This Row],[QUANTIDADE COMPRADA]]</f>
        <v>0</v>
      </c>
      <c r="N1680" s="110">
        <f>K1680-tblAquisições[[#This Row],[QUANTIDADE PLANEJADA]]</f>
        <v>-3</v>
      </c>
      <c r="O1680" s="106" t="str">
        <f t="shared" si="53"/>
        <v>Faltando Comprar</v>
      </c>
    </row>
    <row r="1681" spans="1:15" ht="47.25">
      <c r="A1681" s="16" t="s">
        <v>17</v>
      </c>
      <c r="B1681" s="16" t="s">
        <v>28</v>
      </c>
      <c r="C1681" s="17" t="s">
        <v>19</v>
      </c>
      <c r="D1681" s="18" t="s">
        <v>996</v>
      </c>
      <c r="E1681" s="18">
        <v>5</v>
      </c>
      <c r="F1681" s="18" t="s">
        <v>21</v>
      </c>
      <c r="G1681" s="18" t="s">
        <v>22</v>
      </c>
      <c r="H1681" s="18" t="s">
        <v>23</v>
      </c>
      <c r="I1681" s="19">
        <v>16750</v>
      </c>
      <c r="J1681" s="20">
        <f t="shared" si="52"/>
        <v>83750</v>
      </c>
      <c r="K1681" s="106"/>
      <c r="L1681" s="114"/>
      <c r="M1681" s="114">
        <f>tblAquisições[[#This Row],[VALOR UNITARIO COMPRADO]]*tblAquisições[[#This Row],[QUANTIDADE COMPRADA]]</f>
        <v>0</v>
      </c>
      <c r="N1681" s="110">
        <f>K1681-tblAquisições[[#This Row],[QUANTIDADE PLANEJADA]]</f>
        <v>-5</v>
      </c>
      <c r="O1681" s="106" t="str">
        <f t="shared" si="53"/>
        <v>Faltando Comprar</v>
      </c>
    </row>
    <row r="1682" spans="1:15" ht="47.25">
      <c r="A1682" s="16" t="s">
        <v>17</v>
      </c>
      <c r="B1682" s="16" t="s">
        <v>34</v>
      </c>
      <c r="C1682" s="17" t="s">
        <v>19</v>
      </c>
      <c r="D1682" s="18" t="s">
        <v>997</v>
      </c>
      <c r="E1682" s="18">
        <v>1</v>
      </c>
      <c r="F1682" s="18" t="s">
        <v>78</v>
      </c>
      <c r="G1682" s="18" t="s">
        <v>22</v>
      </c>
      <c r="H1682" s="18" t="s">
        <v>23</v>
      </c>
      <c r="I1682" s="19">
        <v>264.63</v>
      </c>
      <c r="J1682" s="20">
        <f t="shared" si="52"/>
        <v>264.63</v>
      </c>
      <c r="K1682" s="106"/>
      <c r="L1682" s="114"/>
      <c r="M1682" s="114">
        <f>tblAquisições[[#This Row],[VALOR UNITARIO COMPRADO]]*tblAquisições[[#This Row],[QUANTIDADE COMPRADA]]</f>
        <v>0</v>
      </c>
      <c r="N1682" s="110">
        <f>K1682-tblAquisições[[#This Row],[QUANTIDADE PLANEJADA]]</f>
        <v>-1</v>
      </c>
      <c r="O1682" s="106" t="str">
        <f t="shared" si="53"/>
        <v>Faltando Comprar</v>
      </c>
    </row>
    <row r="1683" spans="1:15" ht="47.25">
      <c r="A1683" s="16" t="s">
        <v>17</v>
      </c>
      <c r="B1683" s="16" t="s">
        <v>18</v>
      </c>
      <c r="C1683" s="17" t="s">
        <v>19</v>
      </c>
      <c r="D1683" s="18" t="s">
        <v>997</v>
      </c>
      <c r="E1683" s="18">
        <v>2</v>
      </c>
      <c r="F1683" s="18" t="s">
        <v>78</v>
      </c>
      <c r="G1683" s="18" t="s">
        <v>22</v>
      </c>
      <c r="H1683" s="22"/>
      <c r="I1683" s="19">
        <v>264.63</v>
      </c>
      <c r="J1683" s="20">
        <f t="shared" si="52"/>
        <v>529.26</v>
      </c>
      <c r="K1683" s="106"/>
      <c r="L1683" s="114"/>
      <c r="M1683" s="114">
        <f>tblAquisições[[#This Row],[VALOR UNITARIO COMPRADO]]*tblAquisições[[#This Row],[QUANTIDADE COMPRADA]]</f>
        <v>0</v>
      </c>
      <c r="N1683" s="110">
        <f>K1683-tblAquisições[[#This Row],[QUANTIDADE PLANEJADA]]</f>
        <v>-2</v>
      </c>
      <c r="O1683" s="106" t="str">
        <f t="shared" si="53"/>
        <v>Faltando Comprar</v>
      </c>
    </row>
    <row r="1684" spans="1:15" ht="47.25">
      <c r="A1684" s="16" t="s">
        <v>17</v>
      </c>
      <c r="B1684" s="16" t="s">
        <v>24</v>
      </c>
      <c r="C1684" s="17" t="s">
        <v>19</v>
      </c>
      <c r="D1684" s="18" t="s">
        <v>997</v>
      </c>
      <c r="E1684" s="18">
        <v>2</v>
      </c>
      <c r="F1684" s="18" t="s">
        <v>78</v>
      </c>
      <c r="G1684" s="18" t="s">
        <v>22</v>
      </c>
      <c r="H1684" s="22"/>
      <c r="I1684" s="19">
        <v>264.63</v>
      </c>
      <c r="J1684" s="20">
        <f t="shared" si="52"/>
        <v>529.26</v>
      </c>
      <c r="K1684" s="106"/>
      <c r="L1684" s="114"/>
      <c r="M1684" s="114">
        <f>tblAquisições[[#This Row],[VALOR UNITARIO COMPRADO]]*tblAquisições[[#This Row],[QUANTIDADE COMPRADA]]</f>
        <v>0</v>
      </c>
      <c r="N1684" s="110">
        <f>K1684-tblAquisições[[#This Row],[QUANTIDADE PLANEJADA]]</f>
        <v>-2</v>
      </c>
      <c r="O1684" s="106" t="str">
        <f t="shared" si="53"/>
        <v>Faltando Comprar</v>
      </c>
    </row>
    <row r="1685" spans="1:15" ht="47.25">
      <c r="A1685" s="16" t="s">
        <v>17</v>
      </c>
      <c r="B1685" s="16" t="s">
        <v>25</v>
      </c>
      <c r="C1685" s="17" t="s">
        <v>19</v>
      </c>
      <c r="D1685" s="18" t="s">
        <v>997</v>
      </c>
      <c r="E1685" s="18">
        <v>2</v>
      </c>
      <c r="F1685" s="18" t="s">
        <v>78</v>
      </c>
      <c r="G1685" s="18" t="s">
        <v>22</v>
      </c>
      <c r="H1685" s="22"/>
      <c r="I1685" s="19">
        <v>264.63</v>
      </c>
      <c r="J1685" s="20">
        <f t="shared" si="52"/>
        <v>529.26</v>
      </c>
      <c r="K1685" s="106"/>
      <c r="L1685" s="114"/>
      <c r="M1685" s="114">
        <f>tblAquisições[[#This Row],[VALOR UNITARIO COMPRADO]]*tblAquisições[[#This Row],[QUANTIDADE COMPRADA]]</f>
        <v>0</v>
      </c>
      <c r="N1685" s="110">
        <f>K1685-tblAquisições[[#This Row],[QUANTIDADE PLANEJADA]]</f>
        <v>-2</v>
      </c>
      <c r="O1685" s="106" t="str">
        <f t="shared" si="53"/>
        <v>Faltando Comprar</v>
      </c>
    </row>
    <row r="1686" spans="1:15" ht="47.25">
      <c r="A1686" s="16" t="s">
        <v>17</v>
      </c>
      <c r="B1686" s="16" t="s">
        <v>26</v>
      </c>
      <c r="C1686" s="17" t="s">
        <v>19</v>
      </c>
      <c r="D1686" s="18" t="s">
        <v>997</v>
      </c>
      <c r="E1686" s="18">
        <v>2</v>
      </c>
      <c r="F1686" s="18" t="s">
        <v>78</v>
      </c>
      <c r="G1686" s="18" t="s">
        <v>22</v>
      </c>
      <c r="H1686" s="18" t="s">
        <v>23</v>
      </c>
      <c r="I1686" s="19">
        <v>264.63</v>
      </c>
      <c r="J1686" s="20">
        <f t="shared" si="52"/>
        <v>529.26</v>
      </c>
      <c r="K1686" s="106"/>
      <c r="L1686" s="114"/>
      <c r="M1686" s="114">
        <f>tblAquisições[[#This Row],[VALOR UNITARIO COMPRADO]]*tblAquisições[[#This Row],[QUANTIDADE COMPRADA]]</f>
        <v>0</v>
      </c>
      <c r="N1686" s="110">
        <f>K1686-tblAquisições[[#This Row],[QUANTIDADE PLANEJADA]]</f>
        <v>-2</v>
      </c>
      <c r="O1686" s="106" t="str">
        <f t="shared" si="53"/>
        <v>Faltando Comprar</v>
      </c>
    </row>
    <row r="1687" spans="1:15" ht="47.25">
      <c r="A1687" s="16" t="s">
        <v>17</v>
      </c>
      <c r="B1687" s="16" t="s">
        <v>27</v>
      </c>
      <c r="C1687" s="17" t="s">
        <v>19</v>
      </c>
      <c r="D1687" s="18" t="s">
        <v>997</v>
      </c>
      <c r="E1687" s="18">
        <v>2</v>
      </c>
      <c r="F1687" s="18" t="s">
        <v>78</v>
      </c>
      <c r="G1687" s="18" t="s">
        <v>22</v>
      </c>
      <c r="H1687" s="18" t="s">
        <v>23</v>
      </c>
      <c r="I1687" s="19">
        <v>264.63</v>
      </c>
      <c r="J1687" s="20">
        <f t="shared" si="52"/>
        <v>529.26</v>
      </c>
      <c r="K1687" s="106"/>
      <c r="L1687" s="114"/>
      <c r="M1687" s="114">
        <f>tblAquisições[[#This Row],[VALOR UNITARIO COMPRADO]]*tblAquisições[[#This Row],[QUANTIDADE COMPRADA]]</f>
        <v>0</v>
      </c>
      <c r="N1687" s="110">
        <f>K1687-tblAquisições[[#This Row],[QUANTIDADE PLANEJADA]]</f>
        <v>-2</v>
      </c>
      <c r="O1687" s="106" t="str">
        <f t="shared" si="53"/>
        <v>Faltando Comprar</v>
      </c>
    </row>
    <row r="1688" spans="1:15" ht="47.25">
      <c r="A1688" s="16" t="s">
        <v>17</v>
      </c>
      <c r="B1688" s="16" t="s">
        <v>28</v>
      </c>
      <c r="C1688" s="17" t="s">
        <v>19</v>
      </c>
      <c r="D1688" s="18" t="s">
        <v>997</v>
      </c>
      <c r="E1688" s="18">
        <v>6</v>
      </c>
      <c r="F1688" s="18" t="s">
        <v>78</v>
      </c>
      <c r="G1688" s="18" t="s">
        <v>22</v>
      </c>
      <c r="H1688" s="18" t="s">
        <v>23</v>
      </c>
      <c r="I1688" s="19">
        <v>264.63</v>
      </c>
      <c r="J1688" s="20">
        <f t="shared" si="52"/>
        <v>1587.78</v>
      </c>
      <c r="K1688" s="106"/>
      <c r="L1688" s="114"/>
      <c r="M1688" s="114">
        <f>tblAquisições[[#This Row],[VALOR UNITARIO COMPRADO]]*tblAquisições[[#This Row],[QUANTIDADE COMPRADA]]</f>
        <v>0</v>
      </c>
      <c r="N1688" s="110">
        <f>K1688-tblAquisições[[#This Row],[QUANTIDADE PLANEJADA]]</f>
        <v>-6</v>
      </c>
      <c r="O1688" s="106" t="str">
        <f t="shared" si="53"/>
        <v>Faltando Comprar</v>
      </c>
    </row>
    <row r="1689" spans="1:15" ht="47.25">
      <c r="A1689" s="16" t="s">
        <v>17</v>
      </c>
      <c r="B1689" s="16" t="s">
        <v>18</v>
      </c>
      <c r="C1689" s="17" t="s">
        <v>19</v>
      </c>
      <c r="D1689" s="18" t="s">
        <v>998</v>
      </c>
      <c r="E1689" s="18">
        <v>1</v>
      </c>
      <c r="F1689" s="18" t="s">
        <v>126</v>
      </c>
      <c r="G1689" s="18" t="s">
        <v>127</v>
      </c>
      <c r="H1689" s="18" t="s">
        <v>23</v>
      </c>
      <c r="I1689" s="19">
        <v>21014</v>
      </c>
      <c r="J1689" s="20">
        <f t="shared" si="52"/>
        <v>21014</v>
      </c>
      <c r="K1689" s="106"/>
      <c r="L1689" s="114"/>
      <c r="M1689" s="114">
        <f>tblAquisições[[#This Row],[VALOR UNITARIO COMPRADO]]*tblAquisições[[#This Row],[QUANTIDADE COMPRADA]]</f>
        <v>0</v>
      </c>
      <c r="N1689" s="110">
        <f>K1689-tblAquisições[[#This Row],[QUANTIDADE PLANEJADA]]</f>
        <v>-1</v>
      </c>
      <c r="O1689" s="106" t="str">
        <f t="shared" si="53"/>
        <v>Faltando Comprar</v>
      </c>
    </row>
    <row r="1690" spans="1:15" ht="47.25">
      <c r="A1690" s="16" t="s">
        <v>17</v>
      </c>
      <c r="B1690" s="16" t="s">
        <v>24</v>
      </c>
      <c r="C1690" s="17" t="s">
        <v>19</v>
      </c>
      <c r="D1690" s="18" t="s">
        <v>998</v>
      </c>
      <c r="E1690" s="18">
        <v>1</v>
      </c>
      <c r="F1690" s="18" t="s">
        <v>126</v>
      </c>
      <c r="G1690" s="18" t="s">
        <v>127</v>
      </c>
      <c r="H1690" s="18" t="s">
        <v>23</v>
      </c>
      <c r="I1690" s="19">
        <v>21014</v>
      </c>
      <c r="J1690" s="20">
        <f t="shared" si="52"/>
        <v>21014</v>
      </c>
      <c r="K1690" s="106"/>
      <c r="L1690" s="114"/>
      <c r="M1690" s="114">
        <f>tblAquisições[[#This Row],[VALOR UNITARIO COMPRADO]]*tblAquisições[[#This Row],[QUANTIDADE COMPRADA]]</f>
        <v>0</v>
      </c>
      <c r="N1690" s="110">
        <f>K1690-tblAquisições[[#This Row],[QUANTIDADE PLANEJADA]]</f>
        <v>-1</v>
      </c>
      <c r="O1690" s="106" t="str">
        <f t="shared" si="53"/>
        <v>Faltando Comprar</v>
      </c>
    </row>
    <row r="1691" spans="1:15" ht="31.5">
      <c r="A1691" s="16" t="s">
        <v>17</v>
      </c>
      <c r="B1691" s="16" t="s">
        <v>26</v>
      </c>
      <c r="C1691" s="17" t="s">
        <v>19</v>
      </c>
      <c r="D1691" s="18" t="s">
        <v>999</v>
      </c>
      <c r="E1691" s="18">
        <v>5</v>
      </c>
      <c r="F1691" s="18" t="s">
        <v>30</v>
      </c>
      <c r="G1691" s="18" t="s">
        <v>22</v>
      </c>
      <c r="H1691" s="18" t="s">
        <v>23</v>
      </c>
      <c r="I1691" s="19">
        <v>202.47</v>
      </c>
      <c r="J1691" s="20">
        <f t="shared" si="52"/>
        <v>1012.35</v>
      </c>
      <c r="K1691" s="106"/>
      <c r="L1691" s="114"/>
      <c r="M1691" s="114">
        <f>tblAquisições[[#This Row],[VALOR UNITARIO COMPRADO]]*tblAquisições[[#This Row],[QUANTIDADE COMPRADA]]</f>
        <v>0</v>
      </c>
      <c r="N1691" s="110">
        <f>K1691-tblAquisições[[#This Row],[QUANTIDADE PLANEJADA]]</f>
        <v>-5</v>
      </c>
      <c r="O1691" s="106" t="str">
        <f t="shared" si="53"/>
        <v>Faltando Comprar</v>
      </c>
    </row>
    <row r="1692" spans="1:15" ht="47.25">
      <c r="A1692" s="16" t="s">
        <v>17</v>
      </c>
      <c r="B1692" s="16" t="s">
        <v>18</v>
      </c>
      <c r="C1692" s="17" t="s">
        <v>19</v>
      </c>
      <c r="D1692" s="18" t="s">
        <v>1000</v>
      </c>
      <c r="E1692" s="18">
        <v>20</v>
      </c>
      <c r="F1692" s="18" t="s">
        <v>126</v>
      </c>
      <c r="G1692" s="18" t="s">
        <v>127</v>
      </c>
      <c r="H1692" s="18" t="s">
        <v>23</v>
      </c>
      <c r="I1692" s="19">
        <v>107.33</v>
      </c>
      <c r="J1692" s="20">
        <f t="shared" si="52"/>
        <v>2146.6</v>
      </c>
      <c r="K1692" s="106"/>
      <c r="L1692" s="114"/>
      <c r="M1692" s="114">
        <f>tblAquisições[[#This Row],[VALOR UNITARIO COMPRADO]]*tblAquisições[[#This Row],[QUANTIDADE COMPRADA]]</f>
        <v>0</v>
      </c>
      <c r="N1692" s="110">
        <f>K1692-tblAquisições[[#This Row],[QUANTIDADE PLANEJADA]]</f>
        <v>-20</v>
      </c>
      <c r="O1692" s="106" t="str">
        <f t="shared" si="53"/>
        <v>Faltando Comprar</v>
      </c>
    </row>
    <row r="1693" spans="1:15" ht="47.25">
      <c r="A1693" s="16" t="s">
        <v>17</v>
      </c>
      <c r="B1693" s="16" t="s">
        <v>24</v>
      </c>
      <c r="C1693" s="17" t="s">
        <v>19</v>
      </c>
      <c r="D1693" s="18" t="s">
        <v>1000</v>
      </c>
      <c r="E1693" s="18">
        <v>20</v>
      </c>
      <c r="F1693" s="18" t="s">
        <v>126</v>
      </c>
      <c r="G1693" s="18" t="s">
        <v>127</v>
      </c>
      <c r="H1693" s="18" t="s">
        <v>23</v>
      </c>
      <c r="I1693" s="19">
        <v>107.33</v>
      </c>
      <c r="J1693" s="20">
        <f t="shared" si="52"/>
        <v>2146.6</v>
      </c>
      <c r="K1693" s="106"/>
      <c r="L1693" s="114"/>
      <c r="M1693" s="114">
        <f>tblAquisições[[#This Row],[VALOR UNITARIO COMPRADO]]*tblAquisições[[#This Row],[QUANTIDADE COMPRADA]]</f>
        <v>0</v>
      </c>
      <c r="N1693" s="110">
        <f>K1693-tblAquisições[[#This Row],[QUANTIDADE PLANEJADA]]</f>
        <v>-20</v>
      </c>
      <c r="O1693" s="106" t="str">
        <f t="shared" si="53"/>
        <v>Faltando Comprar</v>
      </c>
    </row>
    <row r="1694" spans="1:15" ht="31.5">
      <c r="A1694" s="16" t="s">
        <v>17</v>
      </c>
      <c r="B1694" s="16" t="s">
        <v>26</v>
      </c>
      <c r="C1694" s="17" t="s">
        <v>19</v>
      </c>
      <c r="D1694" s="18" t="s">
        <v>1001</v>
      </c>
      <c r="E1694" s="18">
        <v>15</v>
      </c>
      <c r="F1694" s="18" t="s">
        <v>21</v>
      </c>
      <c r="G1694" s="18" t="s">
        <v>22</v>
      </c>
      <c r="H1694" s="18" t="s">
        <v>23</v>
      </c>
      <c r="I1694" s="19">
        <v>98.99</v>
      </c>
      <c r="J1694" s="20">
        <f t="shared" si="52"/>
        <v>1484.85</v>
      </c>
      <c r="K1694" s="106"/>
      <c r="L1694" s="114"/>
      <c r="M1694" s="114">
        <f>tblAquisições[[#This Row],[VALOR UNITARIO COMPRADO]]*tblAquisições[[#This Row],[QUANTIDADE COMPRADA]]</f>
        <v>0</v>
      </c>
      <c r="N1694" s="110">
        <f>K1694-tblAquisições[[#This Row],[QUANTIDADE PLANEJADA]]</f>
        <v>-15</v>
      </c>
      <c r="O1694" s="106" t="str">
        <f t="shared" si="53"/>
        <v>Faltando Comprar</v>
      </c>
    </row>
    <row r="1695" spans="1:15" ht="31.5">
      <c r="A1695" s="16" t="s">
        <v>17</v>
      </c>
      <c r="B1695" s="16" t="s">
        <v>27</v>
      </c>
      <c r="C1695" s="17" t="s">
        <v>19</v>
      </c>
      <c r="D1695" s="18" t="s">
        <v>1001</v>
      </c>
      <c r="E1695" s="18">
        <v>20</v>
      </c>
      <c r="F1695" s="18" t="s">
        <v>21</v>
      </c>
      <c r="G1695" s="18" t="s">
        <v>22</v>
      </c>
      <c r="H1695" s="18" t="s">
        <v>23</v>
      </c>
      <c r="I1695" s="19">
        <v>98.99</v>
      </c>
      <c r="J1695" s="20">
        <f t="shared" si="52"/>
        <v>1979.8</v>
      </c>
      <c r="K1695" s="106"/>
      <c r="L1695" s="114"/>
      <c r="M1695" s="114">
        <f>tblAquisições[[#This Row],[VALOR UNITARIO COMPRADO]]*tblAquisições[[#This Row],[QUANTIDADE COMPRADA]]</f>
        <v>0</v>
      </c>
      <c r="N1695" s="110">
        <f>K1695-tblAquisições[[#This Row],[QUANTIDADE PLANEJADA]]</f>
        <v>-20</v>
      </c>
      <c r="O1695" s="106" t="str">
        <f t="shared" si="53"/>
        <v>Faltando Comprar</v>
      </c>
    </row>
    <row r="1696" spans="1:15" ht="31.5">
      <c r="A1696" s="16" t="s">
        <v>17</v>
      </c>
      <c r="B1696" s="16" t="s">
        <v>28</v>
      </c>
      <c r="C1696" s="17" t="s">
        <v>19</v>
      </c>
      <c r="D1696" s="18" t="s">
        <v>1001</v>
      </c>
      <c r="E1696" s="18">
        <v>30</v>
      </c>
      <c r="F1696" s="18" t="s">
        <v>21</v>
      </c>
      <c r="G1696" s="18" t="s">
        <v>22</v>
      </c>
      <c r="H1696" s="18" t="s">
        <v>23</v>
      </c>
      <c r="I1696" s="19">
        <v>98.99</v>
      </c>
      <c r="J1696" s="20">
        <f t="shared" si="52"/>
        <v>2969.7</v>
      </c>
      <c r="K1696" s="106"/>
      <c r="L1696" s="114"/>
      <c r="M1696" s="114">
        <f>tblAquisições[[#This Row],[VALOR UNITARIO COMPRADO]]*tblAquisições[[#This Row],[QUANTIDADE COMPRADA]]</f>
        <v>0</v>
      </c>
      <c r="N1696" s="110">
        <f>K1696-tblAquisições[[#This Row],[QUANTIDADE PLANEJADA]]</f>
        <v>-30</v>
      </c>
      <c r="O1696" s="106" t="str">
        <f t="shared" si="53"/>
        <v>Faltando Comprar</v>
      </c>
    </row>
    <row r="1697" spans="1:15" ht="31.5">
      <c r="A1697" s="16" t="s">
        <v>17</v>
      </c>
      <c r="B1697" s="16" t="s">
        <v>31</v>
      </c>
      <c r="C1697" s="17" t="s">
        <v>19</v>
      </c>
      <c r="D1697" s="18" t="s">
        <v>1002</v>
      </c>
      <c r="E1697" s="18">
        <v>2</v>
      </c>
      <c r="F1697" s="18" t="s">
        <v>21</v>
      </c>
      <c r="G1697" s="18" t="s">
        <v>22</v>
      </c>
      <c r="H1697" s="18" t="s">
        <v>23</v>
      </c>
      <c r="I1697" s="19">
        <v>158.4</v>
      </c>
      <c r="J1697" s="20">
        <f t="shared" si="52"/>
        <v>316.8</v>
      </c>
      <c r="K1697" s="106"/>
      <c r="L1697" s="114"/>
      <c r="M1697" s="114">
        <f>tblAquisições[[#This Row],[VALOR UNITARIO COMPRADO]]*tblAquisições[[#This Row],[QUANTIDADE COMPRADA]]</f>
        <v>0</v>
      </c>
      <c r="N1697" s="110">
        <f>K1697-tblAquisições[[#This Row],[QUANTIDADE PLANEJADA]]</f>
        <v>-2</v>
      </c>
      <c r="O1697" s="106" t="str">
        <f t="shared" si="53"/>
        <v>Faltando Comprar</v>
      </c>
    </row>
    <row r="1698" spans="1:15" ht="31.5">
      <c r="A1698" s="16" t="s">
        <v>17</v>
      </c>
      <c r="B1698" s="16" t="s">
        <v>41</v>
      </c>
      <c r="C1698" s="17" t="s">
        <v>19</v>
      </c>
      <c r="D1698" s="18" t="s">
        <v>1002</v>
      </c>
      <c r="E1698" s="18">
        <v>3</v>
      </c>
      <c r="F1698" s="18" t="s">
        <v>21</v>
      </c>
      <c r="G1698" s="18" t="s">
        <v>22</v>
      </c>
      <c r="H1698" s="18" t="s">
        <v>23</v>
      </c>
      <c r="I1698" s="19">
        <v>158.4</v>
      </c>
      <c r="J1698" s="20">
        <f t="shared" si="52"/>
        <v>475.20000000000005</v>
      </c>
      <c r="K1698" s="106"/>
      <c r="L1698" s="114"/>
      <c r="M1698" s="114">
        <f>tblAquisições[[#This Row],[VALOR UNITARIO COMPRADO]]*tblAquisições[[#This Row],[QUANTIDADE COMPRADA]]</f>
        <v>0</v>
      </c>
      <c r="N1698" s="110">
        <f>K1698-tblAquisições[[#This Row],[QUANTIDADE PLANEJADA]]</f>
        <v>-3</v>
      </c>
      <c r="O1698" s="106" t="str">
        <f t="shared" si="53"/>
        <v>Faltando Comprar</v>
      </c>
    </row>
    <row r="1699" spans="1:15" ht="31.5">
      <c r="A1699" s="16" t="s">
        <v>17</v>
      </c>
      <c r="B1699" s="16" t="s">
        <v>26</v>
      </c>
      <c r="C1699" s="17" t="s">
        <v>19</v>
      </c>
      <c r="D1699" s="18" t="s">
        <v>1002</v>
      </c>
      <c r="E1699" s="18">
        <v>15</v>
      </c>
      <c r="F1699" s="18" t="s">
        <v>21</v>
      </c>
      <c r="G1699" s="18" t="s">
        <v>22</v>
      </c>
      <c r="H1699" s="18" t="s">
        <v>23</v>
      </c>
      <c r="I1699" s="19">
        <v>158.4</v>
      </c>
      <c r="J1699" s="20">
        <f t="shared" si="52"/>
        <v>2376</v>
      </c>
      <c r="K1699" s="106"/>
      <c r="L1699" s="114"/>
      <c r="M1699" s="114">
        <f>tblAquisições[[#This Row],[VALOR UNITARIO COMPRADO]]*tblAquisições[[#This Row],[QUANTIDADE COMPRADA]]</f>
        <v>0</v>
      </c>
      <c r="N1699" s="110">
        <f>K1699-tblAquisições[[#This Row],[QUANTIDADE PLANEJADA]]</f>
        <v>-15</v>
      </c>
      <c r="O1699" s="106" t="str">
        <f t="shared" si="53"/>
        <v>Faltando Comprar</v>
      </c>
    </row>
    <row r="1700" spans="1:15" ht="31.5">
      <c r="A1700" s="16" t="s">
        <v>17</v>
      </c>
      <c r="B1700" s="16" t="s">
        <v>27</v>
      </c>
      <c r="C1700" s="17" t="s">
        <v>19</v>
      </c>
      <c r="D1700" s="18" t="s">
        <v>1002</v>
      </c>
      <c r="E1700" s="18">
        <v>20</v>
      </c>
      <c r="F1700" s="18" t="s">
        <v>21</v>
      </c>
      <c r="G1700" s="18" t="s">
        <v>22</v>
      </c>
      <c r="H1700" s="18" t="s">
        <v>23</v>
      </c>
      <c r="I1700" s="19">
        <v>158.4</v>
      </c>
      <c r="J1700" s="20">
        <f t="shared" si="52"/>
        <v>3168</v>
      </c>
      <c r="K1700" s="106"/>
      <c r="L1700" s="114"/>
      <c r="M1700" s="114">
        <f>tblAquisições[[#This Row],[VALOR UNITARIO COMPRADO]]*tblAquisições[[#This Row],[QUANTIDADE COMPRADA]]</f>
        <v>0</v>
      </c>
      <c r="N1700" s="110">
        <f>K1700-tblAquisições[[#This Row],[QUANTIDADE PLANEJADA]]</f>
        <v>-20</v>
      </c>
      <c r="O1700" s="106" t="str">
        <f t="shared" si="53"/>
        <v>Faltando Comprar</v>
      </c>
    </row>
    <row r="1701" spans="1:15" ht="31.5">
      <c r="A1701" s="16" t="s">
        <v>17</v>
      </c>
      <c r="B1701" s="16" t="s">
        <v>28</v>
      </c>
      <c r="C1701" s="17" t="s">
        <v>19</v>
      </c>
      <c r="D1701" s="18" t="s">
        <v>1002</v>
      </c>
      <c r="E1701" s="18">
        <v>40</v>
      </c>
      <c r="F1701" s="18" t="s">
        <v>21</v>
      </c>
      <c r="G1701" s="18" t="s">
        <v>22</v>
      </c>
      <c r="H1701" s="18" t="s">
        <v>23</v>
      </c>
      <c r="I1701" s="19">
        <v>158.4</v>
      </c>
      <c r="J1701" s="20">
        <f t="shared" si="52"/>
        <v>6336</v>
      </c>
      <c r="K1701" s="106"/>
      <c r="L1701" s="114"/>
      <c r="M1701" s="114">
        <f>tblAquisições[[#This Row],[VALOR UNITARIO COMPRADO]]*tblAquisições[[#This Row],[QUANTIDADE COMPRADA]]</f>
        <v>0</v>
      </c>
      <c r="N1701" s="110">
        <f>K1701-tblAquisições[[#This Row],[QUANTIDADE PLANEJADA]]</f>
        <v>-40</v>
      </c>
      <c r="O1701" s="106" t="str">
        <f t="shared" si="53"/>
        <v>Faltando Comprar</v>
      </c>
    </row>
    <row r="1702" spans="1:15" ht="31.5">
      <c r="A1702" s="16" t="s">
        <v>17</v>
      </c>
      <c r="B1702" s="16" t="s">
        <v>80</v>
      </c>
      <c r="C1702" s="17" t="s">
        <v>19</v>
      </c>
      <c r="D1702" s="18" t="s">
        <v>1003</v>
      </c>
      <c r="E1702" s="18">
        <v>3</v>
      </c>
      <c r="F1702" s="18" t="s">
        <v>38</v>
      </c>
      <c r="G1702" s="18" t="s">
        <v>39</v>
      </c>
      <c r="H1702" s="21"/>
      <c r="I1702" s="19">
        <v>147.22</v>
      </c>
      <c r="J1702" s="20">
        <f t="shared" si="52"/>
        <v>441.65999999999997</v>
      </c>
      <c r="K1702" s="106"/>
      <c r="L1702" s="114"/>
      <c r="M1702" s="114">
        <f>tblAquisições[[#This Row],[VALOR UNITARIO COMPRADO]]*tblAquisições[[#This Row],[QUANTIDADE COMPRADA]]</f>
        <v>0</v>
      </c>
      <c r="N1702" s="110">
        <f>K1702-tblAquisições[[#This Row],[QUANTIDADE PLANEJADA]]</f>
        <v>-3</v>
      </c>
      <c r="O1702" s="106" t="str">
        <f t="shared" si="53"/>
        <v>Faltando Comprar</v>
      </c>
    </row>
    <row r="1703" spans="1:15" ht="31.5">
      <c r="A1703" s="16" t="s">
        <v>17</v>
      </c>
      <c r="B1703" s="16" t="s">
        <v>28</v>
      </c>
      <c r="C1703" s="17" t="s">
        <v>19</v>
      </c>
      <c r="D1703" s="18" t="s">
        <v>1004</v>
      </c>
      <c r="E1703" s="18">
        <v>30</v>
      </c>
      <c r="F1703" s="18" t="s">
        <v>21</v>
      </c>
      <c r="G1703" s="18" t="s">
        <v>22</v>
      </c>
      <c r="H1703" s="18" t="s">
        <v>23</v>
      </c>
      <c r="I1703" s="19">
        <v>147.22</v>
      </c>
      <c r="J1703" s="20">
        <f t="shared" si="52"/>
        <v>4416.6000000000004</v>
      </c>
      <c r="K1703" s="106"/>
      <c r="L1703" s="114"/>
      <c r="M1703" s="114">
        <f>tblAquisições[[#This Row],[VALOR UNITARIO COMPRADO]]*tblAquisições[[#This Row],[QUANTIDADE COMPRADA]]</f>
        <v>0</v>
      </c>
      <c r="N1703" s="110">
        <f>K1703-tblAquisições[[#This Row],[QUANTIDADE PLANEJADA]]</f>
        <v>-30</v>
      </c>
      <c r="O1703" s="106" t="str">
        <f t="shared" si="53"/>
        <v>Faltando Comprar</v>
      </c>
    </row>
    <row r="1704" spans="1:15" ht="31.5">
      <c r="A1704" s="16" t="s">
        <v>17</v>
      </c>
      <c r="B1704" s="16" t="s">
        <v>26</v>
      </c>
      <c r="C1704" s="17" t="s">
        <v>19</v>
      </c>
      <c r="D1704" s="18" t="s">
        <v>1005</v>
      </c>
      <c r="E1704" s="18">
        <v>5</v>
      </c>
      <c r="F1704" s="18" t="s">
        <v>30</v>
      </c>
      <c r="G1704" s="18" t="s">
        <v>22</v>
      </c>
      <c r="H1704" s="18" t="s">
        <v>23</v>
      </c>
      <c r="I1704" s="19">
        <v>692.59</v>
      </c>
      <c r="J1704" s="20">
        <f t="shared" si="52"/>
        <v>3462.9500000000003</v>
      </c>
      <c r="K1704" s="106"/>
      <c r="L1704" s="114"/>
      <c r="M1704" s="114">
        <f>tblAquisições[[#This Row],[VALOR UNITARIO COMPRADO]]*tblAquisições[[#This Row],[QUANTIDADE COMPRADA]]</f>
        <v>0</v>
      </c>
      <c r="N1704" s="110">
        <f>K1704-tblAquisições[[#This Row],[QUANTIDADE PLANEJADA]]</f>
        <v>-5</v>
      </c>
      <c r="O1704" s="106" t="str">
        <f t="shared" si="53"/>
        <v>Faltando Comprar</v>
      </c>
    </row>
    <row r="1705" spans="1:15" ht="31.5">
      <c r="A1705" s="16" t="s">
        <v>17</v>
      </c>
      <c r="B1705" s="16" t="s">
        <v>80</v>
      </c>
      <c r="C1705" s="17" t="s">
        <v>19</v>
      </c>
      <c r="D1705" s="18" t="s">
        <v>1006</v>
      </c>
      <c r="E1705" s="18">
        <v>4</v>
      </c>
      <c r="F1705" s="18" t="s">
        <v>82</v>
      </c>
      <c r="G1705" s="18" t="s">
        <v>39</v>
      </c>
      <c r="H1705" s="18" t="s">
        <v>65</v>
      </c>
      <c r="I1705" s="19">
        <v>68.5</v>
      </c>
      <c r="J1705" s="20">
        <f t="shared" si="52"/>
        <v>274</v>
      </c>
      <c r="K1705" s="106"/>
      <c r="L1705" s="114"/>
      <c r="M1705" s="114">
        <f>tblAquisições[[#This Row],[VALOR UNITARIO COMPRADO]]*tblAquisições[[#This Row],[QUANTIDADE COMPRADA]]</f>
        <v>0</v>
      </c>
      <c r="N1705" s="110">
        <f>K1705-tblAquisições[[#This Row],[QUANTIDADE PLANEJADA]]</f>
        <v>-4</v>
      </c>
      <c r="O1705" s="106" t="str">
        <f t="shared" si="53"/>
        <v>Faltando Comprar</v>
      </c>
    </row>
    <row r="1706" spans="1:15" ht="31.5">
      <c r="A1706" s="16" t="s">
        <v>17</v>
      </c>
      <c r="B1706" s="16" t="s">
        <v>80</v>
      </c>
      <c r="C1706" s="17" t="s">
        <v>19</v>
      </c>
      <c r="D1706" s="18" t="s">
        <v>1007</v>
      </c>
      <c r="E1706" s="18">
        <v>5</v>
      </c>
      <c r="F1706" s="18" t="s">
        <v>38</v>
      </c>
      <c r="G1706" s="18" t="s">
        <v>39</v>
      </c>
      <c r="H1706" s="21"/>
      <c r="I1706" s="19">
        <v>375</v>
      </c>
      <c r="J1706" s="20">
        <f t="shared" si="52"/>
        <v>1875</v>
      </c>
      <c r="K1706" s="106"/>
      <c r="L1706" s="114"/>
      <c r="M1706" s="114">
        <f>tblAquisições[[#This Row],[VALOR UNITARIO COMPRADO]]*tblAquisições[[#This Row],[QUANTIDADE COMPRADA]]</f>
        <v>0</v>
      </c>
      <c r="N1706" s="110">
        <f>K1706-tblAquisições[[#This Row],[QUANTIDADE PLANEJADA]]</f>
        <v>-5</v>
      </c>
      <c r="O1706" s="106" t="str">
        <f t="shared" si="53"/>
        <v>Faltando Comprar</v>
      </c>
    </row>
    <row r="1707" spans="1:15" ht="31.5">
      <c r="A1707" s="16" t="s">
        <v>17</v>
      </c>
      <c r="B1707" s="16" t="s">
        <v>26</v>
      </c>
      <c r="C1707" s="17" t="s">
        <v>19</v>
      </c>
      <c r="D1707" s="18" t="s">
        <v>1008</v>
      </c>
      <c r="E1707" s="18">
        <v>5</v>
      </c>
      <c r="F1707" s="18" t="s">
        <v>21</v>
      </c>
      <c r="G1707" s="18" t="s">
        <v>22</v>
      </c>
      <c r="H1707" s="18" t="s">
        <v>23</v>
      </c>
      <c r="I1707" s="19">
        <v>375</v>
      </c>
      <c r="J1707" s="20">
        <f t="shared" si="52"/>
        <v>1875</v>
      </c>
      <c r="K1707" s="106"/>
      <c r="L1707" s="114"/>
      <c r="M1707" s="114">
        <f>tblAquisições[[#This Row],[VALOR UNITARIO COMPRADO]]*tblAquisições[[#This Row],[QUANTIDADE COMPRADA]]</f>
        <v>0</v>
      </c>
      <c r="N1707" s="110">
        <f>K1707-tblAquisições[[#This Row],[QUANTIDADE PLANEJADA]]</f>
        <v>-5</v>
      </c>
      <c r="O1707" s="106" t="str">
        <f t="shared" si="53"/>
        <v>Faltando Comprar</v>
      </c>
    </row>
    <row r="1708" spans="1:15" ht="47.25">
      <c r="A1708" s="16" t="s">
        <v>17</v>
      </c>
      <c r="B1708" s="16" t="s">
        <v>28</v>
      </c>
      <c r="C1708" s="17" t="s">
        <v>19</v>
      </c>
      <c r="D1708" s="18" t="s">
        <v>1009</v>
      </c>
      <c r="E1708" s="18">
        <v>25</v>
      </c>
      <c r="F1708" s="18" t="s">
        <v>21</v>
      </c>
      <c r="G1708" s="18" t="s">
        <v>22</v>
      </c>
      <c r="H1708" s="18" t="s">
        <v>23</v>
      </c>
      <c r="I1708" s="19">
        <v>44.5</v>
      </c>
      <c r="J1708" s="20">
        <f t="shared" si="52"/>
        <v>1112.5</v>
      </c>
      <c r="K1708" s="106"/>
      <c r="L1708" s="114"/>
      <c r="M1708" s="114">
        <f>tblAquisições[[#This Row],[VALOR UNITARIO COMPRADO]]*tblAquisições[[#This Row],[QUANTIDADE COMPRADA]]</f>
        <v>0</v>
      </c>
      <c r="N1708" s="110">
        <f>K1708-tblAquisições[[#This Row],[QUANTIDADE PLANEJADA]]</f>
        <v>-25</v>
      </c>
      <c r="O1708" s="106" t="str">
        <f t="shared" si="53"/>
        <v>Faltando Comprar</v>
      </c>
    </row>
    <row r="1709" spans="1:15" ht="31.5">
      <c r="A1709" s="16" t="s">
        <v>17</v>
      </c>
      <c r="B1709" s="16" t="s">
        <v>26</v>
      </c>
      <c r="C1709" s="17" t="s">
        <v>19</v>
      </c>
      <c r="D1709" s="18" t="s">
        <v>1010</v>
      </c>
      <c r="E1709" s="18">
        <v>20</v>
      </c>
      <c r="F1709" s="18" t="s">
        <v>30</v>
      </c>
      <c r="G1709" s="18" t="s">
        <v>22</v>
      </c>
      <c r="H1709" s="18" t="s">
        <v>23</v>
      </c>
      <c r="I1709" s="19">
        <v>142</v>
      </c>
      <c r="J1709" s="20">
        <f t="shared" si="52"/>
        <v>2840</v>
      </c>
      <c r="K1709" s="106"/>
      <c r="L1709" s="114"/>
      <c r="M1709" s="114">
        <f>tblAquisições[[#This Row],[VALOR UNITARIO COMPRADO]]*tblAquisições[[#This Row],[QUANTIDADE COMPRADA]]</f>
        <v>0</v>
      </c>
      <c r="N1709" s="110">
        <f>K1709-tblAquisições[[#This Row],[QUANTIDADE PLANEJADA]]</f>
        <v>-20</v>
      </c>
      <c r="O1709" s="106" t="str">
        <f t="shared" si="53"/>
        <v>Faltando Comprar</v>
      </c>
    </row>
    <row r="1710" spans="1:15" ht="31.5">
      <c r="A1710" s="16" t="s">
        <v>17</v>
      </c>
      <c r="B1710" s="16" t="s">
        <v>26</v>
      </c>
      <c r="C1710" s="17" t="s">
        <v>19</v>
      </c>
      <c r="D1710" s="18" t="s">
        <v>1011</v>
      </c>
      <c r="E1710" s="18">
        <v>50</v>
      </c>
      <c r="F1710" s="18" t="s">
        <v>30</v>
      </c>
      <c r="G1710" s="18" t="s">
        <v>22</v>
      </c>
      <c r="H1710" s="18" t="s">
        <v>23</v>
      </c>
      <c r="I1710" s="19">
        <v>105.65</v>
      </c>
      <c r="J1710" s="20">
        <f t="shared" si="52"/>
        <v>5282.5</v>
      </c>
      <c r="K1710" s="106"/>
      <c r="L1710" s="114"/>
      <c r="M1710" s="114">
        <f>tblAquisições[[#This Row],[VALOR UNITARIO COMPRADO]]*tblAquisições[[#This Row],[QUANTIDADE COMPRADA]]</f>
        <v>0</v>
      </c>
      <c r="N1710" s="110">
        <f>K1710-tblAquisições[[#This Row],[QUANTIDADE PLANEJADA]]</f>
        <v>-50</v>
      </c>
      <c r="O1710" s="106" t="str">
        <f t="shared" si="53"/>
        <v>Faltando Comprar</v>
      </c>
    </row>
    <row r="1711" spans="1:15" ht="47.25">
      <c r="A1711" s="16" t="s">
        <v>17</v>
      </c>
      <c r="B1711" s="16" t="s">
        <v>28</v>
      </c>
      <c r="C1711" s="17" t="s">
        <v>19</v>
      </c>
      <c r="D1711" s="18" t="s">
        <v>1012</v>
      </c>
      <c r="E1711" s="18">
        <v>2</v>
      </c>
      <c r="F1711" s="18" t="s">
        <v>78</v>
      </c>
      <c r="G1711" s="18" t="s">
        <v>22</v>
      </c>
      <c r="H1711" s="18" t="s">
        <v>100</v>
      </c>
      <c r="I1711" s="19">
        <v>10.98</v>
      </c>
      <c r="J1711" s="20">
        <f t="shared" si="52"/>
        <v>21.96</v>
      </c>
      <c r="K1711" s="106"/>
      <c r="L1711" s="114"/>
      <c r="M1711" s="114">
        <f>tblAquisições[[#This Row],[VALOR UNITARIO COMPRADO]]*tblAquisições[[#This Row],[QUANTIDADE COMPRADA]]</f>
        <v>0</v>
      </c>
      <c r="N1711" s="110">
        <f>K1711-tblAquisições[[#This Row],[QUANTIDADE PLANEJADA]]</f>
        <v>-2</v>
      </c>
      <c r="O1711" s="106" t="str">
        <f t="shared" si="53"/>
        <v>Faltando Comprar</v>
      </c>
    </row>
    <row r="1712" spans="1:15" ht="31.5">
      <c r="A1712" s="16" t="s">
        <v>17</v>
      </c>
      <c r="B1712" s="16" t="s">
        <v>80</v>
      </c>
      <c r="C1712" s="17" t="s">
        <v>19</v>
      </c>
      <c r="D1712" s="18" t="s">
        <v>1013</v>
      </c>
      <c r="E1712" s="18">
        <v>30</v>
      </c>
      <c r="F1712" s="18" t="s">
        <v>82</v>
      </c>
      <c r="G1712" s="18" t="s">
        <v>39</v>
      </c>
      <c r="H1712" s="18" t="s">
        <v>83</v>
      </c>
      <c r="I1712" s="19">
        <v>39.5</v>
      </c>
      <c r="J1712" s="20">
        <f t="shared" si="52"/>
        <v>1185</v>
      </c>
      <c r="K1712" s="106"/>
      <c r="L1712" s="114"/>
      <c r="M1712" s="114">
        <f>tblAquisições[[#This Row],[VALOR UNITARIO COMPRADO]]*tblAquisições[[#This Row],[QUANTIDADE COMPRADA]]</f>
        <v>0</v>
      </c>
      <c r="N1712" s="110">
        <f>K1712-tblAquisições[[#This Row],[QUANTIDADE PLANEJADA]]</f>
        <v>-30</v>
      </c>
      <c r="O1712" s="106" t="str">
        <f t="shared" si="53"/>
        <v>Faltando Comprar</v>
      </c>
    </row>
    <row r="1713" spans="1:15" ht="31.5">
      <c r="A1713" s="16" t="s">
        <v>17</v>
      </c>
      <c r="B1713" s="16" t="s">
        <v>80</v>
      </c>
      <c r="C1713" s="17" t="s">
        <v>19</v>
      </c>
      <c r="D1713" s="18" t="s">
        <v>1014</v>
      </c>
      <c r="E1713" s="18">
        <v>30</v>
      </c>
      <c r="F1713" s="18" t="s">
        <v>82</v>
      </c>
      <c r="G1713" s="18" t="s">
        <v>39</v>
      </c>
      <c r="H1713" s="21"/>
      <c r="I1713" s="19">
        <v>6.6</v>
      </c>
      <c r="J1713" s="20">
        <f t="shared" si="52"/>
        <v>198</v>
      </c>
      <c r="K1713" s="106"/>
      <c r="L1713" s="114"/>
      <c r="M1713" s="114">
        <f>tblAquisições[[#This Row],[VALOR UNITARIO COMPRADO]]*tblAquisições[[#This Row],[QUANTIDADE COMPRADA]]</f>
        <v>0</v>
      </c>
      <c r="N1713" s="110">
        <f>K1713-tblAquisições[[#This Row],[QUANTIDADE PLANEJADA]]</f>
        <v>-30</v>
      </c>
      <c r="O1713" s="106" t="str">
        <f t="shared" si="53"/>
        <v>Faltando Comprar</v>
      </c>
    </row>
    <row r="1714" spans="1:15" ht="31.5">
      <c r="A1714" s="16" t="s">
        <v>17</v>
      </c>
      <c r="B1714" s="16" t="s">
        <v>80</v>
      </c>
      <c r="C1714" s="17" t="s">
        <v>19</v>
      </c>
      <c r="D1714" s="18" t="s">
        <v>1015</v>
      </c>
      <c r="E1714" s="18">
        <v>20</v>
      </c>
      <c r="F1714" s="18" t="s">
        <v>82</v>
      </c>
      <c r="G1714" s="18" t="s">
        <v>39</v>
      </c>
      <c r="H1714" s="21"/>
      <c r="I1714" s="19">
        <v>2.6</v>
      </c>
      <c r="J1714" s="20">
        <f t="shared" si="52"/>
        <v>52</v>
      </c>
      <c r="K1714" s="106"/>
      <c r="L1714" s="114"/>
      <c r="M1714" s="114">
        <f>tblAquisições[[#This Row],[VALOR UNITARIO COMPRADO]]*tblAquisições[[#This Row],[QUANTIDADE COMPRADA]]</f>
        <v>0</v>
      </c>
      <c r="N1714" s="110">
        <f>K1714-tblAquisições[[#This Row],[QUANTIDADE PLANEJADA]]</f>
        <v>-20</v>
      </c>
      <c r="O1714" s="106" t="str">
        <f t="shared" si="53"/>
        <v>Faltando Comprar</v>
      </c>
    </row>
    <row r="1715" spans="1:15" ht="47.25">
      <c r="A1715" s="16" t="s">
        <v>17</v>
      </c>
      <c r="B1715" s="16" t="s">
        <v>18</v>
      </c>
      <c r="C1715" s="17" t="s">
        <v>19</v>
      </c>
      <c r="D1715" s="18" t="s">
        <v>1016</v>
      </c>
      <c r="E1715" s="18">
        <v>2</v>
      </c>
      <c r="F1715" s="18" t="s">
        <v>21</v>
      </c>
      <c r="G1715" s="18" t="s">
        <v>22</v>
      </c>
      <c r="H1715" s="18" t="s">
        <v>23</v>
      </c>
      <c r="I1715" s="19">
        <v>7783.6</v>
      </c>
      <c r="J1715" s="20">
        <f t="shared" si="52"/>
        <v>15567.2</v>
      </c>
      <c r="K1715" s="106"/>
      <c r="L1715" s="114"/>
      <c r="M1715" s="114">
        <f>tblAquisições[[#This Row],[VALOR UNITARIO COMPRADO]]*tblAquisições[[#This Row],[QUANTIDADE COMPRADA]]</f>
        <v>0</v>
      </c>
      <c r="N1715" s="110">
        <f>K1715-tblAquisições[[#This Row],[QUANTIDADE PLANEJADA]]</f>
        <v>-2</v>
      </c>
      <c r="O1715" s="106" t="str">
        <f t="shared" si="53"/>
        <v>Faltando Comprar</v>
      </c>
    </row>
    <row r="1716" spans="1:15" ht="47.25">
      <c r="A1716" s="16" t="s">
        <v>17</v>
      </c>
      <c r="B1716" s="16" t="s">
        <v>24</v>
      </c>
      <c r="C1716" s="17" t="s">
        <v>19</v>
      </c>
      <c r="D1716" s="18" t="s">
        <v>1016</v>
      </c>
      <c r="E1716" s="18">
        <v>2</v>
      </c>
      <c r="F1716" s="18" t="s">
        <v>21</v>
      </c>
      <c r="G1716" s="18" t="s">
        <v>22</v>
      </c>
      <c r="H1716" s="18" t="s">
        <v>23</v>
      </c>
      <c r="I1716" s="19">
        <v>7783.6</v>
      </c>
      <c r="J1716" s="20">
        <f t="shared" si="52"/>
        <v>15567.2</v>
      </c>
      <c r="K1716" s="106"/>
      <c r="L1716" s="114"/>
      <c r="M1716" s="114">
        <f>tblAquisições[[#This Row],[VALOR UNITARIO COMPRADO]]*tblAquisições[[#This Row],[QUANTIDADE COMPRADA]]</f>
        <v>0</v>
      </c>
      <c r="N1716" s="110">
        <f>K1716-tblAquisições[[#This Row],[QUANTIDADE PLANEJADA]]</f>
        <v>-2</v>
      </c>
      <c r="O1716" s="106" t="str">
        <f t="shared" si="53"/>
        <v>Faltando Comprar</v>
      </c>
    </row>
    <row r="1717" spans="1:15" ht="47.25">
      <c r="A1717" s="16" t="s">
        <v>17</v>
      </c>
      <c r="B1717" s="16" t="s">
        <v>28</v>
      </c>
      <c r="C1717" s="17" t="s">
        <v>19</v>
      </c>
      <c r="D1717" s="18" t="s">
        <v>1016</v>
      </c>
      <c r="E1717" s="18">
        <v>12</v>
      </c>
      <c r="F1717" s="18" t="s">
        <v>21</v>
      </c>
      <c r="G1717" s="18" t="s">
        <v>22</v>
      </c>
      <c r="H1717" s="18" t="s">
        <v>23</v>
      </c>
      <c r="I1717" s="19">
        <v>7783.6</v>
      </c>
      <c r="J1717" s="20">
        <f t="shared" si="52"/>
        <v>93403.200000000012</v>
      </c>
      <c r="K1717" s="106"/>
      <c r="L1717" s="114"/>
      <c r="M1717" s="114">
        <f>tblAquisições[[#This Row],[VALOR UNITARIO COMPRADO]]*tblAquisições[[#This Row],[QUANTIDADE COMPRADA]]</f>
        <v>0</v>
      </c>
      <c r="N1717" s="110">
        <f>K1717-tblAquisições[[#This Row],[QUANTIDADE PLANEJADA]]</f>
        <v>-12</v>
      </c>
      <c r="O1717" s="106" t="str">
        <f t="shared" si="53"/>
        <v>Faltando Comprar</v>
      </c>
    </row>
    <row r="1718" spans="1:15" ht="47.25">
      <c r="A1718" s="16" t="s">
        <v>17</v>
      </c>
      <c r="B1718" s="16" t="s">
        <v>17</v>
      </c>
      <c r="C1718" s="17" t="s">
        <v>19</v>
      </c>
      <c r="D1718" s="18" t="s">
        <v>1017</v>
      </c>
      <c r="E1718" s="18">
        <v>100</v>
      </c>
      <c r="F1718" s="18" t="s">
        <v>217</v>
      </c>
      <c r="G1718" s="18" t="s">
        <v>39</v>
      </c>
      <c r="H1718" s="18" t="s">
        <v>23</v>
      </c>
      <c r="I1718" s="19">
        <v>19.87</v>
      </c>
      <c r="J1718" s="20">
        <f t="shared" si="52"/>
        <v>1987</v>
      </c>
      <c r="K1718" s="106"/>
      <c r="L1718" s="114"/>
      <c r="M1718" s="114">
        <f>tblAquisições[[#This Row],[VALOR UNITARIO COMPRADO]]*tblAquisições[[#This Row],[QUANTIDADE COMPRADA]]</f>
        <v>0</v>
      </c>
      <c r="N1718" s="110">
        <f>K1718-tblAquisições[[#This Row],[QUANTIDADE PLANEJADA]]</f>
        <v>-100</v>
      </c>
      <c r="O1718" s="106" t="str">
        <f t="shared" si="53"/>
        <v>Faltando Comprar</v>
      </c>
    </row>
    <row r="1719" spans="1:15" ht="47.25">
      <c r="A1719" s="16" t="s">
        <v>17</v>
      </c>
      <c r="B1719" s="16" t="s">
        <v>34</v>
      </c>
      <c r="C1719" s="17" t="s">
        <v>19</v>
      </c>
      <c r="D1719" s="18" t="s">
        <v>1018</v>
      </c>
      <c r="E1719" s="18">
        <v>16</v>
      </c>
      <c r="F1719" s="18" t="s">
        <v>131</v>
      </c>
      <c r="G1719" s="18" t="s">
        <v>22</v>
      </c>
      <c r="H1719" s="18" t="s">
        <v>23</v>
      </c>
      <c r="I1719" s="19">
        <v>19.87</v>
      </c>
      <c r="J1719" s="20">
        <f t="shared" si="52"/>
        <v>317.92</v>
      </c>
      <c r="K1719" s="106"/>
      <c r="L1719" s="114"/>
      <c r="M1719" s="114">
        <f>tblAquisições[[#This Row],[VALOR UNITARIO COMPRADO]]*tblAquisições[[#This Row],[QUANTIDADE COMPRADA]]</f>
        <v>0</v>
      </c>
      <c r="N1719" s="110">
        <f>K1719-tblAquisições[[#This Row],[QUANTIDADE PLANEJADA]]</f>
        <v>-16</v>
      </c>
      <c r="O1719" s="106" t="str">
        <f t="shared" si="53"/>
        <v>Faltando Comprar</v>
      </c>
    </row>
    <row r="1720" spans="1:15" ht="47.25">
      <c r="A1720" s="16" t="s">
        <v>17</v>
      </c>
      <c r="B1720" s="16" t="s">
        <v>31</v>
      </c>
      <c r="C1720" s="17" t="s">
        <v>19</v>
      </c>
      <c r="D1720" s="18" t="s">
        <v>1018</v>
      </c>
      <c r="E1720" s="18">
        <v>12</v>
      </c>
      <c r="F1720" s="18" t="s">
        <v>131</v>
      </c>
      <c r="G1720" s="18" t="s">
        <v>22</v>
      </c>
      <c r="H1720" s="18" t="s">
        <v>23</v>
      </c>
      <c r="I1720" s="19">
        <v>19.87</v>
      </c>
      <c r="J1720" s="20">
        <f t="shared" si="52"/>
        <v>238.44</v>
      </c>
      <c r="K1720" s="106"/>
      <c r="L1720" s="114"/>
      <c r="M1720" s="114">
        <f>tblAquisições[[#This Row],[VALOR UNITARIO COMPRADO]]*tblAquisições[[#This Row],[QUANTIDADE COMPRADA]]</f>
        <v>0</v>
      </c>
      <c r="N1720" s="110">
        <f>K1720-tblAquisições[[#This Row],[QUANTIDADE PLANEJADA]]</f>
        <v>-12</v>
      </c>
      <c r="O1720" s="106" t="str">
        <f t="shared" si="53"/>
        <v>Faltando Comprar</v>
      </c>
    </row>
    <row r="1721" spans="1:15" ht="47.25">
      <c r="A1721" s="16" t="s">
        <v>17</v>
      </c>
      <c r="B1721" s="16" t="s">
        <v>18</v>
      </c>
      <c r="C1721" s="17" t="s">
        <v>19</v>
      </c>
      <c r="D1721" s="18" t="s">
        <v>1018</v>
      </c>
      <c r="E1721" s="18">
        <v>20</v>
      </c>
      <c r="F1721" s="18" t="s">
        <v>131</v>
      </c>
      <c r="G1721" s="18" t="s">
        <v>22</v>
      </c>
      <c r="H1721" s="18" t="s">
        <v>23</v>
      </c>
      <c r="I1721" s="19">
        <v>19.87</v>
      </c>
      <c r="J1721" s="20">
        <f t="shared" si="52"/>
        <v>397.40000000000003</v>
      </c>
      <c r="K1721" s="106"/>
      <c r="L1721" s="114"/>
      <c r="M1721" s="114">
        <f>tblAquisições[[#This Row],[VALOR UNITARIO COMPRADO]]*tblAquisições[[#This Row],[QUANTIDADE COMPRADA]]</f>
        <v>0</v>
      </c>
      <c r="N1721" s="110">
        <f>K1721-tblAquisições[[#This Row],[QUANTIDADE PLANEJADA]]</f>
        <v>-20</v>
      </c>
      <c r="O1721" s="106" t="str">
        <f t="shared" si="53"/>
        <v>Faltando Comprar</v>
      </c>
    </row>
    <row r="1722" spans="1:15" ht="47.25">
      <c r="A1722" s="16" t="s">
        <v>17</v>
      </c>
      <c r="B1722" s="16" t="s">
        <v>24</v>
      </c>
      <c r="C1722" s="17" t="s">
        <v>19</v>
      </c>
      <c r="D1722" s="18" t="s">
        <v>1018</v>
      </c>
      <c r="E1722" s="18">
        <v>20</v>
      </c>
      <c r="F1722" s="18" t="s">
        <v>131</v>
      </c>
      <c r="G1722" s="18" t="s">
        <v>22</v>
      </c>
      <c r="H1722" s="18" t="s">
        <v>23</v>
      </c>
      <c r="I1722" s="19">
        <v>19.87</v>
      </c>
      <c r="J1722" s="20">
        <f t="shared" si="52"/>
        <v>397.40000000000003</v>
      </c>
      <c r="K1722" s="106"/>
      <c r="L1722" s="114"/>
      <c r="M1722" s="114">
        <f>tblAquisições[[#This Row],[VALOR UNITARIO COMPRADO]]*tblAquisições[[#This Row],[QUANTIDADE COMPRADA]]</f>
        <v>0</v>
      </c>
      <c r="N1722" s="110">
        <f>K1722-tblAquisições[[#This Row],[QUANTIDADE PLANEJADA]]</f>
        <v>-20</v>
      </c>
      <c r="O1722" s="106" t="str">
        <f t="shared" si="53"/>
        <v>Faltando Comprar</v>
      </c>
    </row>
    <row r="1723" spans="1:15" ht="47.25">
      <c r="A1723" s="16" t="s">
        <v>17</v>
      </c>
      <c r="B1723" s="16" t="s">
        <v>25</v>
      </c>
      <c r="C1723" s="17" t="s">
        <v>19</v>
      </c>
      <c r="D1723" s="18" t="s">
        <v>1018</v>
      </c>
      <c r="E1723" s="18">
        <v>20</v>
      </c>
      <c r="F1723" s="18" t="s">
        <v>131</v>
      </c>
      <c r="G1723" s="18" t="s">
        <v>22</v>
      </c>
      <c r="H1723" s="18" t="s">
        <v>23</v>
      </c>
      <c r="I1723" s="19">
        <v>19.87</v>
      </c>
      <c r="J1723" s="20">
        <f t="shared" si="52"/>
        <v>397.40000000000003</v>
      </c>
      <c r="K1723" s="106"/>
      <c r="L1723" s="114"/>
      <c r="M1723" s="114">
        <f>tblAquisições[[#This Row],[VALOR UNITARIO COMPRADO]]*tblAquisições[[#This Row],[QUANTIDADE COMPRADA]]</f>
        <v>0</v>
      </c>
      <c r="N1723" s="110">
        <f>K1723-tblAquisições[[#This Row],[QUANTIDADE PLANEJADA]]</f>
        <v>-20</v>
      </c>
      <c r="O1723" s="106" t="str">
        <f t="shared" si="53"/>
        <v>Faltando Comprar</v>
      </c>
    </row>
    <row r="1724" spans="1:15" ht="47.25">
      <c r="A1724" s="16" t="s">
        <v>17</v>
      </c>
      <c r="B1724" s="16" t="s">
        <v>41</v>
      </c>
      <c r="C1724" s="17" t="s">
        <v>19</v>
      </c>
      <c r="D1724" s="18" t="s">
        <v>1018</v>
      </c>
      <c r="E1724" s="18">
        <v>20</v>
      </c>
      <c r="F1724" s="18" t="s">
        <v>131</v>
      </c>
      <c r="G1724" s="18" t="s">
        <v>22</v>
      </c>
      <c r="H1724" s="18" t="s">
        <v>23</v>
      </c>
      <c r="I1724" s="19">
        <v>19.87</v>
      </c>
      <c r="J1724" s="20">
        <f t="shared" si="52"/>
        <v>397.40000000000003</v>
      </c>
      <c r="K1724" s="106"/>
      <c r="L1724" s="114"/>
      <c r="M1724" s="114">
        <f>tblAquisições[[#This Row],[VALOR UNITARIO COMPRADO]]*tblAquisições[[#This Row],[QUANTIDADE COMPRADA]]</f>
        <v>0</v>
      </c>
      <c r="N1724" s="110">
        <f>K1724-tblAquisições[[#This Row],[QUANTIDADE PLANEJADA]]</f>
        <v>-20</v>
      </c>
      <c r="O1724" s="106" t="str">
        <f t="shared" si="53"/>
        <v>Faltando Comprar</v>
      </c>
    </row>
    <row r="1725" spans="1:15" ht="47.25">
      <c r="A1725" s="16" t="s">
        <v>17</v>
      </c>
      <c r="B1725" s="16" t="s">
        <v>26</v>
      </c>
      <c r="C1725" s="17" t="s">
        <v>19</v>
      </c>
      <c r="D1725" s="18" t="s">
        <v>1018</v>
      </c>
      <c r="E1725" s="18">
        <v>15</v>
      </c>
      <c r="F1725" s="18" t="s">
        <v>131</v>
      </c>
      <c r="G1725" s="18" t="s">
        <v>22</v>
      </c>
      <c r="H1725" s="18" t="s">
        <v>23</v>
      </c>
      <c r="I1725" s="19">
        <v>19.87</v>
      </c>
      <c r="J1725" s="20">
        <f t="shared" si="52"/>
        <v>298.05</v>
      </c>
      <c r="K1725" s="106"/>
      <c r="L1725" s="114"/>
      <c r="M1725" s="114">
        <f>tblAquisições[[#This Row],[VALOR UNITARIO COMPRADO]]*tblAquisições[[#This Row],[QUANTIDADE COMPRADA]]</f>
        <v>0</v>
      </c>
      <c r="N1725" s="110">
        <f>K1725-tblAquisições[[#This Row],[QUANTIDADE PLANEJADA]]</f>
        <v>-15</v>
      </c>
      <c r="O1725" s="106" t="str">
        <f t="shared" si="53"/>
        <v>Faltando Comprar</v>
      </c>
    </row>
    <row r="1726" spans="1:15" ht="47.25">
      <c r="A1726" s="16" t="s">
        <v>17</v>
      </c>
      <c r="B1726" s="16" t="s">
        <v>27</v>
      </c>
      <c r="C1726" s="17" t="s">
        <v>19</v>
      </c>
      <c r="D1726" s="18" t="s">
        <v>1018</v>
      </c>
      <c r="E1726" s="18">
        <v>20</v>
      </c>
      <c r="F1726" s="18" t="s">
        <v>131</v>
      </c>
      <c r="G1726" s="18" t="s">
        <v>22</v>
      </c>
      <c r="H1726" s="18" t="s">
        <v>23</v>
      </c>
      <c r="I1726" s="19">
        <v>19.87</v>
      </c>
      <c r="J1726" s="20">
        <f t="shared" si="52"/>
        <v>397.40000000000003</v>
      </c>
      <c r="K1726" s="106"/>
      <c r="L1726" s="114"/>
      <c r="M1726" s="114">
        <f>tblAquisições[[#This Row],[VALOR UNITARIO COMPRADO]]*tblAquisições[[#This Row],[QUANTIDADE COMPRADA]]</f>
        <v>0</v>
      </c>
      <c r="N1726" s="110">
        <f>K1726-tblAquisições[[#This Row],[QUANTIDADE PLANEJADA]]</f>
        <v>-20</v>
      </c>
      <c r="O1726" s="106" t="str">
        <f t="shared" si="53"/>
        <v>Faltando Comprar</v>
      </c>
    </row>
    <row r="1727" spans="1:15" ht="47.25">
      <c r="A1727" s="16" t="s">
        <v>17</v>
      </c>
      <c r="B1727" s="16" t="s">
        <v>28</v>
      </c>
      <c r="C1727" s="17" t="s">
        <v>19</v>
      </c>
      <c r="D1727" s="18" t="s">
        <v>1018</v>
      </c>
      <c r="E1727" s="18">
        <v>24</v>
      </c>
      <c r="F1727" s="18" t="s">
        <v>131</v>
      </c>
      <c r="G1727" s="18" t="s">
        <v>22</v>
      </c>
      <c r="H1727" s="18" t="s">
        <v>23</v>
      </c>
      <c r="I1727" s="19">
        <v>19.87</v>
      </c>
      <c r="J1727" s="20">
        <f t="shared" si="52"/>
        <v>476.88</v>
      </c>
      <c r="K1727" s="106"/>
      <c r="L1727" s="114"/>
      <c r="M1727" s="114">
        <f>tblAquisições[[#This Row],[VALOR UNITARIO COMPRADO]]*tblAquisições[[#This Row],[QUANTIDADE COMPRADA]]</f>
        <v>0</v>
      </c>
      <c r="N1727" s="110">
        <f>K1727-tblAquisições[[#This Row],[QUANTIDADE PLANEJADA]]</f>
        <v>-24</v>
      </c>
      <c r="O1727" s="106" t="str">
        <f t="shared" si="53"/>
        <v>Faltando Comprar</v>
      </c>
    </row>
    <row r="1728" spans="1:15" ht="31.5">
      <c r="A1728" s="16" t="s">
        <v>17</v>
      </c>
      <c r="B1728" s="16" t="s">
        <v>26</v>
      </c>
      <c r="C1728" s="17" t="s">
        <v>19</v>
      </c>
      <c r="D1728" s="18" t="s">
        <v>1019</v>
      </c>
      <c r="E1728" s="18">
        <v>10</v>
      </c>
      <c r="F1728" s="18" t="s">
        <v>21</v>
      </c>
      <c r="G1728" s="18" t="s">
        <v>22</v>
      </c>
      <c r="H1728" s="18" t="s">
        <v>23</v>
      </c>
      <c r="I1728" s="19">
        <v>149</v>
      </c>
      <c r="J1728" s="20">
        <f t="shared" si="52"/>
        <v>1490</v>
      </c>
      <c r="K1728" s="106"/>
      <c r="L1728" s="114"/>
      <c r="M1728" s="114">
        <f>tblAquisições[[#This Row],[VALOR UNITARIO COMPRADO]]*tblAquisições[[#This Row],[QUANTIDADE COMPRADA]]</f>
        <v>0</v>
      </c>
      <c r="N1728" s="110">
        <f>K1728-tblAquisições[[#This Row],[QUANTIDADE PLANEJADA]]</f>
        <v>-10</v>
      </c>
      <c r="O1728" s="106" t="str">
        <f t="shared" si="53"/>
        <v>Faltando Comprar</v>
      </c>
    </row>
    <row r="1729" spans="1:15" ht="47.25">
      <c r="A1729" s="16" t="s">
        <v>17</v>
      </c>
      <c r="B1729" s="16" t="s">
        <v>80</v>
      </c>
      <c r="C1729" s="17" t="s">
        <v>19</v>
      </c>
      <c r="D1729" s="18" t="s">
        <v>1020</v>
      </c>
      <c r="E1729" s="18">
        <v>2</v>
      </c>
      <c r="F1729" s="18" t="s">
        <v>38</v>
      </c>
      <c r="G1729" s="18" t="s">
        <v>39</v>
      </c>
      <c r="H1729" s="21"/>
      <c r="I1729" s="19">
        <v>44155</v>
      </c>
      <c r="J1729" s="20">
        <f t="shared" si="52"/>
        <v>88310</v>
      </c>
      <c r="K1729" s="106"/>
      <c r="L1729" s="114"/>
      <c r="M1729" s="114">
        <f>tblAquisições[[#This Row],[VALOR UNITARIO COMPRADO]]*tblAquisições[[#This Row],[QUANTIDADE COMPRADA]]</f>
        <v>0</v>
      </c>
      <c r="N1729" s="110">
        <f>K1729-tblAquisições[[#This Row],[QUANTIDADE PLANEJADA]]</f>
        <v>-2</v>
      </c>
      <c r="O1729" s="106" t="str">
        <f t="shared" si="53"/>
        <v>Faltando Comprar</v>
      </c>
    </row>
    <row r="1730" spans="1:15" ht="47.25">
      <c r="A1730" s="16" t="s">
        <v>17</v>
      </c>
      <c r="B1730" s="16" t="s">
        <v>31</v>
      </c>
      <c r="C1730" s="17" t="s">
        <v>19</v>
      </c>
      <c r="D1730" s="18" t="s">
        <v>1021</v>
      </c>
      <c r="E1730" s="18">
        <v>5</v>
      </c>
      <c r="F1730" s="18" t="s">
        <v>21</v>
      </c>
      <c r="G1730" s="18" t="s">
        <v>22</v>
      </c>
      <c r="H1730" s="18" t="s">
        <v>23</v>
      </c>
      <c r="I1730" s="19">
        <v>44155</v>
      </c>
      <c r="J1730" s="20">
        <f t="shared" ref="J1730:J1793" si="54">E1730*I1730</f>
        <v>220775</v>
      </c>
      <c r="K1730" s="106"/>
      <c r="L1730" s="114"/>
      <c r="M1730" s="114">
        <f>tblAquisições[[#This Row],[VALOR UNITARIO COMPRADO]]*tblAquisições[[#This Row],[QUANTIDADE COMPRADA]]</f>
        <v>0</v>
      </c>
      <c r="N1730" s="110">
        <f>K1730-tblAquisições[[#This Row],[QUANTIDADE PLANEJADA]]</f>
        <v>-5</v>
      </c>
      <c r="O1730" s="106" t="str">
        <f t="shared" ref="O1730:O1793" si="55">IF(K1730=E1730,"OK",IF(K1730&lt;E1730,"Faltando Comprar","Excedente"))</f>
        <v>Faltando Comprar</v>
      </c>
    </row>
    <row r="1731" spans="1:15" ht="31.5">
      <c r="A1731" s="16" t="s">
        <v>17</v>
      </c>
      <c r="B1731" s="16" t="s">
        <v>28</v>
      </c>
      <c r="C1731" s="17" t="s">
        <v>19</v>
      </c>
      <c r="D1731" s="18" t="s">
        <v>1022</v>
      </c>
      <c r="E1731" s="18">
        <v>1</v>
      </c>
      <c r="F1731" s="18" t="s">
        <v>30</v>
      </c>
      <c r="G1731" s="18" t="s">
        <v>22</v>
      </c>
      <c r="H1731" s="18" t="s">
        <v>23</v>
      </c>
      <c r="I1731" s="19">
        <v>42636.66</v>
      </c>
      <c r="J1731" s="20">
        <f t="shared" si="54"/>
        <v>42636.66</v>
      </c>
      <c r="K1731" s="106"/>
      <c r="L1731" s="114"/>
      <c r="M1731" s="114">
        <f>tblAquisições[[#This Row],[VALOR UNITARIO COMPRADO]]*tblAquisições[[#This Row],[QUANTIDADE COMPRADA]]</f>
        <v>0</v>
      </c>
      <c r="N1731" s="110">
        <f>K1731-tblAquisições[[#This Row],[QUANTIDADE PLANEJADA]]</f>
        <v>-1</v>
      </c>
      <c r="O1731" s="106" t="str">
        <f t="shared" si="55"/>
        <v>Faltando Comprar</v>
      </c>
    </row>
    <row r="1732" spans="1:15" ht="31.5">
      <c r="A1732" s="16" t="s">
        <v>17</v>
      </c>
      <c r="B1732" s="16" t="s">
        <v>28</v>
      </c>
      <c r="C1732" s="17" t="s">
        <v>19</v>
      </c>
      <c r="D1732" s="18" t="s">
        <v>1023</v>
      </c>
      <c r="E1732" s="18">
        <v>1</v>
      </c>
      <c r="F1732" s="18" t="s">
        <v>30</v>
      </c>
      <c r="G1732" s="18" t="s">
        <v>22</v>
      </c>
      <c r="H1732" s="18" t="s">
        <v>23</v>
      </c>
      <c r="I1732" s="19">
        <v>15419.87</v>
      </c>
      <c r="J1732" s="20">
        <f t="shared" si="54"/>
        <v>15419.87</v>
      </c>
      <c r="K1732" s="106"/>
      <c r="L1732" s="114"/>
      <c r="M1732" s="114">
        <f>tblAquisições[[#This Row],[VALOR UNITARIO COMPRADO]]*tblAquisições[[#This Row],[QUANTIDADE COMPRADA]]</f>
        <v>0</v>
      </c>
      <c r="N1732" s="110">
        <f>K1732-tblAquisições[[#This Row],[QUANTIDADE PLANEJADA]]</f>
        <v>-1</v>
      </c>
      <c r="O1732" s="106" t="str">
        <f t="shared" si="55"/>
        <v>Faltando Comprar</v>
      </c>
    </row>
    <row r="1733" spans="1:15" ht="47.25">
      <c r="A1733" s="16" t="s">
        <v>17</v>
      </c>
      <c r="B1733" s="16" t="s">
        <v>28</v>
      </c>
      <c r="C1733" s="17" t="s">
        <v>19</v>
      </c>
      <c r="D1733" s="18" t="s">
        <v>1024</v>
      </c>
      <c r="E1733" s="18">
        <v>6</v>
      </c>
      <c r="F1733" s="18" t="s">
        <v>391</v>
      </c>
      <c r="G1733" s="18" t="s">
        <v>22</v>
      </c>
      <c r="H1733" s="18" t="s">
        <v>23</v>
      </c>
      <c r="I1733" s="19">
        <v>782.57</v>
      </c>
      <c r="J1733" s="20">
        <f t="shared" si="54"/>
        <v>4695.42</v>
      </c>
      <c r="K1733" s="106"/>
      <c r="L1733" s="114"/>
      <c r="M1733" s="114">
        <f>tblAquisições[[#This Row],[VALOR UNITARIO COMPRADO]]*tblAquisições[[#This Row],[QUANTIDADE COMPRADA]]</f>
        <v>0</v>
      </c>
      <c r="N1733" s="110">
        <f>K1733-tblAquisições[[#This Row],[QUANTIDADE PLANEJADA]]</f>
        <v>-6</v>
      </c>
      <c r="O1733" s="106" t="str">
        <f t="shared" si="55"/>
        <v>Faltando Comprar</v>
      </c>
    </row>
    <row r="1734" spans="1:15" ht="47.25">
      <c r="A1734" s="16" t="s">
        <v>17</v>
      </c>
      <c r="B1734" s="16" t="s">
        <v>80</v>
      </c>
      <c r="C1734" s="17" t="s">
        <v>19</v>
      </c>
      <c r="D1734" s="18" t="s">
        <v>1025</v>
      </c>
      <c r="E1734" s="18">
        <v>1</v>
      </c>
      <c r="F1734" s="18" t="s">
        <v>38</v>
      </c>
      <c r="G1734" s="18" t="s">
        <v>39</v>
      </c>
      <c r="H1734" s="18" t="s">
        <v>23</v>
      </c>
      <c r="I1734" s="19">
        <v>9666</v>
      </c>
      <c r="J1734" s="20">
        <f t="shared" si="54"/>
        <v>9666</v>
      </c>
      <c r="K1734" s="106"/>
      <c r="L1734" s="114"/>
      <c r="M1734" s="114">
        <f>tblAquisições[[#This Row],[VALOR UNITARIO COMPRADO]]*tblAquisições[[#This Row],[QUANTIDADE COMPRADA]]</f>
        <v>0</v>
      </c>
      <c r="N1734" s="110">
        <f>K1734-tblAquisições[[#This Row],[QUANTIDADE PLANEJADA]]</f>
        <v>-1</v>
      </c>
      <c r="O1734" s="106" t="str">
        <f t="shared" si="55"/>
        <v>Faltando Comprar</v>
      </c>
    </row>
    <row r="1735" spans="1:15" ht="47.25">
      <c r="A1735" s="16" t="s">
        <v>17</v>
      </c>
      <c r="B1735" s="16" t="s">
        <v>31</v>
      </c>
      <c r="C1735" s="17" t="s">
        <v>19</v>
      </c>
      <c r="D1735" s="18" t="s">
        <v>1026</v>
      </c>
      <c r="E1735" s="18">
        <v>5</v>
      </c>
      <c r="F1735" s="18" t="s">
        <v>21</v>
      </c>
      <c r="G1735" s="18" t="s">
        <v>22</v>
      </c>
      <c r="H1735" s="18" t="s">
        <v>23</v>
      </c>
      <c r="I1735" s="19">
        <v>9666</v>
      </c>
      <c r="J1735" s="20">
        <f t="shared" si="54"/>
        <v>48330</v>
      </c>
      <c r="K1735" s="106"/>
      <c r="L1735" s="114"/>
      <c r="M1735" s="114">
        <f>tblAquisições[[#This Row],[VALOR UNITARIO COMPRADO]]*tblAquisições[[#This Row],[QUANTIDADE COMPRADA]]</f>
        <v>0</v>
      </c>
      <c r="N1735" s="110">
        <f>K1735-tblAquisições[[#This Row],[QUANTIDADE PLANEJADA]]</f>
        <v>-5</v>
      </c>
      <c r="O1735" s="106" t="str">
        <f t="shared" si="55"/>
        <v>Faltando Comprar</v>
      </c>
    </row>
    <row r="1736" spans="1:15" ht="47.25">
      <c r="A1736" s="16" t="s">
        <v>17</v>
      </c>
      <c r="B1736" s="16" t="s">
        <v>18</v>
      </c>
      <c r="C1736" s="17" t="s">
        <v>19</v>
      </c>
      <c r="D1736" s="18" t="s">
        <v>1026</v>
      </c>
      <c r="E1736" s="18">
        <v>3</v>
      </c>
      <c r="F1736" s="18" t="s">
        <v>21</v>
      </c>
      <c r="G1736" s="18" t="s">
        <v>22</v>
      </c>
      <c r="H1736" s="18" t="s">
        <v>23</v>
      </c>
      <c r="I1736" s="19">
        <v>9666</v>
      </c>
      <c r="J1736" s="20">
        <f t="shared" si="54"/>
        <v>28998</v>
      </c>
      <c r="K1736" s="106"/>
      <c r="L1736" s="114"/>
      <c r="M1736" s="114">
        <f>tblAquisições[[#This Row],[VALOR UNITARIO COMPRADO]]*tblAquisições[[#This Row],[QUANTIDADE COMPRADA]]</f>
        <v>0</v>
      </c>
      <c r="N1736" s="110">
        <f>K1736-tblAquisições[[#This Row],[QUANTIDADE PLANEJADA]]</f>
        <v>-3</v>
      </c>
      <c r="O1736" s="106" t="str">
        <f t="shared" si="55"/>
        <v>Faltando Comprar</v>
      </c>
    </row>
    <row r="1737" spans="1:15" ht="47.25">
      <c r="A1737" s="16" t="s">
        <v>17</v>
      </c>
      <c r="B1737" s="16" t="s">
        <v>24</v>
      </c>
      <c r="C1737" s="17" t="s">
        <v>19</v>
      </c>
      <c r="D1737" s="18" t="s">
        <v>1026</v>
      </c>
      <c r="E1737" s="18">
        <v>3</v>
      </c>
      <c r="F1737" s="18" t="s">
        <v>21</v>
      </c>
      <c r="G1737" s="18" t="s">
        <v>22</v>
      </c>
      <c r="H1737" s="18" t="s">
        <v>23</v>
      </c>
      <c r="I1737" s="19">
        <v>9666</v>
      </c>
      <c r="J1737" s="20">
        <f t="shared" si="54"/>
        <v>28998</v>
      </c>
      <c r="K1737" s="106"/>
      <c r="L1737" s="114"/>
      <c r="M1737" s="114">
        <f>tblAquisições[[#This Row],[VALOR UNITARIO COMPRADO]]*tblAquisições[[#This Row],[QUANTIDADE COMPRADA]]</f>
        <v>0</v>
      </c>
      <c r="N1737" s="110">
        <f>K1737-tblAquisições[[#This Row],[QUANTIDADE PLANEJADA]]</f>
        <v>-3</v>
      </c>
      <c r="O1737" s="106" t="str">
        <f t="shared" si="55"/>
        <v>Faltando Comprar</v>
      </c>
    </row>
    <row r="1738" spans="1:15" ht="47.25">
      <c r="A1738" s="16" t="s">
        <v>17</v>
      </c>
      <c r="B1738" s="16" t="s">
        <v>25</v>
      </c>
      <c r="C1738" s="17" t="s">
        <v>19</v>
      </c>
      <c r="D1738" s="18" t="s">
        <v>1026</v>
      </c>
      <c r="E1738" s="18">
        <v>3</v>
      </c>
      <c r="F1738" s="18" t="s">
        <v>21</v>
      </c>
      <c r="G1738" s="18" t="s">
        <v>22</v>
      </c>
      <c r="H1738" s="18" t="s">
        <v>23</v>
      </c>
      <c r="I1738" s="19">
        <v>9666</v>
      </c>
      <c r="J1738" s="20">
        <f t="shared" si="54"/>
        <v>28998</v>
      </c>
      <c r="K1738" s="106"/>
      <c r="L1738" s="114"/>
      <c r="M1738" s="114">
        <f>tblAquisições[[#This Row],[VALOR UNITARIO COMPRADO]]*tblAquisições[[#This Row],[QUANTIDADE COMPRADA]]</f>
        <v>0</v>
      </c>
      <c r="N1738" s="110">
        <f>K1738-tblAquisições[[#This Row],[QUANTIDADE PLANEJADA]]</f>
        <v>-3</v>
      </c>
      <c r="O1738" s="106" t="str">
        <f t="shared" si="55"/>
        <v>Faltando Comprar</v>
      </c>
    </row>
    <row r="1739" spans="1:15" ht="63">
      <c r="A1739" s="16" t="s">
        <v>17</v>
      </c>
      <c r="B1739" s="16" t="s">
        <v>31</v>
      </c>
      <c r="C1739" s="17" t="s">
        <v>19</v>
      </c>
      <c r="D1739" s="18" t="s">
        <v>1027</v>
      </c>
      <c r="E1739" s="18">
        <v>5</v>
      </c>
      <c r="F1739" s="18" t="s">
        <v>21</v>
      </c>
      <c r="G1739" s="18" t="s">
        <v>22</v>
      </c>
      <c r="H1739" s="18" t="s">
        <v>23</v>
      </c>
      <c r="I1739" s="19">
        <v>9000</v>
      </c>
      <c r="J1739" s="20">
        <f t="shared" si="54"/>
        <v>45000</v>
      </c>
      <c r="K1739" s="106"/>
      <c r="L1739" s="114"/>
      <c r="M1739" s="114">
        <f>tblAquisições[[#This Row],[VALOR UNITARIO COMPRADO]]*tblAquisições[[#This Row],[QUANTIDADE COMPRADA]]</f>
        <v>0</v>
      </c>
      <c r="N1739" s="110">
        <f>K1739-tblAquisições[[#This Row],[QUANTIDADE PLANEJADA]]</f>
        <v>-5</v>
      </c>
      <c r="O1739" s="106" t="str">
        <f t="shared" si="55"/>
        <v>Faltando Comprar</v>
      </c>
    </row>
    <row r="1740" spans="1:15" ht="63">
      <c r="A1740" s="16" t="s">
        <v>17</v>
      </c>
      <c r="B1740" s="16" t="s">
        <v>18</v>
      </c>
      <c r="C1740" s="17" t="s">
        <v>19</v>
      </c>
      <c r="D1740" s="18" t="s">
        <v>1027</v>
      </c>
      <c r="E1740" s="18">
        <v>2</v>
      </c>
      <c r="F1740" s="18" t="s">
        <v>21</v>
      </c>
      <c r="G1740" s="18" t="s">
        <v>22</v>
      </c>
      <c r="H1740" s="18" t="s">
        <v>23</v>
      </c>
      <c r="I1740" s="19">
        <v>9000</v>
      </c>
      <c r="J1740" s="20">
        <f t="shared" si="54"/>
        <v>18000</v>
      </c>
      <c r="K1740" s="106"/>
      <c r="L1740" s="114"/>
      <c r="M1740" s="114">
        <f>tblAquisições[[#This Row],[VALOR UNITARIO COMPRADO]]*tblAquisições[[#This Row],[QUANTIDADE COMPRADA]]</f>
        <v>0</v>
      </c>
      <c r="N1740" s="110">
        <f>K1740-tblAquisições[[#This Row],[QUANTIDADE PLANEJADA]]</f>
        <v>-2</v>
      </c>
      <c r="O1740" s="106" t="str">
        <f t="shared" si="55"/>
        <v>Faltando Comprar</v>
      </c>
    </row>
    <row r="1741" spans="1:15" ht="63">
      <c r="A1741" s="16" t="s">
        <v>17</v>
      </c>
      <c r="B1741" s="16" t="s">
        <v>24</v>
      </c>
      <c r="C1741" s="17" t="s">
        <v>19</v>
      </c>
      <c r="D1741" s="18" t="s">
        <v>1027</v>
      </c>
      <c r="E1741" s="18">
        <v>2</v>
      </c>
      <c r="F1741" s="18" t="s">
        <v>21</v>
      </c>
      <c r="G1741" s="18" t="s">
        <v>22</v>
      </c>
      <c r="H1741" s="18" t="s">
        <v>23</v>
      </c>
      <c r="I1741" s="19">
        <v>9000</v>
      </c>
      <c r="J1741" s="20">
        <f t="shared" si="54"/>
        <v>18000</v>
      </c>
      <c r="K1741" s="106"/>
      <c r="L1741" s="114"/>
      <c r="M1741" s="114">
        <f>tblAquisições[[#This Row],[VALOR UNITARIO COMPRADO]]*tblAquisições[[#This Row],[QUANTIDADE COMPRADA]]</f>
        <v>0</v>
      </c>
      <c r="N1741" s="110">
        <f>K1741-tblAquisições[[#This Row],[QUANTIDADE PLANEJADA]]</f>
        <v>-2</v>
      </c>
      <c r="O1741" s="106" t="str">
        <f t="shared" si="55"/>
        <v>Faltando Comprar</v>
      </c>
    </row>
    <row r="1742" spans="1:15" ht="63">
      <c r="A1742" s="16" t="s">
        <v>17</v>
      </c>
      <c r="B1742" s="16" t="s">
        <v>25</v>
      </c>
      <c r="C1742" s="17" t="s">
        <v>19</v>
      </c>
      <c r="D1742" s="18" t="s">
        <v>1027</v>
      </c>
      <c r="E1742" s="18">
        <v>2</v>
      </c>
      <c r="F1742" s="18" t="s">
        <v>21</v>
      </c>
      <c r="G1742" s="18" t="s">
        <v>22</v>
      </c>
      <c r="H1742" s="18" t="s">
        <v>23</v>
      </c>
      <c r="I1742" s="19">
        <v>9000</v>
      </c>
      <c r="J1742" s="20">
        <f t="shared" si="54"/>
        <v>18000</v>
      </c>
      <c r="K1742" s="106"/>
      <c r="L1742" s="114"/>
      <c r="M1742" s="114">
        <f>tblAquisições[[#This Row],[VALOR UNITARIO COMPRADO]]*tblAquisições[[#This Row],[QUANTIDADE COMPRADA]]</f>
        <v>0</v>
      </c>
      <c r="N1742" s="110">
        <f>K1742-tblAquisições[[#This Row],[QUANTIDADE PLANEJADA]]</f>
        <v>-2</v>
      </c>
      <c r="O1742" s="106" t="str">
        <f t="shared" si="55"/>
        <v>Faltando Comprar</v>
      </c>
    </row>
    <row r="1743" spans="1:15" ht="63">
      <c r="A1743" s="16" t="s">
        <v>17</v>
      </c>
      <c r="B1743" s="16" t="s">
        <v>28</v>
      </c>
      <c r="C1743" s="17" t="s">
        <v>19</v>
      </c>
      <c r="D1743" s="18" t="s">
        <v>1027</v>
      </c>
      <c r="E1743" s="18">
        <v>15</v>
      </c>
      <c r="F1743" s="18" t="s">
        <v>21</v>
      </c>
      <c r="G1743" s="18" t="s">
        <v>22</v>
      </c>
      <c r="H1743" s="18" t="s">
        <v>23</v>
      </c>
      <c r="I1743" s="19">
        <v>9000</v>
      </c>
      <c r="J1743" s="20">
        <f t="shared" si="54"/>
        <v>135000</v>
      </c>
      <c r="K1743" s="106"/>
      <c r="L1743" s="114"/>
      <c r="M1743" s="114">
        <f>tblAquisições[[#This Row],[VALOR UNITARIO COMPRADO]]*tblAquisições[[#This Row],[QUANTIDADE COMPRADA]]</f>
        <v>0</v>
      </c>
      <c r="N1743" s="110">
        <f>K1743-tblAquisições[[#This Row],[QUANTIDADE PLANEJADA]]</f>
        <v>-15</v>
      </c>
      <c r="O1743" s="106" t="str">
        <f t="shared" si="55"/>
        <v>Faltando Comprar</v>
      </c>
    </row>
    <row r="1744" spans="1:15" ht="63">
      <c r="A1744" s="16" t="s">
        <v>17</v>
      </c>
      <c r="B1744" s="16" t="s">
        <v>31</v>
      </c>
      <c r="C1744" s="17" t="s">
        <v>19</v>
      </c>
      <c r="D1744" s="18" t="s">
        <v>1028</v>
      </c>
      <c r="E1744" s="18">
        <v>5</v>
      </c>
      <c r="F1744" s="18" t="s">
        <v>21</v>
      </c>
      <c r="G1744" s="18" t="s">
        <v>22</v>
      </c>
      <c r="H1744" s="18" t="s">
        <v>23</v>
      </c>
      <c r="I1744" s="19">
        <v>8865</v>
      </c>
      <c r="J1744" s="20">
        <f t="shared" si="54"/>
        <v>44325</v>
      </c>
      <c r="K1744" s="106"/>
      <c r="L1744" s="114"/>
      <c r="M1744" s="114">
        <f>tblAquisições[[#This Row],[VALOR UNITARIO COMPRADO]]*tblAquisições[[#This Row],[QUANTIDADE COMPRADA]]</f>
        <v>0</v>
      </c>
      <c r="N1744" s="110">
        <f>K1744-tblAquisições[[#This Row],[QUANTIDADE PLANEJADA]]</f>
        <v>-5</v>
      </c>
      <c r="O1744" s="106" t="str">
        <f t="shared" si="55"/>
        <v>Faltando Comprar</v>
      </c>
    </row>
    <row r="1745" spans="1:15" ht="63">
      <c r="A1745" s="16" t="s">
        <v>17</v>
      </c>
      <c r="B1745" s="16" t="s">
        <v>18</v>
      </c>
      <c r="C1745" s="17" t="s">
        <v>19</v>
      </c>
      <c r="D1745" s="18" t="s">
        <v>1028</v>
      </c>
      <c r="E1745" s="18">
        <v>8</v>
      </c>
      <c r="F1745" s="18" t="s">
        <v>21</v>
      </c>
      <c r="G1745" s="18" t="s">
        <v>22</v>
      </c>
      <c r="H1745" s="18" t="s">
        <v>23</v>
      </c>
      <c r="I1745" s="19">
        <v>8865</v>
      </c>
      <c r="J1745" s="20">
        <f t="shared" si="54"/>
        <v>70920</v>
      </c>
      <c r="K1745" s="106"/>
      <c r="L1745" s="114"/>
      <c r="M1745" s="114">
        <f>tblAquisições[[#This Row],[VALOR UNITARIO COMPRADO]]*tblAquisições[[#This Row],[QUANTIDADE COMPRADA]]</f>
        <v>0</v>
      </c>
      <c r="N1745" s="110">
        <f>K1745-tblAquisições[[#This Row],[QUANTIDADE PLANEJADA]]</f>
        <v>-8</v>
      </c>
      <c r="O1745" s="106" t="str">
        <f t="shared" si="55"/>
        <v>Faltando Comprar</v>
      </c>
    </row>
    <row r="1746" spans="1:15" ht="63">
      <c r="A1746" s="16" t="s">
        <v>17</v>
      </c>
      <c r="B1746" s="16" t="s">
        <v>24</v>
      </c>
      <c r="C1746" s="17" t="s">
        <v>19</v>
      </c>
      <c r="D1746" s="18" t="s">
        <v>1028</v>
      </c>
      <c r="E1746" s="18">
        <v>8</v>
      </c>
      <c r="F1746" s="18" t="s">
        <v>21</v>
      </c>
      <c r="G1746" s="18" t="s">
        <v>22</v>
      </c>
      <c r="H1746" s="18" t="s">
        <v>23</v>
      </c>
      <c r="I1746" s="19">
        <v>8865</v>
      </c>
      <c r="J1746" s="20">
        <f t="shared" si="54"/>
        <v>70920</v>
      </c>
      <c r="K1746" s="106"/>
      <c r="L1746" s="114"/>
      <c r="M1746" s="114">
        <f>tblAquisições[[#This Row],[VALOR UNITARIO COMPRADO]]*tblAquisições[[#This Row],[QUANTIDADE COMPRADA]]</f>
        <v>0</v>
      </c>
      <c r="N1746" s="110">
        <f>K1746-tblAquisições[[#This Row],[QUANTIDADE PLANEJADA]]</f>
        <v>-8</v>
      </c>
      <c r="O1746" s="106" t="str">
        <f t="shared" si="55"/>
        <v>Faltando Comprar</v>
      </c>
    </row>
    <row r="1747" spans="1:15" ht="63">
      <c r="A1747" s="16" t="s">
        <v>17</v>
      </c>
      <c r="B1747" s="16" t="s">
        <v>25</v>
      </c>
      <c r="C1747" s="17" t="s">
        <v>19</v>
      </c>
      <c r="D1747" s="18" t="s">
        <v>1028</v>
      </c>
      <c r="E1747" s="18">
        <v>8</v>
      </c>
      <c r="F1747" s="18" t="s">
        <v>21</v>
      </c>
      <c r="G1747" s="18" t="s">
        <v>22</v>
      </c>
      <c r="H1747" s="18" t="s">
        <v>23</v>
      </c>
      <c r="I1747" s="19">
        <v>8865</v>
      </c>
      <c r="J1747" s="20">
        <f t="shared" si="54"/>
        <v>70920</v>
      </c>
      <c r="K1747" s="106"/>
      <c r="L1747" s="114"/>
      <c r="M1747" s="114">
        <f>tblAquisições[[#This Row],[VALOR UNITARIO COMPRADO]]*tblAquisições[[#This Row],[QUANTIDADE COMPRADA]]</f>
        <v>0</v>
      </c>
      <c r="N1747" s="110">
        <f>K1747-tblAquisições[[#This Row],[QUANTIDADE PLANEJADA]]</f>
        <v>-8</v>
      </c>
      <c r="O1747" s="106" t="str">
        <f t="shared" si="55"/>
        <v>Faltando Comprar</v>
      </c>
    </row>
    <row r="1748" spans="1:15" ht="63">
      <c r="A1748" s="16" t="s">
        <v>17</v>
      </c>
      <c r="B1748" s="16" t="s">
        <v>28</v>
      </c>
      <c r="C1748" s="17" t="s">
        <v>19</v>
      </c>
      <c r="D1748" s="18" t="s">
        <v>1028</v>
      </c>
      <c r="E1748" s="18">
        <v>15</v>
      </c>
      <c r="F1748" s="18" t="s">
        <v>21</v>
      </c>
      <c r="G1748" s="18" t="s">
        <v>22</v>
      </c>
      <c r="H1748" s="18" t="s">
        <v>23</v>
      </c>
      <c r="I1748" s="19">
        <v>8865</v>
      </c>
      <c r="J1748" s="20">
        <f t="shared" si="54"/>
        <v>132975</v>
      </c>
      <c r="K1748" s="106"/>
      <c r="L1748" s="114"/>
      <c r="M1748" s="114">
        <f>tblAquisições[[#This Row],[VALOR UNITARIO COMPRADO]]*tblAquisições[[#This Row],[QUANTIDADE COMPRADA]]</f>
        <v>0</v>
      </c>
      <c r="N1748" s="110">
        <f>K1748-tblAquisições[[#This Row],[QUANTIDADE PLANEJADA]]</f>
        <v>-15</v>
      </c>
      <c r="O1748" s="106" t="str">
        <f t="shared" si="55"/>
        <v>Faltando Comprar</v>
      </c>
    </row>
    <row r="1749" spans="1:15" ht="63">
      <c r="A1749" s="16" t="s">
        <v>17</v>
      </c>
      <c r="B1749" s="16" t="s">
        <v>31</v>
      </c>
      <c r="C1749" s="17" t="s">
        <v>19</v>
      </c>
      <c r="D1749" s="18" t="s">
        <v>1029</v>
      </c>
      <c r="E1749" s="18">
        <v>5</v>
      </c>
      <c r="F1749" s="18" t="s">
        <v>21</v>
      </c>
      <c r="G1749" s="18" t="s">
        <v>22</v>
      </c>
      <c r="H1749" s="18" t="s">
        <v>23</v>
      </c>
      <c r="I1749" s="19">
        <v>26452.66</v>
      </c>
      <c r="J1749" s="20">
        <f t="shared" si="54"/>
        <v>132263.29999999999</v>
      </c>
      <c r="K1749" s="106"/>
      <c r="L1749" s="114"/>
      <c r="M1749" s="114">
        <f>tblAquisições[[#This Row],[VALOR UNITARIO COMPRADO]]*tblAquisições[[#This Row],[QUANTIDADE COMPRADA]]</f>
        <v>0</v>
      </c>
      <c r="N1749" s="110">
        <f>K1749-tblAquisições[[#This Row],[QUANTIDADE PLANEJADA]]</f>
        <v>-5</v>
      </c>
      <c r="O1749" s="106" t="str">
        <f t="shared" si="55"/>
        <v>Faltando Comprar</v>
      </c>
    </row>
    <row r="1750" spans="1:15" ht="63">
      <c r="A1750" s="16" t="s">
        <v>17</v>
      </c>
      <c r="B1750" s="16" t="s">
        <v>18</v>
      </c>
      <c r="C1750" s="17" t="s">
        <v>19</v>
      </c>
      <c r="D1750" s="18" t="s">
        <v>1029</v>
      </c>
      <c r="E1750" s="18">
        <v>5</v>
      </c>
      <c r="F1750" s="18" t="s">
        <v>21</v>
      </c>
      <c r="G1750" s="18" t="s">
        <v>22</v>
      </c>
      <c r="H1750" s="18" t="s">
        <v>23</v>
      </c>
      <c r="I1750" s="19">
        <v>26452.66</v>
      </c>
      <c r="J1750" s="20">
        <f t="shared" si="54"/>
        <v>132263.29999999999</v>
      </c>
      <c r="K1750" s="106"/>
      <c r="L1750" s="114"/>
      <c r="M1750" s="114">
        <f>tblAquisições[[#This Row],[VALOR UNITARIO COMPRADO]]*tblAquisições[[#This Row],[QUANTIDADE COMPRADA]]</f>
        <v>0</v>
      </c>
      <c r="N1750" s="110">
        <f>K1750-tblAquisições[[#This Row],[QUANTIDADE PLANEJADA]]</f>
        <v>-5</v>
      </c>
      <c r="O1750" s="106" t="str">
        <f t="shared" si="55"/>
        <v>Faltando Comprar</v>
      </c>
    </row>
    <row r="1751" spans="1:15" ht="63">
      <c r="A1751" s="16" t="s">
        <v>17</v>
      </c>
      <c r="B1751" s="16" t="s">
        <v>24</v>
      </c>
      <c r="C1751" s="17" t="s">
        <v>19</v>
      </c>
      <c r="D1751" s="18" t="s">
        <v>1029</v>
      </c>
      <c r="E1751" s="18">
        <v>5</v>
      </c>
      <c r="F1751" s="18" t="s">
        <v>21</v>
      </c>
      <c r="G1751" s="18" t="s">
        <v>22</v>
      </c>
      <c r="H1751" s="18" t="s">
        <v>23</v>
      </c>
      <c r="I1751" s="19">
        <v>26452.66</v>
      </c>
      <c r="J1751" s="20">
        <f t="shared" si="54"/>
        <v>132263.29999999999</v>
      </c>
      <c r="K1751" s="106"/>
      <c r="L1751" s="114"/>
      <c r="M1751" s="114">
        <f>tblAquisições[[#This Row],[VALOR UNITARIO COMPRADO]]*tblAquisições[[#This Row],[QUANTIDADE COMPRADA]]</f>
        <v>0</v>
      </c>
      <c r="N1751" s="110">
        <f>K1751-tblAquisições[[#This Row],[QUANTIDADE PLANEJADA]]</f>
        <v>-5</v>
      </c>
      <c r="O1751" s="106" t="str">
        <f t="shared" si="55"/>
        <v>Faltando Comprar</v>
      </c>
    </row>
    <row r="1752" spans="1:15" ht="63">
      <c r="A1752" s="16" t="s">
        <v>17</v>
      </c>
      <c r="B1752" s="16" t="s">
        <v>25</v>
      </c>
      <c r="C1752" s="17" t="s">
        <v>19</v>
      </c>
      <c r="D1752" s="18" t="s">
        <v>1029</v>
      </c>
      <c r="E1752" s="18">
        <v>5</v>
      </c>
      <c r="F1752" s="18" t="s">
        <v>21</v>
      </c>
      <c r="G1752" s="18" t="s">
        <v>22</v>
      </c>
      <c r="H1752" s="18" t="s">
        <v>23</v>
      </c>
      <c r="I1752" s="19">
        <v>26452.66</v>
      </c>
      <c r="J1752" s="20">
        <f t="shared" si="54"/>
        <v>132263.29999999999</v>
      </c>
      <c r="K1752" s="106"/>
      <c r="L1752" s="114"/>
      <c r="M1752" s="114">
        <f>tblAquisições[[#This Row],[VALOR UNITARIO COMPRADO]]*tblAquisições[[#This Row],[QUANTIDADE COMPRADA]]</f>
        <v>0</v>
      </c>
      <c r="N1752" s="110">
        <f>K1752-tblAquisições[[#This Row],[QUANTIDADE PLANEJADA]]</f>
        <v>-5</v>
      </c>
      <c r="O1752" s="106" t="str">
        <f t="shared" si="55"/>
        <v>Faltando Comprar</v>
      </c>
    </row>
    <row r="1753" spans="1:15" ht="63">
      <c r="A1753" s="16" t="s">
        <v>17</v>
      </c>
      <c r="B1753" s="16" t="s">
        <v>26</v>
      </c>
      <c r="C1753" s="17" t="s">
        <v>19</v>
      </c>
      <c r="D1753" s="18" t="s">
        <v>1029</v>
      </c>
      <c r="E1753" s="18">
        <v>3</v>
      </c>
      <c r="F1753" s="18" t="s">
        <v>21</v>
      </c>
      <c r="G1753" s="18" t="s">
        <v>22</v>
      </c>
      <c r="H1753" s="18" t="s">
        <v>23</v>
      </c>
      <c r="I1753" s="19">
        <v>26452.66</v>
      </c>
      <c r="J1753" s="20">
        <f t="shared" si="54"/>
        <v>79357.98</v>
      </c>
      <c r="K1753" s="106"/>
      <c r="L1753" s="114"/>
      <c r="M1753" s="114">
        <f>tblAquisições[[#This Row],[VALOR UNITARIO COMPRADO]]*tblAquisições[[#This Row],[QUANTIDADE COMPRADA]]</f>
        <v>0</v>
      </c>
      <c r="N1753" s="110">
        <f>K1753-tblAquisições[[#This Row],[QUANTIDADE PLANEJADA]]</f>
        <v>-3</v>
      </c>
      <c r="O1753" s="106" t="str">
        <f t="shared" si="55"/>
        <v>Faltando Comprar</v>
      </c>
    </row>
    <row r="1754" spans="1:15" ht="63">
      <c r="A1754" s="16" t="s">
        <v>17</v>
      </c>
      <c r="B1754" s="16" t="s">
        <v>28</v>
      </c>
      <c r="C1754" s="17" t="s">
        <v>19</v>
      </c>
      <c r="D1754" s="18" t="s">
        <v>1029</v>
      </c>
      <c r="E1754" s="18">
        <v>15</v>
      </c>
      <c r="F1754" s="18" t="s">
        <v>21</v>
      </c>
      <c r="G1754" s="18" t="s">
        <v>22</v>
      </c>
      <c r="H1754" s="18" t="s">
        <v>23</v>
      </c>
      <c r="I1754" s="19">
        <v>26452.66</v>
      </c>
      <c r="J1754" s="20">
        <f t="shared" si="54"/>
        <v>396789.9</v>
      </c>
      <c r="K1754" s="106"/>
      <c r="L1754" s="114"/>
      <c r="M1754" s="114">
        <f>tblAquisições[[#This Row],[VALOR UNITARIO COMPRADO]]*tblAquisições[[#This Row],[QUANTIDADE COMPRADA]]</f>
        <v>0</v>
      </c>
      <c r="N1754" s="110">
        <f>K1754-tblAquisições[[#This Row],[QUANTIDADE PLANEJADA]]</f>
        <v>-15</v>
      </c>
      <c r="O1754" s="106" t="str">
        <f t="shared" si="55"/>
        <v>Faltando Comprar</v>
      </c>
    </row>
    <row r="1755" spans="1:15" ht="31.5">
      <c r="A1755" s="16" t="s">
        <v>17</v>
      </c>
      <c r="B1755" s="16" t="s">
        <v>34</v>
      </c>
      <c r="C1755" s="17" t="s">
        <v>19</v>
      </c>
      <c r="D1755" s="18" t="s">
        <v>1030</v>
      </c>
      <c r="E1755" s="18">
        <v>2</v>
      </c>
      <c r="F1755" s="18" t="s">
        <v>21</v>
      </c>
      <c r="G1755" s="18" t="s">
        <v>22</v>
      </c>
      <c r="H1755" s="18" t="s">
        <v>23</v>
      </c>
      <c r="I1755" s="19">
        <v>311.39999999999998</v>
      </c>
      <c r="J1755" s="20">
        <f t="shared" si="54"/>
        <v>622.79999999999995</v>
      </c>
      <c r="K1755" s="106"/>
      <c r="L1755" s="114"/>
      <c r="M1755" s="114">
        <f>tblAquisições[[#This Row],[VALOR UNITARIO COMPRADO]]*tblAquisições[[#This Row],[QUANTIDADE COMPRADA]]</f>
        <v>0</v>
      </c>
      <c r="N1755" s="110">
        <f>K1755-tblAquisições[[#This Row],[QUANTIDADE PLANEJADA]]</f>
        <v>-2</v>
      </c>
      <c r="O1755" s="106" t="str">
        <f t="shared" si="55"/>
        <v>Faltando Comprar</v>
      </c>
    </row>
    <row r="1756" spans="1:15" ht="31.5">
      <c r="A1756" s="16" t="s">
        <v>17</v>
      </c>
      <c r="B1756" s="16" t="s">
        <v>31</v>
      </c>
      <c r="C1756" s="17" t="s">
        <v>19</v>
      </c>
      <c r="D1756" s="18" t="s">
        <v>1030</v>
      </c>
      <c r="E1756" s="18">
        <v>10</v>
      </c>
      <c r="F1756" s="18" t="s">
        <v>21</v>
      </c>
      <c r="G1756" s="18" t="s">
        <v>22</v>
      </c>
      <c r="H1756" s="18" t="s">
        <v>23</v>
      </c>
      <c r="I1756" s="19">
        <v>311.39999999999998</v>
      </c>
      <c r="J1756" s="20">
        <f t="shared" si="54"/>
        <v>3114</v>
      </c>
      <c r="K1756" s="106"/>
      <c r="L1756" s="114"/>
      <c r="M1756" s="114">
        <f>tblAquisições[[#This Row],[VALOR UNITARIO COMPRADO]]*tblAquisições[[#This Row],[QUANTIDADE COMPRADA]]</f>
        <v>0</v>
      </c>
      <c r="N1756" s="110">
        <f>K1756-tblAquisições[[#This Row],[QUANTIDADE PLANEJADA]]</f>
        <v>-10</v>
      </c>
      <c r="O1756" s="106" t="str">
        <f t="shared" si="55"/>
        <v>Faltando Comprar</v>
      </c>
    </row>
    <row r="1757" spans="1:15" ht="31.5">
      <c r="A1757" s="16" t="s">
        <v>17</v>
      </c>
      <c r="B1757" s="16" t="s">
        <v>41</v>
      </c>
      <c r="C1757" s="17" t="s">
        <v>19</v>
      </c>
      <c r="D1757" s="18" t="s">
        <v>1030</v>
      </c>
      <c r="E1757" s="18">
        <v>10</v>
      </c>
      <c r="F1757" s="18" t="s">
        <v>21</v>
      </c>
      <c r="G1757" s="18" t="s">
        <v>22</v>
      </c>
      <c r="H1757" s="18" t="s">
        <v>23</v>
      </c>
      <c r="I1757" s="19">
        <v>311.39999999999998</v>
      </c>
      <c r="J1757" s="20">
        <f t="shared" si="54"/>
        <v>3114</v>
      </c>
      <c r="K1757" s="106"/>
      <c r="L1757" s="114"/>
      <c r="M1757" s="114">
        <f>tblAquisições[[#This Row],[VALOR UNITARIO COMPRADO]]*tblAquisições[[#This Row],[QUANTIDADE COMPRADA]]</f>
        <v>0</v>
      </c>
      <c r="N1757" s="110">
        <f>K1757-tblAquisições[[#This Row],[QUANTIDADE PLANEJADA]]</f>
        <v>-10</v>
      </c>
      <c r="O1757" s="106" t="str">
        <f t="shared" si="55"/>
        <v>Faltando Comprar</v>
      </c>
    </row>
    <row r="1758" spans="1:15" ht="63">
      <c r="A1758" s="16" t="s">
        <v>17</v>
      </c>
      <c r="B1758" s="16" t="s">
        <v>80</v>
      </c>
      <c r="C1758" s="17" t="s">
        <v>19</v>
      </c>
      <c r="D1758" s="18" t="s">
        <v>1031</v>
      </c>
      <c r="E1758" s="18">
        <v>1</v>
      </c>
      <c r="F1758" s="18" t="s">
        <v>38</v>
      </c>
      <c r="G1758" s="18" t="s">
        <v>39</v>
      </c>
      <c r="H1758" s="18" t="s">
        <v>23</v>
      </c>
      <c r="I1758" s="19">
        <v>24370</v>
      </c>
      <c r="J1758" s="20">
        <f t="shared" si="54"/>
        <v>24370</v>
      </c>
      <c r="K1758" s="106"/>
      <c r="L1758" s="114"/>
      <c r="M1758" s="114">
        <f>tblAquisições[[#This Row],[VALOR UNITARIO COMPRADO]]*tblAquisições[[#This Row],[QUANTIDADE COMPRADA]]</f>
        <v>0</v>
      </c>
      <c r="N1758" s="110">
        <f>K1758-tblAquisições[[#This Row],[QUANTIDADE PLANEJADA]]</f>
        <v>-1</v>
      </c>
      <c r="O1758" s="106" t="str">
        <f t="shared" si="55"/>
        <v>Faltando Comprar</v>
      </c>
    </row>
    <row r="1759" spans="1:15" ht="47.25">
      <c r="A1759" s="16" t="s">
        <v>17</v>
      </c>
      <c r="B1759" s="16" t="s">
        <v>18</v>
      </c>
      <c r="C1759" s="17" t="s">
        <v>19</v>
      </c>
      <c r="D1759" s="18" t="s">
        <v>1032</v>
      </c>
      <c r="E1759" s="18">
        <v>2</v>
      </c>
      <c r="F1759" s="18" t="s">
        <v>21</v>
      </c>
      <c r="G1759" s="18" t="s">
        <v>22</v>
      </c>
      <c r="H1759" s="18" t="s">
        <v>23</v>
      </c>
      <c r="I1759" s="19">
        <v>24370</v>
      </c>
      <c r="J1759" s="20">
        <f t="shared" si="54"/>
        <v>48740</v>
      </c>
      <c r="K1759" s="106"/>
      <c r="L1759" s="114"/>
      <c r="M1759" s="114">
        <f>tblAquisições[[#This Row],[VALOR UNITARIO COMPRADO]]*tblAquisições[[#This Row],[QUANTIDADE COMPRADA]]</f>
        <v>0</v>
      </c>
      <c r="N1759" s="110">
        <f>K1759-tblAquisições[[#This Row],[QUANTIDADE PLANEJADA]]</f>
        <v>-2</v>
      </c>
      <c r="O1759" s="106" t="str">
        <f t="shared" si="55"/>
        <v>Faltando Comprar</v>
      </c>
    </row>
    <row r="1760" spans="1:15" ht="47.25">
      <c r="A1760" s="16" t="s">
        <v>17</v>
      </c>
      <c r="B1760" s="16" t="s">
        <v>24</v>
      </c>
      <c r="C1760" s="17" t="s">
        <v>19</v>
      </c>
      <c r="D1760" s="18" t="s">
        <v>1032</v>
      </c>
      <c r="E1760" s="18">
        <v>2</v>
      </c>
      <c r="F1760" s="18" t="s">
        <v>21</v>
      </c>
      <c r="G1760" s="18" t="s">
        <v>22</v>
      </c>
      <c r="H1760" s="18" t="s">
        <v>23</v>
      </c>
      <c r="I1760" s="19">
        <v>24370</v>
      </c>
      <c r="J1760" s="20">
        <f t="shared" si="54"/>
        <v>48740</v>
      </c>
      <c r="K1760" s="106"/>
      <c r="L1760" s="114"/>
      <c r="M1760" s="114">
        <f>tblAquisições[[#This Row],[VALOR UNITARIO COMPRADO]]*tblAquisições[[#This Row],[QUANTIDADE COMPRADA]]</f>
        <v>0</v>
      </c>
      <c r="N1760" s="110">
        <f>K1760-tblAquisições[[#This Row],[QUANTIDADE PLANEJADA]]</f>
        <v>-2</v>
      </c>
      <c r="O1760" s="106" t="str">
        <f t="shared" si="55"/>
        <v>Faltando Comprar</v>
      </c>
    </row>
    <row r="1761" spans="1:15" ht="47.25">
      <c r="A1761" s="16" t="s">
        <v>17</v>
      </c>
      <c r="B1761" s="16" t="s">
        <v>25</v>
      </c>
      <c r="C1761" s="17" t="s">
        <v>19</v>
      </c>
      <c r="D1761" s="18" t="s">
        <v>1032</v>
      </c>
      <c r="E1761" s="18">
        <v>2</v>
      </c>
      <c r="F1761" s="18" t="s">
        <v>21</v>
      </c>
      <c r="G1761" s="18" t="s">
        <v>22</v>
      </c>
      <c r="H1761" s="18" t="s">
        <v>23</v>
      </c>
      <c r="I1761" s="19">
        <v>24370</v>
      </c>
      <c r="J1761" s="20">
        <f t="shared" si="54"/>
        <v>48740</v>
      </c>
      <c r="K1761" s="106"/>
      <c r="L1761" s="114"/>
      <c r="M1761" s="114">
        <f>tblAquisições[[#This Row],[VALOR UNITARIO COMPRADO]]*tblAquisições[[#This Row],[QUANTIDADE COMPRADA]]</f>
        <v>0</v>
      </c>
      <c r="N1761" s="110">
        <f>K1761-tblAquisições[[#This Row],[QUANTIDADE PLANEJADA]]</f>
        <v>-2</v>
      </c>
      <c r="O1761" s="106" t="str">
        <f t="shared" si="55"/>
        <v>Faltando Comprar</v>
      </c>
    </row>
    <row r="1762" spans="1:15" ht="31.5">
      <c r="A1762" s="16" t="s">
        <v>17</v>
      </c>
      <c r="B1762" s="16" t="s">
        <v>26</v>
      </c>
      <c r="C1762" s="17" t="s">
        <v>19</v>
      </c>
      <c r="D1762" s="18" t="s">
        <v>1033</v>
      </c>
      <c r="E1762" s="18">
        <v>15</v>
      </c>
      <c r="F1762" s="18" t="s">
        <v>30</v>
      </c>
      <c r="G1762" s="18" t="s">
        <v>22</v>
      </c>
      <c r="H1762" s="18" t="s">
        <v>23</v>
      </c>
      <c r="I1762" s="19">
        <v>279</v>
      </c>
      <c r="J1762" s="20">
        <f t="shared" si="54"/>
        <v>4185</v>
      </c>
      <c r="K1762" s="106"/>
      <c r="L1762" s="114"/>
      <c r="M1762" s="114">
        <f>tblAquisições[[#This Row],[VALOR UNITARIO COMPRADO]]*tblAquisições[[#This Row],[QUANTIDADE COMPRADA]]</f>
        <v>0</v>
      </c>
      <c r="N1762" s="110">
        <f>K1762-tblAquisições[[#This Row],[QUANTIDADE PLANEJADA]]</f>
        <v>-15</v>
      </c>
      <c r="O1762" s="106" t="str">
        <f t="shared" si="55"/>
        <v>Faltando Comprar</v>
      </c>
    </row>
    <row r="1763" spans="1:15" ht="31.5">
      <c r="A1763" s="16" t="s">
        <v>17</v>
      </c>
      <c r="B1763" s="16" t="s">
        <v>28</v>
      </c>
      <c r="C1763" s="17" t="s">
        <v>19</v>
      </c>
      <c r="D1763" s="18" t="s">
        <v>1034</v>
      </c>
      <c r="E1763" s="18">
        <v>30</v>
      </c>
      <c r="F1763" s="18" t="s">
        <v>21</v>
      </c>
      <c r="G1763" s="18" t="s">
        <v>22</v>
      </c>
      <c r="H1763" s="18" t="s">
        <v>23</v>
      </c>
      <c r="I1763" s="19">
        <v>136.96</v>
      </c>
      <c r="J1763" s="20">
        <f t="shared" si="54"/>
        <v>4108.8</v>
      </c>
      <c r="K1763" s="106"/>
      <c r="L1763" s="114"/>
      <c r="M1763" s="114">
        <f>tblAquisições[[#This Row],[VALOR UNITARIO COMPRADO]]*tblAquisições[[#This Row],[QUANTIDADE COMPRADA]]</f>
        <v>0</v>
      </c>
      <c r="N1763" s="110">
        <f>K1763-tblAquisições[[#This Row],[QUANTIDADE PLANEJADA]]</f>
        <v>-30</v>
      </c>
      <c r="O1763" s="106" t="str">
        <f t="shared" si="55"/>
        <v>Faltando Comprar</v>
      </c>
    </row>
    <row r="1764" spans="1:15" ht="31.5">
      <c r="A1764" s="16" t="s">
        <v>17</v>
      </c>
      <c r="B1764" s="16" t="s">
        <v>80</v>
      </c>
      <c r="C1764" s="17" t="s">
        <v>19</v>
      </c>
      <c r="D1764" s="18" t="s">
        <v>1035</v>
      </c>
      <c r="E1764" s="18">
        <v>10</v>
      </c>
      <c r="F1764" s="18" t="s">
        <v>82</v>
      </c>
      <c r="G1764" s="18" t="s">
        <v>39</v>
      </c>
      <c r="H1764" s="21"/>
      <c r="I1764" s="19">
        <v>150.52000000000001</v>
      </c>
      <c r="J1764" s="20">
        <f t="shared" si="54"/>
        <v>1505.2</v>
      </c>
      <c r="K1764" s="106"/>
      <c r="L1764" s="114"/>
      <c r="M1764" s="114">
        <f>tblAquisições[[#This Row],[VALOR UNITARIO COMPRADO]]*tblAquisições[[#This Row],[QUANTIDADE COMPRADA]]</f>
        <v>0</v>
      </c>
      <c r="N1764" s="110">
        <f>K1764-tblAquisições[[#This Row],[QUANTIDADE PLANEJADA]]</f>
        <v>-10</v>
      </c>
      <c r="O1764" s="106" t="str">
        <f t="shared" si="55"/>
        <v>Faltando Comprar</v>
      </c>
    </row>
    <row r="1765" spans="1:15" ht="63">
      <c r="A1765" s="16" t="s">
        <v>17</v>
      </c>
      <c r="B1765" s="16" t="s">
        <v>18</v>
      </c>
      <c r="C1765" s="17" t="s">
        <v>19</v>
      </c>
      <c r="D1765" s="18" t="s">
        <v>1036</v>
      </c>
      <c r="E1765" s="18">
        <v>5</v>
      </c>
      <c r="F1765" s="18" t="s">
        <v>30</v>
      </c>
      <c r="G1765" s="18" t="s">
        <v>22</v>
      </c>
      <c r="H1765" s="18" t="s">
        <v>23</v>
      </c>
      <c r="I1765" s="19">
        <v>5000</v>
      </c>
      <c r="J1765" s="20">
        <f t="shared" si="54"/>
        <v>25000</v>
      </c>
      <c r="K1765" s="106"/>
      <c r="L1765" s="114"/>
      <c r="M1765" s="114">
        <f>tblAquisições[[#This Row],[VALOR UNITARIO COMPRADO]]*tblAquisições[[#This Row],[QUANTIDADE COMPRADA]]</f>
        <v>0</v>
      </c>
      <c r="N1765" s="110">
        <f>K1765-tblAquisições[[#This Row],[QUANTIDADE PLANEJADA]]</f>
        <v>-5</v>
      </c>
      <c r="O1765" s="106" t="str">
        <f t="shared" si="55"/>
        <v>Faltando Comprar</v>
      </c>
    </row>
    <row r="1766" spans="1:15" ht="63">
      <c r="A1766" s="16" t="s">
        <v>17</v>
      </c>
      <c r="B1766" s="16" t="s">
        <v>24</v>
      </c>
      <c r="C1766" s="17" t="s">
        <v>19</v>
      </c>
      <c r="D1766" s="18" t="s">
        <v>1036</v>
      </c>
      <c r="E1766" s="18">
        <v>5</v>
      </c>
      <c r="F1766" s="18" t="s">
        <v>30</v>
      </c>
      <c r="G1766" s="18" t="s">
        <v>22</v>
      </c>
      <c r="H1766" s="18" t="s">
        <v>23</v>
      </c>
      <c r="I1766" s="19">
        <v>5000</v>
      </c>
      <c r="J1766" s="20">
        <f t="shared" si="54"/>
        <v>25000</v>
      </c>
      <c r="K1766" s="106"/>
      <c r="L1766" s="114"/>
      <c r="M1766" s="114">
        <f>tblAquisições[[#This Row],[VALOR UNITARIO COMPRADO]]*tblAquisições[[#This Row],[QUANTIDADE COMPRADA]]</f>
        <v>0</v>
      </c>
      <c r="N1766" s="110">
        <f>K1766-tblAquisições[[#This Row],[QUANTIDADE PLANEJADA]]</f>
        <v>-5</v>
      </c>
      <c r="O1766" s="106" t="str">
        <f t="shared" si="55"/>
        <v>Faltando Comprar</v>
      </c>
    </row>
    <row r="1767" spans="1:15" ht="63">
      <c r="A1767" s="16" t="s">
        <v>17</v>
      </c>
      <c r="B1767" s="16" t="s">
        <v>25</v>
      </c>
      <c r="C1767" s="17" t="s">
        <v>19</v>
      </c>
      <c r="D1767" s="18" t="s">
        <v>1036</v>
      </c>
      <c r="E1767" s="18">
        <v>5</v>
      </c>
      <c r="F1767" s="18" t="s">
        <v>30</v>
      </c>
      <c r="G1767" s="18" t="s">
        <v>22</v>
      </c>
      <c r="H1767" s="18" t="s">
        <v>23</v>
      </c>
      <c r="I1767" s="19">
        <v>5000</v>
      </c>
      <c r="J1767" s="20">
        <f t="shared" si="54"/>
        <v>25000</v>
      </c>
      <c r="K1767" s="106"/>
      <c r="L1767" s="114"/>
      <c r="M1767" s="114">
        <f>tblAquisições[[#This Row],[VALOR UNITARIO COMPRADO]]*tblAquisições[[#This Row],[QUANTIDADE COMPRADA]]</f>
        <v>0</v>
      </c>
      <c r="N1767" s="110">
        <f>K1767-tblAquisições[[#This Row],[QUANTIDADE PLANEJADA]]</f>
        <v>-5</v>
      </c>
      <c r="O1767" s="106" t="str">
        <f t="shared" si="55"/>
        <v>Faltando Comprar</v>
      </c>
    </row>
    <row r="1768" spans="1:15" ht="31.5">
      <c r="A1768" s="16" t="s">
        <v>17</v>
      </c>
      <c r="B1768" s="16" t="s">
        <v>18</v>
      </c>
      <c r="C1768" s="17" t="s">
        <v>19</v>
      </c>
      <c r="D1768" s="18" t="s">
        <v>1037</v>
      </c>
      <c r="E1768" s="18">
        <v>150</v>
      </c>
      <c r="F1768" s="18" t="s">
        <v>30</v>
      </c>
      <c r="G1768" s="18" t="s">
        <v>22</v>
      </c>
      <c r="H1768" s="18" t="s">
        <v>23</v>
      </c>
      <c r="I1768" s="19">
        <v>7</v>
      </c>
      <c r="J1768" s="20">
        <f t="shared" si="54"/>
        <v>1050</v>
      </c>
      <c r="K1768" s="106"/>
      <c r="L1768" s="114"/>
      <c r="M1768" s="114">
        <f>tblAquisições[[#This Row],[VALOR UNITARIO COMPRADO]]*tblAquisições[[#This Row],[QUANTIDADE COMPRADA]]</f>
        <v>0</v>
      </c>
      <c r="N1768" s="110">
        <f>K1768-tblAquisições[[#This Row],[QUANTIDADE PLANEJADA]]</f>
        <v>-150</v>
      </c>
      <c r="O1768" s="106" t="str">
        <f t="shared" si="55"/>
        <v>Faltando Comprar</v>
      </c>
    </row>
    <row r="1769" spans="1:15" ht="31.5">
      <c r="A1769" s="16" t="s">
        <v>17</v>
      </c>
      <c r="B1769" s="16" t="s">
        <v>24</v>
      </c>
      <c r="C1769" s="17" t="s">
        <v>19</v>
      </c>
      <c r="D1769" s="18" t="s">
        <v>1037</v>
      </c>
      <c r="E1769" s="18">
        <v>150</v>
      </c>
      <c r="F1769" s="18" t="s">
        <v>30</v>
      </c>
      <c r="G1769" s="18" t="s">
        <v>22</v>
      </c>
      <c r="H1769" s="18" t="s">
        <v>23</v>
      </c>
      <c r="I1769" s="19">
        <v>7</v>
      </c>
      <c r="J1769" s="20">
        <f t="shared" si="54"/>
        <v>1050</v>
      </c>
      <c r="K1769" s="106"/>
      <c r="L1769" s="114"/>
      <c r="M1769" s="114">
        <f>tblAquisições[[#This Row],[VALOR UNITARIO COMPRADO]]*tblAquisições[[#This Row],[QUANTIDADE COMPRADA]]</f>
        <v>0</v>
      </c>
      <c r="N1769" s="110">
        <f>K1769-tblAquisições[[#This Row],[QUANTIDADE PLANEJADA]]</f>
        <v>-150</v>
      </c>
      <c r="O1769" s="106" t="str">
        <f t="shared" si="55"/>
        <v>Faltando Comprar</v>
      </c>
    </row>
    <row r="1770" spans="1:15" ht="31.5">
      <c r="A1770" s="16" t="s">
        <v>17</v>
      </c>
      <c r="B1770" s="16" t="s">
        <v>25</v>
      </c>
      <c r="C1770" s="17" t="s">
        <v>19</v>
      </c>
      <c r="D1770" s="18" t="s">
        <v>1037</v>
      </c>
      <c r="E1770" s="18">
        <v>150</v>
      </c>
      <c r="F1770" s="18" t="s">
        <v>30</v>
      </c>
      <c r="G1770" s="18" t="s">
        <v>22</v>
      </c>
      <c r="H1770" s="18" t="s">
        <v>23</v>
      </c>
      <c r="I1770" s="19">
        <v>7</v>
      </c>
      <c r="J1770" s="20">
        <f t="shared" si="54"/>
        <v>1050</v>
      </c>
      <c r="K1770" s="106"/>
      <c r="L1770" s="114"/>
      <c r="M1770" s="114">
        <f>tblAquisições[[#This Row],[VALOR UNITARIO COMPRADO]]*tblAquisições[[#This Row],[QUANTIDADE COMPRADA]]</f>
        <v>0</v>
      </c>
      <c r="N1770" s="110">
        <f>K1770-tblAquisições[[#This Row],[QUANTIDADE PLANEJADA]]</f>
        <v>-150</v>
      </c>
      <c r="O1770" s="106" t="str">
        <f t="shared" si="55"/>
        <v>Faltando Comprar</v>
      </c>
    </row>
    <row r="1771" spans="1:15" ht="47.25">
      <c r="A1771" s="16" t="s">
        <v>17</v>
      </c>
      <c r="B1771" s="16" t="s">
        <v>18</v>
      </c>
      <c r="C1771" s="17" t="s">
        <v>19</v>
      </c>
      <c r="D1771" s="18" t="s">
        <v>1038</v>
      </c>
      <c r="E1771" s="18">
        <v>10</v>
      </c>
      <c r="F1771" s="18" t="s">
        <v>30</v>
      </c>
      <c r="G1771" s="18" t="s">
        <v>22</v>
      </c>
      <c r="H1771" s="18" t="s">
        <v>23</v>
      </c>
      <c r="I1771" s="19">
        <v>2558.0300000000002</v>
      </c>
      <c r="J1771" s="20">
        <f t="shared" si="54"/>
        <v>25580.300000000003</v>
      </c>
      <c r="K1771" s="106"/>
      <c r="L1771" s="114"/>
      <c r="M1771" s="114">
        <f>tblAquisições[[#This Row],[VALOR UNITARIO COMPRADO]]*tblAquisições[[#This Row],[QUANTIDADE COMPRADA]]</f>
        <v>0</v>
      </c>
      <c r="N1771" s="110">
        <f>K1771-tblAquisições[[#This Row],[QUANTIDADE PLANEJADA]]</f>
        <v>-10</v>
      </c>
      <c r="O1771" s="106" t="str">
        <f t="shared" si="55"/>
        <v>Faltando Comprar</v>
      </c>
    </row>
    <row r="1772" spans="1:15" ht="47.25">
      <c r="A1772" s="16" t="s">
        <v>17</v>
      </c>
      <c r="B1772" s="16" t="s">
        <v>24</v>
      </c>
      <c r="C1772" s="17" t="s">
        <v>19</v>
      </c>
      <c r="D1772" s="18" t="s">
        <v>1038</v>
      </c>
      <c r="E1772" s="18">
        <v>10</v>
      </c>
      <c r="F1772" s="18" t="s">
        <v>30</v>
      </c>
      <c r="G1772" s="18" t="s">
        <v>22</v>
      </c>
      <c r="H1772" s="18" t="s">
        <v>23</v>
      </c>
      <c r="I1772" s="19">
        <v>2558.0300000000002</v>
      </c>
      <c r="J1772" s="20">
        <f t="shared" si="54"/>
        <v>25580.300000000003</v>
      </c>
      <c r="K1772" s="106"/>
      <c r="L1772" s="114"/>
      <c r="M1772" s="114">
        <f>tblAquisições[[#This Row],[VALOR UNITARIO COMPRADO]]*tblAquisições[[#This Row],[QUANTIDADE COMPRADA]]</f>
        <v>0</v>
      </c>
      <c r="N1772" s="110">
        <f>K1772-tblAquisições[[#This Row],[QUANTIDADE PLANEJADA]]</f>
        <v>-10</v>
      </c>
      <c r="O1772" s="106" t="str">
        <f t="shared" si="55"/>
        <v>Faltando Comprar</v>
      </c>
    </row>
    <row r="1773" spans="1:15" ht="47.25">
      <c r="A1773" s="16" t="s">
        <v>17</v>
      </c>
      <c r="B1773" s="16" t="s">
        <v>25</v>
      </c>
      <c r="C1773" s="17" t="s">
        <v>19</v>
      </c>
      <c r="D1773" s="18" t="s">
        <v>1038</v>
      </c>
      <c r="E1773" s="18">
        <v>10</v>
      </c>
      <c r="F1773" s="18" t="s">
        <v>30</v>
      </c>
      <c r="G1773" s="18" t="s">
        <v>22</v>
      </c>
      <c r="H1773" s="18" t="s">
        <v>23</v>
      </c>
      <c r="I1773" s="19">
        <v>2558.0300000000002</v>
      </c>
      <c r="J1773" s="20">
        <f t="shared" si="54"/>
        <v>25580.300000000003</v>
      </c>
      <c r="K1773" s="106"/>
      <c r="L1773" s="114"/>
      <c r="M1773" s="114">
        <f>tblAquisições[[#This Row],[VALOR UNITARIO COMPRADO]]*tblAquisições[[#This Row],[QUANTIDADE COMPRADA]]</f>
        <v>0</v>
      </c>
      <c r="N1773" s="110">
        <f>K1773-tblAquisições[[#This Row],[QUANTIDADE PLANEJADA]]</f>
        <v>-10</v>
      </c>
      <c r="O1773" s="106" t="str">
        <f t="shared" si="55"/>
        <v>Faltando Comprar</v>
      </c>
    </row>
    <row r="1774" spans="1:15" ht="47.25">
      <c r="A1774" s="16" t="s">
        <v>17</v>
      </c>
      <c r="B1774" s="16" t="s">
        <v>26</v>
      </c>
      <c r="C1774" s="17" t="s">
        <v>19</v>
      </c>
      <c r="D1774" s="18" t="s">
        <v>1038</v>
      </c>
      <c r="E1774" s="18">
        <v>7</v>
      </c>
      <c r="F1774" s="18" t="s">
        <v>30</v>
      </c>
      <c r="G1774" s="18" t="s">
        <v>22</v>
      </c>
      <c r="H1774" s="18" t="s">
        <v>23</v>
      </c>
      <c r="I1774" s="19">
        <v>2558.0300000000002</v>
      </c>
      <c r="J1774" s="20">
        <f t="shared" si="54"/>
        <v>17906.210000000003</v>
      </c>
      <c r="K1774" s="106"/>
      <c r="L1774" s="114"/>
      <c r="M1774" s="114">
        <f>tblAquisições[[#This Row],[VALOR UNITARIO COMPRADO]]*tblAquisições[[#This Row],[QUANTIDADE COMPRADA]]</f>
        <v>0</v>
      </c>
      <c r="N1774" s="110">
        <f>K1774-tblAquisições[[#This Row],[QUANTIDADE PLANEJADA]]</f>
        <v>-7</v>
      </c>
      <c r="O1774" s="106" t="str">
        <f t="shared" si="55"/>
        <v>Faltando Comprar</v>
      </c>
    </row>
    <row r="1775" spans="1:15" ht="47.25">
      <c r="A1775" s="16" t="s">
        <v>17</v>
      </c>
      <c r="B1775" s="16" t="s">
        <v>80</v>
      </c>
      <c r="C1775" s="17" t="s">
        <v>19</v>
      </c>
      <c r="D1775" s="18" t="s">
        <v>1039</v>
      </c>
      <c r="E1775" s="18">
        <v>2</v>
      </c>
      <c r="F1775" s="18" t="s">
        <v>82</v>
      </c>
      <c r="G1775" s="18" t="s">
        <v>39</v>
      </c>
      <c r="H1775" s="21"/>
      <c r="I1775" s="19">
        <v>3690.4</v>
      </c>
      <c r="J1775" s="20">
        <f t="shared" si="54"/>
        <v>7380.8</v>
      </c>
      <c r="K1775" s="106"/>
      <c r="L1775" s="114"/>
      <c r="M1775" s="114">
        <f>tblAquisições[[#This Row],[VALOR UNITARIO COMPRADO]]*tblAquisições[[#This Row],[QUANTIDADE COMPRADA]]</f>
        <v>0</v>
      </c>
      <c r="N1775" s="110">
        <f>K1775-tblAquisições[[#This Row],[QUANTIDADE PLANEJADA]]</f>
        <v>-2</v>
      </c>
      <c r="O1775" s="106" t="str">
        <f t="shared" si="55"/>
        <v>Faltando Comprar</v>
      </c>
    </row>
    <row r="1776" spans="1:15" ht="47.25">
      <c r="A1776" s="16" t="s">
        <v>17</v>
      </c>
      <c r="B1776" s="16" t="s">
        <v>18</v>
      </c>
      <c r="C1776" s="17" t="s">
        <v>19</v>
      </c>
      <c r="D1776" s="18" t="s">
        <v>1040</v>
      </c>
      <c r="E1776" s="18">
        <v>10</v>
      </c>
      <c r="F1776" s="18" t="s">
        <v>30</v>
      </c>
      <c r="G1776" s="18" t="s">
        <v>22</v>
      </c>
      <c r="H1776" s="18" t="s">
        <v>23</v>
      </c>
      <c r="I1776" s="19">
        <v>3690.4</v>
      </c>
      <c r="J1776" s="20">
        <f t="shared" si="54"/>
        <v>36904</v>
      </c>
      <c r="K1776" s="106"/>
      <c r="L1776" s="114"/>
      <c r="M1776" s="114">
        <f>tblAquisições[[#This Row],[VALOR UNITARIO COMPRADO]]*tblAquisições[[#This Row],[QUANTIDADE COMPRADA]]</f>
        <v>0</v>
      </c>
      <c r="N1776" s="110">
        <f>K1776-tblAquisições[[#This Row],[QUANTIDADE PLANEJADA]]</f>
        <v>-10</v>
      </c>
      <c r="O1776" s="106" t="str">
        <f t="shared" si="55"/>
        <v>Faltando Comprar</v>
      </c>
    </row>
    <row r="1777" spans="1:15" ht="47.25">
      <c r="A1777" s="16" t="s">
        <v>17</v>
      </c>
      <c r="B1777" s="16" t="s">
        <v>24</v>
      </c>
      <c r="C1777" s="17" t="s">
        <v>19</v>
      </c>
      <c r="D1777" s="18" t="s">
        <v>1040</v>
      </c>
      <c r="E1777" s="18">
        <v>10</v>
      </c>
      <c r="F1777" s="18" t="s">
        <v>30</v>
      </c>
      <c r="G1777" s="18" t="s">
        <v>22</v>
      </c>
      <c r="H1777" s="18" t="s">
        <v>23</v>
      </c>
      <c r="I1777" s="19">
        <v>3690.4</v>
      </c>
      <c r="J1777" s="20">
        <f t="shared" si="54"/>
        <v>36904</v>
      </c>
      <c r="K1777" s="106"/>
      <c r="L1777" s="114"/>
      <c r="M1777" s="114">
        <f>tblAquisições[[#This Row],[VALOR UNITARIO COMPRADO]]*tblAquisições[[#This Row],[QUANTIDADE COMPRADA]]</f>
        <v>0</v>
      </c>
      <c r="N1777" s="110">
        <f>K1777-tblAquisições[[#This Row],[QUANTIDADE PLANEJADA]]</f>
        <v>-10</v>
      </c>
      <c r="O1777" s="106" t="str">
        <f t="shared" si="55"/>
        <v>Faltando Comprar</v>
      </c>
    </row>
    <row r="1778" spans="1:15" ht="47.25">
      <c r="A1778" s="16" t="s">
        <v>17</v>
      </c>
      <c r="B1778" s="16" t="s">
        <v>25</v>
      </c>
      <c r="C1778" s="17" t="s">
        <v>19</v>
      </c>
      <c r="D1778" s="18" t="s">
        <v>1040</v>
      </c>
      <c r="E1778" s="18">
        <v>10</v>
      </c>
      <c r="F1778" s="18" t="s">
        <v>30</v>
      </c>
      <c r="G1778" s="18" t="s">
        <v>22</v>
      </c>
      <c r="H1778" s="18" t="s">
        <v>23</v>
      </c>
      <c r="I1778" s="19">
        <v>3690.4</v>
      </c>
      <c r="J1778" s="20">
        <f t="shared" si="54"/>
        <v>36904</v>
      </c>
      <c r="K1778" s="106"/>
      <c r="L1778" s="114"/>
      <c r="M1778" s="114">
        <f>tblAquisições[[#This Row],[VALOR UNITARIO COMPRADO]]*tblAquisições[[#This Row],[QUANTIDADE COMPRADA]]</f>
        <v>0</v>
      </c>
      <c r="N1778" s="110">
        <f>K1778-tblAquisições[[#This Row],[QUANTIDADE PLANEJADA]]</f>
        <v>-10</v>
      </c>
      <c r="O1778" s="106" t="str">
        <f t="shared" si="55"/>
        <v>Faltando Comprar</v>
      </c>
    </row>
    <row r="1779" spans="1:15" ht="47.25">
      <c r="A1779" s="16" t="s">
        <v>17</v>
      </c>
      <c r="B1779" s="16" t="s">
        <v>26</v>
      </c>
      <c r="C1779" s="17" t="s">
        <v>19</v>
      </c>
      <c r="D1779" s="18" t="s">
        <v>1040</v>
      </c>
      <c r="E1779" s="18">
        <v>5</v>
      </c>
      <c r="F1779" s="18" t="s">
        <v>30</v>
      </c>
      <c r="G1779" s="18" t="s">
        <v>22</v>
      </c>
      <c r="H1779" s="18" t="s">
        <v>23</v>
      </c>
      <c r="I1779" s="19">
        <v>3690.4</v>
      </c>
      <c r="J1779" s="20">
        <f t="shared" si="54"/>
        <v>18452</v>
      </c>
      <c r="K1779" s="106"/>
      <c r="L1779" s="114"/>
      <c r="M1779" s="114">
        <f>tblAquisições[[#This Row],[VALOR UNITARIO COMPRADO]]*tblAquisições[[#This Row],[QUANTIDADE COMPRADA]]</f>
        <v>0</v>
      </c>
      <c r="N1779" s="110">
        <f>K1779-tblAquisições[[#This Row],[QUANTIDADE PLANEJADA]]</f>
        <v>-5</v>
      </c>
      <c r="O1779" s="106" t="str">
        <f t="shared" si="55"/>
        <v>Faltando Comprar</v>
      </c>
    </row>
    <row r="1780" spans="1:15" ht="47.25">
      <c r="A1780" s="16" t="s">
        <v>17</v>
      </c>
      <c r="B1780" s="16" t="s">
        <v>27</v>
      </c>
      <c r="C1780" s="17" t="s">
        <v>19</v>
      </c>
      <c r="D1780" s="18" t="s">
        <v>1040</v>
      </c>
      <c r="E1780" s="18">
        <v>3</v>
      </c>
      <c r="F1780" s="18" t="s">
        <v>30</v>
      </c>
      <c r="G1780" s="18" t="s">
        <v>22</v>
      </c>
      <c r="H1780" s="18" t="s">
        <v>23</v>
      </c>
      <c r="I1780" s="19">
        <v>3690.4</v>
      </c>
      <c r="J1780" s="20">
        <f t="shared" si="54"/>
        <v>11071.2</v>
      </c>
      <c r="K1780" s="106"/>
      <c r="L1780" s="114"/>
      <c r="M1780" s="114">
        <f>tblAquisições[[#This Row],[VALOR UNITARIO COMPRADO]]*tblAquisições[[#This Row],[QUANTIDADE COMPRADA]]</f>
        <v>0</v>
      </c>
      <c r="N1780" s="110">
        <f>K1780-tblAquisições[[#This Row],[QUANTIDADE PLANEJADA]]</f>
        <v>-3</v>
      </c>
      <c r="O1780" s="106" t="str">
        <f t="shared" si="55"/>
        <v>Faltando Comprar</v>
      </c>
    </row>
    <row r="1781" spans="1:15" ht="47.25">
      <c r="A1781" s="16" t="s">
        <v>17</v>
      </c>
      <c r="B1781" s="16" t="s">
        <v>18</v>
      </c>
      <c r="C1781" s="17" t="s">
        <v>19</v>
      </c>
      <c r="D1781" s="18" t="s">
        <v>1041</v>
      </c>
      <c r="E1781" s="18">
        <v>10</v>
      </c>
      <c r="F1781" s="18" t="s">
        <v>30</v>
      </c>
      <c r="G1781" s="18" t="s">
        <v>22</v>
      </c>
      <c r="H1781" s="18" t="s">
        <v>23</v>
      </c>
      <c r="I1781" s="19">
        <v>5040.8999999999996</v>
      </c>
      <c r="J1781" s="20">
        <f t="shared" si="54"/>
        <v>50409</v>
      </c>
      <c r="K1781" s="106"/>
      <c r="L1781" s="114"/>
      <c r="M1781" s="114">
        <f>tblAquisições[[#This Row],[VALOR UNITARIO COMPRADO]]*tblAquisições[[#This Row],[QUANTIDADE COMPRADA]]</f>
        <v>0</v>
      </c>
      <c r="N1781" s="110">
        <f>K1781-tblAquisições[[#This Row],[QUANTIDADE PLANEJADA]]</f>
        <v>-10</v>
      </c>
      <c r="O1781" s="106" t="str">
        <f t="shared" si="55"/>
        <v>Faltando Comprar</v>
      </c>
    </row>
    <row r="1782" spans="1:15" ht="47.25">
      <c r="A1782" s="16" t="s">
        <v>17</v>
      </c>
      <c r="B1782" s="16" t="s">
        <v>24</v>
      </c>
      <c r="C1782" s="17" t="s">
        <v>19</v>
      </c>
      <c r="D1782" s="18" t="s">
        <v>1041</v>
      </c>
      <c r="E1782" s="18">
        <v>10</v>
      </c>
      <c r="F1782" s="18" t="s">
        <v>30</v>
      </c>
      <c r="G1782" s="18" t="s">
        <v>22</v>
      </c>
      <c r="H1782" s="18" t="s">
        <v>23</v>
      </c>
      <c r="I1782" s="19">
        <v>5040.8999999999996</v>
      </c>
      <c r="J1782" s="20">
        <f t="shared" si="54"/>
        <v>50409</v>
      </c>
      <c r="K1782" s="106"/>
      <c r="L1782" s="114"/>
      <c r="M1782" s="114">
        <f>tblAquisições[[#This Row],[VALOR UNITARIO COMPRADO]]*tblAquisições[[#This Row],[QUANTIDADE COMPRADA]]</f>
        <v>0</v>
      </c>
      <c r="N1782" s="110">
        <f>K1782-tblAquisições[[#This Row],[QUANTIDADE PLANEJADA]]</f>
        <v>-10</v>
      </c>
      <c r="O1782" s="106" t="str">
        <f t="shared" si="55"/>
        <v>Faltando Comprar</v>
      </c>
    </row>
    <row r="1783" spans="1:15" ht="47.25">
      <c r="A1783" s="16" t="s">
        <v>17</v>
      </c>
      <c r="B1783" s="16" t="s">
        <v>25</v>
      </c>
      <c r="C1783" s="17" t="s">
        <v>19</v>
      </c>
      <c r="D1783" s="18" t="s">
        <v>1041</v>
      </c>
      <c r="E1783" s="18">
        <v>10</v>
      </c>
      <c r="F1783" s="18" t="s">
        <v>30</v>
      </c>
      <c r="G1783" s="18" t="s">
        <v>22</v>
      </c>
      <c r="H1783" s="18" t="s">
        <v>23</v>
      </c>
      <c r="I1783" s="19">
        <v>5040.8999999999996</v>
      </c>
      <c r="J1783" s="20">
        <f t="shared" si="54"/>
        <v>50409</v>
      </c>
      <c r="K1783" s="106"/>
      <c r="L1783" s="114"/>
      <c r="M1783" s="114">
        <f>tblAquisições[[#This Row],[VALOR UNITARIO COMPRADO]]*tblAquisições[[#This Row],[QUANTIDADE COMPRADA]]</f>
        <v>0</v>
      </c>
      <c r="N1783" s="110">
        <f>K1783-tblAquisições[[#This Row],[QUANTIDADE PLANEJADA]]</f>
        <v>-10</v>
      </c>
      <c r="O1783" s="106" t="str">
        <f t="shared" si="55"/>
        <v>Faltando Comprar</v>
      </c>
    </row>
    <row r="1784" spans="1:15" ht="47.25">
      <c r="A1784" s="16" t="s">
        <v>17</v>
      </c>
      <c r="B1784" s="16" t="s">
        <v>26</v>
      </c>
      <c r="C1784" s="17" t="s">
        <v>19</v>
      </c>
      <c r="D1784" s="18" t="s">
        <v>1041</v>
      </c>
      <c r="E1784" s="18">
        <v>3</v>
      </c>
      <c r="F1784" s="18" t="s">
        <v>30</v>
      </c>
      <c r="G1784" s="18" t="s">
        <v>22</v>
      </c>
      <c r="H1784" s="18" t="s">
        <v>23</v>
      </c>
      <c r="I1784" s="19">
        <v>5040.8999999999996</v>
      </c>
      <c r="J1784" s="20">
        <f t="shared" si="54"/>
        <v>15122.699999999999</v>
      </c>
      <c r="K1784" s="106"/>
      <c r="L1784" s="114"/>
      <c r="M1784" s="114">
        <f>tblAquisições[[#This Row],[VALOR UNITARIO COMPRADO]]*tblAquisições[[#This Row],[QUANTIDADE COMPRADA]]</f>
        <v>0</v>
      </c>
      <c r="N1784" s="110">
        <f>K1784-tblAquisições[[#This Row],[QUANTIDADE PLANEJADA]]</f>
        <v>-3</v>
      </c>
      <c r="O1784" s="106" t="str">
        <f t="shared" si="55"/>
        <v>Faltando Comprar</v>
      </c>
    </row>
    <row r="1785" spans="1:15" ht="47.25">
      <c r="A1785" s="16" t="s">
        <v>17</v>
      </c>
      <c r="B1785" s="16" t="s">
        <v>27</v>
      </c>
      <c r="C1785" s="17" t="s">
        <v>19</v>
      </c>
      <c r="D1785" s="18" t="s">
        <v>1041</v>
      </c>
      <c r="E1785" s="18">
        <v>3</v>
      </c>
      <c r="F1785" s="18" t="s">
        <v>30</v>
      </c>
      <c r="G1785" s="18" t="s">
        <v>22</v>
      </c>
      <c r="H1785" s="18" t="s">
        <v>23</v>
      </c>
      <c r="I1785" s="19">
        <v>5040.8999999999996</v>
      </c>
      <c r="J1785" s="20">
        <f t="shared" si="54"/>
        <v>15122.699999999999</v>
      </c>
      <c r="K1785" s="106"/>
      <c r="L1785" s="114"/>
      <c r="M1785" s="114">
        <f>tblAquisições[[#This Row],[VALOR UNITARIO COMPRADO]]*tblAquisições[[#This Row],[QUANTIDADE COMPRADA]]</f>
        <v>0</v>
      </c>
      <c r="N1785" s="110">
        <f>K1785-tblAquisições[[#This Row],[QUANTIDADE PLANEJADA]]</f>
        <v>-3</v>
      </c>
      <c r="O1785" s="106" t="str">
        <f t="shared" si="55"/>
        <v>Faltando Comprar</v>
      </c>
    </row>
    <row r="1786" spans="1:15" ht="47.25">
      <c r="A1786" s="16" t="s">
        <v>17</v>
      </c>
      <c r="B1786" s="16" t="s">
        <v>80</v>
      </c>
      <c r="C1786" s="17" t="s">
        <v>19</v>
      </c>
      <c r="D1786" s="18" t="s">
        <v>1042</v>
      </c>
      <c r="E1786" s="18">
        <v>2</v>
      </c>
      <c r="F1786" s="18" t="s">
        <v>82</v>
      </c>
      <c r="G1786" s="18" t="s">
        <v>39</v>
      </c>
      <c r="H1786" s="21"/>
      <c r="I1786" s="19">
        <v>6714.04</v>
      </c>
      <c r="J1786" s="20">
        <f t="shared" si="54"/>
        <v>13428.08</v>
      </c>
      <c r="K1786" s="106"/>
      <c r="L1786" s="114"/>
      <c r="M1786" s="114">
        <f>tblAquisições[[#This Row],[VALOR UNITARIO COMPRADO]]*tblAquisições[[#This Row],[QUANTIDADE COMPRADA]]</f>
        <v>0</v>
      </c>
      <c r="N1786" s="110">
        <f>K1786-tblAquisições[[#This Row],[QUANTIDADE PLANEJADA]]</f>
        <v>-2</v>
      </c>
      <c r="O1786" s="106" t="str">
        <f t="shared" si="55"/>
        <v>Faltando Comprar</v>
      </c>
    </row>
    <row r="1787" spans="1:15" ht="31.5">
      <c r="A1787" s="16" t="s">
        <v>17</v>
      </c>
      <c r="B1787" s="16" t="s">
        <v>18</v>
      </c>
      <c r="C1787" s="17" t="s">
        <v>19</v>
      </c>
      <c r="D1787" s="18" t="s">
        <v>1043</v>
      </c>
      <c r="E1787" s="18">
        <v>10</v>
      </c>
      <c r="F1787" s="18" t="s">
        <v>30</v>
      </c>
      <c r="G1787" s="18" t="s">
        <v>22</v>
      </c>
      <c r="H1787" s="18" t="s">
        <v>23</v>
      </c>
      <c r="I1787" s="19">
        <v>214.67</v>
      </c>
      <c r="J1787" s="20">
        <f t="shared" si="54"/>
        <v>2146.6999999999998</v>
      </c>
      <c r="K1787" s="106"/>
      <c r="L1787" s="114"/>
      <c r="M1787" s="114">
        <f>tblAquisições[[#This Row],[VALOR UNITARIO COMPRADO]]*tblAquisições[[#This Row],[QUANTIDADE COMPRADA]]</f>
        <v>0</v>
      </c>
      <c r="N1787" s="110">
        <f>K1787-tblAquisições[[#This Row],[QUANTIDADE PLANEJADA]]</f>
        <v>-10</v>
      </c>
      <c r="O1787" s="106" t="str">
        <f t="shared" si="55"/>
        <v>Faltando Comprar</v>
      </c>
    </row>
    <row r="1788" spans="1:15" ht="31.5">
      <c r="A1788" s="16" t="s">
        <v>17</v>
      </c>
      <c r="B1788" s="16" t="s">
        <v>24</v>
      </c>
      <c r="C1788" s="17" t="s">
        <v>19</v>
      </c>
      <c r="D1788" s="18" t="s">
        <v>1043</v>
      </c>
      <c r="E1788" s="18">
        <v>10</v>
      </c>
      <c r="F1788" s="18" t="s">
        <v>30</v>
      </c>
      <c r="G1788" s="18" t="s">
        <v>22</v>
      </c>
      <c r="H1788" s="18" t="s">
        <v>23</v>
      </c>
      <c r="I1788" s="19">
        <v>214.67</v>
      </c>
      <c r="J1788" s="20">
        <f t="shared" si="54"/>
        <v>2146.6999999999998</v>
      </c>
      <c r="K1788" s="106"/>
      <c r="L1788" s="114"/>
      <c r="M1788" s="114">
        <f>tblAquisições[[#This Row],[VALOR UNITARIO COMPRADO]]*tblAquisições[[#This Row],[QUANTIDADE COMPRADA]]</f>
        <v>0</v>
      </c>
      <c r="N1788" s="110">
        <f>K1788-tblAquisições[[#This Row],[QUANTIDADE PLANEJADA]]</f>
        <v>-10</v>
      </c>
      <c r="O1788" s="106" t="str">
        <f t="shared" si="55"/>
        <v>Faltando Comprar</v>
      </c>
    </row>
    <row r="1789" spans="1:15" ht="31.5">
      <c r="A1789" s="16" t="s">
        <v>17</v>
      </c>
      <c r="B1789" s="16" t="s">
        <v>25</v>
      </c>
      <c r="C1789" s="17" t="s">
        <v>19</v>
      </c>
      <c r="D1789" s="18" t="s">
        <v>1043</v>
      </c>
      <c r="E1789" s="18">
        <v>10</v>
      </c>
      <c r="F1789" s="18" t="s">
        <v>30</v>
      </c>
      <c r="G1789" s="18" t="s">
        <v>22</v>
      </c>
      <c r="H1789" s="18" t="s">
        <v>23</v>
      </c>
      <c r="I1789" s="19">
        <v>214.67</v>
      </c>
      <c r="J1789" s="20">
        <f t="shared" si="54"/>
        <v>2146.6999999999998</v>
      </c>
      <c r="K1789" s="106"/>
      <c r="L1789" s="114"/>
      <c r="M1789" s="114">
        <f>tblAquisições[[#This Row],[VALOR UNITARIO COMPRADO]]*tblAquisições[[#This Row],[QUANTIDADE COMPRADA]]</f>
        <v>0</v>
      </c>
      <c r="N1789" s="110">
        <f>K1789-tblAquisições[[#This Row],[QUANTIDADE PLANEJADA]]</f>
        <v>-10</v>
      </c>
      <c r="O1789" s="106" t="str">
        <f t="shared" si="55"/>
        <v>Faltando Comprar</v>
      </c>
    </row>
    <row r="1790" spans="1:15" ht="31.5">
      <c r="A1790" s="16" t="s">
        <v>17</v>
      </c>
      <c r="B1790" s="16" t="s">
        <v>27</v>
      </c>
      <c r="C1790" s="17" t="s">
        <v>19</v>
      </c>
      <c r="D1790" s="18" t="s">
        <v>1043</v>
      </c>
      <c r="E1790" s="18">
        <v>10</v>
      </c>
      <c r="F1790" s="18" t="s">
        <v>30</v>
      </c>
      <c r="G1790" s="18" t="s">
        <v>22</v>
      </c>
      <c r="H1790" s="18" t="s">
        <v>23</v>
      </c>
      <c r="I1790" s="19">
        <v>214.67</v>
      </c>
      <c r="J1790" s="20">
        <f t="shared" si="54"/>
        <v>2146.6999999999998</v>
      </c>
      <c r="K1790" s="106"/>
      <c r="L1790" s="114"/>
      <c r="M1790" s="114">
        <f>tblAquisições[[#This Row],[VALOR UNITARIO COMPRADO]]*tblAquisições[[#This Row],[QUANTIDADE COMPRADA]]</f>
        <v>0</v>
      </c>
      <c r="N1790" s="110">
        <f>K1790-tblAquisições[[#This Row],[QUANTIDADE PLANEJADA]]</f>
        <v>-10</v>
      </c>
      <c r="O1790" s="106" t="str">
        <f t="shared" si="55"/>
        <v>Faltando Comprar</v>
      </c>
    </row>
    <row r="1791" spans="1:15" ht="31.5">
      <c r="A1791" s="16" t="s">
        <v>17</v>
      </c>
      <c r="B1791" s="16" t="s">
        <v>80</v>
      </c>
      <c r="C1791" s="17" t="s">
        <v>19</v>
      </c>
      <c r="D1791" s="18" t="s">
        <v>1044</v>
      </c>
      <c r="E1791" s="18">
        <v>1</v>
      </c>
      <c r="F1791" s="18" t="s">
        <v>82</v>
      </c>
      <c r="G1791" s="18" t="s">
        <v>39</v>
      </c>
      <c r="H1791" s="21"/>
      <c r="I1791" s="19">
        <v>1628.43</v>
      </c>
      <c r="J1791" s="20">
        <f t="shared" si="54"/>
        <v>1628.43</v>
      </c>
      <c r="K1791" s="106"/>
      <c r="L1791" s="114"/>
      <c r="M1791" s="114">
        <f>tblAquisições[[#This Row],[VALOR UNITARIO COMPRADO]]*tblAquisições[[#This Row],[QUANTIDADE COMPRADA]]</f>
        <v>0</v>
      </c>
      <c r="N1791" s="110">
        <f>K1791-tblAquisições[[#This Row],[QUANTIDADE PLANEJADA]]</f>
        <v>-1</v>
      </c>
      <c r="O1791" s="106" t="str">
        <f t="shared" si="55"/>
        <v>Faltando Comprar</v>
      </c>
    </row>
    <row r="1792" spans="1:15" ht="31.5">
      <c r="A1792" s="16" t="s">
        <v>17</v>
      </c>
      <c r="B1792" s="16" t="s">
        <v>18</v>
      </c>
      <c r="C1792" s="17" t="s">
        <v>19</v>
      </c>
      <c r="D1792" s="18" t="s">
        <v>1045</v>
      </c>
      <c r="E1792" s="18">
        <v>5</v>
      </c>
      <c r="F1792" s="18" t="s">
        <v>30</v>
      </c>
      <c r="G1792" s="18" t="s">
        <v>22</v>
      </c>
      <c r="H1792" s="18" t="s">
        <v>23</v>
      </c>
      <c r="I1792" s="19">
        <v>1628.43</v>
      </c>
      <c r="J1792" s="20">
        <f t="shared" si="54"/>
        <v>8142.1500000000005</v>
      </c>
      <c r="K1792" s="106"/>
      <c r="L1792" s="114"/>
      <c r="M1792" s="114">
        <f>tblAquisições[[#This Row],[VALOR UNITARIO COMPRADO]]*tblAquisições[[#This Row],[QUANTIDADE COMPRADA]]</f>
        <v>0</v>
      </c>
      <c r="N1792" s="110">
        <f>K1792-tblAquisições[[#This Row],[QUANTIDADE PLANEJADA]]</f>
        <v>-5</v>
      </c>
      <c r="O1792" s="106" t="str">
        <f t="shared" si="55"/>
        <v>Faltando Comprar</v>
      </c>
    </row>
    <row r="1793" spans="1:15" ht="31.5">
      <c r="A1793" s="16" t="s">
        <v>17</v>
      </c>
      <c r="B1793" s="16" t="s">
        <v>24</v>
      </c>
      <c r="C1793" s="17" t="s">
        <v>19</v>
      </c>
      <c r="D1793" s="18" t="s">
        <v>1045</v>
      </c>
      <c r="E1793" s="18">
        <v>5</v>
      </c>
      <c r="F1793" s="18" t="s">
        <v>30</v>
      </c>
      <c r="G1793" s="18" t="s">
        <v>22</v>
      </c>
      <c r="H1793" s="18" t="s">
        <v>23</v>
      </c>
      <c r="I1793" s="19">
        <v>1628.43</v>
      </c>
      <c r="J1793" s="20">
        <f t="shared" si="54"/>
        <v>8142.1500000000005</v>
      </c>
      <c r="K1793" s="106"/>
      <c r="L1793" s="114"/>
      <c r="M1793" s="114">
        <f>tblAquisições[[#This Row],[VALOR UNITARIO COMPRADO]]*tblAquisições[[#This Row],[QUANTIDADE COMPRADA]]</f>
        <v>0</v>
      </c>
      <c r="N1793" s="110">
        <f>K1793-tblAquisições[[#This Row],[QUANTIDADE PLANEJADA]]</f>
        <v>-5</v>
      </c>
      <c r="O1793" s="106" t="str">
        <f t="shared" si="55"/>
        <v>Faltando Comprar</v>
      </c>
    </row>
    <row r="1794" spans="1:15" ht="31.5">
      <c r="A1794" s="16" t="s">
        <v>17</v>
      </c>
      <c r="B1794" s="16" t="s">
        <v>25</v>
      </c>
      <c r="C1794" s="17" t="s">
        <v>19</v>
      </c>
      <c r="D1794" s="18" t="s">
        <v>1045</v>
      </c>
      <c r="E1794" s="18">
        <v>5</v>
      </c>
      <c r="F1794" s="18" t="s">
        <v>30</v>
      </c>
      <c r="G1794" s="18" t="s">
        <v>22</v>
      </c>
      <c r="H1794" s="18" t="s">
        <v>23</v>
      </c>
      <c r="I1794" s="19">
        <v>1628.43</v>
      </c>
      <c r="J1794" s="20">
        <f t="shared" ref="J1794:J1857" si="56">E1794*I1794</f>
        <v>8142.1500000000005</v>
      </c>
      <c r="K1794" s="106"/>
      <c r="L1794" s="114"/>
      <c r="M1794" s="114">
        <f>tblAquisições[[#This Row],[VALOR UNITARIO COMPRADO]]*tblAquisições[[#This Row],[QUANTIDADE COMPRADA]]</f>
        <v>0</v>
      </c>
      <c r="N1794" s="110">
        <f>K1794-tblAquisições[[#This Row],[QUANTIDADE PLANEJADA]]</f>
        <v>-5</v>
      </c>
      <c r="O1794" s="106" t="str">
        <f t="shared" ref="O1794:O1857" si="57">IF(K1794=E1794,"OK",IF(K1794&lt;E1794,"Faltando Comprar","Excedente"))</f>
        <v>Faltando Comprar</v>
      </c>
    </row>
    <row r="1795" spans="1:15" ht="31.5">
      <c r="A1795" s="16" t="s">
        <v>17</v>
      </c>
      <c r="B1795" s="16" t="s">
        <v>26</v>
      </c>
      <c r="C1795" s="17" t="s">
        <v>19</v>
      </c>
      <c r="D1795" s="18" t="s">
        <v>1045</v>
      </c>
      <c r="E1795" s="18">
        <v>5</v>
      </c>
      <c r="F1795" s="18" t="s">
        <v>30</v>
      </c>
      <c r="G1795" s="18" t="s">
        <v>22</v>
      </c>
      <c r="H1795" s="18" t="s">
        <v>23</v>
      </c>
      <c r="I1795" s="19">
        <v>1628.43</v>
      </c>
      <c r="J1795" s="20">
        <f t="shared" si="56"/>
        <v>8142.1500000000005</v>
      </c>
      <c r="K1795" s="106"/>
      <c r="L1795" s="114"/>
      <c r="M1795" s="114">
        <f>tblAquisições[[#This Row],[VALOR UNITARIO COMPRADO]]*tblAquisições[[#This Row],[QUANTIDADE COMPRADA]]</f>
        <v>0</v>
      </c>
      <c r="N1795" s="110">
        <f>K1795-tblAquisições[[#This Row],[QUANTIDADE PLANEJADA]]</f>
        <v>-5</v>
      </c>
      <c r="O1795" s="106" t="str">
        <f t="shared" si="57"/>
        <v>Faltando Comprar</v>
      </c>
    </row>
    <row r="1796" spans="1:15" ht="31.5">
      <c r="A1796" s="16" t="s">
        <v>17</v>
      </c>
      <c r="B1796" s="16" t="s">
        <v>26</v>
      </c>
      <c r="C1796" s="17" t="s">
        <v>19</v>
      </c>
      <c r="D1796" s="18" t="s">
        <v>1046</v>
      </c>
      <c r="E1796" s="18">
        <v>15</v>
      </c>
      <c r="F1796" s="18" t="s">
        <v>30</v>
      </c>
      <c r="G1796" s="18" t="s">
        <v>22</v>
      </c>
      <c r="H1796" s="18" t="s">
        <v>23</v>
      </c>
      <c r="I1796" s="19">
        <v>406.67</v>
      </c>
      <c r="J1796" s="20">
        <f t="shared" si="56"/>
        <v>6100.05</v>
      </c>
      <c r="K1796" s="106"/>
      <c r="L1796" s="114"/>
      <c r="M1796" s="114">
        <f>tblAquisições[[#This Row],[VALOR UNITARIO COMPRADO]]*tblAquisições[[#This Row],[QUANTIDADE COMPRADA]]</f>
        <v>0</v>
      </c>
      <c r="N1796" s="110">
        <f>K1796-tblAquisições[[#This Row],[QUANTIDADE PLANEJADA]]</f>
        <v>-15</v>
      </c>
      <c r="O1796" s="106" t="str">
        <f t="shared" si="57"/>
        <v>Faltando Comprar</v>
      </c>
    </row>
    <row r="1797" spans="1:15" ht="31.5">
      <c r="A1797" s="16" t="s">
        <v>17</v>
      </c>
      <c r="B1797" s="16" t="s">
        <v>18</v>
      </c>
      <c r="C1797" s="17" t="s">
        <v>19</v>
      </c>
      <c r="D1797" s="18" t="s">
        <v>1047</v>
      </c>
      <c r="E1797" s="18">
        <v>10</v>
      </c>
      <c r="F1797" s="18" t="s">
        <v>30</v>
      </c>
      <c r="G1797" s="18" t="s">
        <v>22</v>
      </c>
      <c r="H1797" s="18" t="s">
        <v>23</v>
      </c>
      <c r="I1797" s="19">
        <v>423.13</v>
      </c>
      <c r="J1797" s="20">
        <f t="shared" si="56"/>
        <v>4231.3</v>
      </c>
      <c r="K1797" s="106"/>
      <c r="L1797" s="114"/>
      <c r="M1797" s="114">
        <f>tblAquisições[[#This Row],[VALOR UNITARIO COMPRADO]]*tblAquisições[[#This Row],[QUANTIDADE COMPRADA]]</f>
        <v>0</v>
      </c>
      <c r="N1797" s="110">
        <f>K1797-tblAquisições[[#This Row],[QUANTIDADE PLANEJADA]]</f>
        <v>-10</v>
      </c>
      <c r="O1797" s="106" t="str">
        <f t="shared" si="57"/>
        <v>Faltando Comprar</v>
      </c>
    </row>
    <row r="1798" spans="1:15" ht="31.5">
      <c r="A1798" s="16" t="s">
        <v>17</v>
      </c>
      <c r="B1798" s="16" t="s">
        <v>24</v>
      </c>
      <c r="C1798" s="17" t="s">
        <v>19</v>
      </c>
      <c r="D1798" s="18" t="s">
        <v>1047</v>
      </c>
      <c r="E1798" s="18">
        <v>10</v>
      </c>
      <c r="F1798" s="18" t="s">
        <v>30</v>
      </c>
      <c r="G1798" s="18" t="s">
        <v>22</v>
      </c>
      <c r="H1798" s="18" t="s">
        <v>23</v>
      </c>
      <c r="I1798" s="19">
        <v>423.13</v>
      </c>
      <c r="J1798" s="20">
        <f t="shared" si="56"/>
        <v>4231.3</v>
      </c>
      <c r="K1798" s="106"/>
      <c r="L1798" s="114"/>
      <c r="M1798" s="114">
        <f>tblAquisições[[#This Row],[VALOR UNITARIO COMPRADO]]*tblAquisições[[#This Row],[QUANTIDADE COMPRADA]]</f>
        <v>0</v>
      </c>
      <c r="N1798" s="110">
        <f>K1798-tblAquisições[[#This Row],[QUANTIDADE PLANEJADA]]</f>
        <v>-10</v>
      </c>
      <c r="O1798" s="106" t="str">
        <f t="shared" si="57"/>
        <v>Faltando Comprar</v>
      </c>
    </row>
    <row r="1799" spans="1:15" ht="31.5">
      <c r="A1799" s="16" t="s">
        <v>17</v>
      </c>
      <c r="B1799" s="16" t="s">
        <v>25</v>
      </c>
      <c r="C1799" s="17" t="s">
        <v>19</v>
      </c>
      <c r="D1799" s="18" t="s">
        <v>1047</v>
      </c>
      <c r="E1799" s="18">
        <v>10</v>
      </c>
      <c r="F1799" s="18" t="s">
        <v>30</v>
      </c>
      <c r="G1799" s="18" t="s">
        <v>22</v>
      </c>
      <c r="H1799" s="18" t="s">
        <v>23</v>
      </c>
      <c r="I1799" s="19">
        <v>423.13</v>
      </c>
      <c r="J1799" s="20">
        <f t="shared" si="56"/>
        <v>4231.3</v>
      </c>
      <c r="K1799" s="106"/>
      <c r="L1799" s="114"/>
      <c r="M1799" s="114">
        <f>tblAquisições[[#This Row],[VALOR UNITARIO COMPRADO]]*tblAquisições[[#This Row],[QUANTIDADE COMPRADA]]</f>
        <v>0</v>
      </c>
      <c r="N1799" s="110">
        <f>K1799-tblAquisições[[#This Row],[QUANTIDADE PLANEJADA]]</f>
        <v>-10</v>
      </c>
      <c r="O1799" s="106" t="str">
        <f t="shared" si="57"/>
        <v>Faltando Comprar</v>
      </c>
    </row>
    <row r="1800" spans="1:15" ht="31.5">
      <c r="A1800" s="16" t="s">
        <v>17</v>
      </c>
      <c r="B1800" s="16" t="s">
        <v>18</v>
      </c>
      <c r="C1800" s="17" t="s">
        <v>19</v>
      </c>
      <c r="D1800" s="18" t="s">
        <v>1048</v>
      </c>
      <c r="E1800" s="18">
        <v>10</v>
      </c>
      <c r="F1800" s="18" t="s">
        <v>30</v>
      </c>
      <c r="G1800" s="18" t="s">
        <v>22</v>
      </c>
      <c r="H1800" s="18" t="s">
        <v>23</v>
      </c>
      <c r="I1800" s="19">
        <v>19.27</v>
      </c>
      <c r="J1800" s="20">
        <f t="shared" si="56"/>
        <v>192.7</v>
      </c>
      <c r="K1800" s="106"/>
      <c r="L1800" s="114"/>
      <c r="M1800" s="114">
        <f>tblAquisições[[#This Row],[VALOR UNITARIO COMPRADO]]*tblAquisições[[#This Row],[QUANTIDADE COMPRADA]]</f>
        <v>0</v>
      </c>
      <c r="N1800" s="110">
        <f>K1800-tblAquisições[[#This Row],[QUANTIDADE PLANEJADA]]</f>
        <v>-10</v>
      </c>
      <c r="O1800" s="106" t="str">
        <f t="shared" si="57"/>
        <v>Faltando Comprar</v>
      </c>
    </row>
    <row r="1801" spans="1:15" ht="31.5">
      <c r="A1801" s="16" t="s">
        <v>17</v>
      </c>
      <c r="B1801" s="16" t="s">
        <v>24</v>
      </c>
      <c r="C1801" s="17" t="s">
        <v>19</v>
      </c>
      <c r="D1801" s="18" t="s">
        <v>1048</v>
      </c>
      <c r="E1801" s="18">
        <v>10</v>
      </c>
      <c r="F1801" s="18" t="s">
        <v>30</v>
      </c>
      <c r="G1801" s="18" t="s">
        <v>22</v>
      </c>
      <c r="H1801" s="18" t="s">
        <v>23</v>
      </c>
      <c r="I1801" s="19">
        <v>19.27</v>
      </c>
      <c r="J1801" s="20">
        <f t="shared" si="56"/>
        <v>192.7</v>
      </c>
      <c r="K1801" s="106"/>
      <c r="L1801" s="114"/>
      <c r="M1801" s="114">
        <f>tblAquisições[[#This Row],[VALOR UNITARIO COMPRADO]]*tblAquisições[[#This Row],[QUANTIDADE COMPRADA]]</f>
        <v>0</v>
      </c>
      <c r="N1801" s="110">
        <f>K1801-tblAquisições[[#This Row],[QUANTIDADE PLANEJADA]]</f>
        <v>-10</v>
      </c>
      <c r="O1801" s="106" t="str">
        <f t="shared" si="57"/>
        <v>Faltando Comprar</v>
      </c>
    </row>
    <row r="1802" spans="1:15" ht="31.5">
      <c r="A1802" s="16" t="s">
        <v>17</v>
      </c>
      <c r="B1802" s="16" t="s">
        <v>25</v>
      </c>
      <c r="C1802" s="17" t="s">
        <v>19</v>
      </c>
      <c r="D1802" s="18" t="s">
        <v>1048</v>
      </c>
      <c r="E1802" s="18">
        <v>10</v>
      </c>
      <c r="F1802" s="18" t="s">
        <v>30</v>
      </c>
      <c r="G1802" s="18" t="s">
        <v>22</v>
      </c>
      <c r="H1802" s="18" t="s">
        <v>23</v>
      </c>
      <c r="I1802" s="19">
        <v>19.27</v>
      </c>
      <c r="J1802" s="20">
        <f t="shared" si="56"/>
        <v>192.7</v>
      </c>
      <c r="K1802" s="106"/>
      <c r="L1802" s="114"/>
      <c r="M1802" s="114">
        <f>tblAquisições[[#This Row],[VALOR UNITARIO COMPRADO]]*tblAquisições[[#This Row],[QUANTIDADE COMPRADA]]</f>
        <v>0</v>
      </c>
      <c r="N1802" s="110">
        <f>K1802-tblAquisições[[#This Row],[QUANTIDADE PLANEJADA]]</f>
        <v>-10</v>
      </c>
      <c r="O1802" s="106" t="str">
        <f t="shared" si="57"/>
        <v>Faltando Comprar</v>
      </c>
    </row>
    <row r="1803" spans="1:15" ht="47.25">
      <c r="A1803" s="16" t="s">
        <v>17</v>
      </c>
      <c r="B1803" s="16" t="s">
        <v>18</v>
      </c>
      <c r="C1803" s="17" t="s">
        <v>19</v>
      </c>
      <c r="D1803" s="18" t="s">
        <v>1049</v>
      </c>
      <c r="E1803" s="18">
        <v>10</v>
      </c>
      <c r="F1803" s="18" t="s">
        <v>30</v>
      </c>
      <c r="G1803" s="18" t="s">
        <v>22</v>
      </c>
      <c r="H1803" s="18" t="s">
        <v>23</v>
      </c>
      <c r="I1803" s="19">
        <v>14.6</v>
      </c>
      <c r="J1803" s="20">
        <f t="shared" si="56"/>
        <v>146</v>
      </c>
      <c r="K1803" s="106"/>
      <c r="L1803" s="114"/>
      <c r="M1803" s="114">
        <f>tblAquisições[[#This Row],[VALOR UNITARIO COMPRADO]]*tblAquisições[[#This Row],[QUANTIDADE COMPRADA]]</f>
        <v>0</v>
      </c>
      <c r="N1803" s="110">
        <f>K1803-tblAquisições[[#This Row],[QUANTIDADE PLANEJADA]]</f>
        <v>-10</v>
      </c>
      <c r="O1803" s="106" t="str">
        <f t="shared" si="57"/>
        <v>Faltando Comprar</v>
      </c>
    </row>
    <row r="1804" spans="1:15" ht="47.25">
      <c r="A1804" s="16" t="s">
        <v>17</v>
      </c>
      <c r="B1804" s="16" t="s">
        <v>24</v>
      </c>
      <c r="C1804" s="17" t="s">
        <v>19</v>
      </c>
      <c r="D1804" s="18" t="s">
        <v>1049</v>
      </c>
      <c r="E1804" s="18">
        <v>10</v>
      </c>
      <c r="F1804" s="18" t="s">
        <v>30</v>
      </c>
      <c r="G1804" s="18" t="s">
        <v>22</v>
      </c>
      <c r="H1804" s="18" t="s">
        <v>23</v>
      </c>
      <c r="I1804" s="19">
        <v>14.6</v>
      </c>
      <c r="J1804" s="20">
        <f t="shared" si="56"/>
        <v>146</v>
      </c>
      <c r="K1804" s="106"/>
      <c r="L1804" s="114"/>
      <c r="M1804" s="114">
        <f>tblAquisições[[#This Row],[VALOR UNITARIO COMPRADO]]*tblAquisições[[#This Row],[QUANTIDADE COMPRADA]]</f>
        <v>0</v>
      </c>
      <c r="N1804" s="110">
        <f>K1804-tblAquisições[[#This Row],[QUANTIDADE PLANEJADA]]</f>
        <v>-10</v>
      </c>
      <c r="O1804" s="106" t="str">
        <f t="shared" si="57"/>
        <v>Faltando Comprar</v>
      </c>
    </row>
    <row r="1805" spans="1:15" ht="47.25">
      <c r="A1805" s="16" t="s">
        <v>17</v>
      </c>
      <c r="B1805" s="16" t="s">
        <v>25</v>
      </c>
      <c r="C1805" s="17" t="s">
        <v>19</v>
      </c>
      <c r="D1805" s="18" t="s">
        <v>1049</v>
      </c>
      <c r="E1805" s="18">
        <v>10</v>
      </c>
      <c r="F1805" s="18" t="s">
        <v>30</v>
      </c>
      <c r="G1805" s="18" t="s">
        <v>22</v>
      </c>
      <c r="H1805" s="18" t="s">
        <v>23</v>
      </c>
      <c r="I1805" s="19">
        <v>14.6</v>
      </c>
      <c r="J1805" s="20">
        <f t="shared" si="56"/>
        <v>146</v>
      </c>
      <c r="K1805" s="106"/>
      <c r="L1805" s="114"/>
      <c r="M1805" s="114">
        <f>tblAquisições[[#This Row],[VALOR UNITARIO COMPRADO]]*tblAquisições[[#This Row],[QUANTIDADE COMPRADA]]</f>
        <v>0</v>
      </c>
      <c r="N1805" s="110">
        <f>K1805-tblAquisições[[#This Row],[QUANTIDADE PLANEJADA]]</f>
        <v>-10</v>
      </c>
      <c r="O1805" s="106" t="str">
        <f t="shared" si="57"/>
        <v>Faltando Comprar</v>
      </c>
    </row>
    <row r="1806" spans="1:15" ht="47.25">
      <c r="A1806" s="16" t="s">
        <v>17</v>
      </c>
      <c r="B1806" s="16" t="s">
        <v>80</v>
      </c>
      <c r="C1806" s="17" t="s">
        <v>19</v>
      </c>
      <c r="D1806" s="18" t="s">
        <v>1050</v>
      </c>
      <c r="E1806" s="18">
        <v>20</v>
      </c>
      <c r="F1806" s="18" t="s">
        <v>82</v>
      </c>
      <c r="G1806" s="18" t="s">
        <v>39</v>
      </c>
      <c r="H1806" s="18" t="s">
        <v>23</v>
      </c>
      <c r="I1806" s="19">
        <v>4.49</v>
      </c>
      <c r="J1806" s="20">
        <f t="shared" si="56"/>
        <v>89.800000000000011</v>
      </c>
      <c r="K1806" s="106"/>
      <c r="L1806" s="114"/>
      <c r="M1806" s="114">
        <f>tblAquisições[[#This Row],[VALOR UNITARIO COMPRADO]]*tblAquisições[[#This Row],[QUANTIDADE COMPRADA]]</f>
        <v>0</v>
      </c>
      <c r="N1806" s="110">
        <f>K1806-tblAquisições[[#This Row],[QUANTIDADE PLANEJADA]]</f>
        <v>-20</v>
      </c>
      <c r="O1806" s="106" t="str">
        <f t="shared" si="57"/>
        <v>Faltando Comprar</v>
      </c>
    </row>
    <row r="1807" spans="1:15" ht="31.5">
      <c r="A1807" s="16" t="s">
        <v>17</v>
      </c>
      <c r="B1807" s="16" t="s">
        <v>26</v>
      </c>
      <c r="C1807" s="17" t="s">
        <v>19</v>
      </c>
      <c r="D1807" s="18" t="s">
        <v>1051</v>
      </c>
      <c r="E1807" s="18">
        <v>20</v>
      </c>
      <c r="F1807" s="18" t="s">
        <v>30</v>
      </c>
      <c r="G1807" s="18" t="s">
        <v>22</v>
      </c>
      <c r="H1807" s="18" t="s">
        <v>23</v>
      </c>
      <c r="I1807" s="19">
        <v>10</v>
      </c>
      <c r="J1807" s="20">
        <f t="shared" si="56"/>
        <v>200</v>
      </c>
      <c r="K1807" s="106"/>
      <c r="L1807" s="114"/>
      <c r="M1807" s="114">
        <f>tblAquisições[[#This Row],[VALOR UNITARIO COMPRADO]]*tblAquisições[[#This Row],[QUANTIDADE COMPRADA]]</f>
        <v>0</v>
      </c>
      <c r="N1807" s="110">
        <f>K1807-tblAquisições[[#This Row],[QUANTIDADE PLANEJADA]]</f>
        <v>-20</v>
      </c>
      <c r="O1807" s="106" t="str">
        <f t="shared" si="57"/>
        <v>Faltando Comprar</v>
      </c>
    </row>
    <row r="1808" spans="1:15" ht="31.5">
      <c r="A1808" s="16" t="s">
        <v>17</v>
      </c>
      <c r="B1808" s="16" t="s">
        <v>26</v>
      </c>
      <c r="C1808" s="17" t="s">
        <v>19</v>
      </c>
      <c r="D1808" s="18" t="s">
        <v>1052</v>
      </c>
      <c r="E1808" s="18">
        <v>25</v>
      </c>
      <c r="F1808" s="18" t="s">
        <v>30</v>
      </c>
      <c r="G1808" s="18" t="s">
        <v>22</v>
      </c>
      <c r="H1808" s="18" t="s">
        <v>23</v>
      </c>
      <c r="I1808" s="19">
        <v>13.34</v>
      </c>
      <c r="J1808" s="20">
        <f t="shared" si="56"/>
        <v>333.5</v>
      </c>
      <c r="K1808" s="106"/>
      <c r="L1808" s="114"/>
      <c r="M1808" s="114">
        <f>tblAquisições[[#This Row],[VALOR UNITARIO COMPRADO]]*tblAquisições[[#This Row],[QUANTIDADE COMPRADA]]</f>
        <v>0</v>
      </c>
      <c r="N1808" s="110">
        <f>K1808-tblAquisições[[#This Row],[QUANTIDADE PLANEJADA]]</f>
        <v>-25</v>
      </c>
      <c r="O1808" s="106" t="str">
        <f t="shared" si="57"/>
        <v>Faltando Comprar</v>
      </c>
    </row>
    <row r="1809" spans="1:15" ht="31.5">
      <c r="A1809" s="16" t="s">
        <v>17</v>
      </c>
      <c r="B1809" s="16" t="s">
        <v>26</v>
      </c>
      <c r="C1809" s="17" t="s">
        <v>19</v>
      </c>
      <c r="D1809" s="18" t="s">
        <v>1053</v>
      </c>
      <c r="E1809" s="18">
        <v>60</v>
      </c>
      <c r="F1809" s="18" t="s">
        <v>30</v>
      </c>
      <c r="G1809" s="18" t="s">
        <v>22</v>
      </c>
      <c r="H1809" s="18" t="s">
        <v>23</v>
      </c>
      <c r="I1809" s="19">
        <v>18.34</v>
      </c>
      <c r="J1809" s="20">
        <f t="shared" si="56"/>
        <v>1100.4000000000001</v>
      </c>
      <c r="K1809" s="106"/>
      <c r="L1809" s="114"/>
      <c r="M1809" s="114">
        <f>tblAquisições[[#This Row],[VALOR UNITARIO COMPRADO]]*tblAquisições[[#This Row],[QUANTIDADE COMPRADA]]</f>
        <v>0</v>
      </c>
      <c r="N1809" s="110">
        <f>K1809-tblAquisições[[#This Row],[QUANTIDADE PLANEJADA]]</f>
        <v>-60</v>
      </c>
      <c r="O1809" s="106" t="str">
        <f t="shared" si="57"/>
        <v>Faltando Comprar</v>
      </c>
    </row>
    <row r="1810" spans="1:15" ht="31.5">
      <c r="A1810" s="16" t="s">
        <v>17</v>
      </c>
      <c r="B1810" s="16" t="s">
        <v>26</v>
      </c>
      <c r="C1810" s="17" t="s">
        <v>19</v>
      </c>
      <c r="D1810" s="18" t="s">
        <v>1054</v>
      </c>
      <c r="E1810" s="18">
        <v>25</v>
      </c>
      <c r="F1810" s="18" t="s">
        <v>30</v>
      </c>
      <c r="G1810" s="18" t="s">
        <v>22</v>
      </c>
      <c r="H1810" s="18" t="s">
        <v>23</v>
      </c>
      <c r="I1810" s="19">
        <v>23.13</v>
      </c>
      <c r="J1810" s="20">
        <f t="shared" si="56"/>
        <v>578.25</v>
      </c>
      <c r="K1810" s="106"/>
      <c r="L1810" s="114"/>
      <c r="M1810" s="114">
        <f>tblAquisições[[#This Row],[VALOR UNITARIO COMPRADO]]*tblAquisições[[#This Row],[QUANTIDADE COMPRADA]]</f>
        <v>0</v>
      </c>
      <c r="N1810" s="110">
        <f>K1810-tblAquisições[[#This Row],[QUANTIDADE PLANEJADA]]</f>
        <v>-25</v>
      </c>
      <c r="O1810" s="106" t="str">
        <f t="shared" si="57"/>
        <v>Faltando Comprar</v>
      </c>
    </row>
    <row r="1811" spans="1:15" ht="31.5">
      <c r="A1811" s="16" t="s">
        <v>17</v>
      </c>
      <c r="B1811" s="16" t="s">
        <v>26</v>
      </c>
      <c r="C1811" s="17" t="s">
        <v>19</v>
      </c>
      <c r="D1811" s="18" t="s">
        <v>1055</v>
      </c>
      <c r="E1811" s="18">
        <v>20</v>
      </c>
      <c r="F1811" s="18" t="s">
        <v>30</v>
      </c>
      <c r="G1811" s="18" t="s">
        <v>22</v>
      </c>
      <c r="H1811" s="18" t="s">
        <v>23</v>
      </c>
      <c r="I1811" s="19">
        <v>23.74</v>
      </c>
      <c r="J1811" s="20">
        <f t="shared" si="56"/>
        <v>474.79999999999995</v>
      </c>
      <c r="K1811" s="106"/>
      <c r="L1811" s="114"/>
      <c r="M1811" s="114">
        <f>tblAquisições[[#This Row],[VALOR UNITARIO COMPRADO]]*tblAquisições[[#This Row],[QUANTIDADE COMPRADA]]</f>
        <v>0</v>
      </c>
      <c r="N1811" s="110">
        <f>K1811-tblAquisições[[#This Row],[QUANTIDADE PLANEJADA]]</f>
        <v>-20</v>
      </c>
      <c r="O1811" s="106" t="str">
        <f t="shared" si="57"/>
        <v>Faltando Comprar</v>
      </c>
    </row>
    <row r="1812" spans="1:15" ht="31.5">
      <c r="A1812" s="16" t="s">
        <v>17</v>
      </c>
      <c r="B1812" s="16" t="s">
        <v>26</v>
      </c>
      <c r="C1812" s="17" t="s">
        <v>19</v>
      </c>
      <c r="D1812" s="18" t="s">
        <v>1056</v>
      </c>
      <c r="E1812" s="18">
        <v>10</v>
      </c>
      <c r="F1812" s="18" t="s">
        <v>30</v>
      </c>
      <c r="G1812" s="18" t="s">
        <v>22</v>
      </c>
      <c r="H1812" s="18" t="s">
        <v>23</v>
      </c>
      <c r="I1812" s="19">
        <v>74</v>
      </c>
      <c r="J1812" s="20">
        <f t="shared" si="56"/>
        <v>740</v>
      </c>
      <c r="K1812" s="106"/>
      <c r="L1812" s="114"/>
      <c r="M1812" s="114">
        <f>tblAquisições[[#This Row],[VALOR UNITARIO COMPRADO]]*tblAquisições[[#This Row],[QUANTIDADE COMPRADA]]</f>
        <v>0</v>
      </c>
      <c r="N1812" s="110">
        <f>K1812-tblAquisições[[#This Row],[QUANTIDADE PLANEJADA]]</f>
        <v>-10</v>
      </c>
      <c r="O1812" s="106" t="str">
        <f t="shared" si="57"/>
        <v>Faltando Comprar</v>
      </c>
    </row>
    <row r="1813" spans="1:15" ht="31.5">
      <c r="A1813" s="16" t="s">
        <v>17</v>
      </c>
      <c r="B1813" s="16" t="s">
        <v>80</v>
      </c>
      <c r="C1813" s="17" t="s">
        <v>19</v>
      </c>
      <c r="D1813" s="18" t="s">
        <v>1057</v>
      </c>
      <c r="E1813" s="18">
        <v>6</v>
      </c>
      <c r="F1813" s="18" t="s">
        <v>82</v>
      </c>
      <c r="G1813" s="18" t="s">
        <v>39</v>
      </c>
      <c r="H1813" s="21"/>
      <c r="I1813" s="19">
        <v>100</v>
      </c>
      <c r="J1813" s="20">
        <f t="shared" si="56"/>
        <v>600</v>
      </c>
      <c r="K1813" s="106"/>
      <c r="L1813" s="114"/>
      <c r="M1813" s="114">
        <f>tblAquisições[[#This Row],[VALOR UNITARIO COMPRADO]]*tblAquisições[[#This Row],[QUANTIDADE COMPRADA]]</f>
        <v>0</v>
      </c>
      <c r="N1813" s="110">
        <f>K1813-tblAquisições[[#This Row],[QUANTIDADE PLANEJADA]]</f>
        <v>-6</v>
      </c>
      <c r="O1813" s="106" t="str">
        <f t="shared" si="57"/>
        <v>Faltando Comprar</v>
      </c>
    </row>
    <row r="1814" spans="1:15" ht="31.5">
      <c r="A1814" s="16" t="s">
        <v>17</v>
      </c>
      <c r="B1814" s="16" t="s">
        <v>31</v>
      </c>
      <c r="C1814" s="17" t="s">
        <v>19</v>
      </c>
      <c r="D1814" s="18" t="s">
        <v>1058</v>
      </c>
      <c r="E1814" s="18">
        <v>20</v>
      </c>
      <c r="F1814" s="18" t="s">
        <v>30</v>
      </c>
      <c r="G1814" s="18" t="s">
        <v>22</v>
      </c>
      <c r="H1814" s="18" t="s">
        <v>23</v>
      </c>
      <c r="I1814" s="19">
        <v>170</v>
      </c>
      <c r="J1814" s="20">
        <f t="shared" si="56"/>
        <v>3400</v>
      </c>
      <c r="K1814" s="106"/>
      <c r="L1814" s="114"/>
      <c r="M1814" s="114">
        <f>tblAquisições[[#This Row],[VALOR UNITARIO COMPRADO]]*tblAquisições[[#This Row],[QUANTIDADE COMPRADA]]</f>
        <v>0</v>
      </c>
      <c r="N1814" s="110">
        <f>K1814-tblAquisições[[#This Row],[QUANTIDADE PLANEJADA]]</f>
        <v>-20</v>
      </c>
      <c r="O1814" s="106" t="str">
        <f t="shared" si="57"/>
        <v>Faltando Comprar</v>
      </c>
    </row>
    <row r="1815" spans="1:15" ht="31.5">
      <c r="A1815" s="16" t="s">
        <v>17</v>
      </c>
      <c r="B1815" s="16" t="s">
        <v>26</v>
      </c>
      <c r="C1815" s="17" t="s">
        <v>19</v>
      </c>
      <c r="D1815" s="18" t="s">
        <v>1058</v>
      </c>
      <c r="E1815" s="18">
        <v>10</v>
      </c>
      <c r="F1815" s="18" t="s">
        <v>30</v>
      </c>
      <c r="G1815" s="18" t="s">
        <v>22</v>
      </c>
      <c r="H1815" s="18" t="s">
        <v>23</v>
      </c>
      <c r="I1815" s="19">
        <v>170</v>
      </c>
      <c r="J1815" s="20">
        <f t="shared" si="56"/>
        <v>1700</v>
      </c>
      <c r="K1815" s="106"/>
      <c r="L1815" s="114"/>
      <c r="M1815" s="114">
        <f>tblAquisições[[#This Row],[VALOR UNITARIO COMPRADO]]*tblAquisições[[#This Row],[QUANTIDADE COMPRADA]]</f>
        <v>0</v>
      </c>
      <c r="N1815" s="110">
        <f>K1815-tblAquisições[[#This Row],[QUANTIDADE PLANEJADA]]</f>
        <v>-10</v>
      </c>
      <c r="O1815" s="106" t="str">
        <f t="shared" si="57"/>
        <v>Faltando Comprar</v>
      </c>
    </row>
    <row r="1816" spans="1:15" ht="31.5">
      <c r="A1816" s="16" t="s">
        <v>17</v>
      </c>
      <c r="B1816" s="16" t="s">
        <v>31</v>
      </c>
      <c r="C1816" s="17" t="s">
        <v>19</v>
      </c>
      <c r="D1816" s="18" t="s">
        <v>1059</v>
      </c>
      <c r="E1816" s="18">
        <v>20</v>
      </c>
      <c r="F1816" s="18" t="s">
        <v>30</v>
      </c>
      <c r="G1816" s="18" t="s">
        <v>22</v>
      </c>
      <c r="H1816" s="18" t="s">
        <v>23</v>
      </c>
      <c r="I1816" s="19">
        <v>265</v>
      </c>
      <c r="J1816" s="20">
        <f t="shared" si="56"/>
        <v>5300</v>
      </c>
      <c r="K1816" s="106"/>
      <c r="L1816" s="114"/>
      <c r="M1816" s="114">
        <f>tblAquisições[[#This Row],[VALOR UNITARIO COMPRADO]]*tblAquisições[[#This Row],[QUANTIDADE COMPRADA]]</f>
        <v>0</v>
      </c>
      <c r="N1816" s="110">
        <f>K1816-tblAquisições[[#This Row],[QUANTIDADE PLANEJADA]]</f>
        <v>-20</v>
      </c>
      <c r="O1816" s="106" t="str">
        <f t="shared" si="57"/>
        <v>Faltando Comprar</v>
      </c>
    </row>
    <row r="1817" spans="1:15" ht="31.5">
      <c r="A1817" s="16" t="s">
        <v>17</v>
      </c>
      <c r="B1817" s="16" t="s">
        <v>26</v>
      </c>
      <c r="C1817" s="17" t="s">
        <v>19</v>
      </c>
      <c r="D1817" s="18" t="s">
        <v>1059</v>
      </c>
      <c r="E1817" s="18">
        <v>10</v>
      </c>
      <c r="F1817" s="18" t="s">
        <v>30</v>
      </c>
      <c r="G1817" s="18" t="s">
        <v>22</v>
      </c>
      <c r="H1817" s="18" t="s">
        <v>23</v>
      </c>
      <c r="I1817" s="19">
        <v>265</v>
      </c>
      <c r="J1817" s="20">
        <f t="shared" si="56"/>
        <v>2650</v>
      </c>
      <c r="K1817" s="106"/>
      <c r="L1817" s="114"/>
      <c r="M1817" s="114">
        <f>tblAquisições[[#This Row],[VALOR UNITARIO COMPRADO]]*tblAquisições[[#This Row],[QUANTIDADE COMPRADA]]</f>
        <v>0</v>
      </c>
      <c r="N1817" s="110">
        <f>K1817-tblAquisições[[#This Row],[QUANTIDADE PLANEJADA]]</f>
        <v>-10</v>
      </c>
      <c r="O1817" s="106" t="str">
        <f t="shared" si="57"/>
        <v>Faltando Comprar</v>
      </c>
    </row>
    <row r="1818" spans="1:15" ht="31.5">
      <c r="A1818" s="16" t="s">
        <v>17</v>
      </c>
      <c r="B1818" s="16" t="s">
        <v>31</v>
      </c>
      <c r="C1818" s="17" t="s">
        <v>19</v>
      </c>
      <c r="D1818" s="18" t="s">
        <v>1060</v>
      </c>
      <c r="E1818" s="18">
        <v>20</v>
      </c>
      <c r="F1818" s="18" t="s">
        <v>30</v>
      </c>
      <c r="G1818" s="18" t="s">
        <v>22</v>
      </c>
      <c r="H1818" s="18" t="s">
        <v>23</v>
      </c>
      <c r="I1818" s="19">
        <v>325</v>
      </c>
      <c r="J1818" s="20">
        <f t="shared" si="56"/>
        <v>6500</v>
      </c>
      <c r="K1818" s="106"/>
      <c r="L1818" s="114"/>
      <c r="M1818" s="114">
        <f>tblAquisições[[#This Row],[VALOR UNITARIO COMPRADO]]*tblAquisições[[#This Row],[QUANTIDADE COMPRADA]]</f>
        <v>0</v>
      </c>
      <c r="N1818" s="110">
        <f>K1818-tblAquisições[[#This Row],[QUANTIDADE PLANEJADA]]</f>
        <v>-20</v>
      </c>
      <c r="O1818" s="106" t="str">
        <f t="shared" si="57"/>
        <v>Faltando Comprar</v>
      </c>
    </row>
    <row r="1819" spans="1:15" ht="31.5">
      <c r="A1819" s="16" t="s">
        <v>17</v>
      </c>
      <c r="B1819" s="16" t="s">
        <v>26</v>
      </c>
      <c r="C1819" s="17" t="s">
        <v>19</v>
      </c>
      <c r="D1819" s="18" t="s">
        <v>1060</v>
      </c>
      <c r="E1819" s="18">
        <v>10</v>
      </c>
      <c r="F1819" s="18" t="s">
        <v>30</v>
      </c>
      <c r="G1819" s="18" t="s">
        <v>22</v>
      </c>
      <c r="H1819" s="18" t="s">
        <v>23</v>
      </c>
      <c r="I1819" s="19">
        <v>325</v>
      </c>
      <c r="J1819" s="20">
        <f t="shared" si="56"/>
        <v>3250</v>
      </c>
      <c r="K1819" s="106"/>
      <c r="L1819" s="114"/>
      <c r="M1819" s="114">
        <f>tblAquisições[[#This Row],[VALOR UNITARIO COMPRADO]]*tblAquisições[[#This Row],[QUANTIDADE COMPRADA]]</f>
        <v>0</v>
      </c>
      <c r="N1819" s="110">
        <f>K1819-tblAquisições[[#This Row],[QUANTIDADE PLANEJADA]]</f>
        <v>-10</v>
      </c>
      <c r="O1819" s="106" t="str">
        <f t="shared" si="57"/>
        <v>Faltando Comprar</v>
      </c>
    </row>
    <row r="1820" spans="1:15" ht="47.25">
      <c r="A1820" s="16" t="s">
        <v>17</v>
      </c>
      <c r="B1820" s="16" t="s">
        <v>80</v>
      </c>
      <c r="C1820" s="17" t="s">
        <v>19</v>
      </c>
      <c r="D1820" s="18" t="s">
        <v>1061</v>
      </c>
      <c r="E1820" s="18">
        <v>10</v>
      </c>
      <c r="F1820" s="18" t="s">
        <v>147</v>
      </c>
      <c r="G1820" s="18" t="s">
        <v>39</v>
      </c>
      <c r="H1820" s="21"/>
      <c r="I1820" s="19">
        <v>361.67</v>
      </c>
      <c r="J1820" s="20">
        <f t="shared" si="56"/>
        <v>3616.7000000000003</v>
      </c>
      <c r="K1820" s="106"/>
      <c r="L1820" s="114"/>
      <c r="M1820" s="114">
        <f>tblAquisições[[#This Row],[VALOR UNITARIO COMPRADO]]*tblAquisições[[#This Row],[QUANTIDADE COMPRADA]]</f>
        <v>0</v>
      </c>
      <c r="N1820" s="110">
        <f>K1820-tblAquisições[[#This Row],[QUANTIDADE PLANEJADA]]</f>
        <v>-10</v>
      </c>
      <c r="O1820" s="106" t="str">
        <f t="shared" si="57"/>
        <v>Faltando Comprar</v>
      </c>
    </row>
    <row r="1821" spans="1:15" ht="47.25">
      <c r="A1821" s="16" t="s">
        <v>17</v>
      </c>
      <c r="B1821" s="16" t="s">
        <v>28</v>
      </c>
      <c r="C1821" s="17" t="s">
        <v>19</v>
      </c>
      <c r="D1821" s="18" t="s">
        <v>1062</v>
      </c>
      <c r="E1821" s="18">
        <v>40</v>
      </c>
      <c r="F1821" s="18" t="s">
        <v>78</v>
      </c>
      <c r="G1821" s="18" t="s">
        <v>22</v>
      </c>
      <c r="H1821" s="18" t="s">
        <v>23</v>
      </c>
      <c r="I1821" s="19">
        <v>361.67</v>
      </c>
      <c r="J1821" s="20">
        <f t="shared" si="56"/>
        <v>14466.800000000001</v>
      </c>
      <c r="K1821" s="106"/>
      <c r="L1821" s="114"/>
      <c r="M1821" s="114">
        <f>tblAquisições[[#This Row],[VALOR UNITARIO COMPRADO]]*tblAquisições[[#This Row],[QUANTIDADE COMPRADA]]</f>
        <v>0</v>
      </c>
      <c r="N1821" s="110">
        <f>K1821-tblAquisições[[#This Row],[QUANTIDADE PLANEJADA]]</f>
        <v>-40</v>
      </c>
      <c r="O1821" s="106" t="str">
        <f t="shared" si="57"/>
        <v>Faltando Comprar</v>
      </c>
    </row>
    <row r="1822" spans="1:15" ht="31.5">
      <c r="A1822" s="16" t="s">
        <v>17</v>
      </c>
      <c r="B1822" s="16" t="s">
        <v>80</v>
      </c>
      <c r="C1822" s="17" t="s">
        <v>19</v>
      </c>
      <c r="D1822" s="18" t="s">
        <v>1063</v>
      </c>
      <c r="E1822" s="18">
        <v>1</v>
      </c>
      <c r="F1822" s="18" t="s">
        <v>38</v>
      </c>
      <c r="G1822" s="18" t="s">
        <v>39</v>
      </c>
      <c r="H1822" s="21"/>
      <c r="I1822" s="19">
        <v>242.56</v>
      </c>
      <c r="J1822" s="20">
        <f t="shared" si="56"/>
        <v>242.56</v>
      </c>
      <c r="K1822" s="106"/>
      <c r="L1822" s="114"/>
      <c r="M1822" s="114">
        <f>tblAquisições[[#This Row],[VALOR UNITARIO COMPRADO]]*tblAquisições[[#This Row],[QUANTIDADE COMPRADA]]</f>
        <v>0</v>
      </c>
      <c r="N1822" s="110">
        <f>K1822-tblAquisições[[#This Row],[QUANTIDADE PLANEJADA]]</f>
        <v>-1</v>
      </c>
      <c r="O1822" s="106" t="str">
        <f t="shared" si="57"/>
        <v>Faltando Comprar</v>
      </c>
    </row>
    <row r="1823" spans="1:15" ht="31.5">
      <c r="A1823" s="16" t="s">
        <v>17</v>
      </c>
      <c r="B1823" s="16" t="s">
        <v>31</v>
      </c>
      <c r="C1823" s="17" t="s">
        <v>19</v>
      </c>
      <c r="D1823" s="18" t="s">
        <v>1064</v>
      </c>
      <c r="E1823" s="18">
        <v>3</v>
      </c>
      <c r="F1823" s="18" t="s">
        <v>21</v>
      </c>
      <c r="G1823" s="18" t="s">
        <v>22</v>
      </c>
      <c r="H1823" s="18" t="s">
        <v>23</v>
      </c>
      <c r="I1823" s="19">
        <v>242.56</v>
      </c>
      <c r="J1823" s="20">
        <f t="shared" si="56"/>
        <v>727.68000000000006</v>
      </c>
      <c r="K1823" s="106"/>
      <c r="L1823" s="114"/>
      <c r="M1823" s="114">
        <f>tblAquisições[[#This Row],[VALOR UNITARIO COMPRADO]]*tblAquisições[[#This Row],[QUANTIDADE COMPRADA]]</f>
        <v>0</v>
      </c>
      <c r="N1823" s="110">
        <f>K1823-tblAquisições[[#This Row],[QUANTIDADE PLANEJADA]]</f>
        <v>-3</v>
      </c>
      <c r="O1823" s="106" t="str">
        <f t="shared" si="57"/>
        <v>Faltando Comprar</v>
      </c>
    </row>
    <row r="1824" spans="1:15" ht="63">
      <c r="A1824" s="16" t="s">
        <v>17</v>
      </c>
      <c r="B1824" s="16" t="s">
        <v>80</v>
      </c>
      <c r="C1824" s="17" t="s">
        <v>19</v>
      </c>
      <c r="D1824" s="18" t="s">
        <v>1065</v>
      </c>
      <c r="E1824" s="18">
        <v>2</v>
      </c>
      <c r="F1824" s="18" t="s">
        <v>38</v>
      </c>
      <c r="G1824" s="18" t="s">
        <v>39</v>
      </c>
      <c r="H1824" s="18" t="s">
        <v>23</v>
      </c>
      <c r="I1824" s="19">
        <v>25716</v>
      </c>
      <c r="J1824" s="20">
        <f t="shared" si="56"/>
        <v>51432</v>
      </c>
      <c r="K1824" s="106"/>
      <c r="L1824" s="114"/>
      <c r="M1824" s="114">
        <f>tblAquisições[[#This Row],[VALOR UNITARIO COMPRADO]]*tblAquisições[[#This Row],[QUANTIDADE COMPRADA]]</f>
        <v>0</v>
      </c>
      <c r="N1824" s="110">
        <f>K1824-tblAquisições[[#This Row],[QUANTIDADE PLANEJADA]]</f>
        <v>-2</v>
      </c>
      <c r="O1824" s="106" t="str">
        <f t="shared" si="57"/>
        <v>Faltando Comprar</v>
      </c>
    </row>
    <row r="1825" spans="1:15" ht="63">
      <c r="A1825" s="16" t="s">
        <v>17</v>
      </c>
      <c r="B1825" s="16" t="s">
        <v>18</v>
      </c>
      <c r="C1825" s="17" t="s">
        <v>19</v>
      </c>
      <c r="D1825" s="18" t="s">
        <v>1066</v>
      </c>
      <c r="E1825" s="18">
        <v>5</v>
      </c>
      <c r="F1825" s="18" t="s">
        <v>21</v>
      </c>
      <c r="G1825" s="18" t="s">
        <v>22</v>
      </c>
      <c r="H1825" s="18" t="s">
        <v>23</v>
      </c>
      <c r="I1825" s="19">
        <v>25716</v>
      </c>
      <c r="J1825" s="20">
        <f t="shared" si="56"/>
        <v>128580</v>
      </c>
      <c r="K1825" s="106"/>
      <c r="L1825" s="114"/>
      <c r="M1825" s="114">
        <f>tblAquisições[[#This Row],[VALOR UNITARIO COMPRADO]]*tblAquisições[[#This Row],[QUANTIDADE COMPRADA]]</f>
        <v>0</v>
      </c>
      <c r="N1825" s="110">
        <f>K1825-tblAquisições[[#This Row],[QUANTIDADE PLANEJADA]]</f>
        <v>-5</v>
      </c>
      <c r="O1825" s="106" t="str">
        <f t="shared" si="57"/>
        <v>Faltando Comprar</v>
      </c>
    </row>
    <row r="1826" spans="1:15" ht="63">
      <c r="A1826" s="16" t="s">
        <v>17</v>
      </c>
      <c r="B1826" s="16" t="s">
        <v>24</v>
      </c>
      <c r="C1826" s="17" t="s">
        <v>19</v>
      </c>
      <c r="D1826" s="18" t="s">
        <v>1066</v>
      </c>
      <c r="E1826" s="18">
        <v>5</v>
      </c>
      <c r="F1826" s="18" t="s">
        <v>21</v>
      </c>
      <c r="G1826" s="18" t="s">
        <v>22</v>
      </c>
      <c r="H1826" s="18" t="s">
        <v>23</v>
      </c>
      <c r="I1826" s="19">
        <v>25716</v>
      </c>
      <c r="J1826" s="20">
        <f t="shared" si="56"/>
        <v>128580</v>
      </c>
      <c r="K1826" s="106"/>
      <c r="L1826" s="114"/>
      <c r="M1826" s="114">
        <f>tblAquisições[[#This Row],[VALOR UNITARIO COMPRADO]]*tblAquisições[[#This Row],[QUANTIDADE COMPRADA]]</f>
        <v>0</v>
      </c>
      <c r="N1826" s="110">
        <f>K1826-tblAquisições[[#This Row],[QUANTIDADE PLANEJADA]]</f>
        <v>-5</v>
      </c>
      <c r="O1826" s="106" t="str">
        <f t="shared" si="57"/>
        <v>Faltando Comprar</v>
      </c>
    </row>
    <row r="1827" spans="1:15" ht="63">
      <c r="A1827" s="16" t="s">
        <v>17</v>
      </c>
      <c r="B1827" s="16" t="s">
        <v>25</v>
      </c>
      <c r="C1827" s="17" t="s">
        <v>19</v>
      </c>
      <c r="D1827" s="18" t="s">
        <v>1066</v>
      </c>
      <c r="E1827" s="18">
        <v>5</v>
      </c>
      <c r="F1827" s="18" t="s">
        <v>21</v>
      </c>
      <c r="G1827" s="18" t="s">
        <v>22</v>
      </c>
      <c r="H1827" s="18" t="s">
        <v>23</v>
      </c>
      <c r="I1827" s="19">
        <v>25716</v>
      </c>
      <c r="J1827" s="20">
        <f t="shared" si="56"/>
        <v>128580</v>
      </c>
      <c r="K1827" s="106"/>
      <c r="L1827" s="114"/>
      <c r="M1827" s="114">
        <f>tblAquisições[[#This Row],[VALOR UNITARIO COMPRADO]]*tblAquisições[[#This Row],[QUANTIDADE COMPRADA]]</f>
        <v>0</v>
      </c>
      <c r="N1827" s="110">
        <f>K1827-tblAquisições[[#This Row],[QUANTIDADE PLANEJADA]]</f>
        <v>-5</v>
      </c>
      <c r="O1827" s="106" t="str">
        <f t="shared" si="57"/>
        <v>Faltando Comprar</v>
      </c>
    </row>
    <row r="1828" spans="1:15" ht="63">
      <c r="A1828" s="16" t="s">
        <v>17</v>
      </c>
      <c r="B1828" s="16" t="s">
        <v>26</v>
      </c>
      <c r="C1828" s="17" t="s">
        <v>19</v>
      </c>
      <c r="D1828" s="18" t="s">
        <v>1066</v>
      </c>
      <c r="E1828" s="18">
        <v>1</v>
      </c>
      <c r="F1828" s="18" t="s">
        <v>21</v>
      </c>
      <c r="G1828" s="18" t="s">
        <v>22</v>
      </c>
      <c r="H1828" s="18" t="s">
        <v>23</v>
      </c>
      <c r="I1828" s="19">
        <v>25716</v>
      </c>
      <c r="J1828" s="20">
        <f t="shared" si="56"/>
        <v>25716</v>
      </c>
      <c r="K1828" s="106"/>
      <c r="L1828" s="114"/>
      <c r="M1828" s="114">
        <f>tblAquisições[[#This Row],[VALOR UNITARIO COMPRADO]]*tblAquisições[[#This Row],[QUANTIDADE COMPRADA]]</f>
        <v>0</v>
      </c>
      <c r="N1828" s="110">
        <f>K1828-tblAquisições[[#This Row],[QUANTIDADE PLANEJADA]]</f>
        <v>-1</v>
      </c>
      <c r="O1828" s="106" t="str">
        <f t="shared" si="57"/>
        <v>Faltando Comprar</v>
      </c>
    </row>
    <row r="1829" spans="1:15" ht="63">
      <c r="A1829" s="16" t="s">
        <v>17</v>
      </c>
      <c r="B1829" s="16" t="s">
        <v>28</v>
      </c>
      <c r="C1829" s="17" t="s">
        <v>19</v>
      </c>
      <c r="D1829" s="18" t="s">
        <v>1066</v>
      </c>
      <c r="E1829" s="18">
        <v>12</v>
      </c>
      <c r="F1829" s="18" t="s">
        <v>21</v>
      </c>
      <c r="G1829" s="18" t="s">
        <v>22</v>
      </c>
      <c r="H1829" s="18" t="s">
        <v>23</v>
      </c>
      <c r="I1829" s="19">
        <v>25716</v>
      </c>
      <c r="J1829" s="20">
        <f t="shared" si="56"/>
        <v>308592</v>
      </c>
      <c r="K1829" s="106"/>
      <c r="L1829" s="114"/>
      <c r="M1829" s="114">
        <f>tblAquisições[[#This Row],[VALOR UNITARIO COMPRADO]]*tblAquisições[[#This Row],[QUANTIDADE COMPRADA]]</f>
        <v>0</v>
      </c>
      <c r="N1829" s="110">
        <f>K1829-tblAquisições[[#This Row],[QUANTIDADE PLANEJADA]]</f>
        <v>-12</v>
      </c>
      <c r="O1829" s="106" t="str">
        <f t="shared" si="57"/>
        <v>Faltando Comprar</v>
      </c>
    </row>
    <row r="1830" spans="1:15" ht="47.25">
      <c r="A1830" s="16" t="s">
        <v>17</v>
      </c>
      <c r="B1830" s="16" t="s">
        <v>34</v>
      </c>
      <c r="C1830" s="17" t="s">
        <v>19</v>
      </c>
      <c r="D1830" s="18" t="s">
        <v>1067</v>
      </c>
      <c r="E1830" s="18">
        <v>1</v>
      </c>
      <c r="F1830" s="18" t="s">
        <v>78</v>
      </c>
      <c r="G1830" s="18" t="s">
        <v>22</v>
      </c>
      <c r="H1830" s="18" t="s">
        <v>23</v>
      </c>
      <c r="I1830" s="19">
        <v>45.48</v>
      </c>
      <c r="J1830" s="20">
        <f t="shared" si="56"/>
        <v>45.48</v>
      </c>
      <c r="K1830" s="106"/>
      <c r="L1830" s="114"/>
      <c r="M1830" s="114">
        <f>tblAquisições[[#This Row],[VALOR UNITARIO COMPRADO]]*tblAquisições[[#This Row],[QUANTIDADE COMPRADA]]</f>
        <v>0</v>
      </c>
      <c r="N1830" s="110">
        <f>K1830-tblAquisições[[#This Row],[QUANTIDADE PLANEJADA]]</f>
        <v>-1</v>
      </c>
      <c r="O1830" s="106" t="str">
        <f t="shared" si="57"/>
        <v>Faltando Comprar</v>
      </c>
    </row>
    <row r="1831" spans="1:15" ht="63">
      <c r="A1831" s="16" t="s">
        <v>17</v>
      </c>
      <c r="B1831" s="16" t="s">
        <v>80</v>
      </c>
      <c r="C1831" s="17" t="s">
        <v>19</v>
      </c>
      <c r="D1831" s="18" t="s">
        <v>1068</v>
      </c>
      <c r="E1831" s="18">
        <v>4</v>
      </c>
      <c r="F1831" s="18" t="s">
        <v>82</v>
      </c>
      <c r="G1831" s="18" t="s">
        <v>39</v>
      </c>
      <c r="H1831" s="21"/>
      <c r="I1831" s="19">
        <v>2864.38</v>
      </c>
      <c r="J1831" s="20">
        <f t="shared" si="56"/>
        <v>11457.52</v>
      </c>
      <c r="K1831" s="106"/>
      <c r="L1831" s="114"/>
      <c r="M1831" s="114">
        <f>tblAquisições[[#This Row],[VALOR UNITARIO COMPRADO]]*tblAquisições[[#This Row],[QUANTIDADE COMPRADA]]</f>
        <v>0</v>
      </c>
      <c r="N1831" s="110">
        <f>K1831-tblAquisições[[#This Row],[QUANTIDADE PLANEJADA]]</f>
        <v>-4</v>
      </c>
      <c r="O1831" s="106" t="str">
        <f t="shared" si="57"/>
        <v>Faltando Comprar</v>
      </c>
    </row>
    <row r="1832" spans="1:15" ht="47.25">
      <c r="A1832" s="16" t="s">
        <v>17</v>
      </c>
      <c r="B1832" s="16" t="s">
        <v>31</v>
      </c>
      <c r="C1832" s="17" t="s">
        <v>19</v>
      </c>
      <c r="D1832" s="18" t="s">
        <v>1069</v>
      </c>
      <c r="E1832" s="18">
        <v>1</v>
      </c>
      <c r="F1832" s="18" t="s">
        <v>30</v>
      </c>
      <c r="G1832" s="18" t="s">
        <v>22</v>
      </c>
      <c r="H1832" s="18" t="s">
        <v>23</v>
      </c>
      <c r="I1832" s="19">
        <v>2864.38</v>
      </c>
      <c r="J1832" s="20">
        <f t="shared" si="56"/>
        <v>2864.38</v>
      </c>
      <c r="K1832" s="106"/>
      <c r="L1832" s="114"/>
      <c r="M1832" s="114">
        <f>tblAquisições[[#This Row],[VALOR UNITARIO COMPRADO]]*tblAquisições[[#This Row],[QUANTIDADE COMPRADA]]</f>
        <v>0</v>
      </c>
      <c r="N1832" s="110">
        <f>K1832-tblAquisições[[#This Row],[QUANTIDADE PLANEJADA]]</f>
        <v>-1</v>
      </c>
      <c r="O1832" s="106" t="str">
        <f t="shared" si="57"/>
        <v>Faltando Comprar</v>
      </c>
    </row>
    <row r="1833" spans="1:15" ht="31.5">
      <c r="A1833" s="16" t="s">
        <v>17</v>
      </c>
      <c r="B1833" s="16" t="s">
        <v>18</v>
      </c>
      <c r="C1833" s="17" t="s">
        <v>19</v>
      </c>
      <c r="D1833" s="18" t="s">
        <v>1070</v>
      </c>
      <c r="E1833" s="18">
        <v>15</v>
      </c>
      <c r="F1833" s="18" t="s">
        <v>21</v>
      </c>
      <c r="G1833" s="18" t="s">
        <v>22</v>
      </c>
      <c r="H1833" s="18" t="s">
        <v>23</v>
      </c>
      <c r="I1833" s="19">
        <v>235.44</v>
      </c>
      <c r="J1833" s="20">
        <f t="shared" si="56"/>
        <v>3531.6</v>
      </c>
      <c r="K1833" s="106"/>
      <c r="L1833" s="114"/>
      <c r="M1833" s="114">
        <f>tblAquisições[[#This Row],[VALOR UNITARIO COMPRADO]]*tblAquisições[[#This Row],[QUANTIDADE COMPRADA]]</f>
        <v>0</v>
      </c>
      <c r="N1833" s="110">
        <f>K1833-tblAquisições[[#This Row],[QUANTIDADE PLANEJADA]]</f>
        <v>-15</v>
      </c>
      <c r="O1833" s="106" t="str">
        <f t="shared" si="57"/>
        <v>Faltando Comprar</v>
      </c>
    </row>
    <row r="1834" spans="1:15" ht="31.5">
      <c r="A1834" s="16" t="s">
        <v>17</v>
      </c>
      <c r="B1834" s="16" t="s">
        <v>24</v>
      </c>
      <c r="C1834" s="17" t="s">
        <v>19</v>
      </c>
      <c r="D1834" s="18" t="s">
        <v>1070</v>
      </c>
      <c r="E1834" s="18">
        <v>15</v>
      </c>
      <c r="F1834" s="18" t="s">
        <v>21</v>
      </c>
      <c r="G1834" s="18" t="s">
        <v>22</v>
      </c>
      <c r="H1834" s="18" t="s">
        <v>23</v>
      </c>
      <c r="I1834" s="19">
        <v>235.44</v>
      </c>
      <c r="J1834" s="20">
        <f t="shared" si="56"/>
        <v>3531.6</v>
      </c>
      <c r="K1834" s="106"/>
      <c r="L1834" s="114"/>
      <c r="M1834" s="114">
        <f>tblAquisições[[#This Row],[VALOR UNITARIO COMPRADO]]*tblAquisições[[#This Row],[QUANTIDADE COMPRADA]]</f>
        <v>0</v>
      </c>
      <c r="N1834" s="110">
        <f>K1834-tblAquisições[[#This Row],[QUANTIDADE PLANEJADA]]</f>
        <v>-15</v>
      </c>
      <c r="O1834" s="106" t="str">
        <f t="shared" si="57"/>
        <v>Faltando Comprar</v>
      </c>
    </row>
    <row r="1835" spans="1:15" ht="31.5">
      <c r="A1835" s="16" t="s">
        <v>17</v>
      </c>
      <c r="B1835" s="16" t="s">
        <v>25</v>
      </c>
      <c r="C1835" s="17" t="s">
        <v>19</v>
      </c>
      <c r="D1835" s="18" t="s">
        <v>1070</v>
      </c>
      <c r="E1835" s="18">
        <v>15</v>
      </c>
      <c r="F1835" s="18" t="s">
        <v>21</v>
      </c>
      <c r="G1835" s="18" t="s">
        <v>22</v>
      </c>
      <c r="H1835" s="18" t="s">
        <v>23</v>
      </c>
      <c r="I1835" s="19">
        <v>235.44</v>
      </c>
      <c r="J1835" s="20">
        <f t="shared" si="56"/>
        <v>3531.6</v>
      </c>
      <c r="K1835" s="106"/>
      <c r="L1835" s="114"/>
      <c r="M1835" s="114">
        <f>tblAquisições[[#This Row],[VALOR UNITARIO COMPRADO]]*tblAquisições[[#This Row],[QUANTIDADE COMPRADA]]</f>
        <v>0</v>
      </c>
      <c r="N1835" s="110">
        <f>K1835-tblAquisições[[#This Row],[QUANTIDADE PLANEJADA]]</f>
        <v>-15</v>
      </c>
      <c r="O1835" s="106" t="str">
        <f t="shared" si="57"/>
        <v>Faltando Comprar</v>
      </c>
    </row>
    <row r="1836" spans="1:15" ht="63">
      <c r="A1836" s="16" t="s">
        <v>17</v>
      </c>
      <c r="B1836" s="16" t="s">
        <v>18</v>
      </c>
      <c r="C1836" s="17" t="s">
        <v>19</v>
      </c>
      <c r="D1836" s="18" t="s">
        <v>1071</v>
      </c>
      <c r="E1836" s="18">
        <v>5</v>
      </c>
      <c r="F1836" s="18" t="s">
        <v>30</v>
      </c>
      <c r="G1836" s="18" t="s">
        <v>22</v>
      </c>
      <c r="H1836" s="18" t="s">
        <v>23</v>
      </c>
      <c r="I1836" s="19">
        <v>9500</v>
      </c>
      <c r="J1836" s="20">
        <f t="shared" si="56"/>
        <v>47500</v>
      </c>
      <c r="K1836" s="106"/>
      <c r="L1836" s="114"/>
      <c r="M1836" s="114">
        <f>tblAquisições[[#This Row],[VALOR UNITARIO COMPRADO]]*tblAquisições[[#This Row],[QUANTIDADE COMPRADA]]</f>
        <v>0</v>
      </c>
      <c r="N1836" s="110">
        <f>K1836-tblAquisições[[#This Row],[QUANTIDADE PLANEJADA]]</f>
        <v>-5</v>
      </c>
      <c r="O1836" s="106" t="str">
        <f t="shared" si="57"/>
        <v>Faltando Comprar</v>
      </c>
    </row>
    <row r="1837" spans="1:15" ht="63">
      <c r="A1837" s="16" t="s">
        <v>17</v>
      </c>
      <c r="B1837" s="16" t="s">
        <v>24</v>
      </c>
      <c r="C1837" s="17" t="s">
        <v>19</v>
      </c>
      <c r="D1837" s="18" t="s">
        <v>1071</v>
      </c>
      <c r="E1837" s="18">
        <v>5</v>
      </c>
      <c r="F1837" s="18" t="s">
        <v>30</v>
      </c>
      <c r="G1837" s="18" t="s">
        <v>22</v>
      </c>
      <c r="H1837" s="18" t="s">
        <v>23</v>
      </c>
      <c r="I1837" s="19">
        <v>9500</v>
      </c>
      <c r="J1837" s="20">
        <f t="shared" si="56"/>
        <v>47500</v>
      </c>
      <c r="K1837" s="106"/>
      <c r="L1837" s="114"/>
      <c r="M1837" s="114">
        <f>tblAquisições[[#This Row],[VALOR UNITARIO COMPRADO]]*tblAquisições[[#This Row],[QUANTIDADE COMPRADA]]</f>
        <v>0</v>
      </c>
      <c r="N1837" s="110">
        <f>K1837-tblAquisições[[#This Row],[QUANTIDADE PLANEJADA]]</f>
        <v>-5</v>
      </c>
      <c r="O1837" s="106" t="str">
        <f t="shared" si="57"/>
        <v>Faltando Comprar</v>
      </c>
    </row>
    <row r="1838" spans="1:15" ht="63">
      <c r="A1838" s="16" t="s">
        <v>17</v>
      </c>
      <c r="B1838" s="16" t="s">
        <v>25</v>
      </c>
      <c r="C1838" s="17" t="s">
        <v>19</v>
      </c>
      <c r="D1838" s="18" t="s">
        <v>1071</v>
      </c>
      <c r="E1838" s="18">
        <v>5</v>
      </c>
      <c r="F1838" s="18" t="s">
        <v>30</v>
      </c>
      <c r="G1838" s="18" t="s">
        <v>22</v>
      </c>
      <c r="H1838" s="18" t="s">
        <v>23</v>
      </c>
      <c r="I1838" s="19">
        <v>9500</v>
      </c>
      <c r="J1838" s="20">
        <f t="shared" si="56"/>
        <v>47500</v>
      </c>
      <c r="K1838" s="106"/>
      <c r="L1838" s="114"/>
      <c r="M1838" s="114">
        <f>tblAquisições[[#This Row],[VALOR UNITARIO COMPRADO]]*tblAquisições[[#This Row],[QUANTIDADE COMPRADA]]</f>
        <v>0</v>
      </c>
      <c r="N1838" s="110">
        <f>K1838-tblAquisições[[#This Row],[QUANTIDADE PLANEJADA]]</f>
        <v>-5</v>
      </c>
      <c r="O1838" s="106" t="str">
        <f t="shared" si="57"/>
        <v>Faltando Comprar</v>
      </c>
    </row>
    <row r="1839" spans="1:15" ht="63">
      <c r="A1839" s="16" t="s">
        <v>17</v>
      </c>
      <c r="B1839" s="16" t="s">
        <v>26</v>
      </c>
      <c r="C1839" s="17" t="s">
        <v>19</v>
      </c>
      <c r="D1839" s="18" t="s">
        <v>1071</v>
      </c>
      <c r="E1839" s="18">
        <v>2</v>
      </c>
      <c r="F1839" s="18" t="s">
        <v>30</v>
      </c>
      <c r="G1839" s="18" t="s">
        <v>22</v>
      </c>
      <c r="H1839" s="18" t="s">
        <v>23</v>
      </c>
      <c r="I1839" s="19">
        <v>9500</v>
      </c>
      <c r="J1839" s="20">
        <f t="shared" si="56"/>
        <v>19000</v>
      </c>
      <c r="K1839" s="106"/>
      <c r="L1839" s="114"/>
      <c r="M1839" s="114">
        <f>tblAquisições[[#This Row],[VALOR UNITARIO COMPRADO]]*tblAquisições[[#This Row],[QUANTIDADE COMPRADA]]</f>
        <v>0</v>
      </c>
      <c r="N1839" s="110">
        <f>K1839-tblAquisições[[#This Row],[QUANTIDADE PLANEJADA]]</f>
        <v>-2</v>
      </c>
      <c r="O1839" s="106" t="str">
        <f t="shared" si="57"/>
        <v>Faltando Comprar</v>
      </c>
    </row>
    <row r="1840" spans="1:15" ht="63">
      <c r="A1840" s="16" t="s">
        <v>17</v>
      </c>
      <c r="B1840" s="16" t="s">
        <v>27</v>
      </c>
      <c r="C1840" s="17" t="s">
        <v>19</v>
      </c>
      <c r="D1840" s="18" t="s">
        <v>1071</v>
      </c>
      <c r="E1840" s="18">
        <v>2</v>
      </c>
      <c r="F1840" s="18" t="s">
        <v>30</v>
      </c>
      <c r="G1840" s="18" t="s">
        <v>22</v>
      </c>
      <c r="H1840" s="18" t="s">
        <v>23</v>
      </c>
      <c r="I1840" s="19">
        <v>9500</v>
      </c>
      <c r="J1840" s="20">
        <f t="shared" si="56"/>
        <v>19000</v>
      </c>
      <c r="K1840" s="106"/>
      <c r="L1840" s="114"/>
      <c r="M1840" s="114">
        <f>tblAquisições[[#This Row],[VALOR UNITARIO COMPRADO]]*tblAquisições[[#This Row],[QUANTIDADE COMPRADA]]</f>
        <v>0</v>
      </c>
      <c r="N1840" s="110">
        <f>K1840-tblAquisições[[#This Row],[QUANTIDADE PLANEJADA]]</f>
        <v>-2</v>
      </c>
      <c r="O1840" s="106" t="str">
        <f t="shared" si="57"/>
        <v>Faltando Comprar</v>
      </c>
    </row>
    <row r="1841" spans="1:15" ht="31.5">
      <c r="A1841" s="16" t="s">
        <v>17</v>
      </c>
      <c r="B1841" s="16" t="s">
        <v>34</v>
      </c>
      <c r="C1841" s="17" t="s">
        <v>19</v>
      </c>
      <c r="D1841" s="18" t="s">
        <v>1072</v>
      </c>
      <c r="E1841" s="18">
        <v>10</v>
      </c>
      <c r="F1841" s="18" t="s">
        <v>21</v>
      </c>
      <c r="G1841" s="18" t="s">
        <v>22</v>
      </c>
      <c r="H1841" s="18" t="s">
        <v>23</v>
      </c>
      <c r="I1841" s="19">
        <v>20.65</v>
      </c>
      <c r="J1841" s="20">
        <f t="shared" si="56"/>
        <v>206.5</v>
      </c>
      <c r="K1841" s="106"/>
      <c r="L1841" s="114"/>
      <c r="M1841" s="114">
        <f>tblAquisições[[#This Row],[VALOR UNITARIO COMPRADO]]*tblAquisições[[#This Row],[QUANTIDADE COMPRADA]]</f>
        <v>0</v>
      </c>
      <c r="N1841" s="110">
        <f>K1841-tblAquisições[[#This Row],[QUANTIDADE PLANEJADA]]</f>
        <v>-10</v>
      </c>
      <c r="O1841" s="106" t="str">
        <f t="shared" si="57"/>
        <v>Faltando Comprar</v>
      </c>
    </row>
    <row r="1842" spans="1:15" ht="31.5">
      <c r="A1842" s="16" t="s">
        <v>17</v>
      </c>
      <c r="B1842" s="16" t="s">
        <v>26</v>
      </c>
      <c r="C1842" s="17" t="s">
        <v>19</v>
      </c>
      <c r="D1842" s="18" t="s">
        <v>1072</v>
      </c>
      <c r="E1842" s="18">
        <v>2</v>
      </c>
      <c r="F1842" s="18" t="s">
        <v>21</v>
      </c>
      <c r="G1842" s="18" t="s">
        <v>22</v>
      </c>
      <c r="H1842" s="18" t="s">
        <v>23</v>
      </c>
      <c r="I1842" s="19">
        <v>20.65</v>
      </c>
      <c r="J1842" s="20">
        <f t="shared" si="56"/>
        <v>41.3</v>
      </c>
      <c r="K1842" s="106"/>
      <c r="L1842" s="114"/>
      <c r="M1842" s="114">
        <f>tblAquisições[[#This Row],[VALOR UNITARIO COMPRADO]]*tblAquisições[[#This Row],[QUANTIDADE COMPRADA]]</f>
        <v>0</v>
      </c>
      <c r="N1842" s="110">
        <f>K1842-tblAquisições[[#This Row],[QUANTIDADE PLANEJADA]]</f>
        <v>-2</v>
      </c>
      <c r="O1842" s="106" t="str">
        <f t="shared" si="57"/>
        <v>Faltando Comprar</v>
      </c>
    </row>
    <row r="1843" spans="1:15" ht="47.25">
      <c r="A1843" s="16" t="s">
        <v>17</v>
      </c>
      <c r="B1843" s="16" t="s">
        <v>28</v>
      </c>
      <c r="C1843" s="17" t="s">
        <v>19</v>
      </c>
      <c r="D1843" s="18" t="s">
        <v>1073</v>
      </c>
      <c r="E1843" s="18">
        <v>5</v>
      </c>
      <c r="F1843" s="18" t="s">
        <v>239</v>
      </c>
      <c r="G1843" s="18" t="s">
        <v>22</v>
      </c>
      <c r="H1843" s="18" t="s">
        <v>23</v>
      </c>
      <c r="I1843" s="19">
        <v>10</v>
      </c>
      <c r="J1843" s="20">
        <f t="shared" si="56"/>
        <v>50</v>
      </c>
      <c r="K1843" s="106"/>
      <c r="L1843" s="114"/>
      <c r="M1843" s="114">
        <f>tblAquisições[[#This Row],[VALOR UNITARIO COMPRADO]]*tblAquisições[[#This Row],[QUANTIDADE COMPRADA]]</f>
        <v>0</v>
      </c>
      <c r="N1843" s="110">
        <f>K1843-tblAquisições[[#This Row],[QUANTIDADE PLANEJADA]]</f>
        <v>-5</v>
      </c>
      <c r="O1843" s="106" t="str">
        <f t="shared" si="57"/>
        <v>Faltando Comprar</v>
      </c>
    </row>
    <row r="1844" spans="1:15" ht="47.25">
      <c r="A1844" s="16" t="s">
        <v>17</v>
      </c>
      <c r="B1844" s="16" t="s">
        <v>28</v>
      </c>
      <c r="C1844" s="17" t="s">
        <v>19</v>
      </c>
      <c r="D1844" s="18" t="s">
        <v>1074</v>
      </c>
      <c r="E1844" s="18">
        <v>5</v>
      </c>
      <c r="F1844" s="18" t="s">
        <v>78</v>
      </c>
      <c r="G1844" s="18" t="s">
        <v>22</v>
      </c>
      <c r="H1844" s="18" t="s">
        <v>65</v>
      </c>
      <c r="I1844" s="19">
        <v>20</v>
      </c>
      <c r="J1844" s="20">
        <f t="shared" si="56"/>
        <v>100</v>
      </c>
      <c r="K1844" s="106"/>
      <c r="L1844" s="114"/>
      <c r="M1844" s="114">
        <f>tblAquisições[[#This Row],[VALOR UNITARIO COMPRADO]]*tblAquisições[[#This Row],[QUANTIDADE COMPRADA]]</f>
        <v>0</v>
      </c>
      <c r="N1844" s="110">
        <f>K1844-tblAquisições[[#This Row],[QUANTIDADE PLANEJADA]]</f>
        <v>-5</v>
      </c>
      <c r="O1844" s="106" t="str">
        <f t="shared" si="57"/>
        <v>Faltando Comprar</v>
      </c>
    </row>
    <row r="1845" spans="1:15" ht="31.5">
      <c r="A1845" s="16" t="s">
        <v>17</v>
      </c>
      <c r="B1845" s="16" t="s">
        <v>26</v>
      </c>
      <c r="C1845" s="17" t="s">
        <v>19</v>
      </c>
      <c r="D1845" s="18" t="s">
        <v>1075</v>
      </c>
      <c r="E1845" s="18">
        <v>60</v>
      </c>
      <c r="F1845" s="18" t="s">
        <v>30</v>
      </c>
      <c r="G1845" s="18" t="s">
        <v>22</v>
      </c>
      <c r="H1845" s="18" t="s">
        <v>23</v>
      </c>
      <c r="I1845" s="19">
        <v>29.54</v>
      </c>
      <c r="J1845" s="20">
        <f t="shared" si="56"/>
        <v>1772.3999999999999</v>
      </c>
      <c r="K1845" s="106"/>
      <c r="L1845" s="114"/>
      <c r="M1845" s="114">
        <f>tblAquisições[[#This Row],[VALOR UNITARIO COMPRADO]]*tblAquisições[[#This Row],[QUANTIDADE COMPRADA]]</f>
        <v>0</v>
      </c>
      <c r="N1845" s="110">
        <f>K1845-tblAquisições[[#This Row],[QUANTIDADE PLANEJADA]]</f>
        <v>-60</v>
      </c>
      <c r="O1845" s="106" t="str">
        <f t="shared" si="57"/>
        <v>Faltando Comprar</v>
      </c>
    </row>
    <row r="1846" spans="1:15" ht="47.25">
      <c r="A1846" s="16" t="s">
        <v>17</v>
      </c>
      <c r="B1846" s="16" t="s">
        <v>31</v>
      </c>
      <c r="C1846" s="17" t="s">
        <v>19</v>
      </c>
      <c r="D1846" s="18" t="s">
        <v>1076</v>
      </c>
      <c r="E1846" s="18">
        <v>1</v>
      </c>
      <c r="F1846" s="18" t="s">
        <v>21</v>
      </c>
      <c r="G1846" s="18" t="s">
        <v>22</v>
      </c>
      <c r="H1846" s="18" t="s">
        <v>23</v>
      </c>
      <c r="I1846" s="19">
        <v>18868.560000000001</v>
      </c>
      <c r="J1846" s="20">
        <f t="shared" si="56"/>
        <v>18868.560000000001</v>
      </c>
      <c r="K1846" s="106"/>
      <c r="L1846" s="114"/>
      <c r="M1846" s="114">
        <f>tblAquisições[[#This Row],[VALOR UNITARIO COMPRADO]]*tblAquisições[[#This Row],[QUANTIDADE COMPRADA]]</f>
        <v>0</v>
      </c>
      <c r="N1846" s="110">
        <f>K1846-tblAquisições[[#This Row],[QUANTIDADE PLANEJADA]]</f>
        <v>-1</v>
      </c>
      <c r="O1846" s="106" t="str">
        <f t="shared" si="57"/>
        <v>Faltando Comprar</v>
      </c>
    </row>
    <row r="1847" spans="1:15" ht="47.25">
      <c r="A1847" s="16" t="s">
        <v>17</v>
      </c>
      <c r="B1847" s="16" t="s">
        <v>26</v>
      </c>
      <c r="C1847" s="17" t="s">
        <v>19</v>
      </c>
      <c r="D1847" s="18" t="s">
        <v>1076</v>
      </c>
      <c r="E1847" s="18">
        <v>2</v>
      </c>
      <c r="F1847" s="18" t="s">
        <v>21</v>
      </c>
      <c r="G1847" s="18" t="s">
        <v>22</v>
      </c>
      <c r="H1847" s="18" t="s">
        <v>23</v>
      </c>
      <c r="I1847" s="19">
        <v>18868.560000000001</v>
      </c>
      <c r="J1847" s="20">
        <f t="shared" si="56"/>
        <v>37737.120000000003</v>
      </c>
      <c r="K1847" s="106"/>
      <c r="L1847" s="114"/>
      <c r="M1847" s="114">
        <f>tblAquisições[[#This Row],[VALOR UNITARIO COMPRADO]]*tblAquisições[[#This Row],[QUANTIDADE COMPRADA]]</f>
        <v>0</v>
      </c>
      <c r="N1847" s="110">
        <f>K1847-tblAquisições[[#This Row],[QUANTIDADE PLANEJADA]]</f>
        <v>-2</v>
      </c>
      <c r="O1847" s="106" t="str">
        <f t="shared" si="57"/>
        <v>Faltando Comprar</v>
      </c>
    </row>
    <row r="1848" spans="1:15" ht="47.25">
      <c r="A1848" s="16" t="s">
        <v>17</v>
      </c>
      <c r="B1848" s="16" t="s">
        <v>28</v>
      </c>
      <c r="C1848" s="17" t="s">
        <v>19</v>
      </c>
      <c r="D1848" s="18" t="s">
        <v>1076</v>
      </c>
      <c r="E1848" s="18">
        <v>7</v>
      </c>
      <c r="F1848" s="18" t="s">
        <v>21</v>
      </c>
      <c r="G1848" s="18" t="s">
        <v>22</v>
      </c>
      <c r="H1848" s="18" t="s">
        <v>23</v>
      </c>
      <c r="I1848" s="19">
        <v>18868.560000000001</v>
      </c>
      <c r="J1848" s="20">
        <f t="shared" si="56"/>
        <v>132079.92000000001</v>
      </c>
      <c r="K1848" s="106"/>
      <c r="L1848" s="114"/>
      <c r="M1848" s="114">
        <f>tblAquisições[[#This Row],[VALOR UNITARIO COMPRADO]]*tblAquisições[[#This Row],[QUANTIDADE COMPRADA]]</f>
        <v>0</v>
      </c>
      <c r="N1848" s="110">
        <f>K1848-tblAquisições[[#This Row],[QUANTIDADE PLANEJADA]]</f>
        <v>-7</v>
      </c>
      <c r="O1848" s="106" t="str">
        <f t="shared" si="57"/>
        <v>Faltando Comprar</v>
      </c>
    </row>
    <row r="1849" spans="1:15" ht="47.25">
      <c r="A1849" s="16" t="s">
        <v>17</v>
      </c>
      <c r="B1849" s="16" t="s">
        <v>28</v>
      </c>
      <c r="C1849" s="17" t="s">
        <v>19</v>
      </c>
      <c r="D1849" s="18" t="s">
        <v>1077</v>
      </c>
      <c r="E1849" s="18">
        <v>3</v>
      </c>
      <c r="F1849" s="18" t="s">
        <v>391</v>
      </c>
      <c r="G1849" s="18" t="s">
        <v>22</v>
      </c>
      <c r="H1849" s="18" t="s">
        <v>53</v>
      </c>
      <c r="I1849" s="19">
        <v>501.11</v>
      </c>
      <c r="J1849" s="20">
        <f t="shared" si="56"/>
        <v>1503.33</v>
      </c>
      <c r="K1849" s="106"/>
      <c r="L1849" s="114"/>
      <c r="M1849" s="114">
        <f>tblAquisições[[#This Row],[VALOR UNITARIO COMPRADO]]*tblAquisições[[#This Row],[QUANTIDADE COMPRADA]]</f>
        <v>0</v>
      </c>
      <c r="N1849" s="110">
        <f>K1849-tblAquisições[[#This Row],[QUANTIDADE PLANEJADA]]</f>
        <v>-3</v>
      </c>
      <c r="O1849" s="106" t="str">
        <f t="shared" si="57"/>
        <v>Faltando Comprar</v>
      </c>
    </row>
    <row r="1850" spans="1:15" ht="31.5">
      <c r="A1850" s="16" t="s">
        <v>17</v>
      </c>
      <c r="B1850" s="16" t="s">
        <v>34</v>
      </c>
      <c r="C1850" s="17" t="s">
        <v>19</v>
      </c>
      <c r="D1850" s="18" t="s">
        <v>1078</v>
      </c>
      <c r="E1850" s="18">
        <v>12</v>
      </c>
      <c r="F1850" s="18" t="s">
        <v>21</v>
      </c>
      <c r="G1850" s="18" t="s">
        <v>22</v>
      </c>
      <c r="H1850" s="18" t="s">
        <v>23</v>
      </c>
      <c r="I1850" s="19">
        <v>14.22</v>
      </c>
      <c r="J1850" s="20">
        <f t="shared" si="56"/>
        <v>170.64000000000001</v>
      </c>
      <c r="K1850" s="106"/>
      <c r="L1850" s="114"/>
      <c r="M1850" s="114">
        <f>tblAquisições[[#This Row],[VALOR UNITARIO COMPRADO]]*tblAquisições[[#This Row],[QUANTIDADE COMPRADA]]</f>
        <v>0</v>
      </c>
      <c r="N1850" s="110">
        <f>K1850-tblAquisições[[#This Row],[QUANTIDADE PLANEJADA]]</f>
        <v>-12</v>
      </c>
      <c r="O1850" s="106" t="str">
        <f t="shared" si="57"/>
        <v>Faltando Comprar</v>
      </c>
    </row>
    <row r="1851" spans="1:15" ht="47.25">
      <c r="A1851" s="16" t="s">
        <v>17</v>
      </c>
      <c r="B1851" s="16" t="s">
        <v>34</v>
      </c>
      <c r="C1851" s="17" t="s">
        <v>19</v>
      </c>
      <c r="D1851" s="18" t="s">
        <v>1079</v>
      </c>
      <c r="E1851" s="18">
        <v>1</v>
      </c>
      <c r="F1851" s="18" t="s">
        <v>78</v>
      </c>
      <c r="G1851" s="18" t="s">
        <v>22</v>
      </c>
      <c r="H1851" s="18" t="s">
        <v>23</v>
      </c>
      <c r="I1851" s="19">
        <v>591.82000000000005</v>
      </c>
      <c r="J1851" s="20">
        <f t="shared" si="56"/>
        <v>591.82000000000005</v>
      </c>
      <c r="K1851" s="106"/>
      <c r="L1851" s="114"/>
      <c r="M1851" s="114">
        <f>tblAquisições[[#This Row],[VALOR UNITARIO COMPRADO]]*tblAquisições[[#This Row],[QUANTIDADE COMPRADA]]</f>
        <v>0</v>
      </c>
      <c r="N1851" s="110">
        <f>K1851-tblAquisições[[#This Row],[QUANTIDADE PLANEJADA]]</f>
        <v>-1</v>
      </c>
      <c r="O1851" s="106" t="str">
        <f t="shared" si="57"/>
        <v>Faltando Comprar</v>
      </c>
    </row>
    <row r="1852" spans="1:15" ht="47.25">
      <c r="A1852" s="16" t="s">
        <v>17</v>
      </c>
      <c r="B1852" s="16" t="s">
        <v>28</v>
      </c>
      <c r="C1852" s="17" t="s">
        <v>19</v>
      </c>
      <c r="D1852" s="18" t="s">
        <v>1079</v>
      </c>
      <c r="E1852" s="18">
        <v>1</v>
      </c>
      <c r="F1852" s="18" t="s">
        <v>78</v>
      </c>
      <c r="G1852" s="18" t="s">
        <v>22</v>
      </c>
      <c r="H1852" s="18" t="s">
        <v>23</v>
      </c>
      <c r="I1852" s="19">
        <v>591.82000000000005</v>
      </c>
      <c r="J1852" s="20">
        <f t="shared" si="56"/>
        <v>591.82000000000005</v>
      </c>
      <c r="K1852" s="106"/>
      <c r="L1852" s="114"/>
      <c r="M1852" s="114">
        <f>tblAquisições[[#This Row],[VALOR UNITARIO COMPRADO]]*tblAquisições[[#This Row],[QUANTIDADE COMPRADA]]</f>
        <v>0</v>
      </c>
      <c r="N1852" s="110">
        <f>K1852-tblAquisições[[#This Row],[QUANTIDADE PLANEJADA]]</f>
        <v>-1</v>
      </c>
      <c r="O1852" s="106" t="str">
        <f t="shared" si="57"/>
        <v>Faltando Comprar</v>
      </c>
    </row>
    <row r="1853" spans="1:15" ht="47.25">
      <c r="A1853" s="16" t="s">
        <v>17</v>
      </c>
      <c r="B1853" s="16" t="s">
        <v>26</v>
      </c>
      <c r="C1853" s="17" t="s">
        <v>19</v>
      </c>
      <c r="D1853" s="18" t="s">
        <v>1080</v>
      </c>
      <c r="E1853" s="18">
        <v>2</v>
      </c>
      <c r="F1853" s="18" t="s">
        <v>78</v>
      </c>
      <c r="G1853" s="18" t="s">
        <v>22</v>
      </c>
      <c r="H1853" s="18" t="s">
        <v>23</v>
      </c>
      <c r="I1853" s="19">
        <v>12.02</v>
      </c>
      <c r="J1853" s="20">
        <f t="shared" si="56"/>
        <v>24.04</v>
      </c>
      <c r="K1853" s="106"/>
      <c r="L1853" s="114"/>
      <c r="M1853" s="114">
        <f>tblAquisições[[#This Row],[VALOR UNITARIO COMPRADO]]*tblAquisições[[#This Row],[QUANTIDADE COMPRADA]]</f>
        <v>0</v>
      </c>
      <c r="N1853" s="110">
        <f>K1853-tblAquisições[[#This Row],[QUANTIDADE PLANEJADA]]</f>
        <v>-2</v>
      </c>
      <c r="O1853" s="106" t="str">
        <f t="shared" si="57"/>
        <v>Faltando Comprar</v>
      </c>
    </row>
    <row r="1854" spans="1:15" ht="31.5">
      <c r="A1854" s="16" t="s">
        <v>17</v>
      </c>
      <c r="B1854" s="16" t="s">
        <v>17</v>
      </c>
      <c r="C1854" s="17" t="s">
        <v>19</v>
      </c>
      <c r="D1854" s="18" t="s">
        <v>1081</v>
      </c>
      <c r="E1854" s="18">
        <v>200</v>
      </c>
      <c r="F1854" s="18" t="s">
        <v>38</v>
      </c>
      <c r="G1854" s="18" t="s">
        <v>39</v>
      </c>
      <c r="H1854" s="18" t="s">
        <v>23</v>
      </c>
      <c r="I1854" s="19">
        <v>135.55000000000001</v>
      </c>
      <c r="J1854" s="20">
        <f t="shared" si="56"/>
        <v>27110.000000000004</v>
      </c>
      <c r="K1854" s="106"/>
      <c r="L1854" s="114"/>
      <c r="M1854" s="114">
        <f>tblAquisições[[#This Row],[VALOR UNITARIO COMPRADO]]*tblAquisições[[#This Row],[QUANTIDADE COMPRADA]]</f>
        <v>0</v>
      </c>
      <c r="N1854" s="110">
        <f>K1854-tblAquisições[[#This Row],[QUANTIDADE PLANEJADA]]</f>
        <v>-200</v>
      </c>
      <c r="O1854" s="106" t="str">
        <f t="shared" si="57"/>
        <v>Faltando Comprar</v>
      </c>
    </row>
    <row r="1855" spans="1:15" ht="31.5">
      <c r="A1855" s="16" t="s">
        <v>17</v>
      </c>
      <c r="B1855" s="16" t="s">
        <v>18</v>
      </c>
      <c r="C1855" s="17" t="s">
        <v>19</v>
      </c>
      <c r="D1855" s="18" t="s">
        <v>1082</v>
      </c>
      <c r="E1855" s="18">
        <v>60</v>
      </c>
      <c r="F1855" s="18" t="s">
        <v>21</v>
      </c>
      <c r="G1855" s="18" t="s">
        <v>22</v>
      </c>
      <c r="H1855" s="18" t="s">
        <v>23</v>
      </c>
      <c r="I1855" s="19">
        <v>135.55000000000001</v>
      </c>
      <c r="J1855" s="20">
        <f t="shared" si="56"/>
        <v>8133.0000000000009</v>
      </c>
      <c r="K1855" s="106"/>
      <c r="L1855" s="114"/>
      <c r="M1855" s="114">
        <f>tblAquisições[[#This Row],[VALOR UNITARIO COMPRADO]]*tblAquisições[[#This Row],[QUANTIDADE COMPRADA]]</f>
        <v>0</v>
      </c>
      <c r="N1855" s="110">
        <f>K1855-tblAquisições[[#This Row],[QUANTIDADE PLANEJADA]]</f>
        <v>-60</v>
      </c>
      <c r="O1855" s="106" t="str">
        <f t="shared" si="57"/>
        <v>Faltando Comprar</v>
      </c>
    </row>
    <row r="1856" spans="1:15" ht="31.5">
      <c r="A1856" s="16" t="s">
        <v>17</v>
      </c>
      <c r="B1856" s="16" t="s">
        <v>24</v>
      </c>
      <c r="C1856" s="17" t="s">
        <v>19</v>
      </c>
      <c r="D1856" s="18" t="s">
        <v>1082</v>
      </c>
      <c r="E1856" s="18">
        <v>60</v>
      </c>
      <c r="F1856" s="18" t="s">
        <v>21</v>
      </c>
      <c r="G1856" s="18" t="s">
        <v>22</v>
      </c>
      <c r="H1856" s="18" t="s">
        <v>23</v>
      </c>
      <c r="I1856" s="19">
        <v>135.55000000000001</v>
      </c>
      <c r="J1856" s="20">
        <f t="shared" si="56"/>
        <v>8133.0000000000009</v>
      </c>
      <c r="K1856" s="106"/>
      <c r="L1856" s="114"/>
      <c r="M1856" s="114">
        <f>tblAquisições[[#This Row],[VALOR UNITARIO COMPRADO]]*tblAquisições[[#This Row],[QUANTIDADE COMPRADA]]</f>
        <v>0</v>
      </c>
      <c r="N1856" s="110">
        <f>K1856-tblAquisições[[#This Row],[QUANTIDADE PLANEJADA]]</f>
        <v>-60</v>
      </c>
      <c r="O1856" s="106" t="str">
        <f t="shared" si="57"/>
        <v>Faltando Comprar</v>
      </c>
    </row>
    <row r="1857" spans="1:15" ht="31.5">
      <c r="A1857" s="16" t="s">
        <v>17</v>
      </c>
      <c r="B1857" s="16" t="s">
        <v>25</v>
      </c>
      <c r="C1857" s="17" t="s">
        <v>19</v>
      </c>
      <c r="D1857" s="18" t="s">
        <v>1082</v>
      </c>
      <c r="E1857" s="18">
        <v>60</v>
      </c>
      <c r="F1857" s="18" t="s">
        <v>21</v>
      </c>
      <c r="G1857" s="18" t="s">
        <v>22</v>
      </c>
      <c r="H1857" s="18" t="s">
        <v>23</v>
      </c>
      <c r="I1857" s="19">
        <v>135.55000000000001</v>
      </c>
      <c r="J1857" s="20">
        <f t="shared" si="56"/>
        <v>8133.0000000000009</v>
      </c>
      <c r="K1857" s="106"/>
      <c r="L1857" s="114"/>
      <c r="M1857" s="114">
        <f>tblAquisições[[#This Row],[VALOR UNITARIO COMPRADO]]*tblAquisições[[#This Row],[QUANTIDADE COMPRADA]]</f>
        <v>0</v>
      </c>
      <c r="N1857" s="110">
        <f>K1857-tblAquisições[[#This Row],[QUANTIDADE PLANEJADA]]</f>
        <v>-60</v>
      </c>
      <c r="O1857" s="106" t="str">
        <f t="shared" si="57"/>
        <v>Faltando Comprar</v>
      </c>
    </row>
    <row r="1858" spans="1:15" ht="31.5">
      <c r="A1858" s="16" t="s">
        <v>17</v>
      </c>
      <c r="B1858" s="16" t="s">
        <v>41</v>
      </c>
      <c r="C1858" s="17" t="s">
        <v>19</v>
      </c>
      <c r="D1858" s="18" t="s">
        <v>1082</v>
      </c>
      <c r="E1858" s="18">
        <v>30</v>
      </c>
      <c r="F1858" s="18" t="s">
        <v>21</v>
      </c>
      <c r="G1858" s="18" t="s">
        <v>22</v>
      </c>
      <c r="H1858" s="18" t="s">
        <v>23</v>
      </c>
      <c r="I1858" s="19">
        <v>135.55000000000001</v>
      </c>
      <c r="J1858" s="20">
        <f t="shared" ref="J1858:J1921" si="58">E1858*I1858</f>
        <v>4066.5000000000005</v>
      </c>
      <c r="K1858" s="106"/>
      <c r="L1858" s="114"/>
      <c r="M1858" s="114">
        <f>tblAquisições[[#This Row],[VALOR UNITARIO COMPRADO]]*tblAquisições[[#This Row],[QUANTIDADE COMPRADA]]</f>
        <v>0</v>
      </c>
      <c r="N1858" s="110">
        <f>K1858-tblAquisições[[#This Row],[QUANTIDADE PLANEJADA]]</f>
        <v>-30</v>
      </c>
      <c r="O1858" s="106" t="str">
        <f t="shared" ref="O1858:O1921" si="59">IF(K1858=E1858,"OK",IF(K1858&lt;E1858,"Faltando Comprar","Excedente"))</f>
        <v>Faltando Comprar</v>
      </c>
    </row>
    <row r="1859" spans="1:15" ht="31.5">
      <c r="A1859" s="16" t="s">
        <v>17</v>
      </c>
      <c r="B1859" s="16" t="s">
        <v>27</v>
      </c>
      <c r="C1859" s="17" t="s">
        <v>19</v>
      </c>
      <c r="D1859" s="18" t="s">
        <v>1082</v>
      </c>
      <c r="E1859" s="18">
        <v>40</v>
      </c>
      <c r="F1859" s="18" t="s">
        <v>21</v>
      </c>
      <c r="G1859" s="18" t="s">
        <v>22</v>
      </c>
      <c r="H1859" s="18" t="s">
        <v>23</v>
      </c>
      <c r="I1859" s="19">
        <v>135.55000000000001</v>
      </c>
      <c r="J1859" s="20">
        <f t="shared" si="58"/>
        <v>5422</v>
      </c>
      <c r="K1859" s="106"/>
      <c r="L1859" s="114"/>
      <c r="M1859" s="114">
        <f>tblAquisições[[#This Row],[VALOR UNITARIO COMPRADO]]*tblAquisições[[#This Row],[QUANTIDADE COMPRADA]]</f>
        <v>0</v>
      </c>
      <c r="N1859" s="110">
        <f>K1859-tblAquisições[[#This Row],[QUANTIDADE PLANEJADA]]</f>
        <v>-40</v>
      </c>
      <c r="O1859" s="106" t="str">
        <f t="shared" si="59"/>
        <v>Faltando Comprar</v>
      </c>
    </row>
    <row r="1860" spans="1:15" ht="31.5">
      <c r="A1860" s="16" t="s">
        <v>17</v>
      </c>
      <c r="B1860" s="16" t="s">
        <v>28</v>
      </c>
      <c r="C1860" s="17" t="s">
        <v>19</v>
      </c>
      <c r="D1860" s="18" t="s">
        <v>1082</v>
      </c>
      <c r="E1860" s="18">
        <v>200</v>
      </c>
      <c r="F1860" s="18" t="s">
        <v>21</v>
      </c>
      <c r="G1860" s="18" t="s">
        <v>22</v>
      </c>
      <c r="H1860" s="18" t="s">
        <v>23</v>
      </c>
      <c r="I1860" s="19">
        <v>135.55000000000001</v>
      </c>
      <c r="J1860" s="20">
        <f t="shared" si="58"/>
        <v>27110.000000000004</v>
      </c>
      <c r="K1860" s="106"/>
      <c r="L1860" s="114"/>
      <c r="M1860" s="114">
        <f>tblAquisições[[#This Row],[VALOR UNITARIO COMPRADO]]*tblAquisições[[#This Row],[QUANTIDADE COMPRADA]]</f>
        <v>0</v>
      </c>
      <c r="N1860" s="110">
        <f>K1860-tblAquisições[[#This Row],[QUANTIDADE PLANEJADA]]</f>
        <v>-200</v>
      </c>
      <c r="O1860" s="106" t="str">
        <f t="shared" si="59"/>
        <v>Faltando Comprar</v>
      </c>
    </row>
    <row r="1861" spans="1:15" ht="47.25">
      <c r="A1861" s="16" t="s">
        <v>17</v>
      </c>
      <c r="B1861" s="16" t="s">
        <v>72</v>
      </c>
      <c r="C1861" s="17" t="s">
        <v>19</v>
      </c>
      <c r="D1861" s="18" t="s">
        <v>1083</v>
      </c>
      <c r="E1861" s="18">
        <v>12</v>
      </c>
      <c r="F1861" s="18" t="s">
        <v>58</v>
      </c>
      <c r="G1861" s="18" t="s">
        <v>22</v>
      </c>
      <c r="H1861" s="18" t="s">
        <v>23</v>
      </c>
      <c r="I1861" s="19">
        <v>46.34</v>
      </c>
      <c r="J1861" s="20">
        <f t="shared" si="58"/>
        <v>556.08000000000004</v>
      </c>
      <c r="K1861" s="106"/>
      <c r="L1861" s="114"/>
      <c r="M1861" s="114">
        <f>tblAquisições[[#This Row],[VALOR UNITARIO COMPRADO]]*tblAquisições[[#This Row],[QUANTIDADE COMPRADA]]</f>
        <v>0</v>
      </c>
      <c r="N1861" s="110">
        <f>K1861-tblAquisições[[#This Row],[QUANTIDADE PLANEJADA]]</f>
        <v>-12</v>
      </c>
      <c r="O1861" s="106" t="str">
        <f t="shared" si="59"/>
        <v>Faltando Comprar</v>
      </c>
    </row>
    <row r="1862" spans="1:15" ht="47.25">
      <c r="A1862" s="16" t="s">
        <v>17</v>
      </c>
      <c r="B1862" s="16" t="s">
        <v>31</v>
      </c>
      <c r="C1862" s="17" t="s">
        <v>19</v>
      </c>
      <c r="D1862" s="18" t="s">
        <v>1084</v>
      </c>
      <c r="E1862" s="18">
        <v>60</v>
      </c>
      <c r="F1862" s="18" t="s">
        <v>118</v>
      </c>
      <c r="G1862" s="18" t="s">
        <v>22</v>
      </c>
      <c r="H1862" s="18" t="s">
        <v>100</v>
      </c>
      <c r="I1862" s="19">
        <v>82</v>
      </c>
      <c r="J1862" s="20">
        <f t="shared" si="58"/>
        <v>4920</v>
      </c>
      <c r="K1862" s="106"/>
      <c r="L1862" s="114"/>
      <c r="M1862" s="114">
        <f>tblAquisições[[#This Row],[VALOR UNITARIO COMPRADO]]*tblAquisições[[#This Row],[QUANTIDADE COMPRADA]]</f>
        <v>0</v>
      </c>
      <c r="N1862" s="110">
        <f>K1862-tblAquisições[[#This Row],[QUANTIDADE PLANEJADA]]</f>
        <v>-60</v>
      </c>
      <c r="O1862" s="106" t="str">
        <f t="shared" si="59"/>
        <v>Faltando Comprar</v>
      </c>
    </row>
    <row r="1863" spans="1:15" ht="47.25">
      <c r="A1863" s="16" t="s">
        <v>17</v>
      </c>
      <c r="B1863" s="16" t="s">
        <v>25</v>
      </c>
      <c r="C1863" s="17" t="s">
        <v>19</v>
      </c>
      <c r="D1863" s="18" t="s">
        <v>1084</v>
      </c>
      <c r="E1863" s="18">
        <v>100</v>
      </c>
      <c r="F1863" s="18" t="s">
        <v>118</v>
      </c>
      <c r="G1863" s="18" t="s">
        <v>22</v>
      </c>
      <c r="H1863" s="18" t="s">
        <v>100</v>
      </c>
      <c r="I1863" s="19">
        <v>82</v>
      </c>
      <c r="J1863" s="20">
        <f t="shared" si="58"/>
        <v>8200</v>
      </c>
      <c r="K1863" s="106"/>
      <c r="L1863" s="114"/>
      <c r="M1863" s="114">
        <f>tblAquisições[[#This Row],[VALOR UNITARIO COMPRADO]]*tblAquisições[[#This Row],[QUANTIDADE COMPRADA]]</f>
        <v>0</v>
      </c>
      <c r="N1863" s="110">
        <f>K1863-tblAquisições[[#This Row],[QUANTIDADE PLANEJADA]]</f>
        <v>-100</v>
      </c>
      <c r="O1863" s="106" t="str">
        <f t="shared" si="59"/>
        <v>Faltando Comprar</v>
      </c>
    </row>
    <row r="1864" spans="1:15" ht="47.25">
      <c r="A1864" s="16" t="s">
        <v>17</v>
      </c>
      <c r="B1864" s="16" t="s">
        <v>41</v>
      </c>
      <c r="C1864" s="17" t="s">
        <v>19</v>
      </c>
      <c r="D1864" s="18" t="s">
        <v>1084</v>
      </c>
      <c r="E1864" s="18">
        <v>120</v>
      </c>
      <c r="F1864" s="18" t="s">
        <v>118</v>
      </c>
      <c r="G1864" s="18" t="s">
        <v>22</v>
      </c>
      <c r="H1864" s="18" t="s">
        <v>100</v>
      </c>
      <c r="I1864" s="19">
        <v>82</v>
      </c>
      <c r="J1864" s="20">
        <f t="shared" si="58"/>
        <v>9840</v>
      </c>
      <c r="K1864" s="106"/>
      <c r="L1864" s="114"/>
      <c r="M1864" s="114">
        <f>tblAquisições[[#This Row],[VALOR UNITARIO COMPRADO]]*tblAquisições[[#This Row],[QUANTIDADE COMPRADA]]</f>
        <v>0</v>
      </c>
      <c r="N1864" s="110">
        <f>K1864-tblAquisições[[#This Row],[QUANTIDADE PLANEJADA]]</f>
        <v>-120</v>
      </c>
      <c r="O1864" s="106" t="str">
        <f t="shared" si="59"/>
        <v>Faltando Comprar</v>
      </c>
    </row>
    <row r="1865" spans="1:15" ht="47.25">
      <c r="A1865" s="16" t="s">
        <v>17</v>
      </c>
      <c r="B1865" s="16" t="s">
        <v>26</v>
      </c>
      <c r="C1865" s="17" t="s">
        <v>19</v>
      </c>
      <c r="D1865" s="18" t="s">
        <v>1084</v>
      </c>
      <c r="E1865" s="18">
        <v>120</v>
      </c>
      <c r="F1865" s="18" t="s">
        <v>118</v>
      </c>
      <c r="G1865" s="18" t="s">
        <v>22</v>
      </c>
      <c r="H1865" s="18" t="s">
        <v>100</v>
      </c>
      <c r="I1865" s="19">
        <v>82</v>
      </c>
      <c r="J1865" s="20">
        <f t="shared" si="58"/>
        <v>9840</v>
      </c>
      <c r="K1865" s="106"/>
      <c r="L1865" s="114"/>
      <c r="M1865" s="114">
        <f>tblAquisições[[#This Row],[VALOR UNITARIO COMPRADO]]*tblAquisições[[#This Row],[QUANTIDADE COMPRADA]]</f>
        <v>0</v>
      </c>
      <c r="N1865" s="110">
        <f>K1865-tblAquisições[[#This Row],[QUANTIDADE PLANEJADA]]</f>
        <v>-120</v>
      </c>
      <c r="O1865" s="106" t="str">
        <f t="shared" si="59"/>
        <v>Faltando Comprar</v>
      </c>
    </row>
    <row r="1866" spans="1:15" ht="47.25">
      <c r="A1866" s="16" t="s">
        <v>17</v>
      </c>
      <c r="B1866" s="16" t="s">
        <v>28</v>
      </c>
      <c r="C1866" s="17" t="s">
        <v>19</v>
      </c>
      <c r="D1866" s="18" t="s">
        <v>1084</v>
      </c>
      <c r="E1866" s="18">
        <v>12000</v>
      </c>
      <c r="F1866" s="18" t="s">
        <v>118</v>
      </c>
      <c r="G1866" s="18" t="s">
        <v>22</v>
      </c>
      <c r="H1866" s="18" t="s">
        <v>100</v>
      </c>
      <c r="I1866" s="19">
        <v>82</v>
      </c>
      <c r="J1866" s="20">
        <f t="shared" si="58"/>
        <v>984000</v>
      </c>
      <c r="K1866" s="106"/>
      <c r="L1866" s="114"/>
      <c r="M1866" s="114">
        <f>tblAquisições[[#This Row],[VALOR UNITARIO COMPRADO]]*tblAquisições[[#This Row],[QUANTIDADE COMPRADA]]</f>
        <v>0</v>
      </c>
      <c r="N1866" s="110">
        <f>K1866-tblAquisições[[#This Row],[QUANTIDADE PLANEJADA]]</f>
        <v>-12000</v>
      </c>
      <c r="O1866" s="106" t="str">
        <f t="shared" si="59"/>
        <v>Faltando Comprar</v>
      </c>
    </row>
    <row r="1867" spans="1:15" ht="47.25">
      <c r="A1867" s="16" t="s">
        <v>17</v>
      </c>
      <c r="B1867" s="16" t="s">
        <v>31</v>
      </c>
      <c r="C1867" s="17" t="s">
        <v>19</v>
      </c>
      <c r="D1867" s="18" t="s">
        <v>1085</v>
      </c>
      <c r="E1867" s="18">
        <v>1</v>
      </c>
      <c r="F1867" s="18" t="s">
        <v>126</v>
      </c>
      <c r="G1867" s="18" t="s">
        <v>127</v>
      </c>
      <c r="H1867" s="18" t="s">
        <v>23</v>
      </c>
      <c r="I1867" s="19">
        <v>18933.52</v>
      </c>
      <c r="J1867" s="20">
        <f t="shared" si="58"/>
        <v>18933.52</v>
      </c>
      <c r="K1867" s="106"/>
      <c r="L1867" s="114"/>
      <c r="M1867" s="114">
        <f>tblAquisições[[#This Row],[VALOR UNITARIO COMPRADO]]*tblAquisições[[#This Row],[QUANTIDADE COMPRADA]]</f>
        <v>0</v>
      </c>
      <c r="N1867" s="110">
        <f>K1867-tblAquisições[[#This Row],[QUANTIDADE PLANEJADA]]</f>
        <v>-1</v>
      </c>
      <c r="O1867" s="106" t="str">
        <f t="shared" si="59"/>
        <v>Faltando Comprar</v>
      </c>
    </row>
    <row r="1868" spans="1:15" ht="47.25">
      <c r="A1868" s="16" t="s">
        <v>17</v>
      </c>
      <c r="B1868" s="16" t="s">
        <v>28</v>
      </c>
      <c r="C1868" s="17" t="s">
        <v>19</v>
      </c>
      <c r="D1868" s="18" t="s">
        <v>1085</v>
      </c>
      <c r="E1868" s="18">
        <v>3</v>
      </c>
      <c r="F1868" s="18" t="s">
        <v>126</v>
      </c>
      <c r="G1868" s="18" t="s">
        <v>127</v>
      </c>
      <c r="H1868" s="18" t="s">
        <v>23</v>
      </c>
      <c r="I1868" s="19">
        <v>18933.52</v>
      </c>
      <c r="J1868" s="20">
        <f t="shared" si="58"/>
        <v>56800.56</v>
      </c>
      <c r="K1868" s="106"/>
      <c r="L1868" s="114"/>
      <c r="M1868" s="114">
        <f>tblAquisições[[#This Row],[VALOR UNITARIO COMPRADO]]*tblAquisições[[#This Row],[QUANTIDADE COMPRADA]]</f>
        <v>0</v>
      </c>
      <c r="N1868" s="110">
        <f>K1868-tblAquisições[[#This Row],[QUANTIDADE PLANEJADA]]</f>
        <v>-3</v>
      </c>
      <c r="O1868" s="106" t="str">
        <f t="shared" si="59"/>
        <v>Faltando Comprar</v>
      </c>
    </row>
    <row r="1869" spans="1:15" ht="47.25">
      <c r="A1869" s="16" t="s">
        <v>17</v>
      </c>
      <c r="B1869" s="16" t="s">
        <v>18</v>
      </c>
      <c r="C1869" s="17" t="s">
        <v>19</v>
      </c>
      <c r="D1869" s="18" t="s">
        <v>1086</v>
      </c>
      <c r="E1869" s="18">
        <v>2</v>
      </c>
      <c r="F1869" s="18" t="s">
        <v>126</v>
      </c>
      <c r="G1869" s="18" t="s">
        <v>127</v>
      </c>
      <c r="H1869" s="18" t="s">
        <v>23</v>
      </c>
      <c r="I1869" s="19">
        <v>67085.119999999995</v>
      </c>
      <c r="J1869" s="20">
        <f t="shared" si="58"/>
        <v>134170.23999999999</v>
      </c>
      <c r="K1869" s="106"/>
      <c r="L1869" s="114"/>
      <c r="M1869" s="114">
        <f>tblAquisições[[#This Row],[VALOR UNITARIO COMPRADO]]*tblAquisições[[#This Row],[QUANTIDADE COMPRADA]]</f>
        <v>0</v>
      </c>
      <c r="N1869" s="110">
        <f>K1869-tblAquisições[[#This Row],[QUANTIDADE PLANEJADA]]</f>
        <v>-2</v>
      </c>
      <c r="O1869" s="106" t="str">
        <f t="shared" si="59"/>
        <v>Faltando Comprar</v>
      </c>
    </row>
    <row r="1870" spans="1:15" ht="47.25">
      <c r="A1870" s="16" t="s">
        <v>17</v>
      </c>
      <c r="B1870" s="16" t="s">
        <v>24</v>
      </c>
      <c r="C1870" s="17" t="s">
        <v>19</v>
      </c>
      <c r="D1870" s="18" t="s">
        <v>1086</v>
      </c>
      <c r="E1870" s="18">
        <v>2</v>
      </c>
      <c r="F1870" s="18" t="s">
        <v>126</v>
      </c>
      <c r="G1870" s="18" t="s">
        <v>127</v>
      </c>
      <c r="H1870" s="18" t="s">
        <v>23</v>
      </c>
      <c r="I1870" s="19">
        <v>67085.119999999995</v>
      </c>
      <c r="J1870" s="20">
        <f t="shared" si="58"/>
        <v>134170.23999999999</v>
      </c>
      <c r="K1870" s="106"/>
      <c r="L1870" s="114"/>
      <c r="M1870" s="114">
        <f>tblAquisições[[#This Row],[VALOR UNITARIO COMPRADO]]*tblAquisições[[#This Row],[QUANTIDADE COMPRADA]]</f>
        <v>0</v>
      </c>
      <c r="N1870" s="110">
        <f>K1870-tblAquisições[[#This Row],[QUANTIDADE PLANEJADA]]</f>
        <v>-2</v>
      </c>
      <c r="O1870" s="106" t="str">
        <f t="shared" si="59"/>
        <v>Faltando Comprar</v>
      </c>
    </row>
    <row r="1871" spans="1:15" ht="47.25">
      <c r="A1871" s="16" t="s">
        <v>17</v>
      </c>
      <c r="B1871" s="16" t="s">
        <v>25</v>
      </c>
      <c r="C1871" s="17" t="s">
        <v>19</v>
      </c>
      <c r="D1871" s="18" t="s">
        <v>1086</v>
      </c>
      <c r="E1871" s="18">
        <v>2</v>
      </c>
      <c r="F1871" s="18" t="s">
        <v>126</v>
      </c>
      <c r="G1871" s="18" t="s">
        <v>127</v>
      </c>
      <c r="H1871" s="18" t="s">
        <v>23</v>
      </c>
      <c r="I1871" s="19">
        <v>67085.119999999995</v>
      </c>
      <c r="J1871" s="20">
        <f t="shared" si="58"/>
        <v>134170.23999999999</v>
      </c>
      <c r="K1871" s="106"/>
      <c r="L1871" s="114"/>
      <c r="M1871" s="114">
        <f>tblAquisições[[#This Row],[VALOR UNITARIO COMPRADO]]*tblAquisições[[#This Row],[QUANTIDADE COMPRADA]]</f>
        <v>0</v>
      </c>
      <c r="N1871" s="110">
        <f>K1871-tblAquisições[[#This Row],[QUANTIDADE PLANEJADA]]</f>
        <v>-2</v>
      </c>
      <c r="O1871" s="106" t="str">
        <f t="shared" si="59"/>
        <v>Faltando Comprar</v>
      </c>
    </row>
    <row r="1872" spans="1:15" ht="31.5">
      <c r="A1872" s="16" t="s">
        <v>17</v>
      </c>
      <c r="B1872" s="16" t="s">
        <v>28</v>
      </c>
      <c r="C1872" s="17" t="s">
        <v>19</v>
      </c>
      <c r="D1872" s="18" t="s">
        <v>1087</v>
      </c>
      <c r="E1872" s="18">
        <v>25</v>
      </c>
      <c r="F1872" s="18" t="s">
        <v>21</v>
      </c>
      <c r="G1872" s="18" t="s">
        <v>22</v>
      </c>
      <c r="H1872" s="18" t="s">
        <v>23</v>
      </c>
      <c r="I1872" s="19">
        <v>29.13</v>
      </c>
      <c r="J1872" s="20">
        <f t="shared" si="58"/>
        <v>728.25</v>
      </c>
      <c r="K1872" s="106"/>
      <c r="L1872" s="114"/>
      <c r="M1872" s="114">
        <f>tblAquisições[[#This Row],[VALOR UNITARIO COMPRADO]]*tblAquisições[[#This Row],[QUANTIDADE COMPRADA]]</f>
        <v>0</v>
      </c>
      <c r="N1872" s="110">
        <f>K1872-tblAquisições[[#This Row],[QUANTIDADE PLANEJADA]]</f>
        <v>-25</v>
      </c>
      <c r="O1872" s="106" t="str">
        <f t="shared" si="59"/>
        <v>Faltando Comprar</v>
      </c>
    </row>
    <row r="1873" spans="1:15" ht="47.25">
      <c r="A1873" s="16" t="s">
        <v>17</v>
      </c>
      <c r="B1873" s="16" t="s">
        <v>26</v>
      </c>
      <c r="C1873" s="17" t="s">
        <v>19</v>
      </c>
      <c r="D1873" s="18" t="s">
        <v>1088</v>
      </c>
      <c r="E1873" s="18">
        <v>1</v>
      </c>
      <c r="F1873" s="18" t="s">
        <v>126</v>
      </c>
      <c r="G1873" s="18" t="s">
        <v>127</v>
      </c>
      <c r="H1873" s="18" t="s">
        <v>23</v>
      </c>
      <c r="I1873" s="19">
        <v>23696</v>
      </c>
      <c r="J1873" s="20">
        <f t="shared" si="58"/>
        <v>23696</v>
      </c>
      <c r="K1873" s="106"/>
      <c r="L1873" s="114"/>
      <c r="M1873" s="114">
        <f>tblAquisições[[#This Row],[VALOR UNITARIO COMPRADO]]*tblAquisições[[#This Row],[QUANTIDADE COMPRADA]]</f>
        <v>0</v>
      </c>
      <c r="N1873" s="110">
        <f>K1873-tblAquisições[[#This Row],[QUANTIDADE PLANEJADA]]</f>
        <v>-1</v>
      </c>
      <c r="O1873" s="106" t="str">
        <f t="shared" si="59"/>
        <v>Faltando Comprar</v>
      </c>
    </row>
    <row r="1874" spans="1:15" ht="47.25">
      <c r="A1874" s="16" t="s">
        <v>17</v>
      </c>
      <c r="B1874" s="16" t="s">
        <v>26</v>
      </c>
      <c r="C1874" s="17" t="s">
        <v>19</v>
      </c>
      <c r="D1874" s="18" t="s">
        <v>1089</v>
      </c>
      <c r="E1874" s="18">
        <v>1</v>
      </c>
      <c r="F1874" s="18" t="s">
        <v>126</v>
      </c>
      <c r="G1874" s="18" t="s">
        <v>127</v>
      </c>
      <c r="H1874" s="18" t="s">
        <v>23</v>
      </c>
      <c r="I1874" s="19">
        <v>24370</v>
      </c>
      <c r="J1874" s="20">
        <f t="shared" si="58"/>
        <v>24370</v>
      </c>
      <c r="K1874" s="106"/>
      <c r="L1874" s="114"/>
      <c r="M1874" s="114">
        <f>tblAquisições[[#This Row],[VALOR UNITARIO COMPRADO]]*tblAquisições[[#This Row],[QUANTIDADE COMPRADA]]</f>
        <v>0</v>
      </c>
      <c r="N1874" s="110">
        <f>K1874-tblAquisições[[#This Row],[QUANTIDADE PLANEJADA]]</f>
        <v>-1</v>
      </c>
      <c r="O1874" s="106" t="str">
        <f t="shared" si="59"/>
        <v>Faltando Comprar</v>
      </c>
    </row>
    <row r="1875" spans="1:15" ht="47.25">
      <c r="A1875" s="16" t="s">
        <v>17</v>
      </c>
      <c r="B1875" s="16" t="s">
        <v>28</v>
      </c>
      <c r="C1875" s="17" t="s">
        <v>19</v>
      </c>
      <c r="D1875" s="18" t="s">
        <v>1090</v>
      </c>
      <c r="E1875" s="18">
        <v>20</v>
      </c>
      <c r="F1875" s="18" t="s">
        <v>239</v>
      </c>
      <c r="G1875" s="18" t="s">
        <v>22</v>
      </c>
      <c r="H1875" s="18" t="s">
        <v>23</v>
      </c>
      <c r="I1875" s="19">
        <v>14.7</v>
      </c>
      <c r="J1875" s="20">
        <f t="shared" si="58"/>
        <v>294</v>
      </c>
      <c r="K1875" s="106"/>
      <c r="L1875" s="114"/>
      <c r="M1875" s="114">
        <f>tblAquisições[[#This Row],[VALOR UNITARIO COMPRADO]]*tblAquisições[[#This Row],[QUANTIDADE COMPRADA]]</f>
        <v>0</v>
      </c>
      <c r="N1875" s="110">
        <f>K1875-tblAquisições[[#This Row],[QUANTIDADE PLANEJADA]]</f>
        <v>-20</v>
      </c>
      <c r="O1875" s="106" t="str">
        <f t="shared" si="59"/>
        <v>Faltando Comprar</v>
      </c>
    </row>
    <row r="1876" spans="1:15" ht="31.5">
      <c r="A1876" s="16" t="s">
        <v>17</v>
      </c>
      <c r="B1876" s="16" t="s">
        <v>26</v>
      </c>
      <c r="C1876" s="17" t="s">
        <v>19</v>
      </c>
      <c r="D1876" s="18" t="s">
        <v>1091</v>
      </c>
      <c r="E1876" s="18">
        <v>50</v>
      </c>
      <c r="F1876" s="18" t="s">
        <v>170</v>
      </c>
      <c r="G1876" s="18" t="s">
        <v>22</v>
      </c>
      <c r="H1876" s="18" t="s">
        <v>23</v>
      </c>
      <c r="I1876" s="19">
        <v>268.05</v>
      </c>
      <c r="J1876" s="20">
        <f t="shared" si="58"/>
        <v>13402.5</v>
      </c>
      <c r="K1876" s="106"/>
      <c r="L1876" s="114"/>
      <c r="M1876" s="114">
        <f>tblAquisições[[#This Row],[VALOR UNITARIO COMPRADO]]*tblAquisições[[#This Row],[QUANTIDADE COMPRADA]]</f>
        <v>0</v>
      </c>
      <c r="N1876" s="110">
        <f>K1876-tblAquisições[[#This Row],[QUANTIDADE PLANEJADA]]</f>
        <v>-50</v>
      </c>
      <c r="O1876" s="106" t="str">
        <f t="shared" si="59"/>
        <v>Faltando Comprar</v>
      </c>
    </row>
    <row r="1877" spans="1:15" ht="31.5">
      <c r="A1877" s="16" t="s">
        <v>17</v>
      </c>
      <c r="B1877" s="16" t="s">
        <v>72</v>
      </c>
      <c r="C1877" s="17" t="s">
        <v>19</v>
      </c>
      <c r="D1877" s="18" t="s">
        <v>1091</v>
      </c>
      <c r="E1877" s="18">
        <v>1</v>
      </c>
      <c r="F1877" s="18" t="s">
        <v>170</v>
      </c>
      <c r="G1877" s="18" t="s">
        <v>22</v>
      </c>
      <c r="H1877" s="18" t="s">
        <v>23</v>
      </c>
      <c r="I1877" s="19">
        <v>268.05</v>
      </c>
      <c r="J1877" s="20">
        <f t="shared" si="58"/>
        <v>268.05</v>
      </c>
      <c r="K1877" s="106"/>
      <c r="L1877" s="114"/>
      <c r="M1877" s="114">
        <f>tblAquisições[[#This Row],[VALOR UNITARIO COMPRADO]]*tblAquisições[[#This Row],[QUANTIDADE COMPRADA]]</f>
        <v>0</v>
      </c>
      <c r="N1877" s="110">
        <f>K1877-tblAquisições[[#This Row],[QUANTIDADE PLANEJADA]]</f>
        <v>-1</v>
      </c>
      <c r="O1877" s="106" t="str">
        <f t="shared" si="59"/>
        <v>Faltando Comprar</v>
      </c>
    </row>
    <row r="1878" spans="1:15" ht="31.5">
      <c r="A1878" s="16" t="s">
        <v>17</v>
      </c>
      <c r="B1878" s="16" t="s">
        <v>959</v>
      </c>
      <c r="C1878" s="17" t="s">
        <v>19</v>
      </c>
      <c r="D1878" s="18" t="s">
        <v>1092</v>
      </c>
      <c r="E1878" s="18">
        <v>8</v>
      </c>
      <c r="F1878" s="18" t="s">
        <v>56</v>
      </c>
      <c r="G1878" s="18" t="s">
        <v>39</v>
      </c>
      <c r="H1878" s="18" t="s">
        <v>23</v>
      </c>
      <c r="I1878" s="19">
        <v>135.44</v>
      </c>
      <c r="J1878" s="20">
        <f t="shared" si="58"/>
        <v>1083.52</v>
      </c>
      <c r="K1878" s="106"/>
      <c r="L1878" s="114"/>
      <c r="M1878" s="114">
        <f>tblAquisições[[#This Row],[VALOR UNITARIO COMPRADO]]*tblAquisições[[#This Row],[QUANTIDADE COMPRADA]]</f>
        <v>0</v>
      </c>
      <c r="N1878" s="110">
        <f>K1878-tblAquisições[[#This Row],[QUANTIDADE PLANEJADA]]</f>
        <v>-8</v>
      </c>
      <c r="O1878" s="106" t="str">
        <f t="shared" si="59"/>
        <v>Faltando Comprar</v>
      </c>
    </row>
    <row r="1879" spans="1:15" ht="31.5">
      <c r="A1879" s="16" t="s">
        <v>17</v>
      </c>
      <c r="B1879" s="16" t="s">
        <v>26</v>
      </c>
      <c r="C1879" s="17" t="s">
        <v>19</v>
      </c>
      <c r="D1879" s="18" t="s">
        <v>1093</v>
      </c>
      <c r="E1879" s="18">
        <v>5</v>
      </c>
      <c r="F1879" s="18" t="s">
        <v>170</v>
      </c>
      <c r="G1879" s="18" t="s">
        <v>22</v>
      </c>
      <c r="H1879" s="18" t="s">
        <v>23</v>
      </c>
      <c r="I1879" s="19">
        <v>135.44</v>
      </c>
      <c r="J1879" s="20">
        <f t="shared" si="58"/>
        <v>677.2</v>
      </c>
      <c r="K1879" s="106"/>
      <c r="L1879" s="114"/>
      <c r="M1879" s="114">
        <f>tblAquisições[[#This Row],[VALOR UNITARIO COMPRADO]]*tblAquisições[[#This Row],[QUANTIDADE COMPRADA]]</f>
        <v>0</v>
      </c>
      <c r="N1879" s="110">
        <f>K1879-tblAquisições[[#This Row],[QUANTIDADE PLANEJADA]]</f>
        <v>-5</v>
      </c>
      <c r="O1879" s="106" t="str">
        <f t="shared" si="59"/>
        <v>Faltando Comprar</v>
      </c>
    </row>
    <row r="1880" spans="1:15" ht="31.5">
      <c r="A1880" s="16" t="s">
        <v>17</v>
      </c>
      <c r="B1880" s="16" t="s">
        <v>18</v>
      </c>
      <c r="C1880" s="17" t="s">
        <v>19</v>
      </c>
      <c r="D1880" s="18" t="s">
        <v>1094</v>
      </c>
      <c r="E1880" s="18">
        <v>20</v>
      </c>
      <c r="F1880" s="18" t="s">
        <v>21</v>
      </c>
      <c r="G1880" s="18" t="s">
        <v>22</v>
      </c>
      <c r="H1880" s="18" t="s">
        <v>23</v>
      </c>
      <c r="I1880" s="19">
        <v>93.81</v>
      </c>
      <c r="J1880" s="20">
        <f t="shared" si="58"/>
        <v>1876.2</v>
      </c>
      <c r="K1880" s="106"/>
      <c r="L1880" s="114"/>
      <c r="M1880" s="114">
        <f>tblAquisições[[#This Row],[VALOR UNITARIO COMPRADO]]*tblAquisições[[#This Row],[QUANTIDADE COMPRADA]]</f>
        <v>0</v>
      </c>
      <c r="N1880" s="110">
        <f>K1880-tblAquisições[[#This Row],[QUANTIDADE PLANEJADA]]</f>
        <v>-20</v>
      </c>
      <c r="O1880" s="106" t="str">
        <f t="shared" si="59"/>
        <v>Faltando Comprar</v>
      </c>
    </row>
    <row r="1881" spans="1:15" ht="31.5">
      <c r="A1881" s="16" t="s">
        <v>17</v>
      </c>
      <c r="B1881" s="16" t="s">
        <v>24</v>
      </c>
      <c r="C1881" s="17" t="s">
        <v>19</v>
      </c>
      <c r="D1881" s="18" t="s">
        <v>1094</v>
      </c>
      <c r="E1881" s="18">
        <v>20</v>
      </c>
      <c r="F1881" s="18" t="s">
        <v>21</v>
      </c>
      <c r="G1881" s="18" t="s">
        <v>22</v>
      </c>
      <c r="H1881" s="18" t="s">
        <v>23</v>
      </c>
      <c r="I1881" s="19">
        <v>93.81</v>
      </c>
      <c r="J1881" s="20">
        <f t="shared" si="58"/>
        <v>1876.2</v>
      </c>
      <c r="K1881" s="106"/>
      <c r="L1881" s="114"/>
      <c r="M1881" s="114">
        <f>tblAquisições[[#This Row],[VALOR UNITARIO COMPRADO]]*tblAquisições[[#This Row],[QUANTIDADE COMPRADA]]</f>
        <v>0</v>
      </c>
      <c r="N1881" s="110">
        <f>K1881-tblAquisições[[#This Row],[QUANTIDADE PLANEJADA]]</f>
        <v>-20</v>
      </c>
      <c r="O1881" s="106" t="str">
        <f t="shared" si="59"/>
        <v>Faltando Comprar</v>
      </c>
    </row>
    <row r="1882" spans="1:15" ht="31.5">
      <c r="A1882" s="16" t="s">
        <v>17</v>
      </c>
      <c r="B1882" s="16" t="s">
        <v>25</v>
      </c>
      <c r="C1882" s="17" t="s">
        <v>19</v>
      </c>
      <c r="D1882" s="18" t="s">
        <v>1094</v>
      </c>
      <c r="E1882" s="18">
        <v>20</v>
      </c>
      <c r="F1882" s="18" t="s">
        <v>21</v>
      </c>
      <c r="G1882" s="18" t="s">
        <v>22</v>
      </c>
      <c r="H1882" s="18" t="s">
        <v>23</v>
      </c>
      <c r="I1882" s="19">
        <v>93.81</v>
      </c>
      <c r="J1882" s="20">
        <f t="shared" si="58"/>
        <v>1876.2</v>
      </c>
      <c r="K1882" s="106"/>
      <c r="L1882" s="114"/>
      <c r="M1882" s="114">
        <f>tblAquisições[[#This Row],[VALOR UNITARIO COMPRADO]]*tblAquisições[[#This Row],[QUANTIDADE COMPRADA]]</f>
        <v>0</v>
      </c>
      <c r="N1882" s="110">
        <f>K1882-tblAquisições[[#This Row],[QUANTIDADE PLANEJADA]]</f>
        <v>-20</v>
      </c>
      <c r="O1882" s="106" t="str">
        <f t="shared" si="59"/>
        <v>Faltando Comprar</v>
      </c>
    </row>
    <row r="1883" spans="1:15" ht="47.25">
      <c r="A1883" s="16" t="s">
        <v>17</v>
      </c>
      <c r="B1883" s="16" t="s">
        <v>18</v>
      </c>
      <c r="C1883" s="17" t="s">
        <v>19</v>
      </c>
      <c r="D1883" s="18" t="s">
        <v>1095</v>
      </c>
      <c r="E1883" s="18">
        <v>2</v>
      </c>
      <c r="F1883" s="18" t="s">
        <v>21</v>
      </c>
      <c r="G1883" s="18" t="s">
        <v>22</v>
      </c>
      <c r="H1883" s="18" t="s">
        <v>23</v>
      </c>
      <c r="I1883" s="19">
        <v>34171.279999999999</v>
      </c>
      <c r="J1883" s="20">
        <f t="shared" si="58"/>
        <v>68342.559999999998</v>
      </c>
      <c r="K1883" s="106"/>
      <c r="L1883" s="114"/>
      <c r="M1883" s="114">
        <f>tblAquisições[[#This Row],[VALOR UNITARIO COMPRADO]]*tblAquisições[[#This Row],[QUANTIDADE COMPRADA]]</f>
        <v>0</v>
      </c>
      <c r="N1883" s="110">
        <f>K1883-tblAquisições[[#This Row],[QUANTIDADE PLANEJADA]]</f>
        <v>-2</v>
      </c>
      <c r="O1883" s="106" t="str">
        <f t="shared" si="59"/>
        <v>Faltando Comprar</v>
      </c>
    </row>
    <row r="1884" spans="1:15" ht="47.25">
      <c r="A1884" s="16" t="s">
        <v>17</v>
      </c>
      <c r="B1884" s="16" t="s">
        <v>24</v>
      </c>
      <c r="C1884" s="17" t="s">
        <v>19</v>
      </c>
      <c r="D1884" s="18" t="s">
        <v>1095</v>
      </c>
      <c r="E1884" s="18">
        <v>2</v>
      </c>
      <c r="F1884" s="18" t="s">
        <v>21</v>
      </c>
      <c r="G1884" s="18" t="s">
        <v>22</v>
      </c>
      <c r="H1884" s="18" t="s">
        <v>23</v>
      </c>
      <c r="I1884" s="19">
        <v>34171.279999999999</v>
      </c>
      <c r="J1884" s="20">
        <f t="shared" si="58"/>
        <v>68342.559999999998</v>
      </c>
      <c r="K1884" s="106"/>
      <c r="L1884" s="114"/>
      <c r="M1884" s="114">
        <f>tblAquisições[[#This Row],[VALOR UNITARIO COMPRADO]]*tblAquisições[[#This Row],[QUANTIDADE COMPRADA]]</f>
        <v>0</v>
      </c>
      <c r="N1884" s="110">
        <f>K1884-tblAquisições[[#This Row],[QUANTIDADE PLANEJADA]]</f>
        <v>-2</v>
      </c>
      <c r="O1884" s="106" t="str">
        <f t="shared" si="59"/>
        <v>Faltando Comprar</v>
      </c>
    </row>
    <row r="1885" spans="1:15" ht="47.25">
      <c r="A1885" s="16" t="s">
        <v>17</v>
      </c>
      <c r="B1885" s="16" t="s">
        <v>25</v>
      </c>
      <c r="C1885" s="17" t="s">
        <v>19</v>
      </c>
      <c r="D1885" s="18" t="s">
        <v>1095</v>
      </c>
      <c r="E1885" s="18">
        <v>2</v>
      </c>
      <c r="F1885" s="18" t="s">
        <v>21</v>
      </c>
      <c r="G1885" s="18" t="s">
        <v>22</v>
      </c>
      <c r="H1885" s="18" t="s">
        <v>23</v>
      </c>
      <c r="I1885" s="19">
        <v>34171.279999999999</v>
      </c>
      <c r="J1885" s="20">
        <f t="shared" si="58"/>
        <v>68342.559999999998</v>
      </c>
      <c r="K1885" s="106"/>
      <c r="L1885" s="114"/>
      <c r="M1885" s="114">
        <f>tblAquisições[[#This Row],[VALOR UNITARIO COMPRADO]]*tblAquisições[[#This Row],[QUANTIDADE COMPRADA]]</f>
        <v>0</v>
      </c>
      <c r="N1885" s="110">
        <f>K1885-tblAquisições[[#This Row],[QUANTIDADE PLANEJADA]]</f>
        <v>-2</v>
      </c>
      <c r="O1885" s="106" t="str">
        <f t="shared" si="59"/>
        <v>Faltando Comprar</v>
      </c>
    </row>
    <row r="1886" spans="1:15" ht="47.25">
      <c r="A1886" s="16" t="s">
        <v>17</v>
      </c>
      <c r="B1886" s="16" t="s">
        <v>26</v>
      </c>
      <c r="C1886" s="17" t="s">
        <v>19</v>
      </c>
      <c r="D1886" s="18" t="s">
        <v>1095</v>
      </c>
      <c r="E1886" s="18">
        <v>1</v>
      </c>
      <c r="F1886" s="18" t="s">
        <v>21</v>
      </c>
      <c r="G1886" s="18" t="s">
        <v>22</v>
      </c>
      <c r="H1886" s="18" t="s">
        <v>23</v>
      </c>
      <c r="I1886" s="19">
        <v>34171.279999999999</v>
      </c>
      <c r="J1886" s="20">
        <f t="shared" si="58"/>
        <v>34171.279999999999</v>
      </c>
      <c r="K1886" s="106"/>
      <c r="L1886" s="114"/>
      <c r="M1886" s="114">
        <f>tblAquisições[[#This Row],[VALOR UNITARIO COMPRADO]]*tblAquisições[[#This Row],[QUANTIDADE COMPRADA]]</f>
        <v>0</v>
      </c>
      <c r="N1886" s="110">
        <f>K1886-tblAquisições[[#This Row],[QUANTIDADE PLANEJADA]]</f>
        <v>-1</v>
      </c>
      <c r="O1886" s="106" t="str">
        <f t="shared" si="59"/>
        <v>Faltando Comprar</v>
      </c>
    </row>
    <row r="1887" spans="1:15" ht="47.25">
      <c r="A1887" s="16" t="s">
        <v>17</v>
      </c>
      <c r="B1887" s="16" t="s">
        <v>28</v>
      </c>
      <c r="C1887" s="17" t="s">
        <v>19</v>
      </c>
      <c r="D1887" s="18" t="s">
        <v>1095</v>
      </c>
      <c r="E1887" s="18">
        <v>6</v>
      </c>
      <c r="F1887" s="18" t="s">
        <v>21</v>
      </c>
      <c r="G1887" s="18" t="s">
        <v>22</v>
      </c>
      <c r="H1887" s="18" t="s">
        <v>23</v>
      </c>
      <c r="I1887" s="19">
        <v>34171.279999999999</v>
      </c>
      <c r="J1887" s="20">
        <f t="shared" si="58"/>
        <v>205027.68</v>
      </c>
      <c r="K1887" s="106"/>
      <c r="L1887" s="114"/>
      <c r="M1887" s="114">
        <f>tblAquisições[[#This Row],[VALOR UNITARIO COMPRADO]]*tblAquisições[[#This Row],[QUANTIDADE COMPRADA]]</f>
        <v>0</v>
      </c>
      <c r="N1887" s="110">
        <f>K1887-tblAquisições[[#This Row],[QUANTIDADE PLANEJADA]]</f>
        <v>-6</v>
      </c>
      <c r="O1887" s="106" t="str">
        <f t="shared" si="59"/>
        <v>Faltando Comprar</v>
      </c>
    </row>
    <row r="1888" spans="1:15" ht="47.25">
      <c r="A1888" s="16" t="s">
        <v>17</v>
      </c>
      <c r="B1888" s="16" t="s">
        <v>18</v>
      </c>
      <c r="C1888" s="17" t="s">
        <v>19</v>
      </c>
      <c r="D1888" s="18" t="s">
        <v>1096</v>
      </c>
      <c r="E1888" s="18">
        <v>2</v>
      </c>
      <c r="F1888" s="18" t="s">
        <v>21</v>
      </c>
      <c r="G1888" s="18" t="s">
        <v>22</v>
      </c>
      <c r="H1888" s="18" t="s">
        <v>23</v>
      </c>
      <c r="I1888" s="19">
        <v>30789</v>
      </c>
      <c r="J1888" s="20">
        <f t="shared" si="58"/>
        <v>61578</v>
      </c>
      <c r="K1888" s="106"/>
      <c r="L1888" s="114"/>
      <c r="M1888" s="114">
        <f>tblAquisições[[#This Row],[VALOR UNITARIO COMPRADO]]*tblAquisições[[#This Row],[QUANTIDADE COMPRADA]]</f>
        <v>0</v>
      </c>
      <c r="N1888" s="110">
        <f>K1888-tblAquisições[[#This Row],[QUANTIDADE PLANEJADA]]</f>
        <v>-2</v>
      </c>
      <c r="O1888" s="106" t="str">
        <f t="shared" si="59"/>
        <v>Faltando Comprar</v>
      </c>
    </row>
    <row r="1889" spans="1:15" ht="47.25">
      <c r="A1889" s="16" t="s">
        <v>17</v>
      </c>
      <c r="B1889" s="16" t="s">
        <v>24</v>
      </c>
      <c r="C1889" s="17" t="s">
        <v>19</v>
      </c>
      <c r="D1889" s="18" t="s">
        <v>1096</v>
      </c>
      <c r="E1889" s="18">
        <v>2</v>
      </c>
      <c r="F1889" s="18" t="s">
        <v>21</v>
      </c>
      <c r="G1889" s="18" t="s">
        <v>22</v>
      </c>
      <c r="H1889" s="18" t="s">
        <v>23</v>
      </c>
      <c r="I1889" s="19">
        <v>30789</v>
      </c>
      <c r="J1889" s="20">
        <f t="shared" si="58"/>
        <v>61578</v>
      </c>
      <c r="K1889" s="106"/>
      <c r="L1889" s="114"/>
      <c r="M1889" s="114">
        <f>tblAquisições[[#This Row],[VALOR UNITARIO COMPRADO]]*tblAquisições[[#This Row],[QUANTIDADE COMPRADA]]</f>
        <v>0</v>
      </c>
      <c r="N1889" s="110">
        <f>K1889-tblAquisições[[#This Row],[QUANTIDADE PLANEJADA]]</f>
        <v>-2</v>
      </c>
      <c r="O1889" s="106" t="str">
        <f t="shared" si="59"/>
        <v>Faltando Comprar</v>
      </c>
    </row>
    <row r="1890" spans="1:15" ht="47.25">
      <c r="A1890" s="16" t="s">
        <v>17</v>
      </c>
      <c r="B1890" s="16" t="s">
        <v>25</v>
      </c>
      <c r="C1890" s="17" t="s">
        <v>19</v>
      </c>
      <c r="D1890" s="18" t="s">
        <v>1096</v>
      </c>
      <c r="E1890" s="18">
        <v>2</v>
      </c>
      <c r="F1890" s="18" t="s">
        <v>21</v>
      </c>
      <c r="G1890" s="18" t="s">
        <v>22</v>
      </c>
      <c r="H1890" s="18" t="s">
        <v>23</v>
      </c>
      <c r="I1890" s="19">
        <v>30789</v>
      </c>
      <c r="J1890" s="20">
        <f t="shared" si="58"/>
        <v>61578</v>
      </c>
      <c r="K1890" s="106"/>
      <c r="L1890" s="114"/>
      <c r="M1890" s="114">
        <f>tblAquisições[[#This Row],[VALOR UNITARIO COMPRADO]]*tblAquisições[[#This Row],[QUANTIDADE COMPRADA]]</f>
        <v>0</v>
      </c>
      <c r="N1890" s="110">
        <f>K1890-tblAquisições[[#This Row],[QUANTIDADE PLANEJADA]]</f>
        <v>-2</v>
      </c>
      <c r="O1890" s="106" t="str">
        <f t="shared" si="59"/>
        <v>Faltando Comprar</v>
      </c>
    </row>
    <row r="1891" spans="1:15" ht="47.25">
      <c r="A1891" s="16" t="s">
        <v>17</v>
      </c>
      <c r="B1891" s="16" t="s">
        <v>26</v>
      </c>
      <c r="C1891" s="17" t="s">
        <v>19</v>
      </c>
      <c r="D1891" s="18" t="s">
        <v>1096</v>
      </c>
      <c r="E1891" s="18">
        <v>1</v>
      </c>
      <c r="F1891" s="18" t="s">
        <v>21</v>
      </c>
      <c r="G1891" s="18" t="s">
        <v>22</v>
      </c>
      <c r="H1891" s="18" t="s">
        <v>23</v>
      </c>
      <c r="I1891" s="19">
        <v>30789</v>
      </c>
      <c r="J1891" s="20">
        <f t="shared" si="58"/>
        <v>30789</v>
      </c>
      <c r="K1891" s="106"/>
      <c r="L1891" s="114"/>
      <c r="M1891" s="114">
        <f>tblAquisições[[#This Row],[VALOR UNITARIO COMPRADO]]*tblAquisições[[#This Row],[QUANTIDADE COMPRADA]]</f>
        <v>0</v>
      </c>
      <c r="N1891" s="110">
        <f>K1891-tblAquisições[[#This Row],[QUANTIDADE PLANEJADA]]</f>
        <v>-1</v>
      </c>
      <c r="O1891" s="106" t="str">
        <f t="shared" si="59"/>
        <v>Faltando Comprar</v>
      </c>
    </row>
    <row r="1892" spans="1:15" ht="47.25">
      <c r="A1892" s="16" t="s">
        <v>17</v>
      </c>
      <c r="B1892" s="16" t="s">
        <v>28</v>
      </c>
      <c r="C1892" s="17" t="s">
        <v>19</v>
      </c>
      <c r="D1892" s="18" t="s">
        <v>1096</v>
      </c>
      <c r="E1892" s="18">
        <v>8</v>
      </c>
      <c r="F1892" s="18" t="s">
        <v>21</v>
      </c>
      <c r="G1892" s="18" t="s">
        <v>22</v>
      </c>
      <c r="H1892" s="18" t="s">
        <v>23</v>
      </c>
      <c r="I1892" s="19">
        <v>30789</v>
      </c>
      <c r="J1892" s="20">
        <f t="shared" si="58"/>
        <v>246312</v>
      </c>
      <c r="K1892" s="106"/>
      <c r="L1892" s="114"/>
      <c r="M1892" s="114">
        <f>tblAquisições[[#This Row],[VALOR UNITARIO COMPRADO]]*tblAquisições[[#This Row],[QUANTIDADE COMPRADA]]</f>
        <v>0</v>
      </c>
      <c r="N1892" s="110">
        <f>K1892-tblAquisições[[#This Row],[QUANTIDADE PLANEJADA]]</f>
        <v>-8</v>
      </c>
      <c r="O1892" s="106" t="str">
        <f t="shared" si="59"/>
        <v>Faltando Comprar</v>
      </c>
    </row>
    <row r="1893" spans="1:15" ht="47.25">
      <c r="A1893" s="16" t="s">
        <v>17</v>
      </c>
      <c r="B1893" s="16" t="s">
        <v>18</v>
      </c>
      <c r="C1893" s="17" t="s">
        <v>19</v>
      </c>
      <c r="D1893" s="18" t="s">
        <v>1097</v>
      </c>
      <c r="E1893" s="18">
        <v>10</v>
      </c>
      <c r="F1893" s="18" t="s">
        <v>222</v>
      </c>
      <c r="G1893" s="18" t="s">
        <v>127</v>
      </c>
      <c r="H1893" s="18" t="s">
        <v>23</v>
      </c>
      <c r="I1893" s="19">
        <v>132.81</v>
      </c>
      <c r="J1893" s="20">
        <f t="shared" si="58"/>
        <v>1328.1</v>
      </c>
      <c r="K1893" s="106"/>
      <c r="L1893" s="114"/>
      <c r="M1893" s="114">
        <f>tblAquisições[[#This Row],[VALOR UNITARIO COMPRADO]]*tblAquisições[[#This Row],[QUANTIDADE COMPRADA]]</f>
        <v>0</v>
      </c>
      <c r="N1893" s="110">
        <f>K1893-tblAquisições[[#This Row],[QUANTIDADE PLANEJADA]]</f>
        <v>-10</v>
      </c>
      <c r="O1893" s="106" t="str">
        <f t="shared" si="59"/>
        <v>Faltando Comprar</v>
      </c>
    </row>
    <row r="1894" spans="1:15" ht="47.25">
      <c r="A1894" s="16" t="s">
        <v>17</v>
      </c>
      <c r="B1894" s="16" t="s">
        <v>24</v>
      </c>
      <c r="C1894" s="17" t="s">
        <v>19</v>
      </c>
      <c r="D1894" s="18" t="s">
        <v>1097</v>
      </c>
      <c r="E1894" s="18">
        <v>10</v>
      </c>
      <c r="F1894" s="18" t="s">
        <v>222</v>
      </c>
      <c r="G1894" s="18" t="s">
        <v>127</v>
      </c>
      <c r="H1894" s="18" t="s">
        <v>23</v>
      </c>
      <c r="I1894" s="19">
        <v>132.81</v>
      </c>
      <c r="J1894" s="20">
        <f t="shared" si="58"/>
        <v>1328.1</v>
      </c>
      <c r="K1894" s="106"/>
      <c r="L1894" s="114"/>
      <c r="M1894" s="114">
        <f>tblAquisições[[#This Row],[VALOR UNITARIO COMPRADO]]*tblAquisições[[#This Row],[QUANTIDADE COMPRADA]]</f>
        <v>0</v>
      </c>
      <c r="N1894" s="110">
        <f>K1894-tblAquisições[[#This Row],[QUANTIDADE PLANEJADA]]</f>
        <v>-10</v>
      </c>
      <c r="O1894" s="106" t="str">
        <f t="shared" si="59"/>
        <v>Faltando Comprar</v>
      </c>
    </row>
    <row r="1895" spans="1:15" ht="47.25">
      <c r="A1895" s="16" t="s">
        <v>17</v>
      </c>
      <c r="B1895" s="16" t="s">
        <v>25</v>
      </c>
      <c r="C1895" s="17" t="s">
        <v>19</v>
      </c>
      <c r="D1895" s="18" t="s">
        <v>1097</v>
      </c>
      <c r="E1895" s="18">
        <v>10</v>
      </c>
      <c r="F1895" s="18" t="s">
        <v>222</v>
      </c>
      <c r="G1895" s="18" t="s">
        <v>127</v>
      </c>
      <c r="H1895" s="18" t="s">
        <v>23</v>
      </c>
      <c r="I1895" s="19">
        <v>132.81</v>
      </c>
      <c r="J1895" s="20">
        <f t="shared" si="58"/>
        <v>1328.1</v>
      </c>
      <c r="K1895" s="106"/>
      <c r="L1895" s="114"/>
      <c r="M1895" s="114">
        <f>tblAquisições[[#This Row],[VALOR UNITARIO COMPRADO]]*tblAquisições[[#This Row],[QUANTIDADE COMPRADA]]</f>
        <v>0</v>
      </c>
      <c r="N1895" s="110">
        <f>K1895-tblAquisições[[#This Row],[QUANTIDADE PLANEJADA]]</f>
        <v>-10</v>
      </c>
      <c r="O1895" s="106" t="str">
        <f t="shared" si="59"/>
        <v>Faltando Comprar</v>
      </c>
    </row>
    <row r="1896" spans="1:15" ht="47.25">
      <c r="A1896" s="16" t="s">
        <v>17</v>
      </c>
      <c r="B1896" s="16" t="s">
        <v>41</v>
      </c>
      <c r="C1896" s="17" t="s">
        <v>19</v>
      </c>
      <c r="D1896" s="18" t="s">
        <v>1097</v>
      </c>
      <c r="E1896" s="18">
        <v>22</v>
      </c>
      <c r="F1896" s="18" t="s">
        <v>222</v>
      </c>
      <c r="G1896" s="18" t="s">
        <v>127</v>
      </c>
      <c r="H1896" s="18" t="s">
        <v>23</v>
      </c>
      <c r="I1896" s="19">
        <v>132.81</v>
      </c>
      <c r="J1896" s="20">
        <f t="shared" si="58"/>
        <v>2921.82</v>
      </c>
      <c r="K1896" s="106"/>
      <c r="L1896" s="114"/>
      <c r="M1896" s="114">
        <f>tblAquisições[[#This Row],[VALOR UNITARIO COMPRADO]]*tblAquisições[[#This Row],[QUANTIDADE COMPRADA]]</f>
        <v>0</v>
      </c>
      <c r="N1896" s="110">
        <f>K1896-tblAquisições[[#This Row],[QUANTIDADE PLANEJADA]]</f>
        <v>-22</v>
      </c>
      <c r="O1896" s="106" t="str">
        <f t="shared" si="59"/>
        <v>Faltando Comprar</v>
      </c>
    </row>
    <row r="1897" spans="1:15" ht="47.25">
      <c r="A1897" s="16" t="s">
        <v>17</v>
      </c>
      <c r="B1897" s="16" t="s">
        <v>18</v>
      </c>
      <c r="C1897" s="17" t="s">
        <v>19</v>
      </c>
      <c r="D1897" s="18" t="s">
        <v>1098</v>
      </c>
      <c r="E1897" s="18">
        <v>20</v>
      </c>
      <c r="F1897" s="18" t="s">
        <v>222</v>
      </c>
      <c r="G1897" s="18" t="s">
        <v>127</v>
      </c>
      <c r="H1897" s="18" t="s">
        <v>23</v>
      </c>
      <c r="I1897" s="19">
        <v>56</v>
      </c>
      <c r="J1897" s="20">
        <f t="shared" si="58"/>
        <v>1120</v>
      </c>
      <c r="K1897" s="106"/>
      <c r="L1897" s="114"/>
      <c r="M1897" s="114">
        <f>tblAquisições[[#This Row],[VALOR UNITARIO COMPRADO]]*tblAquisições[[#This Row],[QUANTIDADE COMPRADA]]</f>
        <v>0</v>
      </c>
      <c r="N1897" s="110">
        <f>K1897-tblAquisições[[#This Row],[QUANTIDADE PLANEJADA]]</f>
        <v>-20</v>
      </c>
      <c r="O1897" s="106" t="str">
        <f t="shared" si="59"/>
        <v>Faltando Comprar</v>
      </c>
    </row>
    <row r="1898" spans="1:15" ht="47.25">
      <c r="A1898" s="16" t="s">
        <v>17</v>
      </c>
      <c r="B1898" s="16" t="s">
        <v>24</v>
      </c>
      <c r="C1898" s="17" t="s">
        <v>19</v>
      </c>
      <c r="D1898" s="18" t="s">
        <v>1098</v>
      </c>
      <c r="E1898" s="18">
        <v>20</v>
      </c>
      <c r="F1898" s="18" t="s">
        <v>222</v>
      </c>
      <c r="G1898" s="18" t="s">
        <v>127</v>
      </c>
      <c r="H1898" s="18" t="s">
        <v>23</v>
      </c>
      <c r="I1898" s="19">
        <v>56</v>
      </c>
      <c r="J1898" s="20">
        <f t="shared" si="58"/>
        <v>1120</v>
      </c>
      <c r="K1898" s="106"/>
      <c r="L1898" s="114"/>
      <c r="M1898" s="114">
        <f>tblAquisições[[#This Row],[VALOR UNITARIO COMPRADO]]*tblAquisições[[#This Row],[QUANTIDADE COMPRADA]]</f>
        <v>0</v>
      </c>
      <c r="N1898" s="110">
        <f>K1898-tblAquisições[[#This Row],[QUANTIDADE PLANEJADA]]</f>
        <v>-20</v>
      </c>
      <c r="O1898" s="106" t="str">
        <f t="shared" si="59"/>
        <v>Faltando Comprar</v>
      </c>
    </row>
    <row r="1899" spans="1:15" ht="47.25">
      <c r="A1899" s="16" t="s">
        <v>17</v>
      </c>
      <c r="B1899" s="16" t="s">
        <v>25</v>
      </c>
      <c r="C1899" s="17" t="s">
        <v>19</v>
      </c>
      <c r="D1899" s="18" t="s">
        <v>1098</v>
      </c>
      <c r="E1899" s="18">
        <v>20</v>
      </c>
      <c r="F1899" s="18" t="s">
        <v>222</v>
      </c>
      <c r="G1899" s="18" t="s">
        <v>127</v>
      </c>
      <c r="H1899" s="18" t="s">
        <v>23</v>
      </c>
      <c r="I1899" s="19">
        <v>56</v>
      </c>
      <c r="J1899" s="20">
        <f t="shared" si="58"/>
        <v>1120</v>
      </c>
      <c r="K1899" s="106"/>
      <c r="L1899" s="114"/>
      <c r="M1899" s="114">
        <f>tblAquisições[[#This Row],[VALOR UNITARIO COMPRADO]]*tblAquisições[[#This Row],[QUANTIDADE COMPRADA]]</f>
        <v>0</v>
      </c>
      <c r="N1899" s="110">
        <f>K1899-tblAquisições[[#This Row],[QUANTIDADE PLANEJADA]]</f>
        <v>-20</v>
      </c>
      <c r="O1899" s="106" t="str">
        <f t="shared" si="59"/>
        <v>Faltando Comprar</v>
      </c>
    </row>
    <row r="1900" spans="1:15" ht="47.25">
      <c r="A1900" s="16" t="s">
        <v>17</v>
      </c>
      <c r="B1900" s="16" t="s">
        <v>41</v>
      </c>
      <c r="C1900" s="17" t="s">
        <v>19</v>
      </c>
      <c r="D1900" s="18" t="s">
        <v>1098</v>
      </c>
      <c r="E1900" s="18">
        <v>20</v>
      </c>
      <c r="F1900" s="18" t="s">
        <v>222</v>
      </c>
      <c r="G1900" s="18" t="s">
        <v>127</v>
      </c>
      <c r="H1900" s="18" t="s">
        <v>23</v>
      </c>
      <c r="I1900" s="19">
        <v>56</v>
      </c>
      <c r="J1900" s="20">
        <f t="shared" si="58"/>
        <v>1120</v>
      </c>
      <c r="K1900" s="106"/>
      <c r="L1900" s="114"/>
      <c r="M1900" s="114">
        <f>tblAquisições[[#This Row],[VALOR UNITARIO COMPRADO]]*tblAquisições[[#This Row],[QUANTIDADE COMPRADA]]</f>
        <v>0</v>
      </c>
      <c r="N1900" s="110">
        <f>K1900-tblAquisições[[#This Row],[QUANTIDADE PLANEJADA]]</f>
        <v>-20</v>
      </c>
      <c r="O1900" s="106" t="str">
        <f t="shared" si="59"/>
        <v>Faltando Comprar</v>
      </c>
    </row>
    <row r="1901" spans="1:15" ht="47.25">
      <c r="A1901" s="16" t="s">
        <v>17</v>
      </c>
      <c r="B1901" s="16" t="s">
        <v>41</v>
      </c>
      <c r="C1901" s="17" t="s">
        <v>19</v>
      </c>
      <c r="D1901" s="18" t="s">
        <v>1099</v>
      </c>
      <c r="E1901" s="18">
        <v>20</v>
      </c>
      <c r="F1901" s="18" t="s">
        <v>222</v>
      </c>
      <c r="G1901" s="18" t="s">
        <v>127</v>
      </c>
      <c r="H1901" s="18" t="s">
        <v>23</v>
      </c>
      <c r="I1901" s="19">
        <v>82.97</v>
      </c>
      <c r="J1901" s="20">
        <f t="shared" si="58"/>
        <v>1659.4</v>
      </c>
      <c r="K1901" s="106"/>
      <c r="L1901" s="114"/>
      <c r="M1901" s="114">
        <f>tblAquisições[[#This Row],[VALOR UNITARIO COMPRADO]]*tblAquisições[[#This Row],[QUANTIDADE COMPRADA]]</f>
        <v>0</v>
      </c>
      <c r="N1901" s="110">
        <f>K1901-tblAquisições[[#This Row],[QUANTIDADE PLANEJADA]]</f>
        <v>-20</v>
      </c>
      <c r="O1901" s="106" t="str">
        <f t="shared" si="59"/>
        <v>Faltando Comprar</v>
      </c>
    </row>
    <row r="1902" spans="1:15" ht="47.25">
      <c r="A1902" s="16" t="s">
        <v>17</v>
      </c>
      <c r="B1902" s="16" t="s">
        <v>26</v>
      </c>
      <c r="C1902" s="17" t="s">
        <v>19</v>
      </c>
      <c r="D1902" s="18" t="s">
        <v>1100</v>
      </c>
      <c r="E1902" s="18">
        <v>1</v>
      </c>
      <c r="F1902" s="18" t="s">
        <v>21</v>
      </c>
      <c r="G1902" s="18" t="s">
        <v>22</v>
      </c>
      <c r="H1902" s="18" t="s">
        <v>23</v>
      </c>
      <c r="I1902" s="19">
        <v>29870</v>
      </c>
      <c r="J1902" s="20">
        <f t="shared" si="58"/>
        <v>29870</v>
      </c>
      <c r="K1902" s="106"/>
      <c r="L1902" s="114"/>
      <c r="M1902" s="114">
        <f>tblAquisições[[#This Row],[VALOR UNITARIO COMPRADO]]*tblAquisições[[#This Row],[QUANTIDADE COMPRADA]]</f>
        <v>0</v>
      </c>
      <c r="N1902" s="110">
        <f>K1902-tblAquisições[[#This Row],[QUANTIDADE PLANEJADA]]</f>
        <v>-1</v>
      </c>
      <c r="O1902" s="106" t="str">
        <f t="shared" si="59"/>
        <v>Faltando Comprar</v>
      </c>
    </row>
    <row r="1903" spans="1:15" ht="47.25">
      <c r="A1903" s="16" t="s">
        <v>17</v>
      </c>
      <c r="B1903" s="16" t="s">
        <v>28</v>
      </c>
      <c r="C1903" s="17" t="s">
        <v>19</v>
      </c>
      <c r="D1903" s="18" t="s">
        <v>1100</v>
      </c>
      <c r="E1903" s="18">
        <v>5</v>
      </c>
      <c r="F1903" s="18" t="s">
        <v>21</v>
      </c>
      <c r="G1903" s="18" t="s">
        <v>22</v>
      </c>
      <c r="H1903" s="18" t="s">
        <v>23</v>
      </c>
      <c r="I1903" s="19">
        <v>29870</v>
      </c>
      <c r="J1903" s="20">
        <f t="shared" si="58"/>
        <v>149350</v>
      </c>
      <c r="K1903" s="106"/>
      <c r="L1903" s="114"/>
      <c r="M1903" s="114">
        <f>tblAquisições[[#This Row],[VALOR UNITARIO COMPRADO]]*tblAquisições[[#This Row],[QUANTIDADE COMPRADA]]</f>
        <v>0</v>
      </c>
      <c r="N1903" s="110">
        <f>K1903-tblAquisições[[#This Row],[QUANTIDADE PLANEJADA]]</f>
        <v>-5</v>
      </c>
      <c r="O1903" s="106" t="str">
        <f t="shared" si="59"/>
        <v>Faltando Comprar</v>
      </c>
    </row>
    <row r="1904" spans="1:15" ht="47.25">
      <c r="A1904" s="16" t="s">
        <v>17</v>
      </c>
      <c r="B1904" s="16" t="s">
        <v>80</v>
      </c>
      <c r="C1904" s="17" t="s">
        <v>19</v>
      </c>
      <c r="D1904" s="18" t="s">
        <v>1101</v>
      </c>
      <c r="E1904" s="18">
        <v>6</v>
      </c>
      <c r="F1904" s="18" t="s">
        <v>147</v>
      </c>
      <c r="G1904" s="18" t="s">
        <v>39</v>
      </c>
      <c r="H1904" s="18" t="s">
        <v>23</v>
      </c>
      <c r="I1904" s="19">
        <v>473.78</v>
      </c>
      <c r="J1904" s="20">
        <f t="shared" si="58"/>
        <v>2842.68</v>
      </c>
      <c r="K1904" s="106"/>
      <c r="L1904" s="114"/>
      <c r="M1904" s="114">
        <f>tblAquisições[[#This Row],[VALOR UNITARIO COMPRADO]]*tblAquisições[[#This Row],[QUANTIDADE COMPRADA]]</f>
        <v>0</v>
      </c>
      <c r="N1904" s="110">
        <f>K1904-tblAquisições[[#This Row],[QUANTIDADE PLANEJADA]]</f>
        <v>-6</v>
      </c>
      <c r="O1904" s="106" t="str">
        <f t="shared" si="59"/>
        <v>Faltando Comprar</v>
      </c>
    </row>
    <row r="1905" spans="1:15" ht="47.25">
      <c r="A1905" s="16" t="s">
        <v>17</v>
      </c>
      <c r="B1905" s="16" t="s">
        <v>18</v>
      </c>
      <c r="C1905" s="17" t="s">
        <v>19</v>
      </c>
      <c r="D1905" s="18" t="s">
        <v>1102</v>
      </c>
      <c r="E1905" s="18">
        <v>8</v>
      </c>
      <c r="F1905" s="18" t="s">
        <v>78</v>
      </c>
      <c r="G1905" s="18" t="s">
        <v>22</v>
      </c>
      <c r="H1905" s="18" t="s">
        <v>23</v>
      </c>
      <c r="I1905" s="19">
        <v>473.78</v>
      </c>
      <c r="J1905" s="20">
        <f t="shared" si="58"/>
        <v>3790.24</v>
      </c>
      <c r="K1905" s="106"/>
      <c r="L1905" s="114"/>
      <c r="M1905" s="114">
        <f>tblAquisições[[#This Row],[VALOR UNITARIO COMPRADO]]*tblAquisições[[#This Row],[QUANTIDADE COMPRADA]]</f>
        <v>0</v>
      </c>
      <c r="N1905" s="110">
        <f>K1905-tblAquisições[[#This Row],[QUANTIDADE PLANEJADA]]</f>
        <v>-8</v>
      </c>
      <c r="O1905" s="106" t="str">
        <f t="shared" si="59"/>
        <v>Faltando Comprar</v>
      </c>
    </row>
    <row r="1906" spans="1:15" ht="47.25">
      <c r="A1906" s="16" t="s">
        <v>17</v>
      </c>
      <c r="B1906" s="16" t="s">
        <v>24</v>
      </c>
      <c r="C1906" s="17" t="s">
        <v>19</v>
      </c>
      <c r="D1906" s="18" t="s">
        <v>1102</v>
      </c>
      <c r="E1906" s="18">
        <v>8</v>
      </c>
      <c r="F1906" s="18" t="s">
        <v>78</v>
      </c>
      <c r="G1906" s="18" t="s">
        <v>22</v>
      </c>
      <c r="H1906" s="18" t="s">
        <v>23</v>
      </c>
      <c r="I1906" s="19">
        <v>473.78</v>
      </c>
      <c r="J1906" s="20">
        <f t="shared" si="58"/>
        <v>3790.24</v>
      </c>
      <c r="K1906" s="106"/>
      <c r="L1906" s="114"/>
      <c r="M1906" s="114">
        <f>tblAquisições[[#This Row],[VALOR UNITARIO COMPRADO]]*tblAquisições[[#This Row],[QUANTIDADE COMPRADA]]</f>
        <v>0</v>
      </c>
      <c r="N1906" s="110">
        <f>K1906-tblAquisições[[#This Row],[QUANTIDADE PLANEJADA]]</f>
        <v>-8</v>
      </c>
      <c r="O1906" s="106" t="str">
        <f t="shared" si="59"/>
        <v>Faltando Comprar</v>
      </c>
    </row>
    <row r="1907" spans="1:15" ht="47.25">
      <c r="A1907" s="16" t="s">
        <v>17</v>
      </c>
      <c r="B1907" s="16" t="s">
        <v>25</v>
      </c>
      <c r="C1907" s="17" t="s">
        <v>19</v>
      </c>
      <c r="D1907" s="18" t="s">
        <v>1102</v>
      </c>
      <c r="E1907" s="18">
        <v>8</v>
      </c>
      <c r="F1907" s="18" t="s">
        <v>78</v>
      </c>
      <c r="G1907" s="18" t="s">
        <v>22</v>
      </c>
      <c r="H1907" s="18" t="s">
        <v>23</v>
      </c>
      <c r="I1907" s="19">
        <v>473.78</v>
      </c>
      <c r="J1907" s="20">
        <f t="shared" si="58"/>
        <v>3790.24</v>
      </c>
      <c r="K1907" s="106"/>
      <c r="L1907" s="114"/>
      <c r="M1907" s="114">
        <f>tblAquisições[[#This Row],[VALOR UNITARIO COMPRADO]]*tblAquisições[[#This Row],[QUANTIDADE COMPRADA]]</f>
        <v>0</v>
      </c>
      <c r="N1907" s="110">
        <f>K1907-tblAquisições[[#This Row],[QUANTIDADE PLANEJADA]]</f>
        <v>-8</v>
      </c>
      <c r="O1907" s="106" t="str">
        <f t="shared" si="59"/>
        <v>Faltando Comprar</v>
      </c>
    </row>
    <row r="1908" spans="1:15" ht="47.25">
      <c r="A1908" s="16" t="s">
        <v>17</v>
      </c>
      <c r="B1908" s="16" t="s">
        <v>27</v>
      </c>
      <c r="C1908" s="17" t="s">
        <v>19</v>
      </c>
      <c r="D1908" s="18" t="s">
        <v>1102</v>
      </c>
      <c r="E1908" s="18">
        <v>10</v>
      </c>
      <c r="F1908" s="18" t="s">
        <v>78</v>
      </c>
      <c r="G1908" s="18" t="s">
        <v>22</v>
      </c>
      <c r="H1908" s="18" t="s">
        <v>23</v>
      </c>
      <c r="I1908" s="19">
        <v>473.78</v>
      </c>
      <c r="J1908" s="20">
        <f t="shared" si="58"/>
        <v>4737.7999999999993</v>
      </c>
      <c r="K1908" s="106"/>
      <c r="L1908" s="114"/>
      <c r="M1908" s="114">
        <f>tblAquisições[[#This Row],[VALOR UNITARIO COMPRADO]]*tblAquisições[[#This Row],[QUANTIDADE COMPRADA]]</f>
        <v>0</v>
      </c>
      <c r="N1908" s="110">
        <f>K1908-tblAquisições[[#This Row],[QUANTIDADE PLANEJADA]]</f>
        <v>-10</v>
      </c>
      <c r="O1908" s="106" t="str">
        <f t="shared" si="59"/>
        <v>Faltando Comprar</v>
      </c>
    </row>
    <row r="1909" spans="1:15" ht="31.5">
      <c r="A1909" s="16" t="s">
        <v>17</v>
      </c>
      <c r="B1909" s="16" t="s">
        <v>28</v>
      </c>
      <c r="C1909" s="17" t="s">
        <v>19</v>
      </c>
      <c r="D1909" s="18" t="s">
        <v>1103</v>
      </c>
      <c r="E1909" s="18">
        <v>2</v>
      </c>
      <c r="F1909" s="18" t="s">
        <v>328</v>
      </c>
      <c r="G1909" s="18" t="s">
        <v>22</v>
      </c>
      <c r="H1909" s="18" t="s">
        <v>23</v>
      </c>
      <c r="I1909" s="19">
        <v>31.79</v>
      </c>
      <c r="J1909" s="20">
        <f t="shared" si="58"/>
        <v>63.58</v>
      </c>
      <c r="K1909" s="106"/>
      <c r="L1909" s="114"/>
      <c r="M1909" s="114">
        <f>tblAquisições[[#This Row],[VALOR UNITARIO COMPRADO]]*tblAquisições[[#This Row],[QUANTIDADE COMPRADA]]</f>
        <v>0</v>
      </c>
      <c r="N1909" s="110">
        <f>K1909-tblAquisições[[#This Row],[QUANTIDADE PLANEJADA]]</f>
        <v>-2</v>
      </c>
      <c r="O1909" s="106" t="str">
        <f t="shared" si="59"/>
        <v>Faltando Comprar</v>
      </c>
    </row>
    <row r="1910" spans="1:15" ht="47.25">
      <c r="A1910" s="16" t="s">
        <v>17</v>
      </c>
      <c r="B1910" s="16" t="s">
        <v>28</v>
      </c>
      <c r="C1910" s="17" t="s">
        <v>19</v>
      </c>
      <c r="D1910" s="18" t="s">
        <v>1104</v>
      </c>
      <c r="E1910" s="18">
        <v>60</v>
      </c>
      <c r="F1910" s="18" t="s">
        <v>78</v>
      </c>
      <c r="G1910" s="18" t="s">
        <v>22</v>
      </c>
      <c r="H1910" s="18" t="s">
        <v>23</v>
      </c>
      <c r="I1910" s="19">
        <v>29</v>
      </c>
      <c r="J1910" s="20">
        <f t="shared" si="58"/>
        <v>1740</v>
      </c>
      <c r="K1910" s="106"/>
      <c r="L1910" s="114"/>
      <c r="M1910" s="114">
        <f>tblAquisições[[#This Row],[VALOR UNITARIO COMPRADO]]*tblAquisições[[#This Row],[QUANTIDADE COMPRADA]]</f>
        <v>0</v>
      </c>
      <c r="N1910" s="110">
        <f>K1910-tblAquisições[[#This Row],[QUANTIDADE PLANEJADA]]</f>
        <v>-60</v>
      </c>
      <c r="O1910" s="106" t="str">
        <f t="shared" si="59"/>
        <v>Faltando Comprar</v>
      </c>
    </row>
    <row r="1911" spans="1:15" ht="47.25">
      <c r="A1911" s="16" t="s">
        <v>17</v>
      </c>
      <c r="B1911" s="16" t="s">
        <v>31</v>
      </c>
      <c r="C1911" s="17" t="s">
        <v>19</v>
      </c>
      <c r="D1911" s="18" t="s">
        <v>1105</v>
      </c>
      <c r="E1911" s="18">
        <v>2</v>
      </c>
      <c r="F1911" s="18" t="s">
        <v>126</v>
      </c>
      <c r="G1911" s="18" t="s">
        <v>127</v>
      </c>
      <c r="H1911" s="18" t="s">
        <v>23</v>
      </c>
      <c r="I1911" s="19">
        <v>1841.37</v>
      </c>
      <c r="J1911" s="20">
        <f t="shared" si="58"/>
        <v>3682.74</v>
      </c>
      <c r="K1911" s="106"/>
      <c r="L1911" s="114"/>
      <c r="M1911" s="114">
        <f>tblAquisições[[#This Row],[VALOR UNITARIO COMPRADO]]*tblAquisições[[#This Row],[QUANTIDADE COMPRADA]]</f>
        <v>0</v>
      </c>
      <c r="N1911" s="110">
        <f>K1911-tblAquisições[[#This Row],[QUANTIDADE PLANEJADA]]</f>
        <v>-2</v>
      </c>
      <c r="O1911" s="106" t="str">
        <f t="shared" si="59"/>
        <v>Faltando Comprar</v>
      </c>
    </row>
    <row r="1912" spans="1:15" ht="47.25">
      <c r="A1912" s="16" t="s">
        <v>17</v>
      </c>
      <c r="B1912" s="16" t="s">
        <v>18</v>
      </c>
      <c r="C1912" s="17" t="s">
        <v>19</v>
      </c>
      <c r="D1912" s="18" t="s">
        <v>1105</v>
      </c>
      <c r="E1912" s="18">
        <v>2</v>
      </c>
      <c r="F1912" s="18" t="s">
        <v>126</v>
      </c>
      <c r="G1912" s="18" t="s">
        <v>127</v>
      </c>
      <c r="H1912" s="18" t="s">
        <v>23</v>
      </c>
      <c r="I1912" s="19">
        <v>1841.37</v>
      </c>
      <c r="J1912" s="20">
        <f t="shared" si="58"/>
        <v>3682.74</v>
      </c>
      <c r="K1912" s="106"/>
      <c r="L1912" s="114"/>
      <c r="M1912" s="114">
        <f>tblAquisições[[#This Row],[VALOR UNITARIO COMPRADO]]*tblAquisições[[#This Row],[QUANTIDADE COMPRADA]]</f>
        <v>0</v>
      </c>
      <c r="N1912" s="110">
        <f>K1912-tblAquisições[[#This Row],[QUANTIDADE PLANEJADA]]</f>
        <v>-2</v>
      </c>
      <c r="O1912" s="106" t="str">
        <f t="shared" si="59"/>
        <v>Faltando Comprar</v>
      </c>
    </row>
    <row r="1913" spans="1:15" ht="47.25">
      <c r="A1913" s="16" t="s">
        <v>17</v>
      </c>
      <c r="B1913" s="16" t="s">
        <v>24</v>
      </c>
      <c r="C1913" s="17" t="s">
        <v>19</v>
      </c>
      <c r="D1913" s="18" t="s">
        <v>1105</v>
      </c>
      <c r="E1913" s="18">
        <v>2</v>
      </c>
      <c r="F1913" s="18" t="s">
        <v>126</v>
      </c>
      <c r="G1913" s="18" t="s">
        <v>127</v>
      </c>
      <c r="H1913" s="18" t="s">
        <v>23</v>
      </c>
      <c r="I1913" s="19">
        <v>1841.37</v>
      </c>
      <c r="J1913" s="20">
        <f t="shared" si="58"/>
        <v>3682.74</v>
      </c>
      <c r="K1913" s="106"/>
      <c r="L1913" s="114"/>
      <c r="M1913" s="114">
        <f>tblAquisições[[#This Row],[VALOR UNITARIO COMPRADO]]*tblAquisições[[#This Row],[QUANTIDADE COMPRADA]]</f>
        <v>0</v>
      </c>
      <c r="N1913" s="110">
        <f>K1913-tblAquisições[[#This Row],[QUANTIDADE PLANEJADA]]</f>
        <v>-2</v>
      </c>
      <c r="O1913" s="106" t="str">
        <f t="shared" si="59"/>
        <v>Faltando Comprar</v>
      </c>
    </row>
    <row r="1914" spans="1:15" ht="47.25">
      <c r="A1914" s="16" t="s">
        <v>17</v>
      </c>
      <c r="B1914" s="16" t="s">
        <v>25</v>
      </c>
      <c r="C1914" s="17" t="s">
        <v>19</v>
      </c>
      <c r="D1914" s="18" t="s">
        <v>1105</v>
      </c>
      <c r="E1914" s="18">
        <v>2</v>
      </c>
      <c r="F1914" s="18" t="s">
        <v>126</v>
      </c>
      <c r="G1914" s="18" t="s">
        <v>127</v>
      </c>
      <c r="H1914" s="18" t="s">
        <v>23</v>
      </c>
      <c r="I1914" s="19">
        <v>1841.37</v>
      </c>
      <c r="J1914" s="20">
        <f t="shared" si="58"/>
        <v>3682.74</v>
      </c>
      <c r="K1914" s="106"/>
      <c r="L1914" s="114"/>
      <c r="M1914" s="114">
        <f>tblAquisições[[#This Row],[VALOR UNITARIO COMPRADO]]*tblAquisições[[#This Row],[QUANTIDADE COMPRADA]]</f>
        <v>0</v>
      </c>
      <c r="N1914" s="110">
        <f>K1914-tblAquisições[[#This Row],[QUANTIDADE PLANEJADA]]</f>
        <v>-2</v>
      </c>
      <c r="O1914" s="106" t="str">
        <f t="shared" si="59"/>
        <v>Faltando Comprar</v>
      </c>
    </row>
    <row r="1915" spans="1:15" ht="47.25">
      <c r="A1915" s="16" t="s">
        <v>17</v>
      </c>
      <c r="B1915" s="16" t="s">
        <v>41</v>
      </c>
      <c r="C1915" s="17" t="s">
        <v>19</v>
      </c>
      <c r="D1915" s="18" t="s">
        <v>1105</v>
      </c>
      <c r="E1915" s="18">
        <v>10</v>
      </c>
      <c r="F1915" s="18" t="s">
        <v>126</v>
      </c>
      <c r="G1915" s="18" t="s">
        <v>127</v>
      </c>
      <c r="H1915" s="18" t="s">
        <v>23</v>
      </c>
      <c r="I1915" s="19">
        <v>1841.37</v>
      </c>
      <c r="J1915" s="20">
        <f t="shared" si="58"/>
        <v>18413.699999999997</v>
      </c>
      <c r="K1915" s="106"/>
      <c r="L1915" s="114"/>
      <c r="M1915" s="114">
        <f>tblAquisições[[#This Row],[VALOR UNITARIO COMPRADO]]*tblAquisições[[#This Row],[QUANTIDADE COMPRADA]]</f>
        <v>0</v>
      </c>
      <c r="N1915" s="110">
        <f>K1915-tblAquisições[[#This Row],[QUANTIDADE PLANEJADA]]</f>
        <v>-10</v>
      </c>
      <c r="O1915" s="106" t="str">
        <f t="shared" si="59"/>
        <v>Faltando Comprar</v>
      </c>
    </row>
    <row r="1916" spans="1:15" ht="47.25">
      <c r="A1916" s="16" t="s">
        <v>17</v>
      </c>
      <c r="B1916" s="16" t="s">
        <v>28</v>
      </c>
      <c r="C1916" s="17" t="s">
        <v>19</v>
      </c>
      <c r="D1916" s="18" t="s">
        <v>1105</v>
      </c>
      <c r="E1916" s="18">
        <v>15</v>
      </c>
      <c r="F1916" s="18" t="s">
        <v>126</v>
      </c>
      <c r="G1916" s="18" t="s">
        <v>127</v>
      </c>
      <c r="H1916" s="18" t="s">
        <v>23</v>
      </c>
      <c r="I1916" s="19">
        <v>1841.37</v>
      </c>
      <c r="J1916" s="20">
        <f t="shared" si="58"/>
        <v>27620.55</v>
      </c>
      <c r="K1916" s="106"/>
      <c r="L1916" s="114"/>
      <c r="M1916" s="114">
        <f>tblAquisições[[#This Row],[VALOR UNITARIO COMPRADO]]*tblAquisições[[#This Row],[QUANTIDADE COMPRADA]]</f>
        <v>0</v>
      </c>
      <c r="N1916" s="110">
        <f>K1916-tblAquisições[[#This Row],[QUANTIDADE PLANEJADA]]</f>
        <v>-15</v>
      </c>
      <c r="O1916" s="106" t="str">
        <f t="shared" si="59"/>
        <v>Faltando Comprar</v>
      </c>
    </row>
    <row r="1917" spans="1:15" ht="47.25">
      <c r="A1917" s="16" t="s">
        <v>17</v>
      </c>
      <c r="B1917" s="16" t="s">
        <v>18</v>
      </c>
      <c r="C1917" s="17" t="s">
        <v>19</v>
      </c>
      <c r="D1917" s="18" t="s">
        <v>1106</v>
      </c>
      <c r="E1917" s="18">
        <v>2</v>
      </c>
      <c r="F1917" s="18" t="s">
        <v>21</v>
      </c>
      <c r="G1917" s="18" t="s">
        <v>22</v>
      </c>
      <c r="H1917" s="18" t="s">
        <v>23</v>
      </c>
      <c r="I1917" s="19">
        <v>44977</v>
      </c>
      <c r="J1917" s="20">
        <f t="shared" si="58"/>
        <v>89954</v>
      </c>
      <c r="K1917" s="106"/>
      <c r="L1917" s="114"/>
      <c r="M1917" s="114">
        <f>tblAquisições[[#This Row],[VALOR UNITARIO COMPRADO]]*tblAquisições[[#This Row],[QUANTIDADE COMPRADA]]</f>
        <v>0</v>
      </c>
      <c r="N1917" s="110">
        <f>K1917-tblAquisições[[#This Row],[QUANTIDADE PLANEJADA]]</f>
        <v>-2</v>
      </c>
      <c r="O1917" s="106" t="str">
        <f t="shared" si="59"/>
        <v>Faltando Comprar</v>
      </c>
    </row>
    <row r="1918" spans="1:15" ht="47.25">
      <c r="A1918" s="16" t="s">
        <v>17</v>
      </c>
      <c r="B1918" s="16" t="s">
        <v>24</v>
      </c>
      <c r="C1918" s="17" t="s">
        <v>19</v>
      </c>
      <c r="D1918" s="18" t="s">
        <v>1106</v>
      </c>
      <c r="E1918" s="18">
        <v>2</v>
      </c>
      <c r="F1918" s="18" t="s">
        <v>21</v>
      </c>
      <c r="G1918" s="18" t="s">
        <v>22</v>
      </c>
      <c r="H1918" s="18" t="s">
        <v>23</v>
      </c>
      <c r="I1918" s="19">
        <v>44977</v>
      </c>
      <c r="J1918" s="20">
        <f t="shared" si="58"/>
        <v>89954</v>
      </c>
      <c r="K1918" s="106"/>
      <c r="L1918" s="114"/>
      <c r="M1918" s="114">
        <f>tblAquisições[[#This Row],[VALOR UNITARIO COMPRADO]]*tblAquisições[[#This Row],[QUANTIDADE COMPRADA]]</f>
        <v>0</v>
      </c>
      <c r="N1918" s="110">
        <f>K1918-tblAquisições[[#This Row],[QUANTIDADE PLANEJADA]]</f>
        <v>-2</v>
      </c>
      <c r="O1918" s="106" t="str">
        <f t="shared" si="59"/>
        <v>Faltando Comprar</v>
      </c>
    </row>
    <row r="1919" spans="1:15" ht="47.25">
      <c r="A1919" s="16" t="s">
        <v>17</v>
      </c>
      <c r="B1919" s="16" t="s">
        <v>25</v>
      </c>
      <c r="C1919" s="17" t="s">
        <v>19</v>
      </c>
      <c r="D1919" s="18" t="s">
        <v>1106</v>
      </c>
      <c r="E1919" s="18">
        <v>2</v>
      </c>
      <c r="F1919" s="18" t="s">
        <v>21</v>
      </c>
      <c r="G1919" s="18" t="s">
        <v>22</v>
      </c>
      <c r="H1919" s="18" t="s">
        <v>23</v>
      </c>
      <c r="I1919" s="19">
        <v>44977</v>
      </c>
      <c r="J1919" s="20">
        <f t="shared" si="58"/>
        <v>89954</v>
      </c>
      <c r="K1919" s="106"/>
      <c r="L1919" s="114"/>
      <c r="M1919" s="114">
        <f>tblAquisições[[#This Row],[VALOR UNITARIO COMPRADO]]*tblAquisições[[#This Row],[QUANTIDADE COMPRADA]]</f>
        <v>0</v>
      </c>
      <c r="N1919" s="110">
        <f>K1919-tblAquisições[[#This Row],[QUANTIDADE PLANEJADA]]</f>
        <v>-2</v>
      </c>
      <c r="O1919" s="106" t="str">
        <f t="shared" si="59"/>
        <v>Faltando Comprar</v>
      </c>
    </row>
    <row r="1920" spans="1:15" ht="47.25">
      <c r="A1920" s="16" t="s">
        <v>17</v>
      </c>
      <c r="B1920" s="16" t="s">
        <v>26</v>
      </c>
      <c r="C1920" s="17" t="s">
        <v>19</v>
      </c>
      <c r="D1920" s="18" t="s">
        <v>1106</v>
      </c>
      <c r="E1920" s="18">
        <v>1</v>
      </c>
      <c r="F1920" s="18" t="s">
        <v>21</v>
      </c>
      <c r="G1920" s="18" t="s">
        <v>22</v>
      </c>
      <c r="H1920" s="18" t="s">
        <v>23</v>
      </c>
      <c r="I1920" s="19">
        <v>44977</v>
      </c>
      <c r="J1920" s="20">
        <f t="shared" si="58"/>
        <v>44977</v>
      </c>
      <c r="K1920" s="106"/>
      <c r="L1920" s="114"/>
      <c r="M1920" s="114">
        <f>tblAquisições[[#This Row],[VALOR UNITARIO COMPRADO]]*tblAquisições[[#This Row],[QUANTIDADE COMPRADA]]</f>
        <v>0</v>
      </c>
      <c r="N1920" s="110">
        <f>K1920-tblAquisições[[#This Row],[QUANTIDADE PLANEJADA]]</f>
        <v>-1</v>
      </c>
      <c r="O1920" s="106" t="str">
        <f t="shared" si="59"/>
        <v>Faltando Comprar</v>
      </c>
    </row>
    <row r="1921" spans="1:15" ht="47.25">
      <c r="A1921" s="16" t="s">
        <v>17</v>
      </c>
      <c r="B1921" s="16" t="s">
        <v>28</v>
      </c>
      <c r="C1921" s="17" t="s">
        <v>19</v>
      </c>
      <c r="D1921" s="18" t="s">
        <v>1106</v>
      </c>
      <c r="E1921" s="18">
        <v>6</v>
      </c>
      <c r="F1921" s="18" t="s">
        <v>21</v>
      </c>
      <c r="G1921" s="18" t="s">
        <v>22</v>
      </c>
      <c r="H1921" s="18" t="s">
        <v>23</v>
      </c>
      <c r="I1921" s="19">
        <v>44977</v>
      </c>
      <c r="J1921" s="20">
        <f t="shared" si="58"/>
        <v>269862</v>
      </c>
      <c r="K1921" s="106"/>
      <c r="L1921" s="114"/>
      <c r="M1921" s="114">
        <f>tblAquisições[[#This Row],[VALOR UNITARIO COMPRADO]]*tblAquisições[[#This Row],[QUANTIDADE COMPRADA]]</f>
        <v>0</v>
      </c>
      <c r="N1921" s="110">
        <f>K1921-tblAquisições[[#This Row],[QUANTIDADE PLANEJADA]]</f>
        <v>-6</v>
      </c>
      <c r="O1921" s="106" t="str">
        <f t="shared" si="59"/>
        <v>Faltando Comprar</v>
      </c>
    </row>
    <row r="1922" spans="1:15" ht="47.25">
      <c r="A1922" s="16" t="s">
        <v>17</v>
      </c>
      <c r="B1922" s="16" t="s">
        <v>28</v>
      </c>
      <c r="C1922" s="17" t="s">
        <v>19</v>
      </c>
      <c r="D1922" s="18" t="s">
        <v>1107</v>
      </c>
      <c r="E1922" s="18">
        <v>4</v>
      </c>
      <c r="F1922" s="18" t="s">
        <v>21</v>
      </c>
      <c r="G1922" s="18" t="s">
        <v>22</v>
      </c>
      <c r="H1922" s="18" t="s">
        <v>23</v>
      </c>
      <c r="I1922" s="19">
        <v>44155</v>
      </c>
      <c r="J1922" s="20">
        <f t="shared" ref="J1922:J1985" si="60">E1922*I1922</f>
        <v>176620</v>
      </c>
      <c r="K1922" s="106"/>
      <c r="L1922" s="114"/>
      <c r="M1922" s="114">
        <f>tblAquisições[[#This Row],[VALOR UNITARIO COMPRADO]]*tblAquisições[[#This Row],[QUANTIDADE COMPRADA]]</f>
        <v>0</v>
      </c>
      <c r="N1922" s="110">
        <f>K1922-tblAquisições[[#This Row],[QUANTIDADE PLANEJADA]]</f>
        <v>-4</v>
      </c>
      <c r="O1922" s="106" t="str">
        <f t="shared" ref="O1922:O1985" si="61">IF(K1922=E1922,"OK",IF(K1922&lt;E1922,"Faltando Comprar","Excedente"))</f>
        <v>Faltando Comprar</v>
      </c>
    </row>
    <row r="1923" spans="1:15" ht="47.25">
      <c r="A1923" s="16" t="s">
        <v>17</v>
      </c>
      <c r="B1923" s="16" t="s">
        <v>34</v>
      </c>
      <c r="C1923" s="17" t="s">
        <v>19</v>
      </c>
      <c r="D1923" s="18" t="s">
        <v>1108</v>
      </c>
      <c r="E1923" s="18">
        <v>1</v>
      </c>
      <c r="F1923" s="18" t="s">
        <v>78</v>
      </c>
      <c r="G1923" s="18" t="s">
        <v>22</v>
      </c>
      <c r="H1923" s="18" t="s">
        <v>23</v>
      </c>
      <c r="I1923" s="19">
        <v>465</v>
      </c>
      <c r="J1923" s="20">
        <f t="shared" si="60"/>
        <v>465</v>
      </c>
      <c r="K1923" s="106"/>
      <c r="L1923" s="114"/>
      <c r="M1923" s="114">
        <f>tblAquisições[[#This Row],[VALOR UNITARIO COMPRADO]]*tblAquisições[[#This Row],[QUANTIDADE COMPRADA]]</f>
        <v>0</v>
      </c>
      <c r="N1923" s="110">
        <f>K1923-tblAquisições[[#This Row],[QUANTIDADE PLANEJADA]]</f>
        <v>-1</v>
      </c>
      <c r="O1923" s="106" t="str">
        <f t="shared" si="61"/>
        <v>Faltando Comprar</v>
      </c>
    </row>
    <row r="1924" spans="1:15" ht="47.25">
      <c r="A1924" s="16" t="s">
        <v>17</v>
      </c>
      <c r="B1924" s="16" t="s">
        <v>28</v>
      </c>
      <c r="C1924" s="17" t="s">
        <v>19</v>
      </c>
      <c r="D1924" s="18" t="s">
        <v>1108</v>
      </c>
      <c r="E1924" s="18">
        <v>1</v>
      </c>
      <c r="F1924" s="18" t="s">
        <v>78</v>
      </c>
      <c r="G1924" s="18" t="s">
        <v>22</v>
      </c>
      <c r="H1924" s="18" t="s">
        <v>23</v>
      </c>
      <c r="I1924" s="19">
        <v>465</v>
      </c>
      <c r="J1924" s="20">
        <f t="shared" si="60"/>
        <v>465</v>
      </c>
      <c r="K1924" s="106"/>
      <c r="L1924" s="114"/>
      <c r="M1924" s="114">
        <f>tblAquisições[[#This Row],[VALOR UNITARIO COMPRADO]]*tblAquisições[[#This Row],[QUANTIDADE COMPRADA]]</f>
        <v>0</v>
      </c>
      <c r="N1924" s="110">
        <f>K1924-tblAquisições[[#This Row],[QUANTIDADE PLANEJADA]]</f>
        <v>-1</v>
      </c>
      <c r="O1924" s="106" t="str">
        <f t="shared" si="61"/>
        <v>Faltando Comprar</v>
      </c>
    </row>
    <row r="1925" spans="1:15" ht="47.25">
      <c r="A1925" s="16" t="s">
        <v>17</v>
      </c>
      <c r="B1925" s="16" t="s">
        <v>18</v>
      </c>
      <c r="C1925" s="17" t="s">
        <v>19</v>
      </c>
      <c r="D1925" s="18" t="s">
        <v>1109</v>
      </c>
      <c r="E1925" s="18">
        <v>15</v>
      </c>
      <c r="F1925" s="18" t="s">
        <v>222</v>
      </c>
      <c r="G1925" s="18" t="s">
        <v>127</v>
      </c>
      <c r="H1925" s="18" t="s">
        <v>23</v>
      </c>
      <c r="I1925" s="19">
        <v>66.67</v>
      </c>
      <c r="J1925" s="20">
        <f t="shared" si="60"/>
        <v>1000.0500000000001</v>
      </c>
      <c r="K1925" s="106"/>
      <c r="L1925" s="114"/>
      <c r="M1925" s="114">
        <f>tblAquisições[[#This Row],[VALOR UNITARIO COMPRADO]]*tblAquisições[[#This Row],[QUANTIDADE COMPRADA]]</f>
        <v>0</v>
      </c>
      <c r="N1925" s="110">
        <f>K1925-tblAquisições[[#This Row],[QUANTIDADE PLANEJADA]]</f>
        <v>-15</v>
      </c>
      <c r="O1925" s="106" t="str">
        <f t="shared" si="61"/>
        <v>Faltando Comprar</v>
      </c>
    </row>
    <row r="1926" spans="1:15" ht="47.25">
      <c r="A1926" s="16" t="s">
        <v>17</v>
      </c>
      <c r="B1926" s="16" t="s">
        <v>24</v>
      </c>
      <c r="C1926" s="17" t="s">
        <v>19</v>
      </c>
      <c r="D1926" s="18" t="s">
        <v>1109</v>
      </c>
      <c r="E1926" s="18">
        <v>15</v>
      </c>
      <c r="F1926" s="18" t="s">
        <v>222</v>
      </c>
      <c r="G1926" s="18" t="s">
        <v>127</v>
      </c>
      <c r="H1926" s="18" t="s">
        <v>23</v>
      </c>
      <c r="I1926" s="19">
        <v>66.67</v>
      </c>
      <c r="J1926" s="20">
        <f t="shared" si="60"/>
        <v>1000.0500000000001</v>
      </c>
      <c r="K1926" s="106"/>
      <c r="L1926" s="114"/>
      <c r="M1926" s="114">
        <f>tblAquisições[[#This Row],[VALOR UNITARIO COMPRADO]]*tblAquisições[[#This Row],[QUANTIDADE COMPRADA]]</f>
        <v>0</v>
      </c>
      <c r="N1926" s="110">
        <f>K1926-tblAquisições[[#This Row],[QUANTIDADE PLANEJADA]]</f>
        <v>-15</v>
      </c>
      <c r="O1926" s="106" t="str">
        <f t="shared" si="61"/>
        <v>Faltando Comprar</v>
      </c>
    </row>
    <row r="1927" spans="1:15" ht="47.25">
      <c r="A1927" s="16" t="s">
        <v>17</v>
      </c>
      <c r="B1927" s="16" t="s">
        <v>25</v>
      </c>
      <c r="C1927" s="17" t="s">
        <v>19</v>
      </c>
      <c r="D1927" s="18" t="s">
        <v>1109</v>
      </c>
      <c r="E1927" s="18">
        <v>15</v>
      </c>
      <c r="F1927" s="18" t="s">
        <v>222</v>
      </c>
      <c r="G1927" s="18" t="s">
        <v>127</v>
      </c>
      <c r="H1927" s="18" t="s">
        <v>23</v>
      </c>
      <c r="I1927" s="19">
        <v>66.67</v>
      </c>
      <c r="J1927" s="20">
        <f t="shared" si="60"/>
        <v>1000.0500000000001</v>
      </c>
      <c r="K1927" s="106"/>
      <c r="L1927" s="114"/>
      <c r="M1927" s="114">
        <f>tblAquisições[[#This Row],[VALOR UNITARIO COMPRADO]]*tblAquisições[[#This Row],[QUANTIDADE COMPRADA]]</f>
        <v>0</v>
      </c>
      <c r="N1927" s="110">
        <f>K1927-tblAquisições[[#This Row],[QUANTIDADE PLANEJADA]]</f>
        <v>-15</v>
      </c>
      <c r="O1927" s="106" t="str">
        <f t="shared" si="61"/>
        <v>Faltando Comprar</v>
      </c>
    </row>
    <row r="1928" spans="1:15" ht="47.25">
      <c r="A1928" s="16" t="s">
        <v>17</v>
      </c>
      <c r="B1928" s="16" t="s">
        <v>18</v>
      </c>
      <c r="C1928" s="17" t="s">
        <v>19</v>
      </c>
      <c r="D1928" s="18" t="s">
        <v>1110</v>
      </c>
      <c r="E1928" s="18">
        <v>5</v>
      </c>
      <c r="F1928" s="18" t="s">
        <v>222</v>
      </c>
      <c r="G1928" s="18" t="s">
        <v>127</v>
      </c>
      <c r="H1928" s="18" t="s">
        <v>23</v>
      </c>
      <c r="I1928" s="19">
        <v>35.909999999999997</v>
      </c>
      <c r="J1928" s="20">
        <f t="shared" si="60"/>
        <v>179.54999999999998</v>
      </c>
      <c r="K1928" s="106"/>
      <c r="L1928" s="114"/>
      <c r="M1928" s="114">
        <f>tblAquisições[[#This Row],[VALOR UNITARIO COMPRADO]]*tblAquisições[[#This Row],[QUANTIDADE COMPRADA]]</f>
        <v>0</v>
      </c>
      <c r="N1928" s="110">
        <f>K1928-tblAquisições[[#This Row],[QUANTIDADE PLANEJADA]]</f>
        <v>-5</v>
      </c>
      <c r="O1928" s="106" t="str">
        <f t="shared" si="61"/>
        <v>Faltando Comprar</v>
      </c>
    </row>
    <row r="1929" spans="1:15" ht="47.25">
      <c r="A1929" s="16" t="s">
        <v>17</v>
      </c>
      <c r="B1929" s="16" t="s">
        <v>24</v>
      </c>
      <c r="C1929" s="17" t="s">
        <v>19</v>
      </c>
      <c r="D1929" s="18" t="s">
        <v>1110</v>
      </c>
      <c r="E1929" s="18">
        <v>5</v>
      </c>
      <c r="F1929" s="18" t="s">
        <v>222</v>
      </c>
      <c r="G1929" s="18" t="s">
        <v>127</v>
      </c>
      <c r="H1929" s="18" t="s">
        <v>23</v>
      </c>
      <c r="I1929" s="19">
        <v>35.909999999999997</v>
      </c>
      <c r="J1929" s="20">
        <f t="shared" si="60"/>
        <v>179.54999999999998</v>
      </c>
      <c r="K1929" s="106"/>
      <c r="L1929" s="114"/>
      <c r="M1929" s="114">
        <f>tblAquisições[[#This Row],[VALOR UNITARIO COMPRADO]]*tblAquisições[[#This Row],[QUANTIDADE COMPRADA]]</f>
        <v>0</v>
      </c>
      <c r="N1929" s="110">
        <f>K1929-tblAquisições[[#This Row],[QUANTIDADE PLANEJADA]]</f>
        <v>-5</v>
      </c>
      <c r="O1929" s="106" t="str">
        <f t="shared" si="61"/>
        <v>Faltando Comprar</v>
      </c>
    </row>
    <row r="1930" spans="1:15" ht="47.25">
      <c r="A1930" s="16" t="s">
        <v>17</v>
      </c>
      <c r="B1930" s="16" t="s">
        <v>25</v>
      </c>
      <c r="C1930" s="17" t="s">
        <v>19</v>
      </c>
      <c r="D1930" s="18" t="s">
        <v>1110</v>
      </c>
      <c r="E1930" s="18">
        <v>5</v>
      </c>
      <c r="F1930" s="18" t="s">
        <v>222</v>
      </c>
      <c r="G1930" s="18" t="s">
        <v>127</v>
      </c>
      <c r="H1930" s="18" t="s">
        <v>23</v>
      </c>
      <c r="I1930" s="19">
        <v>35.909999999999997</v>
      </c>
      <c r="J1930" s="20">
        <f t="shared" si="60"/>
        <v>179.54999999999998</v>
      </c>
      <c r="K1930" s="106"/>
      <c r="L1930" s="114"/>
      <c r="M1930" s="114">
        <f>tblAquisições[[#This Row],[VALOR UNITARIO COMPRADO]]*tblAquisições[[#This Row],[QUANTIDADE COMPRADA]]</f>
        <v>0</v>
      </c>
      <c r="N1930" s="110">
        <f>K1930-tblAquisições[[#This Row],[QUANTIDADE PLANEJADA]]</f>
        <v>-5</v>
      </c>
      <c r="O1930" s="106" t="str">
        <f t="shared" si="61"/>
        <v>Faltando Comprar</v>
      </c>
    </row>
    <row r="1931" spans="1:15" ht="47.25">
      <c r="A1931" s="16" t="s">
        <v>17</v>
      </c>
      <c r="B1931" s="16" t="s">
        <v>28</v>
      </c>
      <c r="C1931" s="17" t="s">
        <v>19</v>
      </c>
      <c r="D1931" s="18" t="s">
        <v>1110</v>
      </c>
      <c r="E1931" s="18">
        <v>10</v>
      </c>
      <c r="F1931" s="18" t="s">
        <v>222</v>
      </c>
      <c r="G1931" s="18" t="s">
        <v>127</v>
      </c>
      <c r="H1931" s="18" t="s">
        <v>23</v>
      </c>
      <c r="I1931" s="19">
        <v>35.909999999999997</v>
      </c>
      <c r="J1931" s="20">
        <f t="shared" si="60"/>
        <v>359.09999999999997</v>
      </c>
      <c r="K1931" s="106"/>
      <c r="L1931" s="114"/>
      <c r="M1931" s="114">
        <f>tblAquisições[[#This Row],[VALOR UNITARIO COMPRADO]]*tblAquisições[[#This Row],[QUANTIDADE COMPRADA]]</f>
        <v>0</v>
      </c>
      <c r="N1931" s="110">
        <f>K1931-tblAquisições[[#This Row],[QUANTIDADE PLANEJADA]]</f>
        <v>-10</v>
      </c>
      <c r="O1931" s="106" t="str">
        <f t="shared" si="61"/>
        <v>Faltando Comprar</v>
      </c>
    </row>
    <row r="1932" spans="1:15" ht="47.25">
      <c r="A1932" s="16" t="s">
        <v>17</v>
      </c>
      <c r="B1932" s="16" t="s">
        <v>80</v>
      </c>
      <c r="C1932" s="17" t="s">
        <v>19</v>
      </c>
      <c r="D1932" s="18" t="s">
        <v>1111</v>
      </c>
      <c r="E1932" s="18">
        <v>3</v>
      </c>
      <c r="F1932" s="18" t="s">
        <v>96</v>
      </c>
      <c r="G1932" s="18" t="s">
        <v>39</v>
      </c>
      <c r="H1932" s="18" t="s">
        <v>23</v>
      </c>
      <c r="I1932" s="19">
        <v>89.9</v>
      </c>
      <c r="J1932" s="20">
        <f t="shared" si="60"/>
        <v>269.70000000000005</v>
      </c>
      <c r="K1932" s="106"/>
      <c r="L1932" s="114"/>
      <c r="M1932" s="114">
        <f>tblAquisições[[#This Row],[VALOR UNITARIO COMPRADO]]*tblAquisições[[#This Row],[QUANTIDADE COMPRADA]]</f>
        <v>0</v>
      </c>
      <c r="N1932" s="110">
        <f>K1932-tblAquisições[[#This Row],[QUANTIDADE PLANEJADA]]</f>
        <v>-3</v>
      </c>
      <c r="O1932" s="106" t="str">
        <f t="shared" si="61"/>
        <v>Faltando Comprar</v>
      </c>
    </row>
    <row r="1933" spans="1:15" ht="47.25">
      <c r="A1933" s="16" t="s">
        <v>17</v>
      </c>
      <c r="B1933" s="16" t="s">
        <v>26</v>
      </c>
      <c r="C1933" s="17" t="s">
        <v>19</v>
      </c>
      <c r="D1933" s="18" t="s">
        <v>1112</v>
      </c>
      <c r="E1933" s="18">
        <v>1</v>
      </c>
      <c r="F1933" s="18" t="s">
        <v>58</v>
      </c>
      <c r="G1933" s="18" t="s">
        <v>22</v>
      </c>
      <c r="H1933" s="18" t="s">
        <v>23</v>
      </c>
      <c r="I1933" s="19">
        <v>89.9</v>
      </c>
      <c r="J1933" s="20">
        <f t="shared" si="60"/>
        <v>89.9</v>
      </c>
      <c r="K1933" s="106"/>
      <c r="L1933" s="114"/>
      <c r="M1933" s="114">
        <f>tblAquisições[[#This Row],[VALOR UNITARIO COMPRADO]]*tblAquisições[[#This Row],[QUANTIDADE COMPRADA]]</f>
        <v>0</v>
      </c>
      <c r="N1933" s="110">
        <f>K1933-tblAquisições[[#This Row],[QUANTIDADE PLANEJADA]]</f>
        <v>-1</v>
      </c>
      <c r="O1933" s="106" t="str">
        <f t="shared" si="61"/>
        <v>Faltando Comprar</v>
      </c>
    </row>
    <row r="1934" spans="1:15" ht="47.25">
      <c r="A1934" s="16" t="s">
        <v>17</v>
      </c>
      <c r="B1934" s="16" t="s">
        <v>27</v>
      </c>
      <c r="C1934" s="17" t="s">
        <v>19</v>
      </c>
      <c r="D1934" s="18" t="s">
        <v>1112</v>
      </c>
      <c r="E1934" s="18">
        <v>1</v>
      </c>
      <c r="F1934" s="18" t="s">
        <v>58</v>
      </c>
      <c r="G1934" s="18" t="s">
        <v>22</v>
      </c>
      <c r="H1934" s="18" t="s">
        <v>23</v>
      </c>
      <c r="I1934" s="19">
        <v>89.9</v>
      </c>
      <c r="J1934" s="20">
        <f t="shared" si="60"/>
        <v>89.9</v>
      </c>
      <c r="K1934" s="106"/>
      <c r="L1934" s="114"/>
      <c r="M1934" s="114">
        <f>tblAquisições[[#This Row],[VALOR UNITARIO COMPRADO]]*tblAquisições[[#This Row],[QUANTIDADE COMPRADA]]</f>
        <v>0</v>
      </c>
      <c r="N1934" s="110">
        <f>K1934-tblAquisições[[#This Row],[QUANTIDADE PLANEJADA]]</f>
        <v>-1</v>
      </c>
      <c r="O1934" s="106" t="str">
        <f t="shared" si="61"/>
        <v>Faltando Comprar</v>
      </c>
    </row>
    <row r="1935" spans="1:15" ht="47.25">
      <c r="A1935" s="16" t="s">
        <v>17</v>
      </c>
      <c r="B1935" s="16" t="s">
        <v>28</v>
      </c>
      <c r="C1935" s="17" t="s">
        <v>19</v>
      </c>
      <c r="D1935" s="18" t="s">
        <v>1112</v>
      </c>
      <c r="E1935" s="18">
        <v>2</v>
      </c>
      <c r="F1935" s="18" t="s">
        <v>58</v>
      </c>
      <c r="G1935" s="18" t="s">
        <v>22</v>
      </c>
      <c r="H1935" s="18" t="s">
        <v>23</v>
      </c>
      <c r="I1935" s="19">
        <v>89.9</v>
      </c>
      <c r="J1935" s="20">
        <f t="shared" si="60"/>
        <v>179.8</v>
      </c>
      <c r="K1935" s="106"/>
      <c r="L1935" s="114"/>
      <c r="M1935" s="114">
        <f>tblAquisições[[#This Row],[VALOR UNITARIO COMPRADO]]*tblAquisições[[#This Row],[QUANTIDADE COMPRADA]]</f>
        <v>0</v>
      </c>
      <c r="N1935" s="110">
        <f>K1935-tblAquisições[[#This Row],[QUANTIDADE PLANEJADA]]</f>
        <v>-2</v>
      </c>
      <c r="O1935" s="106" t="str">
        <f t="shared" si="61"/>
        <v>Faltando Comprar</v>
      </c>
    </row>
    <row r="1936" spans="1:15" ht="31.5">
      <c r="A1936" s="16" t="s">
        <v>17</v>
      </c>
      <c r="B1936" s="16" t="s">
        <v>80</v>
      </c>
      <c r="C1936" s="17" t="s">
        <v>19</v>
      </c>
      <c r="D1936" s="18" t="s">
        <v>1113</v>
      </c>
      <c r="E1936" s="18">
        <v>20</v>
      </c>
      <c r="F1936" s="18" t="s">
        <v>38</v>
      </c>
      <c r="G1936" s="18" t="s">
        <v>39</v>
      </c>
      <c r="H1936" s="18" t="s">
        <v>23</v>
      </c>
      <c r="I1936" s="19">
        <v>11.06</v>
      </c>
      <c r="J1936" s="20">
        <f t="shared" si="60"/>
        <v>221.20000000000002</v>
      </c>
      <c r="K1936" s="106"/>
      <c r="L1936" s="114"/>
      <c r="M1936" s="114">
        <f>tblAquisições[[#This Row],[VALOR UNITARIO COMPRADO]]*tblAquisições[[#This Row],[QUANTIDADE COMPRADA]]</f>
        <v>0</v>
      </c>
      <c r="N1936" s="110">
        <f>K1936-tblAquisições[[#This Row],[QUANTIDADE PLANEJADA]]</f>
        <v>-20</v>
      </c>
      <c r="O1936" s="106" t="str">
        <f t="shared" si="61"/>
        <v>Faltando Comprar</v>
      </c>
    </row>
    <row r="1937" spans="1:15" ht="31.5">
      <c r="A1937" s="16" t="s">
        <v>17</v>
      </c>
      <c r="B1937" s="16" t="s">
        <v>31</v>
      </c>
      <c r="C1937" s="17" t="s">
        <v>19</v>
      </c>
      <c r="D1937" s="18" t="s">
        <v>1114</v>
      </c>
      <c r="E1937" s="18">
        <v>10</v>
      </c>
      <c r="F1937" s="18" t="s">
        <v>328</v>
      </c>
      <c r="G1937" s="18" t="s">
        <v>22</v>
      </c>
      <c r="H1937" s="18" t="s">
        <v>23</v>
      </c>
      <c r="I1937" s="19">
        <v>11.36</v>
      </c>
      <c r="J1937" s="20">
        <f t="shared" si="60"/>
        <v>113.6</v>
      </c>
      <c r="K1937" s="106"/>
      <c r="L1937" s="114"/>
      <c r="M1937" s="114">
        <f>tblAquisições[[#This Row],[VALOR UNITARIO COMPRADO]]*tblAquisições[[#This Row],[QUANTIDADE COMPRADA]]</f>
        <v>0</v>
      </c>
      <c r="N1937" s="110">
        <f>K1937-tblAquisições[[#This Row],[QUANTIDADE PLANEJADA]]</f>
        <v>-10</v>
      </c>
      <c r="O1937" s="106" t="str">
        <f t="shared" si="61"/>
        <v>Faltando Comprar</v>
      </c>
    </row>
    <row r="1938" spans="1:15" ht="31.5">
      <c r="A1938" s="16" t="s">
        <v>17</v>
      </c>
      <c r="B1938" s="16" t="s">
        <v>31</v>
      </c>
      <c r="C1938" s="17" t="s">
        <v>19</v>
      </c>
      <c r="D1938" s="18" t="s">
        <v>1115</v>
      </c>
      <c r="E1938" s="18">
        <v>20</v>
      </c>
      <c r="F1938" s="18" t="s">
        <v>21</v>
      </c>
      <c r="G1938" s="18" t="s">
        <v>22</v>
      </c>
      <c r="H1938" s="18" t="s">
        <v>23</v>
      </c>
      <c r="I1938" s="19">
        <v>60.17</v>
      </c>
      <c r="J1938" s="20">
        <f t="shared" si="60"/>
        <v>1203.4000000000001</v>
      </c>
      <c r="K1938" s="106"/>
      <c r="L1938" s="114"/>
      <c r="M1938" s="114">
        <f>tblAquisições[[#This Row],[VALOR UNITARIO COMPRADO]]*tblAquisições[[#This Row],[QUANTIDADE COMPRADA]]</f>
        <v>0</v>
      </c>
      <c r="N1938" s="110">
        <f>K1938-tblAquisições[[#This Row],[QUANTIDADE PLANEJADA]]</f>
        <v>-20</v>
      </c>
      <c r="O1938" s="106" t="str">
        <f t="shared" si="61"/>
        <v>Faltando Comprar</v>
      </c>
    </row>
    <row r="1939" spans="1:15" ht="31.5">
      <c r="A1939" s="16" t="s">
        <v>17</v>
      </c>
      <c r="B1939" s="16" t="s">
        <v>18</v>
      </c>
      <c r="C1939" s="17" t="s">
        <v>19</v>
      </c>
      <c r="D1939" s="18" t="s">
        <v>1116</v>
      </c>
      <c r="E1939" s="18">
        <v>15</v>
      </c>
      <c r="F1939" s="18" t="s">
        <v>21</v>
      </c>
      <c r="G1939" s="18" t="s">
        <v>22</v>
      </c>
      <c r="H1939" s="18" t="s">
        <v>23</v>
      </c>
      <c r="I1939" s="19">
        <v>542.99</v>
      </c>
      <c r="J1939" s="20">
        <f t="shared" si="60"/>
        <v>8144.85</v>
      </c>
      <c r="K1939" s="106"/>
      <c r="L1939" s="114"/>
      <c r="M1939" s="114">
        <f>tblAquisições[[#This Row],[VALOR UNITARIO COMPRADO]]*tblAquisições[[#This Row],[QUANTIDADE COMPRADA]]</f>
        <v>0</v>
      </c>
      <c r="N1939" s="110">
        <f>K1939-tblAquisições[[#This Row],[QUANTIDADE PLANEJADA]]</f>
        <v>-15</v>
      </c>
      <c r="O1939" s="106" t="str">
        <f t="shared" si="61"/>
        <v>Faltando Comprar</v>
      </c>
    </row>
    <row r="1940" spans="1:15" ht="31.5">
      <c r="A1940" s="16" t="s">
        <v>17</v>
      </c>
      <c r="B1940" s="16" t="s">
        <v>24</v>
      </c>
      <c r="C1940" s="17" t="s">
        <v>19</v>
      </c>
      <c r="D1940" s="18" t="s">
        <v>1116</v>
      </c>
      <c r="E1940" s="18">
        <v>15</v>
      </c>
      <c r="F1940" s="18" t="s">
        <v>21</v>
      </c>
      <c r="G1940" s="18" t="s">
        <v>22</v>
      </c>
      <c r="H1940" s="18" t="s">
        <v>23</v>
      </c>
      <c r="I1940" s="19">
        <v>542.99</v>
      </c>
      <c r="J1940" s="20">
        <f t="shared" si="60"/>
        <v>8144.85</v>
      </c>
      <c r="K1940" s="106"/>
      <c r="L1940" s="114"/>
      <c r="M1940" s="114">
        <f>tblAquisições[[#This Row],[VALOR UNITARIO COMPRADO]]*tblAquisições[[#This Row],[QUANTIDADE COMPRADA]]</f>
        <v>0</v>
      </c>
      <c r="N1940" s="110">
        <f>K1940-tblAquisições[[#This Row],[QUANTIDADE PLANEJADA]]</f>
        <v>-15</v>
      </c>
      <c r="O1940" s="106" t="str">
        <f t="shared" si="61"/>
        <v>Faltando Comprar</v>
      </c>
    </row>
    <row r="1941" spans="1:15" ht="31.5">
      <c r="A1941" s="16" t="s">
        <v>17</v>
      </c>
      <c r="B1941" s="16" t="s">
        <v>25</v>
      </c>
      <c r="C1941" s="17" t="s">
        <v>19</v>
      </c>
      <c r="D1941" s="18" t="s">
        <v>1116</v>
      </c>
      <c r="E1941" s="18">
        <v>15</v>
      </c>
      <c r="F1941" s="18" t="s">
        <v>21</v>
      </c>
      <c r="G1941" s="18" t="s">
        <v>22</v>
      </c>
      <c r="H1941" s="18" t="s">
        <v>23</v>
      </c>
      <c r="I1941" s="19">
        <v>542.99</v>
      </c>
      <c r="J1941" s="20">
        <f t="shared" si="60"/>
        <v>8144.85</v>
      </c>
      <c r="K1941" s="106"/>
      <c r="L1941" s="114"/>
      <c r="M1941" s="114">
        <f>tblAquisições[[#This Row],[VALOR UNITARIO COMPRADO]]*tblAquisições[[#This Row],[QUANTIDADE COMPRADA]]</f>
        <v>0</v>
      </c>
      <c r="N1941" s="110">
        <f>K1941-tblAquisições[[#This Row],[QUANTIDADE PLANEJADA]]</f>
        <v>-15</v>
      </c>
      <c r="O1941" s="106" t="str">
        <f t="shared" si="61"/>
        <v>Faltando Comprar</v>
      </c>
    </row>
    <row r="1942" spans="1:15" ht="31.5">
      <c r="A1942" s="16" t="s">
        <v>17</v>
      </c>
      <c r="B1942" s="16" t="s">
        <v>26</v>
      </c>
      <c r="C1942" s="17" t="s">
        <v>19</v>
      </c>
      <c r="D1942" s="18" t="s">
        <v>1116</v>
      </c>
      <c r="E1942" s="18">
        <v>8</v>
      </c>
      <c r="F1942" s="18" t="s">
        <v>21</v>
      </c>
      <c r="G1942" s="18" t="s">
        <v>22</v>
      </c>
      <c r="H1942" s="18" t="s">
        <v>23</v>
      </c>
      <c r="I1942" s="19">
        <v>542.99</v>
      </c>
      <c r="J1942" s="20">
        <f t="shared" si="60"/>
        <v>4343.92</v>
      </c>
      <c r="K1942" s="106"/>
      <c r="L1942" s="114"/>
      <c r="M1942" s="114">
        <f>tblAquisições[[#This Row],[VALOR UNITARIO COMPRADO]]*tblAquisições[[#This Row],[QUANTIDADE COMPRADA]]</f>
        <v>0</v>
      </c>
      <c r="N1942" s="110">
        <f>K1942-tblAquisições[[#This Row],[QUANTIDADE PLANEJADA]]</f>
        <v>-8</v>
      </c>
      <c r="O1942" s="106" t="str">
        <f t="shared" si="61"/>
        <v>Faltando Comprar</v>
      </c>
    </row>
    <row r="1943" spans="1:15" ht="47.25">
      <c r="A1943" s="16" t="s">
        <v>17</v>
      </c>
      <c r="B1943" s="16" t="s">
        <v>26</v>
      </c>
      <c r="C1943" s="17" t="s">
        <v>19</v>
      </c>
      <c r="D1943" s="18" t="s">
        <v>1117</v>
      </c>
      <c r="E1943" s="18">
        <v>10</v>
      </c>
      <c r="F1943" s="18" t="s">
        <v>107</v>
      </c>
      <c r="G1943" s="18" t="s">
        <v>22</v>
      </c>
      <c r="H1943" s="18" t="s">
        <v>23</v>
      </c>
      <c r="I1943" s="19">
        <v>1269.72</v>
      </c>
      <c r="J1943" s="20">
        <f t="shared" si="60"/>
        <v>12697.2</v>
      </c>
      <c r="K1943" s="106"/>
      <c r="L1943" s="114"/>
      <c r="M1943" s="114">
        <f>tblAquisições[[#This Row],[VALOR UNITARIO COMPRADO]]*tblAquisições[[#This Row],[QUANTIDADE COMPRADA]]</f>
        <v>0</v>
      </c>
      <c r="N1943" s="110">
        <f>K1943-tblAquisições[[#This Row],[QUANTIDADE PLANEJADA]]</f>
        <v>-10</v>
      </c>
      <c r="O1943" s="106" t="str">
        <f t="shared" si="61"/>
        <v>Faltando Comprar</v>
      </c>
    </row>
    <row r="1944" spans="1:15" ht="47.25">
      <c r="A1944" s="16" t="s">
        <v>17</v>
      </c>
      <c r="B1944" s="16" t="s">
        <v>26</v>
      </c>
      <c r="C1944" s="17" t="s">
        <v>19</v>
      </c>
      <c r="D1944" s="18" t="s">
        <v>1118</v>
      </c>
      <c r="E1944" s="18">
        <v>1</v>
      </c>
      <c r="F1944" s="18" t="s">
        <v>126</v>
      </c>
      <c r="G1944" s="18" t="s">
        <v>127</v>
      </c>
      <c r="H1944" s="18" t="s">
        <v>23</v>
      </c>
      <c r="I1944" s="19">
        <v>30789</v>
      </c>
      <c r="J1944" s="20">
        <f t="shared" si="60"/>
        <v>30789</v>
      </c>
      <c r="K1944" s="106"/>
      <c r="L1944" s="114"/>
      <c r="M1944" s="114">
        <f>tblAquisições[[#This Row],[VALOR UNITARIO COMPRADO]]*tblAquisições[[#This Row],[QUANTIDADE COMPRADA]]</f>
        <v>0</v>
      </c>
      <c r="N1944" s="110">
        <f>K1944-tblAquisições[[#This Row],[QUANTIDADE PLANEJADA]]</f>
        <v>-1</v>
      </c>
      <c r="O1944" s="106" t="str">
        <f t="shared" si="61"/>
        <v>Faltando Comprar</v>
      </c>
    </row>
    <row r="1945" spans="1:15" ht="47.25">
      <c r="A1945" s="16" t="s">
        <v>17</v>
      </c>
      <c r="B1945" s="16" t="s">
        <v>750</v>
      </c>
      <c r="C1945" s="17" t="s">
        <v>19</v>
      </c>
      <c r="D1945" s="18" t="s">
        <v>1119</v>
      </c>
      <c r="E1945" s="18">
        <v>10</v>
      </c>
      <c r="F1945" s="18" t="s">
        <v>239</v>
      </c>
      <c r="G1945" s="18" t="s">
        <v>22</v>
      </c>
      <c r="H1945" s="18" t="s">
        <v>23</v>
      </c>
      <c r="I1945" s="19">
        <v>8.18</v>
      </c>
      <c r="J1945" s="20">
        <f t="shared" si="60"/>
        <v>81.8</v>
      </c>
      <c r="K1945" s="106"/>
      <c r="L1945" s="114"/>
      <c r="M1945" s="114">
        <f>tblAquisições[[#This Row],[VALOR UNITARIO COMPRADO]]*tblAquisições[[#This Row],[QUANTIDADE COMPRADA]]</f>
        <v>0</v>
      </c>
      <c r="N1945" s="110">
        <f>K1945-tblAquisições[[#This Row],[QUANTIDADE PLANEJADA]]</f>
        <v>-10</v>
      </c>
      <c r="O1945" s="106" t="str">
        <f t="shared" si="61"/>
        <v>Faltando Comprar</v>
      </c>
    </row>
    <row r="1946" spans="1:15" ht="47.25">
      <c r="A1946" s="16" t="s">
        <v>17</v>
      </c>
      <c r="B1946" s="16" t="s">
        <v>28</v>
      </c>
      <c r="C1946" s="17" t="s">
        <v>19</v>
      </c>
      <c r="D1946" s="18" t="s">
        <v>1120</v>
      </c>
      <c r="E1946" s="18">
        <v>8</v>
      </c>
      <c r="F1946" s="18" t="s">
        <v>78</v>
      </c>
      <c r="G1946" s="18" t="s">
        <v>22</v>
      </c>
      <c r="H1946" s="18" t="s">
        <v>65</v>
      </c>
      <c r="I1946" s="19">
        <v>29.16</v>
      </c>
      <c r="J1946" s="20">
        <f t="shared" si="60"/>
        <v>233.28</v>
      </c>
      <c r="K1946" s="106"/>
      <c r="L1946" s="114"/>
      <c r="M1946" s="114">
        <f>tblAquisições[[#This Row],[VALOR UNITARIO COMPRADO]]*tblAquisições[[#This Row],[QUANTIDADE COMPRADA]]</f>
        <v>0</v>
      </c>
      <c r="N1946" s="110">
        <f>K1946-tblAquisições[[#This Row],[QUANTIDADE PLANEJADA]]</f>
        <v>-8</v>
      </c>
      <c r="O1946" s="106" t="str">
        <f t="shared" si="61"/>
        <v>Faltando Comprar</v>
      </c>
    </row>
    <row r="1947" spans="1:15" ht="31.5">
      <c r="A1947" s="16" t="s">
        <v>17</v>
      </c>
      <c r="B1947" s="16" t="s">
        <v>28</v>
      </c>
      <c r="C1947" s="17" t="s">
        <v>19</v>
      </c>
      <c r="D1947" s="18" t="s">
        <v>1121</v>
      </c>
      <c r="E1947" s="18">
        <v>12</v>
      </c>
      <c r="F1947" s="18" t="s">
        <v>21</v>
      </c>
      <c r="G1947" s="18" t="s">
        <v>22</v>
      </c>
      <c r="H1947" s="18" t="s">
        <v>23</v>
      </c>
      <c r="I1947" s="19">
        <v>13.27</v>
      </c>
      <c r="J1947" s="20">
        <f t="shared" si="60"/>
        <v>159.24</v>
      </c>
      <c r="K1947" s="106"/>
      <c r="L1947" s="114"/>
      <c r="M1947" s="114">
        <f>tblAquisições[[#This Row],[VALOR UNITARIO COMPRADO]]*tblAquisições[[#This Row],[QUANTIDADE COMPRADA]]</f>
        <v>0</v>
      </c>
      <c r="N1947" s="110">
        <f>K1947-tblAquisições[[#This Row],[QUANTIDADE PLANEJADA]]</f>
        <v>-12</v>
      </c>
      <c r="O1947" s="106" t="str">
        <f t="shared" si="61"/>
        <v>Faltando Comprar</v>
      </c>
    </row>
    <row r="1948" spans="1:15" ht="47.25">
      <c r="A1948" s="16" t="s">
        <v>17</v>
      </c>
      <c r="B1948" s="16" t="s">
        <v>34</v>
      </c>
      <c r="C1948" s="17" t="s">
        <v>19</v>
      </c>
      <c r="D1948" s="18" t="s">
        <v>1122</v>
      </c>
      <c r="E1948" s="18">
        <v>20</v>
      </c>
      <c r="F1948" s="18" t="s">
        <v>78</v>
      </c>
      <c r="G1948" s="18" t="s">
        <v>22</v>
      </c>
      <c r="H1948" s="18" t="s">
        <v>23</v>
      </c>
      <c r="I1948" s="19">
        <v>12.38</v>
      </c>
      <c r="J1948" s="20">
        <f t="shared" si="60"/>
        <v>247.60000000000002</v>
      </c>
      <c r="K1948" s="106"/>
      <c r="L1948" s="114"/>
      <c r="M1948" s="114">
        <f>tblAquisições[[#This Row],[VALOR UNITARIO COMPRADO]]*tblAquisições[[#This Row],[QUANTIDADE COMPRADA]]</f>
        <v>0</v>
      </c>
      <c r="N1948" s="110">
        <f>K1948-tblAquisições[[#This Row],[QUANTIDADE PLANEJADA]]</f>
        <v>-20</v>
      </c>
      <c r="O1948" s="106" t="str">
        <f t="shared" si="61"/>
        <v>Faltando Comprar</v>
      </c>
    </row>
    <row r="1949" spans="1:15" ht="47.25">
      <c r="A1949" s="16" t="s">
        <v>17</v>
      </c>
      <c r="B1949" s="16" t="s">
        <v>28</v>
      </c>
      <c r="C1949" s="17" t="s">
        <v>19</v>
      </c>
      <c r="D1949" s="18" t="s">
        <v>1122</v>
      </c>
      <c r="E1949" s="18">
        <v>30</v>
      </c>
      <c r="F1949" s="18" t="s">
        <v>78</v>
      </c>
      <c r="G1949" s="18" t="s">
        <v>22</v>
      </c>
      <c r="H1949" s="18" t="s">
        <v>23</v>
      </c>
      <c r="I1949" s="19">
        <v>12.38</v>
      </c>
      <c r="J1949" s="20">
        <f t="shared" si="60"/>
        <v>371.40000000000003</v>
      </c>
      <c r="K1949" s="106"/>
      <c r="L1949" s="114"/>
      <c r="M1949" s="114">
        <f>tblAquisições[[#This Row],[VALOR UNITARIO COMPRADO]]*tblAquisições[[#This Row],[QUANTIDADE COMPRADA]]</f>
        <v>0</v>
      </c>
      <c r="N1949" s="110">
        <f>K1949-tblAquisições[[#This Row],[QUANTIDADE PLANEJADA]]</f>
        <v>-30</v>
      </c>
      <c r="O1949" s="106" t="str">
        <f t="shared" si="61"/>
        <v>Faltando Comprar</v>
      </c>
    </row>
    <row r="1950" spans="1:15" ht="31.5">
      <c r="A1950" s="16" t="s">
        <v>17</v>
      </c>
      <c r="B1950" s="16" t="s">
        <v>27</v>
      </c>
      <c r="C1950" s="17" t="s">
        <v>19</v>
      </c>
      <c r="D1950" s="18" t="s">
        <v>1123</v>
      </c>
      <c r="E1950" s="18">
        <v>10</v>
      </c>
      <c r="F1950" s="18" t="s">
        <v>21</v>
      </c>
      <c r="G1950" s="18" t="s">
        <v>22</v>
      </c>
      <c r="H1950" s="18" t="s">
        <v>23</v>
      </c>
      <c r="I1950" s="19">
        <v>96.83</v>
      </c>
      <c r="J1950" s="20">
        <f t="shared" si="60"/>
        <v>968.3</v>
      </c>
      <c r="K1950" s="106"/>
      <c r="L1950" s="114"/>
      <c r="M1950" s="114">
        <f>tblAquisições[[#This Row],[VALOR UNITARIO COMPRADO]]*tblAquisições[[#This Row],[QUANTIDADE COMPRADA]]</f>
        <v>0</v>
      </c>
      <c r="N1950" s="110">
        <f>K1950-tblAquisições[[#This Row],[QUANTIDADE PLANEJADA]]</f>
        <v>-10</v>
      </c>
      <c r="O1950" s="106" t="str">
        <f t="shared" si="61"/>
        <v>Faltando Comprar</v>
      </c>
    </row>
    <row r="1951" spans="1:15" ht="63">
      <c r="A1951" s="16" t="s">
        <v>17</v>
      </c>
      <c r="B1951" s="16" t="s">
        <v>80</v>
      </c>
      <c r="C1951" s="17" t="s">
        <v>19</v>
      </c>
      <c r="D1951" s="18" t="s">
        <v>1124</v>
      </c>
      <c r="E1951" s="18">
        <v>5</v>
      </c>
      <c r="F1951" s="18" t="s">
        <v>774</v>
      </c>
      <c r="G1951" s="18" t="s">
        <v>775</v>
      </c>
      <c r="H1951" s="18" t="s">
        <v>23</v>
      </c>
      <c r="I1951" s="19">
        <v>4150</v>
      </c>
      <c r="J1951" s="20">
        <f t="shared" si="60"/>
        <v>20750</v>
      </c>
      <c r="K1951" s="106"/>
      <c r="L1951" s="114"/>
      <c r="M1951" s="114">
        <f>tblAquisições[[#This Row],[VALOR UNITARIO COMPRADO]]*tblAquisições[[#This Row],[QUANTIDADE COMPRADA]]</f>
        <v>0</v>
      </c>
      <c r="N1951" s="110">
        <f>K1951-tblAquisições[[#This Row],[QUANTIDADE PLANEJADA]]</f>
        <v>-5</v>
      </c>
      <c r="O1951" s="106" t="str">
        <f t="shared" si="61"/>
        <v>Faltando Comprar</v>
      </c>
    </row>
    <row r="1952" spans="1:15" ht="31.5">
      <c r="A1952" s="16" t="s">
        <v>17</v>
      </c>
      <c r="B1952" s="16" t="s">
        <v>31</v>
      </c>
      <c r="C1952" s="17" t="s">
        <v>19</v>
      </c>
      <c r="D1952" s="18" t="s">
        <v>1125</v>
      </c>
      <c r="E1952" s="18">
        <v>1</v>
      </c>
      <c r="F1952" s="18" t="s">
        <v>777</v>
      </c>
      <c r="G1952" s="18" t="s">
        <v>127</v>
      </c>
      <c r="H1952" s="18" t="s">
        <v>23</v>
      </c>
      <c r="I1952" s="19">
        <v>4150</v>
      </c>
      <c r="J1952" s="20">
        <f t="shared" si="60"/>
        <v>4150</v>
      </c>
      <c r="K1952" s="106"/>
      <c r="L1952" s="114"/>
      <c r="M1952" s="114">
        <f>tblAquisições[[#This Row],[VALOR UNITARIO COMPRADO]]*tblAquisições[[#This Row],[QUANTIDADE COMPRADA]]</f>
        <v>0</v>
      </c>
      <c r="N1952" s="110">
        <f>K1952-tblAquisições[[#This Row],[QUANTIDADE PLANEJADA]]</f>
        <v>-1</v>
      </c>
      <c r="O1952" s="106" t="str">
        <f t="shared" si="61"/>
        <v>Faltando Comprar</v>
      </c>
    </row>
    <row r="1953" spans="1:15" ht="31.5">
      <c r="A1953" s="16" t="s">
        <v>17</v>
      </c>
      <c r="B1953" s="16" t="s">
        <v>18</v>
      </c>
      <c r="C1953" s="17" t="s">
        <v>19</v>
      </c>
      <c r="D1953" s="18" t="s">
        <v>1126</v>
      </c>
      <c r="E1953" s="18">
        <v>1</v>
      </c>
      <c r="F1953" s="18" t="s">
        <v>777</v>
      </c>
      <c r="G1953" s="18" t="s">
        <v>127</v>
      </c>
      <c r="H1953" s="18" t="s">
        <v>23</v>
      </c>
      <c r="I1953" s="19">
        <v>7074.25</v>
      </c>
      <c r="J1953" s="20">
        <f t="shared" si="60"/>
        <v>7074.25</v>
      </c>
      <c r="K1953" s="106"/>
      <c r="L1953" s="114"/>
      <c r="M1953" s="114">
        <f>tblAquisições[[#This Row],[VALOR UNITARIO COMPRADO]]*tblAquisições[[#This Row],[QUANTIDADE COMPRADA]]</f>
        <v>0</v>
      </c>
      <c r="N1953" s="110">
        <f>K1953-tblAquisições[[#This Row],[QUANTIDADE PLANEJADA]]</f>
        <v>-1</v>
      </c>
      <c r="O1953" s="106" t="str">
        <f t="shared" si="61"/>
        <v>Faltando Comprar</v>
      </c>
    </row>
    <row r="1954" spans="1:15" ht="31.5">
      <c r="A1954" s="16" t="s">
        <v>17</v>
      </c>
      <c r="B1954" s="16" t="s">
        <v>24</v>
      </c>
      <c r="C1954" s="17" t="s">
        <v>19</v>
      </c>
      <c r="D1954" s="18" t="s">
        <v>1126</v>
      </c>
      <c r="E1954" s="18">
        <v>1</v>
      </c>
      <c r="F1954" s="18" t="s">
        <v>777</v>
      </c>
      <c r="G1954" s="18" t="s">
        <v>127</v>
      </c>
      <c r="H1954" s="18" t="s">
        <v>23</v>
      </c>
      <c r="I1954" s="19">
        <v>7074.25</v>
      </c>
      <c r="J1954" s="20">
        <f t="shared" si="60"/>
        <v>7074.25</v>
      </c>
      <c r="K1954" s="106"/>
      <c r="L1954" s="114"/>
      <c r="M1954" s="114">
        <f>tblAquisições[[#This Row],[VALOR UNITARIO COMPRADO]]*tblAquisições[[#This Row],[QUANTIDADE COMPRADA]]</f>
        <v>0</v>
      </c>
      <c r="N1954" s="110">
        <f>K1954-tblAquisições[[#This Row],[QUANTIDADE PLANEJADA]]</f>
        <v>-1</v>
      </c>
      <c r="O1954" s="106" t="str">
        <f t="shared" si="61"/>
        <v>Faltando Comprar</v>
      </c>
    </row>
    <row r="1955" spans="1:15" ht="31.5">
      <c r="A1955" s="16" t="s">
        <v>17</v>
      </c>
      <c r="B1955" s="16" t="s">
        <v>25</v>
      </c>
      <c r="C1955" s="17" t="s">
        <v>19</v>
      </c>
      <c r="D1955" s="18" t="s">
        <v>1126</v>
      </c>
      <c r="E1955" s="18">
        <v>1</v>
      </c>
      <c r="F1955" s="18" t="s">
        <v>777</v>
      </c>
      <c r="G1955" s="18" t="s">
        <v>127</v>
      </c>
      <c r="H1955" s="18" t="s">
        <v>23</v>
      </c>
      <c r="I1955" s="19">
        <v>7074.25</v>
      </c>
      <c r="J1955" s="20">
        <f t="shared" si="60"/>
        <v>7074.25</v>
      </c>
      <c r="K1955" s="106"/>
      <c r="L1955" s="114"/>
      <c r="M1955" s="114">
        <f>tblAquisições[[#This Row],[VALOR UNITARIO COMPRADO]]*tblAquisições[[#This Row],[QUANTIDADE COMPRADA]]</f>
        <v>0</v>
      </c>
      <c r="N1955" s="110">
        <f>K1955-tblAquisições[[#This Row],[QUANTIDADE PLANEJADA]]</f>
        <v>-1</v>
      </c>
      <c r="O1955" s="106" t="str">
        <f t="shared" si="61"/>
        <v>Faltando Comprar</v>
      </c>
    </row>
    <row r="1956" spans="1:15" ht="31.5">
      <c r="A1956" s="16" t="s">
        <v>17</v>
      </c>
      <c r="B1956" s="16" t="s">
        <v>18</v>
      </c>
      <c r="C1956" s="17" t="s">
        <v>19</v>
      </c>
      <c r="D1956" s="18" t="s">
        <v>1127</v>
      </c>
      <c r="E1956" s="18">
        <v>1</v>
      </c>
      <c r="F1956" s="18" t="s">
        <v>777</v>
      </c>
      <c r="G1956" s="18" t="s">
        <v>127</v>
      </c>
      <c r="H1956" s="18" t="s">
        <v>23</v>
      </c>
      <c r="I1956" s="19">
        <v>8235.5400000000009</v>
      </c>
      <c r="J1956" s="20">
        <f t="shared" si="60"/>
        <v>8235.5400000000009</v>
      </c>
      <c r="K1956" s="106"/>
      <c r="L1956" s="114"/>
      <c r="M1956" s="114">
        <f>tblAquisições[[#This Row],[VALOR UNITARIO COMPRADO]]*tblAquisições[[#This Row],[QUANTIDADE COMPRADA]]</f>
        <v>0</v>
      </c>
      <c r="N1956" s="110">
        <f>K1956-tblAquisições[[#This Row],[QUANTIDADE PLANEJADA]]</f>
        <v>-1</v>
      </c>
      <c r="O1956" s="106" t="str">
        <f t="shared" si="61"/>
        <v>Faltando Comprar</v>
      </c>
    </row>
    <row r="1957" spans="1:15" ht="31.5">
      <c r="A1957" s="16" t="s">
        <v>17</v>
      </c>
      <c r="B1957" s="16" t="s">
        <v>24</v>
      </c>
      <c r="C1957" s="17" t="s">
        <v>19</v>
      </c>
      <c r="D1957" s="18" t="s">
        <v>1127</v>
      </c>
      <c r="E1957" s="18">
        <v>1</v>
      </c>
      <c r="F1957" s="18" t="s">
        <v>777</v>
      </c>
      <c r="G1957" s="18" t="s">
        <v>127</v>
      </c>
      <c r="H1957" s="18" t="s">
        <v>23</v>
      </c>
      <c r="I1957" s="19">
        <v>8235.5400000000009</v>
      </c>
      <c r="J1957" s="20">
        <f t="shared" si="60"/>
        <v>8235.5400000000009</v>
      </c>
      <c r="K1957" s="106"/>
      <c r="L1957" s="114"/>
      <c r="M1957" s="114">
        <f>tblAquisições[[#This Row],[VALOR UNITARIO COMPRADO]]*tblAquisições[[#This Row],[QUANTIDADE COMPRADA]]</f>
        <v>0</v>
      </c>
      <c r="N1957" s="110">
        <f>K1957-tblAquisições[[#This Row],[QUANTIDADE PLANEJADA]]</f>
        <v>-1</v>
      </c>
      <c r="O1957" s="106" t="str">
        <f t="shared" si="61"/>
        <v>Faltando Comprar</v>
      </c>
    </row>
    <row r="1958" spans="1:15" ht="31.5">
      <c r="A1958" s="16" t="s">
        <v>17</v>
      </c>
      <c r="B1958" s="16" t="s">
        <v>25</v>
      </c>
      <c r="C1958" s="17" t="s">
        <v>19</v>
      </c>
      <c r="D1958" s="18" t="s">
        <v>1127</v>
      </c>
      <c r="E1958" s="18">
        <v>1</v>
      </c>
      <c r="F1958" s="18" t="s">
        <v>777</v>
      </c>
      <c r="G1958" s="18" t="s">
        <v>127</v>
      </c>
      <c r="H1958" s="18" t="s">
        <v>23</v>
      </c>
      <c r="I1958" s="19">
        <v>8235.5400000000009</v>
      </c>
      <c r="J1958" s="20">
        <f t="shared" si="60"/>
        <v>8235.5400000000009</v>
      </c>
      <c r="K1958" s="106"/>
      <c r="L1958" s="114"/>
      <c r="M1958" s="114">
        <f>tblAquisições[[#This Row],[VALOR UNITARIO COMPRADO]]*tblAquisições[[#This Row],[QUANTIDADE COMPRADA]]</f>
        <v>0</v>
      </c>
      <c r="N1958" s="110">
        <f>K1958-tblAquisições[[#This Row],[QUANTIDADE PLANEJADA]]</f>
        <v>-1</v>
      </c>
      <c r="O1958" s="106" t="str">
        <f t="shared" si="61"/>
        <v>Faltando Comprar</v>
      </c>
    </row>
    <row r="1959" spans="1:15" ht="31.5">
      <c r="A1959" s="16" t="s">
        <v>17</v>
      </c>
      <c r="B1959" s="16" t="s">
        <v>28</v>
      </c>
      <c r="C1959" s="17" t="s">
        <v>19</v>
      </c>
      <c r="D1959" s="18" t="s">
        <v>1127</v>
      </c>
      <c r="E1959" s="18">
        <v>1</v>
      </c>
      <c r="F1959" s="18" t="s">
        <v>777</v>
      </c>
      <c r="G1959" s="18" t="s">
        <v>127</v>
      </c>
      <c r="H1959" s="18" t="s">
        <v>23</v>
      </c>
      <c r="I1959" s="19">
        <v>8235.5400000000009</v>
      </c>
      <c r="J1959" s="20">
        <f t="shared" si="60"/>
        <v>8235.5400000000009</v>
      </c>
      <c r="K1959" s="106"/>
      <c r="L1959" s="114"/>
      <c r="M1959" s="114">
        <f>tblAquisições[[#This Row],[VALOR UNITARIO COMPRADO]]*tblAquisições[[#This Row],[QUANTIDADE COMPRADA]]</f>
        <v>0</v>
      </c>
      <c r="N1959" s="110">
        <f>K1959-tblAquisições[[#This Row],[QUANTIDADE PLANEJADA]]</f>
        <v>-1</v>
      </c>
      <c r="O1959" s="106" t="str">
        <f t="shared" si="61"/>
        <v>Faltando Comprar</v>
      </c>
    </row>
    <row r="1960" spans="1:15" ht="31.5">
      <c r="A1960" s="16" t="s">
        <v>17</v>
      </c>
      <c r="B1960" s="16" t="s">
        <v>80</v>
      </c>
      <c r="C1960" s="17" t="s">
        <v>19</v>
      </c>
      <c r="D1960" s="18" t="s">
        <v>1128</v>
      </c>
      <c r="E1960" s="18">
        <v>6</v>
      </c>
      <c r="F1960" s="18" t="s">
        <v>38</v>
      </c>
      <c r="G1960" s="18" t="s">
        <v>39</v>
      </c>
      <c r="H1960" s="18" t="s">
        <v>23</v>
      </c>
      <c r="I1960" s="19">
        <v>85</v>
      </c>
      <c r="J1960" s="20">
        <f t="shared" si="60"/>
        <v>510</v>
      </c>
      <c r="K1960" s="106"/>
      <c r="L1960" s="114"/>
      <c r="M1960" s="114">
        <f>tblAquisições[[#This Row],[VALOR UNITARIO COMPRADO]]*tblAquisições[[#This Row],[QUANTIDADE COMPRADA]]</f>
        <v>0</v>
      </c>
      <c r="N1960" s="110">
        <f>K1960-tblAquisições[[#This Row],[QUANTIDADE PLANEJADA]]</f>
        <v>-6</v>
      </c>
      <c r="O1960" s="106" t="str">
        <f t="shared" si="61"/>
        <v>Faltando Comprar</v>
      </c>
    </row>
    <row r="1961" spans="1:15" ht="31.5">
      <c r="A1961" s="16" t="s">
        <v>17</v>
      </c>
      <c r="B1961" s="16" t="s">
        <v>18</v>
      </c>
      <c r="C1961" s="17" t="s">
        <v>19</v>
      </c>
      <c r="D1961" s="18" t="s">
        <v>1129</v>
      </c>
      <c r="E1961" s="18">
        <v>20</v>
      </c>
      <c r="F1961" s="18" t="s">
        <v>21</v>
      </c>
      <c r="G1961" s="18" t="s">
        <v>22</v>
      </c>
      <c r="H1961" s="18" t="s">
        <v>23</v>
      </c>
      <c r="I1961" s="19">
        <v>85</v>
      </c>
      <c r="J1961" s="20">
        <f t="shared" si="60"/>
        <v>1700</v>
      </c>
      <c r="K1961" s="106"/>
      <c r="L1961" s="114"/>
      <c r="M1961" s="114">
        <f>tblAquisições[[#This Row],[VALOR UNITARIO COMPRADO]]*tblAquisições[[#This Row],[QUANTIDADE COMPRADA]]</f>
        <v>0</v>
      </c>
      <c r="N1961" s="110">
        <f>K1961-tblAquisições[[#This Row],[QUANTIDADE PLANEJADA]]</f>
        <v>-20</v>
      </c>
      <c r="O1961" s="106" t="str">
        <f t="shared" si="61"/>
        <v>Faltando Comprar</v>
      </c>
    </row>
    <row r="1962" spans="1:15" ht="31.5">
      <c r="A1962" s="16" t="s">
        <v>17</v>
      </c>
      <c r="B1962" s="16" t="s">
        <v>24</v>
      </c>
      <c r="C1962" s="17" t="s">
        <v>19</v>
      </c>
      <c r="D1962" s="18" t="s">
        <v>1129</v>
      </c>
      <c r="E1962" s="18">
        <v>20</v>
      </c>
      <c r="F1962" s="18" t="s">
        <v>21</v>
      </c>
      <c r="G1962" s="18" t="s">
        <v>22</v>
      </c>
      <c r="H1962" s="18" t="s">
        <v>23</v>
      </c>
      <c r="I1962" s="19">
        <v>85</v>
      </c>
      <c r="J1962" s="20">
        <f t="shared" si="60"/>
        <v>1700</v>
      </c>
      <c r="K1962" s="106"/>
      <c r="L1962" s="114"/>
      <c r="M1962" s="114">
        <f>tblAquisições[[#This Row],[VALOR UNITARIO COMPRADO]]*tblAquisições[[#This Row],[QUANTIDADE COMPRADA]]</f>
        <v>0</v>
      </c>
      <c r="N1962" s="110">
        <f>K1962-tblAquisições[[#This Row],[QUANTIDADE PLANEJADA]]</f>
        <v>-20</v>
      </c>
      <c r="O1962" s="106" t="str">
        <f t="shared" si="61"/>
        <v>Faltando Comprar</v>
      </c>
    </row>
    <row r="1963" spans="1:15" ht="31.5">
      <c r="A1963" s="16" t="s">
        <v>17</v>
      </c>
      <c r="B1963" s="16" t="s">
        <v>25</v>
      </c>
      <c r="C1963" s="17" t="s">
        <v>19</v>
      </c>
      <c r="D1963" s="18" t="s">
        <v>1129</v>
      </c>
      <c r="E1963" s="18">
        <v>20</v>
      </c>
      <c r="F1963" s="18" t="s">
        <v>21</v>
      </c>
      <c r="G1963" s="18" t="s">
        <v>22</v>
      </c>
      <c r="H1963" s="18" t="s">
        <v>23</v>
      </c>
      <c r="I1963" s="19">
        <v>85</v>
      </c>
      <c r="J1963" s="20">
        <f t="shared" si="60"/>
        <v>1700</v>
      </c>
      <c r="K1963" s="106"/>
      <c r="L1963" s="114"/>
      <c r="M1963" s="114">
        <f>tblAquisições[[#This Row],[VALOR UNITARIO COMPRADO]]*tblAquisições[[#This Row],[QUANTIDADE COMPRADA]]</f>
        <v>0</v>
      </c>
      <c r="N1963" s="110">
        <f>K1963-tblAquisições[[#This Row],[QUANTIDADE PLANEJADA]]</f>
        <v>-20</v>
      </c>
      <c r="O1963" s="106" t="str">
        <f t="shared" si="61"/>
        <v>Faltando Comprar</v>
      </c>
    </row>
    <row r="1964" spans="1:15" ht="31.5">
      <c r="A1964" s="16" t="s">
        <v>17</v>
      </c>
      <c r="B1964" s="16" t="s">
        <v>27</v>
      </c>
      <c r="C1964" s="17" t="s">
        <v>19</v>
      </c>
      <c r="D1964" s="18" t="s">
        <v>1129</v>
      </c>
      <c r="E1964" s="18">
        <v>15</v>
      </c>
      <c r="F1964" s="18" t="s">
        <v>21</v>
      </c>
      <c r="G1964" s="18" t="s">
        <v>22</v>
      </c>
      <c r="H1964" s="18" t="s">
        <v>23</v>
      </c>
      <c r="I1964" s="19">
        <v>85</v>
      </c>
      <c r="J1964" s="20">
        <f t="shared" si="60"/>
        <v>1275</v>
      </c>
      <c r="K1964" s="106"/>
      <c r="L1964" s="114"/>
      <c r="M1964" s="114">
        <f>tblAquisições[[#This Row],[VALOR UNITARIO COMPRADO]]*tblAquisições[[#This Row],[QUANTIDADE COMPRADA]]</f>
        <v>0</v>
      </c>
      <c r="N1964" s="110">
        <f>K1964-tblAquisições[[#This Row],[QUANTIDADE PLANEJADA]]</f>
        <v>-15</v>
      </c>
      <c r="O1964" s="106" t="str">
        <f t="shared" si="61"/>
        <v>Faltando Comprar</v>
      </c>
    </row>
    <row r="1965" spans="1:15" ht="31.5">
      <c r="A1965" s="16" t="s">
        <v>17</v>
      </c>
      <c r="B1965" s="16" t="s">
        <v>28</v>
      </c>
      <c r="C1965" s="17" t="s">
        <v>19</v>
      </c>
      <c r="D1965" s="18" t="s">
        <v>1129</v>
      </c>
      <c r="E1965" s="18">
        <v>60</v>
      </c>
      <c r="F1965" s="18" t="s">
        <v>21</v>
      </c>
      <c r="G1965" s="18" t="s">
        <v>22</v>
      </c>
      <c r="H1965" s="18" t="s">
        <v>23</v>
      </c>
      <c r="I1965" s="19">
        <v>85</v>
      </c>
      <c r="J1965" s="20">
        <f t="shared" si="60"/>
        <v>5100</v>
      </c>
      <c r="K1965" s="106"/>
      <c r="L1965" s="114"/>
      <c r="M1965" s="114">
        <f>tblAquisições[[#This Row],[VALOR UNITARIO COMPRADO]]*tblAquisições[[#This Row],[QUANTIDADE COMPRADA]]</f>
        <v>0</v>
      </c>
      <c r="N1965" s="110">
        <f>K1965-tblAquisições[[#This Row],[QUANTIDADE PLANEJADA]]</f>
        <v>-60</v>
      </c>
      <c r="O1965" s="106" t="str">
        <f t="shared" si="61"/>
        <v>Faltando Comprar</v>
      </c>
    </row>
    <row r="1966" spans="1:15" ht="47.25">
      <c r="A1966" s="16" t="s">
        <v>17</v>
      </c>
      <c r="B1966" s="16" t="s">
        <v>31</v>
      </c>
      <c r="C1966" s="17" t="s">
        <v>19</v>
      </c>
      <c r="D1966" s="18" t="s">
        <v>1130</v>
      </c>
      <c r="E1966" s="18">
        <v>20</v>
      </c>
      <c r="F1966" s="18" t="s">
        <v>78</v>
      </c>
      <c r="G1966" s="18" t="s">
        <v>22</v>
      </c>
      <c r="H1966" s="18" t="s">
        <v>83</v>
      </c>
      <c r="I1966" s="19">
        <v>28.51</v>
      </c>
      <c r="J1966" s="20">
        <f t="shared" si="60"/>
        <v>570.20000000000005</v>
      </c>
      <c r="K1966" s="106"/>
      <c r="L1966" s="114"/>
      <c r="M1966" s="114">
        <f>tblAquisições[[#This Row],[VALOR UNITARIO COMPRADO]]*tblAquisições[[#This Row],[QUANTIDADE COMPRADA]]</f>
        <v>0</v>
      </c>
      <c r="N1966" s="110">
        <f>K1966-tblAquisições[[#This Row],[QUANTIDADE PLANEJADA]]</f>
        <v>-20</v>
      </c>
      <c r="O1966" s="106" t="str">
        <f t="shared" si="61"/>
        <v>Faltando Comprar</v>
      </c>
    </row>
    <row r="1967" spans="1:15" ht="31.5">
      <c r="A1967" s="16" t="s">
        <v>17</v>
      </c>
      <c r="B1967" s="16" t="s">
        <v>31</v>
      </c>
      <c r="C1967" s="17" t="s">
        <v>19</v>
      </c>
      <c r="D1967" s="18" t="s">
        <v>1131</v>
      </c>
      <c r="E1967" s="18">
        <v>2</v>
      </c>
      <c r="F1967" s="18" t="s">
        <v>21</v>
      </c>
      <c r="G1967" s="18" t="s">
        <v>22</v>
      </c>
      <c r="H1967" s="18" t="s">
        <v>23</v>
      </c>
      <c r="I1967" s="19">
        <v>146</v>
      </c>
      <c r="J1967" s="20">
        <f t="shared" si="60"/>
        <v>292</v>
      </c>
      <c r="K1967" s="106"/>
      <c r="L1967" s="114"/>
      <c r="M1967" s="114">
        <f>tblAquisições[[#This Row],[VALOR UNITARIO COMPRADO]]*tblAquisições[[#This Row],[QUANTIDADE COMPRADA]]</f>
        <v>0</v>
      </c>
      <c r="N1967" s="110">
        <f>K1967-tblAquisições[[#This Row],[QUANTIDADE PLANEJADA]]</f>
        <v>-2</v>
      </c>
      <c r="O1967" s="106" t="str">
        <f t="shared" si="61"/>
        <v>Faltando Comprar</v>
      </c>
    </row>
    <row r="1968" spans="1:15" ht="31.5">
      <c r="A1968" s="16" t="s">
        <v>17</v>
      </c>
      <c r="B1968" s="16" t="s">
        <v>18</v>
      </c>
      <c r="C1968" s="17" t="s">
        <v>19</v>
      </c>
      <c r="D1968" s="18" t="s">
        <v>1131</v>
      </c>
      <c r="E1968" s="18">
        <v>20</v>
      </c>
      <c r="F1968" s="18" t="s">
        <v>21</v>
      </c>
      <c r="G1968" s="18" t="s">
        <v>22</v>
      </c>
      <c r="H1968" s="18" t="s">
        <v>23</v>
      </c>
      <c r="I1968" s="19">
        <v>146</v>
      </c>
      <c r="J1968" s="20">
        <f t="shared" si="60"/>
        <v>2920</v>
      </c>
      <c r="K1968" s="106"/>
      <c r="L1968" s="114"/>
      <c r="M1968" s="114">
        <f>tblAquisições[[#This Row],[VALOR UNITARIO COMPRADO]]*tblAquisições[[#This Row],[QUANTIDADE COMPRADA]]</f>
        <v>0</v>
      </c>
      <c r="N1968" s="110">
        <f>K1968-tblAquisições[[#This Row],[QUANTIDADE PLANEJADA]]</f>
        <v>-20</v>
      </c>
      <c r="O1968" s="106" t="str">
        <f t="shared" si="61"/>
        <v>Faltando Comprar</v>
      </c>
    </row>
    <row r="1969" spans="1:15" ht="31.5">
      <c r="A1969" s="16" t="s">
        <v>17</v>
      </c>
      <c r="B1969" s="16" t="s">
        <v>24</v>
      </c>
      <c r="C1969" s="17" t="s">
        <v>19</v>
      </c>
      <c r="D1969" s="18" t="s">
        <v>1131</v>
      </c>
      <c r="E1969" s="18">
        <v>20</v>
      </c>
      <c r="F1969" s="18" t="s">
        <v>21</v>
      </c>
      <c r="G1969" s="18" t="s">
        <v>22</v>
      </c>
      <c r="H1969" s="18" t="s">
        <v>23</v>
      </c>
      <c r="I1969" s="19">
        <v>146</v>
      </c>
      <c r="J1969" s="20">
        <f t="shared" si="60"/>
        <v>2920</v>
      </c>
      <c r="K1969" s="106"/>
      <c r="L1969" s="114"/>
      <c r="M1969" s="114">
        <f>tblAquisições[[#This Row],[VALOR UNITARIO COMPRADO]]*tblAquisições[[#This Row],[QUANTIDADE COMPRADA]]</f>
        <v>0</v>
      </c>
      <c r="N1969" s="110">
        <f>K1969-tblAquisições[[#This Row],[QUANTIDADE PLANEJADA]]</f>
        <v>-20</v>
      </c>
      <c r="O1969" s="106" t="str">
        <f t="shared" si="61"/>
        <v>Faltando Comprar</v>
      </c>
    </row>
    <row r="1970" spans="1:15" ht="31.5">
      <c r="A1970" s="16" t="s">
        <v>17</v>
      </c>
      <c r="B1970" s="16" t="s">
        <v>25</v>
      </c>
      <c r="C1970" s="17" t="s">
        <v>19</v>
      </c>
      <c r="D1970" s="18" t="s">
        <v>1131</v>
      </c>
      <c r="E1970" s="18">
        <v>20</v>
      </c>
      <c r="F1970" s="18" t="s">
        <v>21</v>
      </c>
      <c r="G1970" s="18" t="s">
        <v>22</v>
      </c>
      <c r="H1970" s="18" t="s">
        <v>23</v>
      </c>
      <c r="I1970" s="19">
        <v>146</v>
      </c>
      <c r="J1970" s="20">
        <f t="shared" si="60"/>
        <v>2920</v>
      </c>
      <c r="K1970" s="106"/>
      <c r="L1970" s="114"/>
      <c r="M1970" s="114">
        <f>tblAquisições[[#This Row],[VALOR UNITARIO COMPRADO]]*tblAquisições[[#This Row],[QUANTIDADE COMPRADA]]</f>
        <v>0</v>
      </c>
      <c r="N1970" s="110">
        <f>K1970-tblAquisições[[#This Row],[QUANTIDADE PLANEJADA]]</f>
        <v>-20</v>
      </c>
      <c r="O1970" s="106" t="str">
        <f t="shared" si="61"/>
        <v>Faltando Comprar</v>
      </c>
    </row>
    <row r="1971" spans="1:15" ht="31.5">
      <c r="A1971" s="16" t="s">
        <v>17</v>
      </c>
      <c r="B1971" s="16" t="s">
        <v>41</v>
      </c>
      <c r="C1971" s="17" t="s">
        <v>19</v>
      </c>
      <c r="D1971" s="18" t="s">
        <v>1131</v>
      </c>
      <c r="E1971" s="18">
        <v>3</v>
      </c>
      <c r="F1971" s="18" t="s">
        <v>21</v>
      </c>
      <c r="G1971" s="18" t="s">
        <v>22</v>
      </c>
      <c r="H1971" s="18" t="s">
        <v>23</v>
      </c>
      <c r="I1971" s="19">
        <v>146</v>
      </c>
      <c r="J1971" s="20">
        <f t="shared" si="60"/>
        <v>438</v>
      </c>
      <c r="K1971" s="106"/>
      <c r="L1971" s="114"/>
      <c r="M1971" s="114">
        <f>tblAquisições[[#This Row],[VALOR UNITARIO COMPRADO]]*tblAquisições[[#This Row],[QUANTIDADE COMPRADA]]</f>
        <v>0</v>
      </c>
      <c r="N1971" s="110">
        <f>K1971-tblAquisições[[#This Row],[QUANTIDADE PLANEJADA]]</f>
        <v>-3</v>
      </c>
      <c r="O1971" s="106" t="str">
        <f t="shared" si="61"/>
        <v>Faltando Comprar</v>
      </c>
    </row>
    <row r="1972" spans="1:15" ht="31.5">
      <c r="A1972" s="16" t="s">
        <v>17</v>
      </c>
      <c r="B1972" s="16" t="s">
        <v>26</v>
      </c>
      <c r="C1972" s="17" t="s">
        <v>19</v>
      </c>
      <c r="D1972" s="18" t="s">
        <v>1131</v>
      </c>
      <c r="E1972" s="18">
        <v>4</v>
      </c>
      <c r="F1972" s="18" t="s">
        <v>21</v>
      </c>
      <c r="G1972" s="18" t="s">
        <v>22</v>
      </c>
      <c r="H1972" s="18" t="s">
        <v>23</v>
      </c>
      <c r="I1972" s="19">
        <v>146</v>
      </c>
      <c r="J1972" s="20">
        <f t="shared" si="60"/>
        <v>584</v>
      </c>
      <c r="K1972" s="106"/>
      <c r="L1972" s="114"/>
      <c r="M1972" s="114">
        <f>tblAquisições[[#This Row],[VALOR UNITARIO COMPRADO]]*tblAquisições[[#This Row],[QUANTIDADE COMPRADA]]</f>
        <v>0</v>
      </c>
      <c r="N1972" s="110">
        <f>K1972-tblAquisições[[#This Row],[QUANTIDADE PLANEJADA]]</f>
        <v>-4</v>
      </c>
      <c r="O1972" s="106" t="str">
        <f t="shared" si="61"/>
        <v>Faltando Comprar</v>
      </c>
    </row>
    <row r="1973" spans="1:15" ht="31.5">
      <c r="A1973" s="16" t="s">
        <v>17</v>
      </c>
      <c r="B1973" s="16" t="s">
        <v>27</v>
      </c>
      <c r="C1973" s="17" t="s">
        <v>19</v>
      </c>
      <c r="D1973" s="18" t="s">
        <v>1131</v>
      </c>
      <c r="E1973" s="18">
        <v>40</v>
      </c>
      <c r="F1973" s="18" t="s">
        <v>21</v>
      </c>
      <c r="G1973" s="18" t="s">
        <v>22</v>
      </c>
      <c r="H1973" s="18" t="s">
        <v>23</v>
      </c>
      <c r="I1973" s="19">
        <v>146</v>
      </c>
      <c r="J1973" s="20">
        <f t="shared" si="60"/>
        <v>5840</v>
      </c>
      <c r="K1973" s="106"/>
      <c r="L1973" s="114"/>
      <c r="M1973" s="114">
        <f>tblAquisições[[#This Row],[VALOR UNITARIO COMPRADO]]*tblAquisições[[#This Row],[QUANTIDADE COMPRADA]]</f>
        <v>0</v>
      </c>
      <c r="N1973" s="110">
        <f>K1973-tblAquisições[[#This Row],[QUANTIDADE PLANEJADA]]</f>
        <v>-40</v>
      </c>
      <c r="O1973" s="106" t="str">
        <f t="shared" si="61"/>
        <v>Faltando Comprar</v>
      </c>
    </row>
    <row r="1974" spans="1:15" ht="31.5">
      <c r="A1974" s="16" t="s">
        <v>17</v>
      </c>
      <c r="B1974" s="16" t="s">
        <v>28</v>
      </c>
      <c r="C1974" s="17" t="s">
        <v>19</v>
      </c>
      <c r="D1974" s="18" t="s">
        <v>1131</v>
      </c>
      <c r="E1974" s="18">
        <v>30</v>
      </c>
      <c r="F1974" s="18" t="s">
        <v>21</v>
      </c>
      <c r="G1974" s="18" t="s">
        <v>22</v>
      </c>
      <c r="H1974" s="18" t="s">
        <v>23</v>
      </c>
      <c r="I1974" s="19">
        <v>146</v>
      </c>
      <c r="J1974" s="20">
        <f t="shared" si="60"/>
        <v>4380</v>
      </c>
      <c r="K1974" s="106"/>
      <c r="L1974" s="114"/>
      <c r="M1974" s="114">
        <f>tblAquisições[[#This Row],[VALOR UNITARIO COMPRADO]]*tblAquisições[[#This Row],[QUANTIDADE COMPRADA]]</f>
        <v>0</v>
      </c>
      <c r="N1974" s="110">
        <f>K1974-tblAquisições[[#This Row],[QUANTIDADE PLANEJADA]]</f>
        <v>-30</v>
      </c>
      <c r="O1974" s="106" t="str">
        <f t="shared" si="61"/>
        <v>Faltando Comprar</v>
      </c>
    </row>
    <row r="1975" spans="1:15" ht="63">
      <c r="A1975" s="16" t="s">
        <v>17</v>
      </c>
      <c r="B1975" s="16" t="s">
        <v>18</v>
      </c>
      <c r="C1975" s="17" t="s">
        <v>19</v>
      </c>
      <c r="D1975" s="18" t="s">
        <v>1132</v>
      </c>
      <c r="E1975" s="18">
        <v>2</v>
      </c>
      <c r="F1975" s="18" t="s">
        <v>126</v>
      </c>
      <c r="G1975" s="18" t="s">
        <v>127</v>
      </c>
      <c r="H1975" s="18" t="s">
        <v>23</v>
      </c>
      <c r="I1975" s="19">
        <v>28425</v>
      </c>
      <c r="J1975" s="20">
        <f t="shared" si="60"/>
        <v>56850</v>
      </c>
      <c r="K1975" s="106"/>
      <c r="L1975" s="114"/>
      <c r="M1975" s="114">
        <f>tblAquisições[[#This Row],[VALOR UNITARIO COMPRADO]]*tblAquisições[[#This Row],[QUANTIDADE COMPRADA]]</f>
        <v>0</v>
      </c>
      <c r="N1975" s="110">
        <f>K1975-tblAquisições[[#This Row],[QUANTIDADE PLANEJADA]]</f>
        <v>-2</v>
      </c>
      <c r="O1975" s="106" t="str">
        <f t="shared" si="61"/>
        <v>Faltando Comprar</v>
      </c>
    </row>
    <row r="1976" spans="1:15" ht="63">
      <c r="A1976" s="16" t="s">
        <v>17</v>
      </c>
      <c r="B1976" s="16" t="s">
        <v>24</v>
      </c>
      <c r="C1976" s="17" t="s">
        <v>19</v>
      </c>
      <c r="D1976" s="18" t="s">
        <v>1132</v>
      </c>
      <c r="E1976" s="18">
        <v>2</v>
      </c>
      <c r="F1976" s="18" t="s">
        <v>126</v>
      </c>
      <c r="G1976" s="18" t="s">
        <v>127</v>
      </c>
      <c r="H1976" s="18" t="s">
        <v>23</v>
      </c>
      <c r="I1976" s="19">
        <v>28425</v>
      </c>
      <c r="J1976" s="20">
        <f t="shared" si="60"/>
        <v>56850</v>
      </c>
      <c r="K1976" s="106"/>
      <c r="L1976" s="114"/>
      <c r="M1976" s="114">
        <f>tblAquisições[[#This Row],[VALOR UNITARIO COMPRADO]]*tblAquisições[[#This Row],[QUANTIDADE COMPRADA]]</f>
        <v>0</v>
      </c>
      <c r="N1976" s="110">
        <f>K1976-tblAquisições[[#This Row],[QUANTIDADE PLANEJADA]]</f>
        <v>-2</v>
      </c>
      <c r="O1976" s="106" t="str">
        <f t="shared" si="61"/>
        <v>Faltando Comprar</v>
      </c>
    </row>
    <row r="1977" spans="1:15" ht="63">
      <c r="A1977" s="16" t="s">
        <v>17</v>
      </c>
      <c r="B1977" s="16" t="s">
        <v>25</v>
      </c>
      <c r="C1977" s="17" t="s">
        <v>19</v>
      </c>
      <c r="D1977" s="18" t="s">
        <v>1132</v>
      </c>
      <c r="E1977" s="18">
        <v>2</v>
      </c>
      <c r="F1977" s="18" t="s">
        <v>126</v>
      </c>
      <c r="G1977" s="18" t="s">
        <v>127</v>
      </c>
      <c r="H1977" s="18" t="s">
        <v>23</v>
      </c>
      <c r="I1977" s="19">
        <v>28425</v>
      </c>
      <c r="J1977" s="20">
        <f t="shared" si="60"/>
        <v>56850</v>
      </c>
      <c r="K1977" s="106"/>
      <c r="L1977" s="114"/>
      <c r="M1977" s="114">
        <f>tblAquisições[[#This Row],[VALOR UNITARIO COMPRADO]]*tblAquisições[[#This Row],[QUANTIDADE COMPRADA]]</f>
        <v>0</v>
      </c>
      <c r="N1977" s="110">
        <f>K1977-tblAquisições[[#This Row],[QUANTIDADE PLANEJADA]]</f>
        <v>-2</v>
      </c>
      <c r="O1977" s="106" t="str">
        <f t="shared" si="61"/>
        <v>Faltando Comprar</v>
      </c>
    </row>
    <row r="1978" spans="1:15" ht="31.5">
      <c r="A1978" s="16" t="s">
        <v>17</v>
      </c>
      <c r="B1978" s="16" t="s">
        <v>18</v>
      </c>
      <c r="C1978" s="17" t="s">
        <v>19</v>
      </c>
      <c r="D1978" s="18" t="s">
        <v>1133</v>
      </c>
      <c r="E1978" s="18">
        <v>5</v>
      </c>
      <c r="F1978" s="18" t="s">
        <v>992</v>
      </c>
      <c r="G1978" s="18" t="s">
        <v>127</v>
      </c>
      <c r="H1978" s="18" t="s">
        <v>23</v>
      </c>
      <c r="I1978" s="19">
        <v>11772</v>
      </c>
      <c r="J1978" s="20">
        <f t="shared" si="60"/>
        <v>58860</v>
      </c>
      <c r="K1978" s="106"/>
      <c r="L1978" s="114"/>
      <c r="M1978" s="114">
        <f>tblAquisições[[#This Row],[VALOR UNITARIO COMPRADO]]*tblAquisições[[#This Row],[QUANTIDADE COMPRADA]]</f>
        <v>0</v>
      </c>
      <c r="N1978" s="110">
        <f>K1978-tblAquisições[[#This Row],[QUANTIDADE PLANEJADA]]</f>
        <v>-5</v>
      </c>
      <c r="O1978" s="106" t="str">
        <f t="shared" si="61"/>
        <v>Faltando Comprar</v>
      </c>
    </row>
    <row r="1979" spans="1:15" ht="31.5">
      <c r="A1979" s="16" t="s">
        <v>17</v>
      </c>
      <c r="B1979" s="16" t="s">
        <v>24</v>
      </c>
      <c r="C1979" s="17" t="s">
        <v>19</v>
      </c>
      <c r="D1979" s="18" t="s">
        <v>1133</v>
      </c>
      <c r="E1979" s="18">
        <v>5</v>
      </c>
      <c r="F1979" s="18" t="s">
        <v>992</v>
      </c>
      <c r="G1979" s="18" t="s">
        <v>127</v>
      </c>
      <c r="H1979" s="18" t="s">
        <v>23</v>
      </c>
      <c r="I1979" s="19">
        <v>11772</v>
      </c>
      <c r="J1979" s="20">
        <f t="shared" si="60"/>
        <v>58860</v>
      </c>
      <c r="K1979" s="106"/>
      <c r="L1979" s="114"/>
      <c r="M1979" s="114">
        <f>tblAquisições[[#This Row],[VALOR UNITARIO COMPRADO]]*tblAquisições[[#This Row],[QUANTIDADE COMPRADA]]</f>
        <v>0</v>
      </c>
      <c r="N1979" s="110">
        <f>K1979-tblAquisições[[#This Row],[QUANTIDADE PLANEJADA]]</f>
        <v>-5</v>
      </c>
      <c r="O1979" s="106" t="str">
        <f t="shared" si="61"/>
        <v>Faltando Comprar</v>
      </c>
    </row>
    <row r="1980" spans="1:15" ht="31.5">
      <c r="A1980" s="16" t="s">
        <v>17</v>
      </c>
      <c r="B1980" s="16" t="s">
        <v>25</v>
      </c>
      <c r="C1980" s="17" t="s">
        <v>19</v>
      </c>
      <c r="D1980" s="18" t="s">
        <v>1133</v>
      </c>
      <c r="E1980" s="18">
        <v>5</v>
      </c>
      <c r="F1980" s="18" t="s">
        <v>992</v>
      </c>
      <c r="G1980" s="18" t="s">
        <v>127</v>
      </c>
      <c r="H1980" s="18" t="s">
        <v>23</v>
      </c>
      <c r="I1980" s="19">
        <v>11772</v>
      </c>
      <c r="J1980" s="20">
        <f t="shared" si="60"/>
        <v>58860</v>
      </c>
      <c r="K1980" s="106"/>
      <c r="L1980" s="114"/>
      <c r="M1980" s="114">
        <f>tblAquisições[[#This Row],[VALOR UNITARIO COMPRADO]]*tblAquisições[[#This Row],[QUANTIDADE COMPRADA]]</f>
        <v>0</v>
      </c>
      <c r="N1980" s="110">
        <f>K1980-tblAquisições[[#This Row],[QUANTIDADE PLANEJADA]]</f>
        <v>-5</v>
      </c>
      <c r="O1980" s="106" t="str">
        <f t="shared" si="61"/>
        <v>Faltando Comprar</v>
      </c>
    </row>
    <row r="1981" spans="1:15" ht="31.5">
      <c r="A1981" s="16" t="s">
        <v>17</v>
      </c>
      <c r="B1981" s="16" t="s">
        <v>41</v>
      </c>
      <c r="C1981" s="17" t="s">
        <v>19</v>
      </c>
      <c r="D1981" s="18" t="s">
        <v>1133</v>
      </c>
      <c r="E1981" s="18">
        <v>2</v>
      </c>
      <c r="F1981" s="18" t="s">
        <v>992</v>
      </c>
      <c r="G1981" s="18" t="s">
        <v>127</v>
      </c>
      <c r="H1981" s="18" t="s">
        <v>23</v>
      </c>
      <c r="I1981" s="19">
        <v>11772</v>
      </c>
      <c r="J1981" s="20">
        <f t="shared" si="60"/>
        <v>23544</v>
      </c>
      <c r="K1981" s="106"/>
      <c r="L1981" s="114"/>
      <c r="M1981" s="114">
        <f>tblAquisições[[#This Row],[VALOR UNITARIO COMPRADO]]*tblAquisições[[#This Row],[QUANTIDADE COMPRADA]]</f>
        <v>0</v>
      </c>
      <c r="N1981" s="110">
        <f>K1981-tblAquisições[[#This Row],[QUANTIDADE PLANEJADA]]</f>
        <v>-2</v>
      </c>
      <c r="O1981" s="106" t="str">
        <f t="shared" si="61"/>
        <v>Faltando Comprar</v>
      </c>
    </row>
    <row r="1982" spans="1:15" ht="31.5">
      <c r="A1982" s="16" t="s">
        <v>17</v>
      </c>
      <c r="B1982" s="16" t="s">
        <v>26</v>
      </c>
      <c r="C1982" s="17" t="s">
        <v>19</v>
      </c>
      <c r="D1982" s="18" t="s">
        <v>1133</v>
      </c>
      <c r="E1982" s="18">
        <v>2</v>
      </c>
      <c r="F1982" s="18" t="s">
        <v>992</v>
      </c>
      <c r="G1982" s="18" t="s">
        <v>127</v>
      </c>
      <c r="H1982" s="18" t="s">
        <v>23</v>
      </c>
      <c r="I1982" s="19">
        <v>11772</v>
      </c>
      <c r="J1982" s="20">
        <f t="shared" si="60"/>
        <v>23544</v>
      </c>
      <c r="K1982" s="106"/>
      <c r="L1982" s="114"/>
      <c r="M1982" s="114">
        <f>tblAquisições[[#This Row],[VALOR UNITARIO COMPRADO]]*tblAquisições[[#This Row],[QUANTIDADE COMPRADA]]</f>
        <v>0</v>
      </c>
      <c r="N1982" s="110">
        <f>K1982-tblAquisições[[#This Row],[QUANTIDADE PLANEJADA]]</f>
        <v>-2</v>
      </c>
      <c r="O1982" s="106" t="str">
        <f t="shared" si="61"/>
        <v>Faltando Comprar</v>
      </c>
    </row>
    <row r="1983" spans="1:15" ht="31.5">
      <c r="A1983" s="16" t="s">
        <v>17</v>
      </c>
      <c r="B1983" s="16" t="s">
        <v>28</v>
      </c>
      <c r="C1983" s="17" t="s">
        <v>19</v>
      </c>
      <c r="D1983" s="18" t="s">
        <v>1133</v>
      </c>
      <c r="E1983" s="18">
        <v>19</v>
      </c>
      <c r="F1983" s="18" t="s">
        <v>992</v>
      </c>
      <c r="G1983" s="18" t="s">
        <v>127</v>
      </c>
      <c r="H1983" s="18" t="s">
        <v>23</v>
      </c>
      <c r="I1983" s="19">
        <v>11772</v>
      </c>
      <c r="J1983" s="20">
        <f t="shared" si="60"/>
        <v>223668</v>
      </c>
      <c r="K1983" s="106"/>
      <c r="L1983" s="114"/>
      <c r="M1983" s="114">
        <f>tblAquisições[[#This Row],[VALOR UNITARIO COMPRADO]]*tblAquisições[[#This Row],[QUANTIDADE COMPRADA]]</f>
        <v>0</v>
      </c>
      <c r="N1983" s="110">
        <f>K1983-tblAquisições[[#This Row],[QUANTIDADE PLANEJADA]]</f>
        <v>-19</v>
      </c>
      <c r="O1983" s="106" t="str">
        <f t="shared" si="61"/>
        <v>Faltando Comprar</v>
      </c>
    </row>
    <row r="1984" spans="1:15" ht="47.25">
      <c r="A1984" s="16" t="s">
        <v>17</v>
      </c>
      <c r="B1984" s="16" t="s">
        <v>18</v>
      </c>
      <c r="C1984" s="17" t="s">
        <v>19</v>
      </c>
      <c r="D1984" s="18" t="s">
        <v>1134</v>
      </c>
      <c r="E1984" s="18">
        <v>2</v>
      </c>
      <c r="F1984" s="18" t="s">
        <v>1135</v>
      </c>
      <c r="G1984" s="18" t="s">
        <v>127</v>
      </c>
      <c r="H1984" s="18" t="s">
        <v>23</v>
      </c>
      <c r="I1984" s="19">
        <v>50</v>
      </c>
      <c r="J1984" s="20">
        <f t="shared" si="60"/>
        <v>100</v>
      </c>
      <c r="K1984" s="106"/>
      <c r="L1984" s="114"/>
      <c r="M1984" s="114">
        <f>tblAquisições[[#This Row],[VALOR UNITARIO COMPRADO]]*tblAquisições[[#This Row],[QUANTIDADE COMPRADA]]</f>
        <v>0</v>
      </c>
      <c r="N1984" s="110">
        <f>K1984-tblAquisições[[#This Row],[QUANTIDADE PLANEJADA]]</f>
        <v>-2</v>
      </c>
      <c r="O1984" s="106" t="str">
        <f t="shared" si="61"/>
        <v>Faltando Comprar</v>
      </c>
    </row>
    <row r="1985" spans="1:15" ht="47.25">
      <c r="A1985" s="16" t="s">
        <v>17</v>
      </c>
      <c r="B1985" s="16" t="s">
        <v>24</v>
      </c>
      <c r="C1985" s="17" t="s">
        <v>19</v>
      </c>
      <c r="D1985" s="18" t="s">
        <v>1134</v>
      </c>
      <c r="E1985" s="18">
        <v>2</v>
      </c>
      <c r="F1985" s="18" t="s">
        <v>1135</v>
      </c>
      <c r="G1985" s="18" t="s">
        <v>127</v>
      </c>
      <c r="H1985" s="18" t="s">
        <v>23</v>
      </c>
      <c r="I1985" s="19">
        <v>50</v>
      </c>
      <c r="J1985" s="20">
        <f t="shared" si="60"/>
        <v>100</v>
      </c>
      <c r="K1985" s="106"/>
      <c r="L1985" s="114"/>
      <c r="M1985" s="114">
        <f>tblAquisições[[#This Row],[VALOR UNITARIO COMPRADO]]*tblAquisições[[#This Row],[QUANTIDADE COMPRADA]]</f>
        <v>0</v>
      </c>
      <c r="N1985" s="110">
        <f>K1985-tblAquisições[[#This Row],[QUANTIDADE PLANEJADA]]</f>
        <v>-2</v>
      </c>
      <c r="O1985" s="106" t="str">
        <f t="shared" si="61"/>
        <v>Faltando Comprar</v>
      </c>
    </row>
    <row r="1986" spans="1:15" ht="47.25">
      <c r="A1986" s="16" t="s">
        <v>17</v>
      </c>
      <c r="B1986" s="16" t="s">
        <v>72</v>
      </c>
      <c r="C1986" s="17" t="s">
        <v>19</v>
      </c>
      <c r="D1986" s="18" t="s">
        <v>1134</v>
      </c>
      <c r="E1986" s="18">
        <v>1</v>
      </c>
      <c r="F1986" s="18" t="s">
        <v>1135</v>
      </c>
      <c r="G1986" s="18" t="s">
        <v>127</v>
      </c>
      <c r="H1986" s="18" t="s">
        <v>23</v>
      </c>
      <c r="I1986" s="19">
        <v>50</v>
      </c>
      <c r="J1986" s="20">
        <f t="shared" ref="J1986:J2049" si="62">E1986*I1986</f>
        <v>50</v>
      </c>
      <c r="K1986" s="106"/>
      <c r="L1986" s="114"/>
      <c r="M1986" s="114">
        <f>tblAquisições[[#This Row],[VALOR UNITARIO COMPRADO]]*tblAquisições[[#This Row],[QUANTIDADE COMPRADA]]</f>
        <v>0</v>
      </c>
      <c r="N1986" s="110">
        <f>K1986-tblAquisições[[#This Row],[QUANTIDADE PLANEJADA]]</f>
        <v>-1</v>
      </c>
      <c r="O1986" s="106" t="str">
        <f t="shared" ref="O1986:O2049" si="63">IF(K1986=E1986,"OK",IF(K1986&lt;E1986,"Faltando Comprar","Excedente"))</f>
        <v>Faltando Comprar</v>
      </c>
    </row>
    <row r="1987" spans="1:15" ht="31.5">
      <c r="A1987" s="16" t="s">
        <v>17</v>
      </c>
      <c r="B1987" s="16" t="s">
        <v>17</v>
      </c>
      <c r="C1987" s="17" t="s">
        <v>19</v>
      </c>
      <c r="D1987" s="18" t="s">
        <v>1136</v>
      </c>
      <c r="E1987" s="18">
        <v>2</v>
      </c>
      <c r="F1987" s="18" t="s">
        <v>56</v>
      </c>
      <c r="G1987" s="18" t="s">
        <v>39</v>
      </c>
      <c r="H1987" s="18" t="s">
        <v>23</v>
      </c>
      <c r="I1987" s="19">
        <v>2263.21</v>
      </c>
      <c r="J1987" s="20">
        <f t="shared" si="62"/>
        <v>4526.42</v>
      </c>
      <c r="K1987" s="106"/>
      <c r="L1987" s="114"/>
      <c r="M1987" s="114">
        <f>tblAquisições[[#This Row],[VALOR UNITARIO COMPRADO]]*tblAquisições[[#This Row],[QUANTIDADE COMPRADA]]</f>
        <v>0</v>
      </c>
      <c r="N1987" s="110">
        <f>K1987-tblAquisições[[#This Row],[QUANTIDADE PLANEJADA]]</f>
        <v>-2</v>
      </c>
      <c r="O1987" s="106" t="str">
        <f t="shared" si="63"/>
        <v>Faltando Comprar</v>
      </c>
    </row>
    <row r="1988" spans="1:15" ht="31.5">
      <c r="A1988" s="16" t="s">
        <v>17</v>
      </c>
      <c r="B1988" s="16" t="s">
        <v>72</v>
      </c>
      <c r="C1988" s="17" t="s">
        <v>19</v>
      </c>
      <c r="D1988" s="18" t="s">
        <v>1137</v>
      </c>
      <c r="E1988" s="18">
        <v>5</v>
      </c>
      <c r="F1988" s="18" t="s">
        <v>170</v>
      </c>
      <c r="G1988" s="18" t="s">
        <v>22</v>
      </c>
      <c r="H1988" s="18" t="s">
        <v>23</v>
      </c>
      <c r="I1988" s="19">
        <v>2263.21</v>
      </c>
      <c r="J1988" s="20">
        <f t="shared" si="62"/>
        <v>11316.05</v>
      </c>
      <c r="K1988" s="106"/>
      <c r="L1988" s="114"/>
      <c r="M1988" s="114">
        <f>tblAquisições[[#This Row],[VALOR UNITARIO COMPRADO]]*tblAquisições[[#This Row],[QUANTIDADE COMPRADA]]</f>
        <v>0</v>
      </c>
      <c r="N1988" s="110">
        <f>K1988-tblAquisições[[#This Row],[QUANTIDADE PLANEJADA]]</f>
        <v>-5</v>
      </c>
      <c r="O1988" s="106" t="str">
        <f t="shared" si="63"/>
        <v>Faltando Comprar</v>
      </c>
    </row>
    <row r="1989" spans="1:15" ht="47.25">
      <c r="A1989" s="16" t="s">
        <v>17</v>
      </c>
      <c r="B1989" s="16" t="s">
        <v>959</v>
      </c>
      <c r="C1989" s="17" t="s">
        <v>19</v>
      </c>
      <c r="D1989" s="18" t="s">
        <v>1138</v>
      </c>
      <c r="E1989" s="18">
        <v>10</v>
      </c>
      <c r="F1989" s="18" t="s">
        <v>56</v>
      </c>
      <c r="G1989" s="18" t="s">
        <v>39</v>
      </c>
      <c r="H1989" s="18" t="s">
        <v>23</v>
      </c>
      <c r="I1989" s="19">
        <v>22.33</v>
      </c>
      <c r="J1989" s="20">
        <f t="shared" si="62"/>
        <v>223.29999999999998</v>
      </c>
      <c r="K1989" s="106"/>
      <c r="L1989" s="114"/>
      <c r="M1989" s="114">
        <f>tblAquisições[[#This Row],[VALOR UNITARIO COMPRADO]]*tblAquisições[[#This Row],[QUANTIDADE COMPRADA]]</f>
        <v>0</v>
      </c>
      <c r="N1989" s="110">
        <f>K1989-tblAquisições[[#This Row],[QUANTIDADE PLANEJADA]]</f>
        <v>-10</v>
      </c>
      <c r="O1989" s="106" t="str">
        <f t="shared" si="63"/>
        <v>Faltando Comprar</v>
      </c>
    </row>
    <row r="1990" spans="1:15" ht="63">
      <c r="A1990" s="16" t="s">
        <v>17</v>
      </c>
      <c r="B1990" s="16" t="s">
        <v>80</v>
      </c>
      <c r="C1990" s="17" t="s">
        <v>19</v>
      </c>
      <c r="D1990" s="18" t="s">
        <v>1139</v>
      </c>
      <c r="E1990" s="18">
        <v>100</v>
      </c>
      <c r="F1990" s="18" t="s">
        <v>82</v>
      </c>
      <c r="G1990" s="18" t="s">
        <v>39</v>
      </c>
      <c r="H1990" s="18" t="s">
        <v>83</v>
      </c>
      <c r="I1990" s="19">
        <v>3.23</v>
      </c>
      <c r="J1990" s="20">
        <f t="shared" si="62"/>
        <v>323</v>
      </c>
      <c r="K1990" s="106"/>
      <c r="L1990" s="114"/>
      <c r="M1990" s="114">
        <f>tblAquisições[[#This Row],[VALOR UNITARIO COMPRADO]]*tblAquisições[[#This Row],[QUANTIDADE COMPRADA]]</f>
        <v>0</v>
      </c>
      <c r="N1990" s="110">
        <f>K1990-tblAquisições[[#This Row],[QUANTIDADE PLANEJADA]]</f>
        <v>-100</v>
      </c>
      <c r="O1990" s="106" t="str">
        <f t="shared" si="63"/>
        <v>Faltando Comprar</v>
      </c>
    </row>
    <row r="1991" spans="1:15" ht="63">
      <c r="A1991" s="16" t="s">
        <v>17</v>
      </c>
      <c r="B1991" s="16" t="s">
        <v>80</v>
      </c>
      <c r="C1991" s="17" t="s">
        <v>19</v>
      </c>
      <c r="D1991" s="18" t="s">
        <v>1140</v>
      </c>
      <c r="E1991" s="18">
        <v>100</v>
      </c>
      <c r="F1991" s="18" t="s">
        <v>82</v>
      </c>
      <c r="G1991" s="18" t="s">
        <v>39</v>
      </c>
      <c r="H1991" s="18" t="s">
        <v>83</v>
      </c>
      <c r="I1991" s="19">
        <v>3.23</v>
      </c>
      <c r="J1991" s="20">
        <f t="shared" si="62"/>
        <v>323</v>
      </c>
      <c r="K1991" s="106"/>
      <c r="L1991" s="114"/>
      <c r="M1991" s="114">
        <f>tblAquisições[[#This Row],[VALOR UNITARIO COMPRADO]]*tblAquisições[[#This Row],[QUANTIDADE COMPRADA]]</f>
        <v>0</v>
      </c>
      <c r="N1991" s="110">
        <f>K1991-tblAquisições[[#This Row],[QUANTIDADE PLANEJADA]]</f>
        <v>-100</v>
      </c>
      <c r="O1991" s="106" t="str">
        <f t="shared" si="63"/>
        <v>Faltando Comprar</v>
      </c>
    </row>
    <row r="1992" spans="1:15" ht="31.5">
      <c r="A1992" s="16" t="s">
        <v>17</v>
      </c>
      <c r="B1992" s="16" t="s">
        <v>31</v>
      </c>
      <c r="C1992" s="17" t="s">
        <v>19</v>
      </c>
      <c r="D1992" s="18" t="s">
        <v>1141</v>
      </c>
      <c r="E1992" s="18">
        <v>1</v>
      </c>
      <c r="F1992" s="18" t="s">
        <v>992</v>
      </c>
      <c r="G1992" s="18" t="s">
        <v>127</v>
      </c>
      <c r="H1992" s="18" t="s">
        <v>23</v>
      </c>
      <c r="I1992" s="19">
        <v>220000</v>
      </c>
      <c r="J1992" s="20">
        <f t="shared" si="62"/>
        <v>220000</v>
      </c>
      <c r="K1992" s="106"/>
      <c r="L1992" s="114"/>
      <c r="M1992" s="114">
        <f>tblAquisições[[#This Row],[VALOR UNITARIO COMPRADO]]*tblAquisições[[#This Row],[QUANTIDADE COMPRADA]]</f>
        <v>0</v>
      </c>
      <c r="N1992" s="110">
        <f>K1992-tblAquisições[[#This Row],[QUANTIDADE PLANEJADA]]</f>
        <v>-1</v>
      </c>
      <c r="O1992" s="106" t="str">
        <f t="shared" si="63"/>
        <v>Faltando Comprar</v>
      </c>
    </row>
    <row r="1993" spans="1:15" ht="31.5">
      <c r="A1993" s="16" t="s">
        <v>17</v>
      </c>
      <c r="B1993" s="16" t="s">
        <v>18</v>
      </c>
      <c r="C1993" s="17" t="s">
        <v>19</v>
      </c>
      <c r="D1993" s="18" t="s">
        <v>1141</v>
      </c>
      <c r="E1993" s="18">
        <v>1</v>
      </c>
      <c r="F1993" s="18" t="s">
        <v>992</v>
      </c>
      <c r="G1993" s="18" t="s">
        <v>127</v>
      </c>
      <c r="H1993" s="18" t="s">
        <v>23</v>
      </c>
      <c r="I1993" s="19">
        <v>220000</v>
      </c>
      <c r="J1993" s="20">
        <f t="shared" si="62"/>
        <v>220000</v>
      </c>
      <c r="K1993" s="106"/>
      <c r="L1993" s="114"/>
      <c r="M1993" s="114">
        <f>tblAquisições[[#This Row],[VALOR UNITARIO COMPRADO]]*tblAquisições[[#This Row],[QUANTIDADE COMPRADA]]</f>
        <v>0</v>
      </c>
      <c r="N1993" s="110">
        <f>K1993-tblAquisições[[#This Row],[QUANTIDADE PLANEJADA]]</f>
        <v>-1</v>
      </c>
      <c r="O1993" s="106" t="str">
        <f t="shared" si="63"/>
        <v>Faltando Comprar</v>
      </c>
    </row>
    <row r="1994" spans="1:15" ht="31.5">
      <c r="A1994" s="16" t="s">
        <v>17</v>
      </c>
      <c r="B1994" s="16" t="s">
        <v>24</v>
      </c>
      <c r="C1994" s="17" t="s">
        <v>19</v>
      </c>
      <c r="D1994" s="18" t="s">
        <v>1141</v>
      </c>
      <c r="E1994" s="18">
        <v>1</v>
      </c>
      <c r="F1994" s="18" t="s">
        <v>992</v>
      </c>
      <c r="G1994" s="18" t="s">
        <v>127</v>
      </c>
      <c r="H1994" s="18" t="s">
        <v>23</v>
      </c>
      <c r="I1994" s="19">
        <v>220000</v>
      </c>
      <c r="J1994" s="20">
        <f t="shared" si="62"/>
        <v>220000</v>
      </c>
      <c r="K1994" s="106"/>
      <c r="L1994" s="114"/>
      <c r="M1994" s="114">
        <f>tblAquisições[[#This Row],[VALOR UNITARIO COMPRADO]]*tblAquisições[[#This Row],[QUANTIDADE COMPRADA]]</f>
        <v>0</v>
      </c>
      <c r="N1994" s="110">
        <f>K1994-tblAquisições[[#This Row],[QUANTIDADE PLANEJADA]]</f>
        <v>-1</v>
      </c>
      <c r="O1994" s="106" t="str">
        <f t="shared" si="63"/>
        <v>Faltando Comprar</v>
      </c>
    </row>
    <row r="1995" spans="1:15" ht="31.5">
      <c r="A1995" s="16" t="s">
        <v>17</v>
      </c>
      <c r="B1995" s="16" t="s">
        <v>25</v>
      </c>
      <c r="C1995" s="17" t="s">
        <v>19</v>
      </c>
      <c r="D1995" s="18" t="s">
        <v>1141</v>
      </c>
      <c r="E1995" s="18">
        <v>1</v>
      </c>
      <c r="F1995" s="18" t="s">
        <v>992</v>
      </c>
      <c r="G1995" s="18" t="s">
        <v>127</v>
      </c>
      <c r="H1995" s="18" t="s">
        <v>23</v>
      </c>
      <c r="I1995" s="19">
        <v>220000</v>
      </c>
      <c r="J1995" s="20">
        <f t="shared" si="62"/>
        <v>220000</v>
      </c>
      <c r="K1995" s="106"/>
      <c r="L1995" s="114"/>
      <c r="M1995" s="114">
        <f>tblAquisições[[#This Row],[VALOR UNITARIO COMPRADO]]*tblAquisições[[#This Row],[QUANTIDADE COMPRADA]]</f>
        <v>0</v>
      </c>
      <c r="N1995" s="110">
        <f>K1995-tblAquisições[[#This Row],[QUANTIDADE PLANEJADA]]</f>
        <v>-1</v>
      </c>
      <c r="O1995" s="106" t="str">
        <f t="shared" si="63"/>
        <v>Faltando Comprar</v>
      </c>
    </row>
    <row r="1996" spans="1:15" ht="31.5">
      <c r="A1996" s="16" t="s">
        <v>17</v>
      </c>
      <c r="B1996" s="16" t="s">
        <v>41</v>
      </c>
      <c r="C1996" s="17" t="s">
        <v>19</v>
      </c>
      <c r="D1996" s="18" t="s">
        <v>1141</v>
      </c>
      <c r="E1996" s="18">
        <v>1</v>
      </c>
      <c r="F1996" s="18" t="s">
        <v>992</v>
      </c>
      <c r="G1996" s="18" t="s">
        <v>127</v>
      </c>
      <c r="H1996" s="18" t="s">
        <v>23</v>
      </c>
      <c r="I1996" s="19">
        <v>220000</v>
      </c>
      <c r="J1996" s="20">
        <f t="shared" si="62"/>
        <v>220000</v>
      </c>
      <c r="K1996" s="106"/>
      <c r="L1996" s="114"/>
      <c r="M1996" s="114">
        <f>tblAquisições[[#This Row],[VALOR UNITARIO COMPRADO]]*tblAquisições[[#This Row],[QUANTIDADE COMPRADA]]</f>
        <v>0</v>
      </c>
      <c r="N1996" s="110">
        <f>K1996-tblAquisições[[#This Row],[QUANTIDADE PLANEJADA]]</f>
        <v>-1</v>
      </c>
      <c r="O1996" s="106" t="str">
        <f t="shared" si="63"/>
        <v>Faltando Comprar</v>
      </c>
    </row>
    <row r="1997" spans="1:15" ht="47.25">
      <c r="A1997" s="16" t="s">
        <v>17</v>
      </c>
      <c r="B1997" s="16" t="s">
        <v>28</v>
      </c>
      <c r="C1997" s="17" t="s">
        <v>19</v>
      </c>
      <c r="D1997" s="18" t="s">
        <v>1142</v>
      </c>
      <c r="E1997" s="18">
        <v>10</v>
      </c>
      <c r="F1997" s="18" t="s">
        <v>222</v>
      </c>
      <c r="G1997" s="18" t="s">
        <v>127</v>
      </c>
      <c r="H1997" s="18" t="s">
        <v>23</v>
      </c>
      <c r="I1997" s="19">
        <v>3000</v>
      </c>
      <c r="J1997" s="20">
        <f t="shared" si="62"/>
        <v>30000</v>
      </c>
      <c r="K1997" s="106"/>
      <c r="L1997" s="114"/>
      <c r="M1997" s="114">
        <f>tblAquisições[[#This Row],[VALOR UNITARIO COMPRADO]]*tblAquisições[[#This Row],[QUANTIDADE COMPRADA]]</f>
        <v>0</v>
      </c>
      <c r="N1997" s="110">
        <f>K1997-tblAquisições[[#This Row],[QUANTIDADE PLANEJADA]]</f>
        <v>-10</v>
      </c>
      <c r="O1997" s="106" t="str">
        <f t="shared" si="63"/>
        <v>Faltando Comprar</v>
      </c>
    </row>
    <row r="1998" spans="1:15" ht="47.25">
      <c r="A1998" s="16" t="s">
        <v>17</v>
      </c>
      <c r="B1998" s="16" t="s">
        <v>31</v>
      </c>
      <c r="C1998" s="17" t="s">
        <v>19</v>
      </c>
      <c r="D1998" s="18" t="s">
        <v>1143</v>
      </c>
      <c r="E1998" s="18">
        <v>3</v>
      </c>
      <c r="F1998" s="18" t="s">
        <v>78</v>
      </c>
      <c r="G1998" s="18" t="s">
        <v>22</v>
      </c>
      <c r="H1998" s="18" t="s">
        <v>23</v>
      </c>
      <c r="I1998" s="19">
        <v>85.3</v>
      </c>
      <c r="J1998" s="20">
        <f t="shared" si="62"/>
        <v>255.89999999999998</v>
      </c>
      <c r="K1998" s="106"/>
      <c r="L1998" s="114"/>
      <c r="M1998" s="114">
        <f>tblAquisições[[#This Row],[VALOR UNITARIO COMPRADO]]*tblAquisições[[#This Row],[QUANTIDADE COMPRADA]]</f>
        <v>0</v>
      </c>
      <c r="N1998" s="110">
        <f>K1998-tblAquisições[[#This Row],[QUANTIDADE PLANEJADA]]</f>
        <v>-3</v>
      </c>
      <c r="O1998" s="106" t="str">
        <f t="shared" si="63"/>
        <v>Faltando Comprar</v>
      </c>
    </row>
    <row r="1999" spans="1:15" ht="47.25">
      <c r="A1999" s="16" t="s">
        <v>17</v>
      </c>
      <c r="B1999" s="16" t="s">
        <v>18</v>
      </c>
      <c r="C1999" s="17" t="s">
        <v>19</v>
      </c>
      <c r="D1999" s="18" t="s">
        <v>1143</v>
      </c>
      <c r="E1999" s="18">
        <v>3</v>
      </c>
      <c r="F1999" s="18" t="s">
        <v>78</v>
      </c>
      <c r="G1999" s="18" t="s">
        <v>22</v>
      </c>
      <c r="H1999" s="18" t="s">
        <v>23</v>
      </c>
      <c r="I1999" s="19">
        <v>85.3</v>
      </c>
      <c r="J1999" s="20">
        <f t="shared" si="62"/>
        <v>255.89999999999998</v>
      </c>
      <c r="K1999" s="106"/>
      <c r="L1999" s="114"/>
      <c r="M1999" s="114">
        <f>tblAquisições[[#This Row],[VALOR UNITARIO COMPRADO]]*tblAquisições[[#This Row],[QUANTIDADE COMPRADA]]</f>
        <v>0</v>
      </c>
      <c r="N1999" s="110">
        <f>K1999-tblAquisições[[#This Row],[QUANTIDADE PLANEJADA]]</f>
        <v>-3</v>
      </c>
      <c r="O1999" s="106" t="str">
        <f t="shared" si="63"/>
        <v>Faltando Comprar</v>
      </c>
    </row>
    <row r="2000" spans="1:15" ht="47.25">
      <c r="A2000" s="16" t="s">
        <v>17</v>
      </c>
      <c r="B2000" s="16" t="s">
        <v>24</v>
      </c>
      <c r="C2000" s="17" t="s">
        <v>19</v>
      </c>
      <c r="D2000" s="18" t="s">
        <v>1143</v>
      </c>
      <c r="E2000" s="18">
        <v>3</v>
      </c>
      <c r="F2000" s="18" t="s">
        <v>78</v>
      </c>
      <c r="G2000" s="18" t="s">
        <v>22</v>
      </c>
      <c r="H2000" s="18" t="s">
        <v>23</v>
      </c>
      <c r="I2000" s="19">
        <v>85.3</v>
      </c>
      <c r="J2000" s="20">
        <f t="shared" si="62"/>
        <v>255.89999999999998</v>
      </c>
      <c r="K2000" s="106"/>
      <c r="L2000" s="114"/>
      <c r="M2000" s="114">
        <f>tblAquisições[[#This Row],[VALOR UNITARIO COMPRADO]]*tblAquisições[[#This Row],[QUANTIDADE COMPRADA]]</f>
        <v>0</v>
      </c>
      <c r="N2000" s="110">
        <f>K2000-tblAquisições[[#This Row],[QUANTIDADE PLANEJADA]]</f>
        <v>-3</v>
      </c>
      <c r="O2000" s="106" t="str">
        <f t="shared" si="63"/>
        <v>Faltando Comprar</v>
      </c>
    </row>
    <row r="2001" spans="1:15" ht="47.25">
      <c r="A2001" s="16" t="s">
        <v>17</v>
      </c>
      <c r="B2001" s="16" t="s">
        <v>25</v>
      </c>
      <c r="C2001" s="17" t="s">
        <v>19</v>
      </c>
      <c r="D2001" s="18" t="s">
        <v>1143</v>
      </c>
      <c r="E2001" s="18">
        <v>3</v>
      </c>
      <c r="F2001" s="18" t="s">
        <v>78</v>
      </c>
      <c r="G2001" s="18" t="s">
        <v>22</v>
      </c>
      <c r="H2001" s="18" t="s">
        <v>23</v>
      </c>
      <c r="I2001" s="19">
        <v>85.3</v>
      </c>
      <c r="J2001" s="20">
        <f t="shared" si="62"/>
        <v>255.89999999999998</v>
      </c>
      <c r="K2001" s="106"/>
      <c r="L2001" s="114"/>
      <c r="M2001" s="114">
        <f>tblAquisições[[#This Row],[VALOR UNITARIO COMPRADO]]*tblAquisições[[#This Row],[QUANTIDADE COMPRADA]]</f>
        <v>0</v>
      </c>
      <c r="N2001" s="110">
        <f>K2001-tblAquisições[[#This Row],[QUANTIDADE PLANEJADA]]</f>
        <v>-3</v>
      </c>
      <c r="O2001" s="106" t="str">
        <f t="shared" si="63"/>
        <v>Faltando Comprar</v>
      </c>
    </row>
    <row r="2002" spans="1:15" ht="47.25">
      <c r="A2002" s="16" t="s">
        <v>17</v>
      </c>
      <c r="B2002" s="16" t="s">
        <v>28</v>
      </c>
      <c r="C2002" s="17" t="s">
        <v>19</v>
      </c>
      <c r="D2002" s="18" t="s">
        <v>1144</v>
      </c>
      <c r="E2002" s="18">
        <v>10</v>
      </c>
      <c r="F2002" s="18" t="s">
        <v>222</v>
      </c>
      <c r="G2002" s="18" t="s">
        <v>127</v>
      </c>
      <c r="H2002" s="18" t="s">
        <v>23</v>
      </c>
      <c r="I2002" s="19">
        <v>5000</v>
      </c>
      <c r="J2002" s="20">
        <f t="shared" si="62"/>
        <v>50000</v>
      </c>
      <c r="K2002" s="106"/>
      <c r="L2002" s="114"/>
      <c r="M2002" s="114">
        <f>tblAquisições[[#This Row],[VALOR UNITARIO COMPRADO]]*tblAquisições[[#This Row],[QUANTIDADE COMPRADA]]</f>
        <v>0</v>
      </c>
      <c r="N2002" s="110">
        <f>K2002-tblAquisições[[#This Row],[QUANTIDADE PLANEJADA]]</f>
        <v>-10</v>
      </c>
      <c r="O2002" s="106" t="str">
        <f t="shared" si="63"/>
        <v>Faltando Comprar</v>
      </c>
    </row>
    <row r="2003" spans="1:15" ht="31.5">
      <c r="A2003" s="16" t="s">
        <v>17</v>
      </c>
      <c r="B2003" s="16" t="s">
        <v>18</v>
      </c>
      <c r="C2003" s="17" t="s">
        <v>19</v>
      </c>
      <c r="D2003" s="18" t="s">
        <v>1145</v>
      </c>
      <c r="E2003" s="18">
        <v>5</v>
      </c>
      <c r="F2003" s="18" t="s">
        <v>21</v>
      </c>
      <c r="G2003" s="18" t="s">
        <v>22</v>
      </c>
      <c r="H2003" s="18" t="s">
        <v>23</v>
      </c>
      <c r="I2003" s="19">
        <v>134.03</v>
      </c>
      <c r="J2003" s="20">
        <f t="shared" si="62"/>
        <v>670.15</v>
      </c>
      <c r="K2003" s="106"/>
      <c r="L2003" s="114"/>
      <c r="M2003" s="114">
        <f>tblAquisições[[#This Row],[VALOR UNITARIO COMPRADO]]*tblAquisições[[#This Row],[QUANTIDADE COMPRADA]]</f>
        <v>0</v>
      </c>
      <c r="N2003" s="110">
        <f>K2003-tblAquisições[[#This Row],[QUANTIDADE PLANEJADA]]</f>
        <v>-5</v>
      </c>
      <c r="O2003" s="106" t="str">
        <f t="shared" si="63"/>
        <v>Faltando Comprar</v>
      </c>
    </row>
    <row r="2004" spans="1:15" ht="31.5">
      <c r="A2004" s="16" t="s">
        <v>17</v>
      </c>
      <c r="B2004" s="16" t="s">
        <v>24</v>
      </c>
      <c r="C2004" s="17" t="s">
        <v>19</v>
      </c>
      <c r="D2004" s="18" t="s">
        <v>1145</v>
      </c>
      <c r="E2004" s="18">
        <v>5</v>
      </c>
      <c r="F2004" s="18" t="s">
        <v>21</v>
      </c>
      <c r="G2004" s="18" t="s">
        <v>22</v>
      </c>
      <c r="H2004" s="18" t="s">
        <v>23</v>
      </c>
      <c r="I2004" s="19">
        <v>134.03</v>
      </c>
      <c r="J2004" s="20">
        <f t="shared" si="62"/>
        <v>670.15</v>
      </c>
      <c r="K2004" s="106"/>
      <c r="L2004" s="114"/>
      <c r="M2004" s="114">
        <f>tblAquisições[[#This Row],[VALOR UNITARIO COMPRADO]]*tblAquisições[[#This Row],[QUANTIDADE COMPRADA]]</f>
        <v>0</v>
      </c>
      <c r="N2004" s="110">
        <f>K2004-tblAquisições[[#This Row],[QUANTIDADE PLANEJADA]]</f>
        <v>-5</v>
      </c>
      <c r="O2004" s="106" t="str">
        <f t="shared" si="63"/>
        <v>Faltando Comprar</v>
      </c>
    </row>
    <row r="2005" spans="1:15" ht="31.5">
      <c r="A2005" s="16" t="s">
        <v>17</v>
      </c>
      <c r="B2005" s="16" t="s">
        <v>25</v>
      </c>
      <c r="C2005" s="17" t="s">
        <v>19</v>
      </c>
      <c r="D2005" s="18" t="s">
        <v>1145</v>
      </c>
      <c r="E2005" s="18">
        <v>5</v>
      </c>
      <c r="F2005" s="18" t="s">
        <v>21</v>
      </c>
      <c r="G2005" s="18" t="s">
        <v>22</v>
      </c>
      <c r="H2005" s="18" t="s">
        <v>23</v>
      </c>
      <c r="I2005" s="19">
        <v>134.03</v>
      </c>
      <c r="J2005" s="20">
        <f t="shared" si="62"/>
        <v>670.15</v>
      </c>
      <c r="K2005" s="106"/>
      <c r="L2005" s="114"/>
      <c r="M2005" s="114">
        <f>tblAquisições[[#This Row],[VALOR UNITARIO COMPRADO]]*tblAquisições[[#This Row],[QUANTIDADE COMPRADA]]</f>
        <v>0</v>
      </c>
      <c r="N2005" s="110">
        <f>K2005-tblAquisições[[#This Row],[QUANTIDADE PLANEJADA]]</f>
        <v>-5</v>
      </c>
      <c r="O2005" s="106" t="str">
        <f t="shared" si="63"/>
        <v>Faltando Comprar</v>
      </c>
    </row>
    <row r="2006" spans="1:15" ht="31.5">
      <c r="A2006" s="16" t="s">
        <v>17</v>
      </c>
      <c r="B2006" s="16" t="s">
        <v>28</v>
      </c>
      <c r="C2006" s="17" t="s">
        <v>19</v>
      </c>
      <c r="D2006" s="18" t="s">
        <v>1145</v>
      </c>
      <c r="E2006" s="18">
        <v>20</v>
      </c>
      <c r="F2006" s="18" t="s">
        <v>21</v>
      </c>
      <c r="G2006" s="18" t="s">
        <v>22</v>
      </c>
      <c r="H2006" s="18" t="s">
        <v>23</v>
      </c>
      <c r="I2006" s="19">
        <v>134.03</v>
      </c>
      <c r="J2006" s="20">
        <f t="shared" si="62"/>
        <v>2680.6</v>
      </c>
      <c r="K2006" s="106"/>
      <c r="L2006" s="114"/>
      <c r="M2006" s="114">
        <f>tblAquisições[[#This Row],[VALOR UNITARIO COMPRADO]]*tblAquisições[[#This Row],[QUANTIDADE COMPRADA]]</f>
        <v>0</v>
      </c>
      <c r="N2006" s="110">
        <f>K2006-tblAquisições[[#This Row],[QUANTIDADE PLANEJADA]]</f>
        <v>-20</v>
      </c>
      <c r="O2006" s="106" t="str">
        <f t="shared" si="63"/>
        <v>Faltando Comprar</v>
      </c>
    </row>
    <row r="2007" spans="1:15" ht="31.5">
      <c r="A2007" s="16" t="s">
        <v>17</v>
      </c>
      <c r="B2007" s="16" t="s">
        <v>18</v>
      </c>
      <c r="C2007" s="17" t="s">
        <v>19</v>
      </c>
      <c r="D2007" s="18" t="s">
        <v>1146</v>
      </c>
      <c r="E2007" s="18">
        <v>5</v>
      </c>
      <c r="F2007" s="18" t="s">
        <v>21</v>
      </c>
      <c r="G2007" s="18" t="s">
        <v>22</v>
      </c>
      <c r="H2007" s="18" t="s">
        <v>23</v>
      </c>
      <c r="I2007" s="19">
        <v>110.63</v>
      </c>
      <c r="J2007" s="20">
        <f t="shared" si="62"/>
        <v>553.15</v>
      </c>
      <c r="K2007" s="106"/>
      <c r="L2007" s="114"/>
      <c r="M2007" s="114">
        <f>tblAquisições[[#This Row],[VALOR UNITARIO COMPRADO]]*tblAquisições[[#This Row],[QUANTIDADE COMPRADA]]</f>
        <v>0</v>
      </c>
      <c r="N2007" s="110">
        <f>K2007-tblAquisições[[#This Row],[QUANTIDADE PLANEJADA]]</f>
        <v>-5</v>
      </c>
      <c r="O2007" s="106" t="str">
        <f t="shared" si="63"/>
        <v>Faltando Comprar</v>
      </c>
    </row>
    <row r="2008" spans="1:15" ht="31.5">
      <c r="A2008" s="16" t="s">
        <v>17</v>
      </c>
      <c r="B2008" s="16" t="s">
        <v>24</v>
      </c>
      <c r="C2008" s="17" t="s">
        <v>19</v>
      </c>
      <c r="D2008" s="18" t="s">
        <v>1146</v>
      </c>
      <c r="E2008" s="18">
        <v>5</v>
      </c>
      <c r="F2008" s="18" t="s">
        <v>21</v>
      </c>
      <c r="G2008" s="18" t="s">
        <v>22</v>
      </c>
      <c r="H2008" s="18" t="s">
        <v>23</v>
      </c>
      <c r="I2008" s="19">
        <v>110.63</v>
      </c>
      <c r="J2008" s="20">
        <f t="shared" si="62"/>
        <v>553.15</v>
      </c>
      <c r="K2008" s="106"/>
      <c r="L2008" s="114"/>
      <c r="M2008" s="114">
        <f>tblAquisições[[#This Row],[VALOR UNITARIO COMPRADO]]*tblAquisições[[#This Row],[QUANTIDADE COMPRADA]]</f>
        <v>0</v>
      </c>
      <c r="N2008" s="110">
        <f>K2008-tblAquisições[[#This Row],[QUANTIDADE PLANEJADA]]</f>
        <v>-5</v>
      </c>
      <c r="O2008" s="106" t="str">
        <f t="shared" si="63"/>
        <v>Faltando Comprar</v>
      </c>
    </row>
    <row r="2009" spans="1:15" ht="31.5">
      <c r="A2009" s="16" t="s">
        <v>17</v>
      </c>
      <c r="B2009" s="16" t="s">
        <v>25</v>
      </c>
      <c r="C2009" s="17" t="s">
        <v>19</v>
      </c>
      <c r="D2009" s="18" t="s">
        <v>1146</v>
      </c>
      <c r="E2009" s="18">
        <v>5</v>
      </c>
      <c r="F2009" s="18" t="s">
        <v>21</v>
      </c>
      <c r="G2009" s="18" t="s">
        <v>22</v>
      </c>
      <c r="H2009" s="18" t="s">
        <v>23</v>
      </c>
      <c r="I2009" s="19">
        <v>110.63</v>
      </c>
      <c r="J2009" s="20">
        <f t="shared" si="62"/>
        <v>553.15</v>
      </c>
      <c r="K2009" s="106"/>
      <c r="L2009" s="114"/>
      <c r="M2009" s="114">
        <f>tblAquisições[[#This Row],[VALOR UNITARIO COMPRADO]]*tblAquisições[[#This Row],[QUANTIDADE COMPRADA]]</f>
        <v>0</v>
      </c>
      <c r="N2009" s="110">
        <f>K2009-tblAquisições[[#This Row],[QUANTIDADE PLANEJADA]]</f>
        <v>-5</v>
      </c>
      <c r="O2009" s="106" t="str">
        <f t="shared" si="63"/>
        <v>Faltando Comprar</v>
      </c>
    </row>
    <row r="2010" spans="1:15" ht="31.5">
      <c r="A2010" s="16" t="s">
        <v>17</v>
      </c>
      <c r="B2010" s="16" t="s">
        <v>27</v>
      </c>
      <c r="C2010" s="17" t="s">
        <v>19</v>
      </c>
      <c r="D2010" s="18" t="s">
        <v>1146</v>
      </c>
      <c r="E2010" s="18">
        <v>15</v>
      </c>
      <c r="F2010" s="18" t="s">
        <v>21</v>
      </c>
      <c r="G2010" s="18" t="s">
        <v>22</v>
      </c>
      <c r="H2010" s="18" t="s">
        <v>23</v>
      </c>
      <c r="I2010" s="19">
        <v>110.63</v>
      </c>
      <c r="J2010" s="20">
        <f t="shared" si="62"/>
        <v>1659.4499999999998</v>
      </c>
      <c r="K2010" s="106"/>
      <c r="L2010" s="114"/>
      <c r="M2010" s="114">
        <f>tblAquisições[[#This Row],[VALOR UNITARIO COMPRADO]]*tblAquisições[[#This Row],[QUANTIDADE COMPRADA]]</f>
        <v>0</v>
      </c>
      <c r="N2010" s="110">
        <f>K2010-tblAquisições[[#This Row],[QUANTIDADE PLANEJADA]]</f>
        <v>-15</v>
      </c>
      <c r="O2010" s="106" t="str">
        <f t="shared" si="63"/>
        <v>Faltando Comprar</v>
      </c>
    </row>
    <row r="2011" spans="1:15" ht="31.5">
      <c r="A2011" s="16" t="s">
        <v>17</v>
      </c>
      <c r="B2011" s="16" t="s">
        <v>28</v>
      </c>
      <c r="C2011" s="17" t="s">
        <v>19</v>
      </c>
      <c r="D2011" s="18" t="s">
        <v>1146</v>
      </c>
      <c r="E2011" s="18">
        <v>20</v>
      </c>
      <c r="F2011" s="18" t="s">
        <v>21</v>
      </c>
      <c r="G2011" s="18" t="s">
        <v>22</v>
      </c>
      <c r="H2011" s="18" t="s">
        <v>23</v>
      </c>
      <c r="I2011" s="19">
        <v>110.63</v>
      </c>
      <c r="J2011" s="20">
        <f t="shared" si="62"/>
        <v>2212.6</v>
      </c>
      <c r="K2011" s="106"/>
      <c r="L2011" s="114"/>
      <c r="M2011" s="114">
        <f>tblAquisições[[#This Row],[VALOR UNITARIO COMPRADO]]*tblAquisições[[#This Row],[QUANTIDADE COMPRADA]]</f>
        <v>0</v>
      </c>
      <c r="N2011" s="110">
        <f>K2011-tblAquisições[[#This Row],[QUANTIDADE PLANEJADA]]</f>
        <v>-20</v>
      </c>
      <c r="O2011" s="106" t="str">
        <f t="shared" si="63"/>
        <v>Faltando Comprar</v>
      </c>
    </row>
    <row r="2012" spans="1:15" ht="31.5">
      <c r="A2012" s="16" t="s">
        <v>17</v>
      </c>
      <c r="B2012" s="16" t="s">
        <v>26</v>
      </c>
      <c r="C2012" s="17" t="s">
        <v>19</v>
      </c>
      <c r="D2012" s="18" t="s">
        <v>1147</v>
      </c>
      <c r="E2012" s="18">
        <v>8</v>
      </c>
      <c r="F2012" s="18" t="s">
        <v>30</v>
      </c>
      <c r="G2012" s="18" t="s">
        <v>22</v>
      </c>
      <c r="H2012" s="18" t="s">
        <v>23</v>
      </c>
      <c r="I2012" s="19">
        <v>397.23</v>
      </c>
      <c r="J2012" s="20">
        <f t="shared" si="62"/>
        <v>3177.84</v>
      </c>
      <c r="K2012" s="106"/>
      <c r="L2012" s="114"/>
      <c r="M2012" s="114">
        <f>tblAquisições[[#This Row],[VALOR UNITARIO COMPRADO]]*tblAquisições[[#This Row],[QUANTIDADE COMPRADA]]</f>
        <v>0</v>
      </c>
      <c r="N2012" s="110">
        <f>K2012-tblAquisições[[#This Row],[QUANTIDADE PLANEJADA]]</f>
        <v>-8</v>
      </c>
      <c r="O2012" s="106" t="str">
        <f t="shared" si="63"/>
        <v>Faltando Comprar</v>
      </c>
    </row>
    <row r="2013" spans="1:15" ht="31.5">
      <c r="A2013" s="16" t="s">
        <v>17</v>
      </c>
      <c r="B2013" s="16" t="s">
        <v>80</v>
      </c>
      <c r="C2013" s="17" t="s">
        <v>19</v>
      </c>
      <c r="D2013" s="18" t="s">
        <v>1148</v>
      </c>
      <c r="E2013" s="18">
        <v>5</v>
      </c>
      <c r="F2013" s="18" t="s">
        <v>38</v>
      </c>
      <c r="G2013" s="18" t="s">
        <v>39</v>
      </c>
      <c r="H2013" s="21"/>
      <c r="I2013" s="19">
        <v>425</v>
      </c>
      <c r="J2013" s="20">
        <f t="shared" si="62"/>
        <v>2125</v>
      </c>
      <c r="K2013" s="106"/>
      <c r="L2013" s="114"/>
      <c r="M2013" s="114">
        <f>tblAquisições[[#This Row],[VALOR UNITARIO COMPRADO]]*tblAquisições[[#This Row],[QUANTIDADE COMPRADA]]</f>
        <v>0</v>
      </c>
      <c r="N2013" s="110">
        <f>K2013-tblAquisições[[#This Row],[QUANTIDADE PLANEJADA]]</f>
        <v>-5</v>
      </c>
      <c r="O2013" s="106" t="str">
        <f t="shared" si="63"/>
        <v>Faltando Comprar</v>
      </c>
    </row>
    <row r="2014" spans="1:15" ht="31.5">
      <c r="A2014" s="16" t="s">
        <v>17</v>
      </c>
      <c r="B2014" s="16" t="s">
        <v>26</v>
      </c>
      <c r="C2014" s="17" t="s">
        <v>19</v>
      </c>
      <c r="D2014" s="18" t="s">
        <v>1149</v>
      </c>
      <c r="E2014" s="18">
        <v>8</v>
      </c>
      <c r="F2014" s="18" t="s">
        <v>21</v>
      </c>
      <c r="G2014" s="18" t="s">
        <v>22</v>
      </c>
      <c r="H2014" s="18" t="s">
        <v>23</v>
      </c>
      <c r="I2014" s="19">
        <v>425</v>
      </c>
      <c r="J2014" s="20">
        <f t="shared" si="62"/>
        <v>3400</v>
      </c>
      <c r="K2014" s="106"/>
      <c r="L2014" s="114"/>
      <c r="M2014" s="114">
        <f>tblAquisições[[#This Row],[VALOR UNITARIO COMPRADO]]*tblAquisições[[#This Row],[QUANTIDADE COMPRADA]]</f>
        <v>0</v>
      </c>
      <c r="N2014" s="110">
        <f>K2014-tblAquisições[[#This Row],[QUANTIDADE PLANEJADA]]</f>
        <v>-8</v>
      </c>
      <c r="O2014" s="106" t="str">
        <f t="shared" si="63"/>
        <v>Faltando Comprar</v>
      </c>
    </row>
    <row r="2015" spans="1:15" ht="31.5">
      <c r="A2015" s="16" t="s">
        <v>17</v>
      </c>
      <c r="B2015" s="16" t="s">
        <v>26</v>
      </c>
      <c r="C2015" s="17" t="s">
        <v>19</v>
      </c>
      <c r="D2015" s="18" t="s">
        <v>1150</v>
      </c>
      <c r="E2015" s="18">
        <v>15</v>
      </c>
      <c r="F2015" s="18" t="s">
        <v>30</v>
      </c>
      <c r="G2015" s="18" t="s">
        <v>22</v>
      </c>
      <c r="H2015" s="18" t="s">
        <v>23</v>
      </c>
      <c r="I2015" s="19">
        <v>37.5</v>
      </c>
      <c r="J2015" s="20">
        <f t="shared" si="62"/>
        <v>562.5</v>
      </c>
      <c r="K2015" s="106"/>
      <c r="L2015" s="114"/>
      <c r="M2015" s="114">
        <f>tblAquisições[[#This Row],[VALOR UNITARIO COMPRADO]]*tblAquisições[[#This Row],[QUANTIDADE COMPRADA]]</f>
        <v>0</v>
      </c>
      <c r="N2015" s="110">
        <f>K2015-tblAquisições[[#This Row],[QUANTIDADE PLANEJADA]]</f>
        <v>-15</v>
      </c>
      <c r="O2015" s="106" t="str">
        <f t="shared" si="63"/>
        <v>Faltando Comprar</v>
      </c>
    </row>
    <row r="2016" spans="1:15" ht="31.5">
      <c r="A2016" s="16" t="s">
        <v>17</v>
      </c>
      <c r="B2016" s="16" t="s">
        <v>26</v>
      </c>
      <c r="C2016" s="17" t="s">
        <v>19</v>
      </c>
      <c r="D2016" s="18" t="s">
        <v>1151</v>
      </c>
      <c r="E2016" s="18">
        <v>15</v>
      </c>
      <c r="F2016" s="18" t="s">
        <v>30</v>
      </c>
      <c r="G2016" s="18" t="s">
        <v>22</v>
      </c>
      <c r="H2016" s="18" t="s">
        <v>23</v>
      </c>
      <c r="I2016" s="19">
        <v>64</v>
      </c>
      <c r="J2016" s="20">
        <f t="shared" si="62"/>
        <v>960</v>
      </c>
      <c r="K2016" s="106"/>
      <c r="L2016" s="114"/>
      <c r="M2016" s="114">
        <f>tblAquisições[[#This Row],[VALOR UNITARIO COMPRADO]]*tblAquisições[[#This Row],[QUANTIDADE COMPRADA]]</f>
        <v>0</v>
      </c>
      <c r="N2016" s="110">
        <f>K2016-tblAquisições[[#This Row],[QUANTIDADE PLANEJADA]]</f>
        <v>-15</v>
      </c>
      <c r="O2016" s="106" t="str">
        <f t="shared" si="63"/>
        <v>Faltando Comprar</v>
      </c>
    </row>
    <row r="2017" spans="1:15" ht="31.5">
      <c r="A2017" s="16" t="s">
        <v>17</v>
      </c>
      <c r="B2017" s="16" t="s">
        <v>26</v>
      </c>
      <c r="C2017" s="17" t="s">
        <v>19</v>
      </c>
      <c r="D2017" s="18" t="s">
        <v>1152</v>
      </c>
      <c r="E2017" s="18">
        <v>35</v>
      </c>
      <c r="F2017" s="18" t="s">
        <v>30</v>
      </c>
      <c r="G2017" s="18" t="s">
        <v>22</v>
      </c>
      <c r="H2017" s="18" t="s">
        <v>23</v>
      </c>
      <c r="I2017" s="19">
        <v>23.5</v>
      </c>
      <c r="J2017" s="20">
        <f t="shared" si="62"/>
        <v>822.5</v>
      </c>
      <c r="K2017" s="106"/>
      <c r="L2017" s="114"/>
      <c r="M2017" s="114">
        <f>tblAquisições[[#This Row],[VALOR UNITARIO COMPRADO]]*tblAquisições[[#This Row],[QUANTIDADE COMPRADA]]</f>
        <v>0</v>
      </c>
      <c r="N2017" s="110">
        <f>K2017-tblAquisições[[#This Row],[QUANTIDADE PLANEJADA]]</f>
        <v>-35</v>
      </c>
      <c r="O2017" s="106" t="str">
        <f t="shared" si="63"/>
        <v>Faltando Comprar</v>
      </c>
    </row>
    <row r="2018" spans="1:15" ht="31.5">
      <c r="A2018" s="16" t="s">
        <v>17</v>
      </c>
      <c r="B2018" s="16" t="s">
        <v>26</v>
      </c>
      <c r="C2018" s="17" t="s">
        <v>19</v>
      </c>
      <c r="D2018" s="18" t="s">
        <v>1153</v>
      </c>
      <c r="E2018" s="18">
        <v>30</v>
      </c>
      <c r="F2018" s="18" t="s">
        <v>30</v>
      </c>
      <c r="G2018" s="18" t="s">
        <v>22</v>
      </c>
      <c r="H2018" s="18" t="s">
        <v>23</v>
      </c>
      <c r="I2018" s="19">
        <v>24.5</v>
      </c>
      <c r="J2018" s="20">
        <f t="shared" si="62"/>
        <v>735</v>
      </c>
      <c r="K2018" s="106"/>
      <c r="L2018" s="114"/>
      <c r="M2018" s="114">
        <f>tblAquisições[[#This Row],[VALOR UNITARIO COMPRADO]]*tblAquisições[[#This Row],[QUANTIDADE COMPRADA]]</f>
        <v>0</v>
      </c>
      <c r="N2018" s="110">
        <f>K2018-tblAquisições[[#This Row],[QUANTIDADE PLANEJADA]]</f>
        <v>-30</v>
      </c>
      <c r="O2018" s="106" t="str">
        <f t="shared" si="63"/>
        <v>Faltando Comprar</v>
      </c>
    </row>
    <row r="2019" spans="1:15" ht="31.5">
      <c r="A2019" s="16" t="s">
        <v>17</v>
      </c>
      <c r="B2019" s="16" t="s">
        <v>26</v>
      </c>
      <c r="C2019" s="17" t="s">
        <v>19</v>
      </c>
      <c r="D2019" s="18" t="s">
        <v>1154</v>
      </c>
      <c r="E2019" s="18">
        <v>20</v>
      </c>
      <c r="F2019" s="18" t="s">
        <v>30</v>
      </c>
      <c r="G2019" s="18" t="s">
        <v>22</v>
      </c>
      <c r="H2019" s="18" t="s">
        <v>23</v>
      </c>
      <c r="I2019" s="19">
        <v>58.19</v>
      </c>
      <c r="J2019" s="20">
        <f t="shared" si="62"/>
        <v>1163.8</v>
      </c>
      <c r="K2019" s="106"/>
      <c r="L2019" s="114"/>
      <c r="M2019" s="114">
        <f>tblAquisições[[#This Row],[VALOR UNITARIO COMPRADO]]*tblAquisições[[#This Row],[QUANTIDADE COMPRADA]]</f>
        <v>0</v>
      </c>
      <c r="N2019" s="110">
        <f>K2019-tblAquisições[[#This Row],[QUANTIDADE PLANEJADA]]</f>
        <v>-20</v>
      </c>
      <c r="O2019" s="106" t="str">
        <f t="shared" si="63"/>
        <v>Faltando Comprar</v>
      </c>
    </row>
    <row r="2020" spans="1:15" ht="31.5">
      <c r="A2020" s="16" t="s">
        <v>17</v>
      </c>
      <c r="B2020" s="16" t="s">
        <v>31</v>
      </c>
      <c r="C2020" s="17" t="s">
        <v>19</v>
      </c>
      <c r="D2020" s="18" t="s">
        <v>1155</v>
      </c>
      <c r="E2020" s="18">
        <v>5</v>
      </c>
      <c r="F2020" s="18" t="s">
        <v>21</v>
      </c>
      <c r="G2020" s="18" t="s">
        <v>22</v>
      </c>
      <c r="H2020" s="18" t="s">
        <v>23</v>
      </c>
      <c r="I2020" s="19">
        <v>44.68</v>
      </c>
      <c r="J2020" s="20">
        <f t="shared" si="62"/>
        <v>223.4</v>
      </c>
      <c r="K2020" s="106"/>
      <c r="L2020" s="114"/>
      <c r="M2020" s="114">
        <f>tblAquisições[[#This Row],[VALOR UNITARIO COMPRADO]]*tblAquisições[[#This Row],[QUANTIDADE COMPRADA]]</f>
        <v>0</v>
      </c>
      <c r="N2020" s="110">
        <f>K2020-tblAquisições[[#This Row],[QUANTIDADE PLANEJADA]]</f>
        <v>-5</v>
      </c>
      <c r="O2020" s="106" t="str">
        <f t="shared" si="63"/>
        <v>Faltando Comprar</v>
      </c>
    </row>
    <row r="2021" spans="1:15" ht="31.5">
      <c r="A2021" s="16" t="s">
        <v>17</v>
      </c>
      <c r="B2021" s="16" t="s">
        <v>28</v>
      </c>
      <c r="C2021" s="17" t="s">
        <v>19</v>
      </c>
      <c r="D2021" s="18" t="s">
        <v>1156</v>
      </c>
      <c r="E2021" s="18">
        <v>1</v>
      </c>
      <c r="F2021" s="18" t="s">
        <v>838</v>
      </c>
      <c r="G2021" s="18" t="s">
        <v>22</v>
      </c>
      <c r="H2021" s="18" t="s">
        <v>23</v>
      </c>
      <c r="I2021" s="19">
        <v>94</v>
      </c>
      <c r="J2021" s="20">
        <f t="shared" si="62"/>
        <v>94</v>
      </c>
      <c r="K2021" s="106"/>
      <c r="L2021" s="114"/>
      <c r="M2021" s="114">
        <f>tblAquisições[[#This Row],[VALOR UNITARIO COMPRADO]]*tblAquisições[[#This Row],[QUANTIDADE COMPRADA]]</f>
        <v>0</v>
      </c>
      <c r="N2021" s="110">
        <f>K2021-tblAquisições[[#This Row],[QUANTIDADE PLANEJADA]]</f>
        <v>-1</v>
      </c>
      <c r="O2021" s="106" t="str">
        <f t="shared" si="63"/>
        <v>Faltando Comprar</v>
      </c>
    </row>
    <row r="2022" spans="1:15" ht="78.75">
      <c r="A2022" s="16" t="s">
        <v>17</v>
      </c>
      <c r="B2022" s="16" t="s">
        <v>80</v>
      </c>
      <c r="C2022" s="17" t="s">
        <v>19</v>
      </c>
      <c r="D2022" s="18" t="s">
        <v>1157</v>
      </c>
      <c r="E2022" s="18">
        <v>1</v>
      </c>
      <c r="F2022" s="18" t="s">
        <v>1158</v>
      </c>
      <c r="G2022" s="18" t="s">
        <v>775</v>
      </c>
      <c r="H2022" s="18" t="s">
        <v>23</v>
      </c>
      <c r="I2022" s="19">
        <v>3956.7</v>
      </c>
      <c r="J2022" s="20">
        <f t="shared" si="62"/>
        <v>3956.7</v>
      </c>
      <c r="K2022" s="106"/>
      <c r="L2022" s="114"/>
      <c r="M2022" s="114">
        <f>tblAquisições[[#This Row],[VALOR UNITARIO COMPRADO]]*tblAquisições[[#This Row],[QUANTIDADE COMPRADA]]</f>
        <v>0</v>
      </c>
      <c r="N2022" s="110">
        <f>K2022-tblAquisições[[#This Row],[QUANTIDADE PLANEJADA]]</f>
        <v>-1</v>
      </c>
      <c r="O2022" s="106" t="str">
        <f t="shared" si="63"/>
        <v>Faltando Comprar</v>
      </c>
    </row>
    <row r="2023" spans="1:15" ht="47.25">
      <c r="A2023" s="16" t="s">
        <v>17</v>
      </c>
      <c r="B2023" s="16" t="s">
        <v>31</v>
      </c>
      <c r="C2023" s="17" t="s">
        <v>19</v>
      </c>
      <c r="D2023" s="18" t="s">
        <v>1159</v>
      </c>
      <c r="E2023" s="18">
        <v>2</v>
      </c>
      <c r="F2023" s="18" t="s">
        <v>78</v>
      </c>
      <c r="G2023" s="18" t="s">
        <v>22</v>
      </c>
      <c r="H2023" s="18" t="s">
        <v>23</v>
      </c>
      <c r="I2023" s="19">
        <v>70</v>
      </c>
      <c r="J2023" s="20">
        <f t="shared" si="62"/>
        <v>140</v>
      </c>
      <c r="K2023" s="106"/>
      <c r="L2023" s="114"/>
      <c r="M2023" s="114">
        <f>tblAquisições[[#This Row],[VALOR UNITARIO COMPRADO]]*tblAquisições[[#This Row],[QUANTIDADE COMPRADA]]</f>
        <v>0</v>
      </c>
      <c r="N2023" s="110">
        <f>K2023-tblAquisições[[#This Row],[QUANTIDADE PLANEJADA]]</f>
        <v>-2</v>
      </c>
      <c r="O2023" s="106" t="str">
        <f t="shared" si="63"/>
        <v>Faltando Comprar</v>
      </c>
    </row>
    <row r="2024" spans="1:15" ht="47.25">
      <c r="A2024" s="16" t="s">
        <v>17</v>
      </c>
      <c r="B2024" s="16" t="s">
        <v>28</v>
      </c>
      <c r="C2024" s="17" t="s">
        <v>19</v>
      </c>
      <c r="D2024" s="18" t="s">
        <v>1160</v>
      </c>
      <c r="E2024" s="18">
        <v>22</v>
      </c>
      <c r="F2024" s="18" t="s">
        <v>131</v>
      </c>
      <c r="G2024" s="18" t="s">
        <v>22</v>
      </c>
      <c r="H2024" s="18" t="s">
        <v>23</v>
      </c>
      <c r="I2024" s="19">
        <v>123.22</v>
      </c>
      <c r="J2024" s="20">
        <f t="shared" si="62"/>
        <v>2710.84</v>
      </c>
      <c r="K2024" s="106"/>
      <c r="L2024" s="114"/>
      <c r="M2024" s="114">
        <f>tblAquisições[[#This Row],[VALOR UNITARIO COMPRADO]]*tblAquisições[[#This Row],[QUANTIDADE COMPRADA]]</f>
        <v>0</v>
      </c>
      <c r="N2024" s="110">
        <f>K2024-tblAquisições[[#This Row],[QUANTIDADE PLANEJADA]]</f>
        <v>-22</v>
      </c>
      <c r="O2024" s="106" t="str">
        <f t="shared" si="63"/>
        <v>Faltando Comprar</v>
      </c>
    </row>
    <row r="2025" spans="1:15" ht="47.25">
      <c r="A2025" s="16" t="s">
        <v>17</v>
      </c>
      <c r="B2025" s="16" t="s">
        <v>18</v>
      </c>
      <c r="C2025" s="17" t="s">
        <v>19</v>
      </c>
      <c r="D2025" s="18" t="s">
        <v>1161</v>
      </c>
      <c r="E2025" s="18">
        <v>2</v>
      </c>
      <c r="F2025" s="18" t="s">
        <v>126</v>
      </c>
      <c r="G2025" s="18" t="s">
        <v>127</v>
      </c>
      <c r="H2025" s="18" t="s">
        <v>23</v>
      </c>
      <c r="I2025" s="19">
        <v>79047.039999999994</v>
      </c>
      <c r="J2025" s="20">
        <f t="shared" si="62"/>
        <v>158094.07999999999</v>
      </c>
      <c r="K2025" s="106"/>
      <c r="L2025" s="114"/>
      <c r="M2025" s="114">
        <f>tblAquisições[[#This Row],[VALOR UNITARIO COMPRADO]]*tblAquisições[[#This Row],[QUANTIDADE COMPRADA]]</f>
        <v>0</v>
      </c>
      <c r="N2025" s="110">
        <f>K2025-tblAquisições[[#This Row],[QUANTIDADE PLANEJADA]]</f>
        <v>-2</v>
      </c>
      <c r="O2025" s="106" t="str">
        <f t="shared" si="63"/>
        <v>Faltando Comprar</v>
      </c>
    </row>
    <row r="2026" spans="1:15" ht="47.25">
      <c r="A2026" s="16" t="s">
        <v>17</v>
      </c>
      <c r="B2026" s="16" t="s">
        <v>24</v>
      </c>
      <c r="C2026" s="17" t="s">
        <v>19</v>
      </c>
      <c r="D2026" s="18" t="s">
        <v>1161</v>
      </c>
      <c r="E2026" s="18">
        <v>2</v>
      </c>
      <c r="F2026" s="18" t="s">
        <v>126</v>
      </c>
      <c r="G2026" s="18" t="s">
        <v>127</v>
      </c>
      <c r="H2026" s="18" t="s">
        <v>23</v>
      </c>
      <c r="I2026" s="19">
        <v>79047.039999999994</v>
      </c>
      <c r="J2026" s="20">
        <f t="shared" si="62"/>
        <v>158094.07999999999</v>
      </c>
      <c r="K2026" s="106"/>
      <c r="L2026" s="114"/>
      <c r="M2026" s="114">
        <f>tblAquisições[[#This Row],[VALOR UNITARIO COMPRADO]]*tblAquisições[[#This Row],[QUANTIDADE COMPRADA]]</f>
        <v>0</v>
      </c>
      <c r="N2026" s="110">
        <f>K2026-tblAquisições[[#This Row],[QUANTIDADE PLANEJADA]]</f>
        <v>-2</v>
      </c>
      <c r="O2026" s="106" t="str">
        <f t="shared" si="63"/>
        <v>Faltando Comprar</v>
      </c>
    </row>
    <row r="2027" spans="1:15" ht="47.25">
      <c r="A2027" s="16" t="s">
        <v>17</v>
      </c>
      <c r="B2027" s="16" t="s">
        <v>25</v>
      </c>
      <c r="C2027" s="17" t="s">
        <v>19</v>
      </c>
      <c r="D2027" s="18" t="s">
        <v>1161</v>
      </c>
      <c r="E2027" s="18">
        <v>2</v>
      </c>
      <c r="F2027" s="18" t="s">
        <v>126</v>
      </c>
      <c r="G2027" s="18" t="s">
        <v>127</v>
      </c>
      <c r="H2027" s="18" t="s">
        <v>23</v>
      </c>
      <c r="I2027" s="19">
        <v>79047.039999999994</v>
      </c>
      <c r="J2027" s="20">
        <f t="shared" si="62"/>
        <v>158094.07999999999</v>
      </c>
      <c r="K2027" s="106"/>
      <c r="L2027" s="114"/>
      <c r="M2027" s="114">
        <f>tblAquisições[[#This Row],[VALOR UNITARIO COMPRADO]]*tblAquisições[[#This Row],[QUANTIDADE COMPRADA]]</f>
        <v>0</v>
      </c>
      <c r="N2027" s="110">
        <f>K2027-tblAquisições[[#This Row],[QUANTIDADE PLANEJADA]]</f>
        <v>-2</v>
      </c>
      <c r="O2027" s="106" t="str">
        <f t="shared" si="63"/>
        <v>Faltando Comprar</v>
      </c>
    </row>
    <row r="2028" spans="1:15" ht="47.25">
      <c r="A2028" s="16" t="s">
        <v>17</v>
      </c>
      <c r="B2028" s="16" t="s">
        <v>80</v>
      </c>
      <c r="C2028" s="17" t="s">
        <v>19</v>
      </c>
      <c r="D2028" s="18" t="s">
        <v>1162</v>
      </c>
      <c r="E2028" s="18">
        <v>4</v>
      </c>
      <c r="F2028" s="18" t="s">
        <v>147</v>
      </c>
      <c r="G2028" s="18" t="s">
        <v>39</v>
      </c>
      <c r="H2028" s="18" t="s">
        <v>23</v>
      </c>
      <c r="I2028" s="19">
        <v>10.24</v>
      </c>
      <c r="J2028" s="20">
        <f t="shared" si="62"/>
        <v>40.96</v>
      </c>
      <c r="K2028" s="106"/>
      <c r="L2028" s="114"/>
      <c r="M2028" s="114">
        <f>tblAquisições[[#This Row],[VALOR UNITARIO COMPRADO]]*tblAquisições[[#This Row],[QUANTIDADE COMPRADA]]</f>
        <v>0</v>
      </c>
      <c r="N2028" s="110">
        <f>K2028-tblAquisições[[#This Row],[QUANTIDADE PLANEJADA]]</f>
        <v>-4</v>
      </c>
      <c r="O2028" s="106" t="str">
        <f t="shared" si="63"/>
        <v>Faltando Comprar</v>
      </c>
    </row>
    <row r="2029" spans="1:15" ht="47.25">
      <c r="A2029" s="16" t="s">
        <v>17</v>
      </c>
      <c r="B2029" s="16" t="s">
        <v>41</v>
      </c>
      <c r="C2029" s="17" t="s">
        <v>19</v>
      </c>
      <c r="D2029" s="18" t="s">
        <v>1163</v>
      </c>
      <c r="E2029" s="18">
        <v>5</v>
      </c>
      <c r="F2029" s="18" t="s">
        <v>78</v>
      </c>
      <c r="G2029" s="18" t="s">
        <v>22</v>
      </c>
      <c r="H2029" s="18" t="s">
        <v>23</v>
      </c>
      <c r="I2029" s="19">
        <v>10.24</v>
      </c>
      <c r="J2029" s="20">
        <f t="shared" si="62"/>
        <v>51.2</v>
      </c>
      <c r="K2029" s="106"/>
      <c r="L2029" s="114"/>
      <c r="M2029" s="114">
        <f>tblAquisições[[#This Row],[VALOR UNITARIO COMPRADO]]*tblAquisições[[#This Row],[QUANTIDADE COMPRADA]]</f>
        <v>0</v>
      </c>
      <c r="N2029" s="110">
        <f>K2029-tblAquisições[[#This Row],[QUANTIDADE PLANEJADA]]</f>
        <v>-5</v>
      </c>
      <c r="O2029" s="106" t="str">
        <f t="shared" si="63"/>
        <v>Faltando Comprar</v>
      </c>
    </row>
    <row r="2030" spans="1:15" ht="47.25">
      <c r="A2030" s="16" t="s">
        <v>17</v>
      </c>
      <c r="B2030" s="16" t="s">
        <v>18</v>
      </c>
      <c r="C2030" s="17" t="s">
        <v>19</v>
      </c>
      <c r="D2030" s="18" t="s">
        <v>1164</v>
      </c>
      <c r="E2030" s="18">
        <v>10</v>
      </c>
      <c r="F2030" s="18" t="s">
        <v>222</v>
      </c>
      <c r="G2030" s="18" t="s">
        <v>127</v>
      </c>
      <c r="H2030" s="18" t="s">
        <v>23</v>
      </c>
      <c r="I2030" s="19">
        <v>475</v>
      </c>
      <c r="J2030" s="20">
        <f t="shared" si="62"/>
        <v>4750</v>
      </c>
      <c r="K2030" s="106"/>
      <c r="L2030" s="114"/>
      <c r="M2030" s="114">
        <f>tblAquisições[[#This Row],[VALOR UNITARIO COMPRADO]]*tblAquisições[[#This Row],[QUANTIDADE COMPRADA]]</f>
        <v>0</v>
      </c>
      <c r="N2030" s="110">
        <f>K2030-tblAquisições[[#This Row],[QUANTIDADE PLANEJADA]]</f>
        <v>-10</v>
      </c>
      <c r="O2030" s="106" t="str">
        <f t="shared" si="63"/>
        <v>Faltando Comprar</v>
      </c>
    </row>
    <row r="2031" spans="1:15" ht="47.25">
      <c r="A2031" s="16" t="s">
        <v>17</v>
      </c>
      <c r="B2031" s="16" t="s">
        <v>24</v>
      </c>
      <c r="C2031" s="17" t="s">
        <v>19</v>
      </c>
      <c r="D2031" s="18" t="s">
        <v>1164</v>
      </c>
      <c r="E2031" s="18">
        <v>10</v>
      </c>
      <c r="F2031" s="18" t="s">
        <v>222</v>
      </c>
      <c r="G2031" s="18" t="s">
        <v>127</v>
      </c>
      <c r="H2031" s="18" t="s">
        <v>23</v>
      </c>
      <c r="I2031" s="19">
        <v>475</v>
      </c>
      <c r="J2031" s="20">
        <f t="shared" si="62"/>
        <v>4750</v>
      </c>
      <c r="K2031" s="106"/>
      <c r="L2031" s="114"/>
      <c r="M2031" s="114">
        <f>tblAquisições[[#This Row],[VALOR UNITARIO COMPRADO]]*tblAquisições[[#This Row],[QUANTIDADE COMPRADA]]</f>
        <v>0</v>
      </c>
      <c r="N2031" s="110">
        <f>K2031-tblAquisições[[#This Row],[QUANTIDADE PLANEJADA]]</f>
        <v>-10</v>
      </c>
      <c r="O2031" s="106" t="str">
        <f t="shared" si="63"/>
        <v>Faltando Comprar</v>
      </c>
    </row>
    <row r="2032" spans="1:15" ht="47.25">
      <c r="A2032" s="16" t="s">
        <v>17</v>
      </c>
      <c r="B2032" s="16" t="s">
        <v>25</v>
      </c>
      <c r="C2032" s="17" t="s">
        <v>19</v>
      </c>
      <c r="D2032" s="18" t="s">
        <v>1164</v>
      </c>
      <c r="E2032" s="18">
        <v>10</v>
      </c>
      <c r="F2032" s="18" t="s">
        <v>222</v>
      </c>
      <c r="G2032" s="18" t="s">
        <v>127</v>
      </c>
      <c r="H2032" s="18" t="s">
        <v>23</v>
      </c>
      <c r="I2032" s="19">
        <v>475</v>
      </c>
      <c r="J2032" s="20">
        <f t="shared" si="62"/>
        <v>4750</v>
      </c>
      <c r="K2032" s="106"/>
      <c r="L2032" s="114"/>
      <c r="M2032" s="114">
        <f>tblAquisições[[#This Row],[VALOR UNITARIO COMPRADO]]*tblAquisições[[#This Row],[QUANTIDADE COMPRADA]]</f>
        <v>0</v>
      </c>
      <c r="N2032" s="110">
        <f>K2032-tblAquisições[[#This Row],[QUANTIDADE PLANEJADA]]</f>
        <v>-10</v>
      </c>
      <c r="O2032" s="106" t="str">
        <f t="shared" si="63"/>
        <v>Faltando Comprar</v>
      </c>
    </row>
    <row r="2033" spans="1:15" ht="47.25">
      <c r="A2033" s="16" t="s">
        <v>17</v>
      </c>
      <c r="B2033" s="16" t="s">
        <v>18</v>
      </c>
      <c r="C2033" s="17" t="s">
        <v>19</v>
      </c>
      <c r="D2033" s="18" t="s">
        <v>1165</v>
      </c>
      <c r="E2033" s="18">
        <v>10</v>
      </c>
      <c r="F2033" s="18" t="s">
        <v>222</v>
      </c>
      <c r="G2033" s="18" t="s">
        <v>127</v>
      </c>
      <c r="H2033" s="18" t="s">
        <v>23</v>
      </c>
      <c r="I2033" s="19">
        <v>700</v>
      </c>
      <c r="J2033" s="20">
        <f t="shared" si="62"/>
        <v>7000</v>
      </c>
      <c r="K2033" s="106"/>
      <c r="L2033" s="114"/>
      <c r="M2033" s="114">
        <f>tblAquisições[[#This Row],[VALOR UNITARIO COMPRADO]]*tblAquisições[[#This Row],[QUANTIDADE COMPRADA]]</f>
        <v>0</v>
      </c>
      <c r="N2033" s="110">
        <f>K2033-tblAquisições[[#This Row],[QUANTIDADE PLANEJADA]]</f>
        <v>-10</v>
      </c>
      <c r="O2033" s="106" t="str">
        <f t="shared" si="63"/>
        <v>Faltando Comprar</v>
      </c>
    </row>
    <row r="2034" spans="1:15" ht="47.25">
      <c r="A2034" s="16" t="s">
        <v>17</v>
      </c>
      <c r="B2034" s="16" t="s">
        <v>24</v>
      </c>
      <c r="C2034" s="17" t="s">
        <v>19</v>
      </c>
      <c r="D2034" s="18" t="s">
        <v>1165</v>
      </c>
      <c r="E2034" s="18">
        <v>10</v>
      </c>
      <c r="F2034" s="18" t="s">
        <v>222</v>
      </c>
      <c r="G2034" s="18" t="s">
        <v>127</v>
      </c>
      <c r="H2034" s="18" t="s">
        <v>23</v>
      </c>
      <c r="I2034" s="19">
        <v>700</v>
      </c>
      <c r="J2034" s="20">
        <f t="shared" si="62"/>
        <v>7000</v>
      </c>
      <c r="K2034" s="106"/>
      <c r="L2034" s="114"/>
      <c r="M2034" s="114">
        <f>tblAquisições[[#This Row],[VALOR UNITARIO COMPRADO]]*tblAquisições[[#This Row],[QUANTIDADE COMPRADA]]</f>
        <v>0</v>
      </c>
      <c r="N2034" s="110">
        <f>K2034-tblAquisições[[#This Row],[QUANTIDADE PLANEJADA]]</f>
        <v>-10</v>
      </c>
      <c r="O2034" s="106" t="str">
        <f t="shared" si="63"/>
        <v>Faltando Comprar</v>
      </c>
    </row>
    <row r="2035" spans="1:15" ht="47.25">
      <c r="A2035" s="16" t="s">
        <v>17</v>
      </c>
      <c r="B2035" s="16" t="s">
        <v>25</v>
      </c>
      <c r="C2035" s="17" t="s">
        <v>19</v>
      </c>
      <c r="D2035" s="18" t="s">
        <v>1165</v>
      </c>
      <c r="E2035" s="18">
        <v>10</v>
      </c>
      <c r="F2035" s="18" t="s">
        <v>222</v>
      </c>
      <c r="G2035" s="18" t="s">
        <v>127</v>
      </c>
      <c r="H2035" s="18" t="s">
        <v>23</v>
      </c>
      <c r="I2035" s="19">
        <v>700</v>
      </c>
      <c r="J2035" s="20">
        <f t="shared" si="62"/>
        <v>7000</v>
      </c>
      <c r="K2035" s="106"/>
      <c r="L2035" s="114"/>
      <c r="M2035" s="114">
        <f>tblAquisições[[#This Row],[VALOR UNITARIO COMPRADO]]*tblAquisições[[#This Row],[QUANTIDADE COMPRADA]]</f>
        <v>0</v>
      </c>
      <c r="N2035" s="110">
        <f>K2035-tblAquisições[[#This Row],[QUANTIDADE PLANEJADA]]</f>
        <v>-10</v>
      </c>
      <c r="O2035" s="106" t="str">
        <f t="shared" si="63"/>
        <v>Faltando Comprar</v>
      </c>
    </row>
    <row r="2036" spans="1:15" ht="47.25">
      <c r="A2036" s="16" t="s">
        <v>17</v>
      </c>
      <c r="B2036" s="16" t="s">
        <v>18</v>
      </c>
      <c r="C2036" s="17" t="s">
        <v>19</v>
      </c>
      <c r="D2036" s="18" t="s">
        <v>1166</v>
      </c>
      <c r="E2036" s="18">
        <v>5</v>
      </c>
      <c r="F2036" s="18" t="s">
        <v>222</v>
      </c>
      <c r="G2036" s="18" t="s">
        <v>127</v>
      </c>
      <c r="H2036" s="18" t="s">
        <v>23</v>
      </c>
      <c r="I2036" s="19">
        <v>1400</v>
      </c>
      <c r="J2036" s="20">
        <f t="shared" si="62"/>
        <v>7000</v>
      </c>
      <c r="K2036" s="106"/>
      <c r="L2036" s="114"/>
      <c r="M2036" s="114">
        <f>tblAquisições[[#This Row],[VALOR UNITARIO COMPRADO]]*tblAquisições[[#This Row],[QUANTIDADE COMPRADA]]</f>
        <v>0</v>
      </c>
      <c r="N2036" s="110">
        <f>K2036-tblAquisições[[#This Row],[QUANTIDADE PLANEJADA]]</f>
        <v>-5</v>
      </c>
      <c r="O2036" s="106" t="str">
        <f t="shared" si="63"/>
        <v>Faltando Comprar</v>
      </c>
    </row>
    <row r="2037" spans="1:15" ht="47.25">
      <c r="A2037" s="16" t="s">
        <v>17</v>
      </c>
      <c r="B2037" s="16" t="s">
        <v>24</v>
      </c>
      <c r="C2037" s="17" t="s">
        <v>19</v>
      </c>
      <c r="D2037" s="18" t="s">
        <v>1166</v>
      </c>
      <c r="E2037" s="18">
        <v>5</v>
      </c>
      <c r="F2037" s="18" t="s">
        <v>222</v>
      </c>
      <c r="G2037" s="18" t="s">
        <v>127</v>
      </c>
      <c r="H2037" s="18" t="s">
        <v>23</v>
      </c>
      <c r="I2037" s="19">
        <v>1400</v>
      </c>
      <c r="J2037" s="20">
        <f t="shared" si="62"/>
        <v>7000</v>
      </c>
      <c r="K2037" s="106"/>
      <c r="L2037" s="114"/>
      <c r="M2037" s="114">
        <f>tblAquisições[[#This Row],[VALOR UNITARIO COMPRADO]]*tblAquisições[[#This Row],[QUANTIDADE COMPRADA]]</f>
        <v>0</v>
      </c>
      <c r="N2037" s="110">
        <f>K2037-tblAquisições[[#This Row],[QUANTIDADE PLANEJADA]]</f>
        <v>-5</v>
      </c>
      <c r="O2037" s="106" t="str">
        <f t="shared" si="63"/>
        <v>Faltando Comprar</v>
      </c>
    </row>
    <row r="2038" spans="1:15" ht="47.25">
      <c r="A2038" s="16" t="s">
        <v>17</v>
      </c>
      <c r="B2038" s="16" t="s">
        <v>25</v>
      </c>
      <c r="C2038" s="17" t="s">
        <v>19</v>
      </c>
      <c r="D2038" s="18" t="s">
        <v>1166</v>
      </c>
      <c r="E2038" s="18">
        <v>10</v>
      </c>
      <c r="F2038" s="18" t="s">
        <v>222</v>
      </c>
      <c r="G2038" s="18" t="s">
        <v>127</v>
      </c>
      <c r="H2038" s="18" t="s">
        <v>23</v>
      </c>
      <c r="I2038" s="19">
        <v>1400</v>
      </c>
      <c r="J2038" s="20">
        <f t="shared" si="62"/>
        <v>14000</v>
      </c>
      <c r="K2038" s="106"/>
      <c r="L2038" s="114"/>
      <c r="M2038" s="114">
        <f>tblAquisições[[#This Row],[VALOR UNITARIO COMPRADO]]*tblAquisições[[#This Row],[QUANTIDADE COMPRADA]]</f>
        <v>0</v>
      </c>
      <c r="N2038" s="110">
        <f>K2038-tblAquisições[[#This Row],[QUANTIDADE PLANEJADA]]</f>
        <v>-10</v>
      </c>
      <c r="O2038" s="106" t="str">
        <f t="shared" si="63"/>
        <v>Faltando Comprar</v>
      </c>
    </row>
    <row r="2039" spans="1:15" ht="47.25">
      <c r="A2039" s="16" t="s">
        <v>17</v>
      </c>
      <c r="B2039" s="16" t="s">
        <v>18</v>
      </c>
      <c r="C2039" s="17" t="s">
        <v>19</v>
      </c>
      <c r="D2039" s="18" t="s">
        <v>1167</v>
      </c>
      <c r="E2039" s="18">
        <v>15</v>
      </c>
      <c r="F2039" s="18" t="s">
        <v>222</v>
      </c>
      <c r="G2039" s="18" t="s">
        <v>127</v>
      </c>
      <c r="H2039" s="18" t="s">
        <v>23</v>
      </c>
      <c r="I2039" s="19">
        <v>2100</v>
      </c>
      <c r="J2039" s="20">
        <f t="shared" si="62"/>
        <v>31500</v>
      </c>
      <c r="K2039" s="106"/>
      <c r="L2039" s="114"/>
      <c r="M2039" s="114">
        <f>tblAquisições[[#This Row],[VALOR UNITARIO COMPRADO]]*tblAquisições[[#This Row],[QUANTIDADE COMPRADA]]</f>
        <v>0</v>
      </c>
      <c r="N2039" s="110">
        <f>K2039-tblAquisições[[#This Row],[QUANTIDADE PLANEJADA]]</f>
        <v>-15</v>
      </c>
      <c r="O2039" s="106" t="str">
        <f t="shared" si="63"/>
        <v>Faltando Comprar</v>
      </c>
    </row>
    <row r="2040" spans="1:15" ht="47.25">
      <c r="A2040" s="16" t="s">
        <v>17</v>
      </c>
      <c r="B2040" s="16" t="s">
        <v>24</v>
      </c>
      <c r="C2040" s="17" t="s">
        <v>19</v>
      </c>
      <c r="D2040" s="18" t="s">
        <v>1167</v>
      </c>
      <c r="E2040" s="18">
        <v>15</v>
      </c>
      <c r="F2040" s="18" t="s">
        <v>222</v>
      </c>
      <c r="G2040" s="18" t="s">
        <v>127</v>
      </c>
      <c r="H2040" s="18" t="s">
        <v>23</v>
      </c>
      <c r="I2040" s="19">
        <v>2100</v>
      </c>
      <c r="J2040" s="20">
        <f t="shared" si="62"/>
        <v>31500</v>
      </c>
      <c r="K2040" s="106"/>
      <c r="L2040" s="114"/>
      <c r="M2040" s="114">
        <f>tblAquisições[[#This Row],[VALOR UNITARIO COMPRADO]]*tblAquisições[[#This Row],[QUANTIDADE COMPRADA]]</f>
        <v>0</v>
      </c>
      <c r="N2040" s="110">
        <f>K2040-tblAquisições[[#This Row],[QUANTIDADE PLANEJADA]]</f>
        <v>-15</v>
      </c>
      <c r="O2040" s="106" t="str">
        <f t="shared" si="63"/>
        <v>Faltando Comprar</v>
      </c>
    </row>
    <row r="2041" spans="1:15" ht="47.25">
      <c r="A2041" s="16" t="s">
        <v>17</v>
      </c>
      <c r="B2041" s="16" t="s">
        <v>25</v>
      </c>
      <c r="C2041" s="17" t="s">
        <v>19</v>
      </c>
      <c r="D2041" s="18" t="s">
        <v>1167</v>
      </c>
      <c r="E2041" s="18">
        <v>15</v>
      </c>
      <c r="F2041" s="18" t="s">
        <v>222</v>
      </c>
      <c r="G2041" s="18" t="s">
        <v>127</v>
      </c>
      <c r="H2041" s="18" t="s">
        <v>23</v>
      </c>
      <c r="I2041" s="19">
        <v>2100</v>
      </c>
      <c r="J2041" s="20">
        <f t="shared" si="62"/>
        <v>31500</v>
      </c>
      <c r="K2041" s="106"/>
      <c r="L2041" s="114"/>
      <c r="M2041" s="114">
        <f>tblAquisições[[#This Row],[VALOR UNITARIO COMPRADO]]*tblAquisições[[#This Row],[QUANTIDADE COMPRADA]]</f>
        <v>0</v>
      </c>
      <c r="N2041" s="110">
        <f>K2041-tblAquisições[[#This Row],[QUANTIDADE PLANEJADA]]</f>
        <v>-15</v>
      </c>
      <c r="O2041" s="106" t="str">
        <f t="shared" si="63"/>
        <v>Faltando Comprar</v>
      </c>
    </row>
    <row r="2042" spans="1:15" ht="63">
      <c r="A2042" s="16" t="s">
        <v>17</v>
      </c>
      <c r="B2042" s="16" t="s">
        <v>80</v>
      </c>
      <c r="C2042" s="17" t="s">
        <v>19</v>
      </c>
      <c r="D2042" s="18" t="s">
        <v>1168</v>
      </c>
      <c r="E2042" s="18">
        <v>2</v>
      </c>
      <c r="F2042" s="18" t="s">
        <v>1158</v>
      </c>
      <c r="G2042" s="18" t="s">
        <v>775</v>
      </c>
      <c r="H2042" s="18" t="s">
        <v>23</v>
      </c>
      <c r="I2042" s="19">
        <v>15000</v>
      </c>
      <c r="J2042" s="20">
        <f t="shared" si="62"/>
        <v>30000</v>
      </c>
      <c r="K2042" s="106"/>
      <c r="L2042" s="114"/>
      <c r="M2042" s="114">
        <f>tblAquisições[[#This Row],[VALOR UNITARIO COMPRADO]]*tblAquisições[[#This Row],[QUANTIDADE COMPRADA]]</f>
        <v>0</v>
      </c>
      <c r="N2042" s="110">
        <f>K2042-tblAquisições[[#This Row],[QUANTIDADE PLANEJADA]]</f>
        <v>-2</v>
      </c>
      <c r="O2042" s="106" t="str">
        <f t="shared" si="63"/>
        <v>Faltando Comprar</v>
      </c>
    </row>
    <row r="2043" spans="1:15" ht="63">
      <c r="A2043" s="16" t="s">
        <v>17</v>
      </c>
      <c r="B2043" s="16" t="s">
        <v>80</v>
      </c>
      <c r="C2043" s="17" t="s">
        <v>19</v>
      </c>
      <c r="D2043" s="18" t="s">
        <v>1169</v>
      </c>
      <c r="E2043" s="18">
        <v>1</v>
      </c>
      <c r="F2043" s="18" t="s">
        <v>1158</v>
      </c>
      <c r="G2043" s="18" t="s">
        <v>775</v>
      </c>
      <c r="H2043" s="18" t="s">
        <v>23</v>
      </c>
      <c r="I2043" s="19">
        <v>1804.57</v>
      </c>
      <c r="J2043" s="20">
        <f t="shared" si="62"/>
        <v>1804.57</v>
      </c>
      <c r="K2043" s="106"/>
      <c r="L2043" s="114"/>
      <c r="M2043" s="114">
        <f>tblAquisições[[#This Row],[VALOR UNITARIO COMPRADO]]*tblAquisições[[#This Row],[QUANTIDADE COMPRADA]]</f>
        <v>0</v>
      </c>
      <c r="N2043" s="110">
        <f>K2043-tblAquisições[[#This Row],[QUANTIDADE PLANEJADA]]</f>
        <v>-1</v>
      </c>
      <c r="O2043" s="106" t="str">
        <f t="shared" si="63"/>
        <v>Faltando Comprar</v>
      </c>
    </row>
    <row r="2044" spans="1:15" ht="47.25">
      <c r="A2044" s="16" t="s">
        <v>17</v>
      </c>
      <c r="B2044" s="16" t="s">
        <v>28</v>
      </c>
      <c r="C2044" s="17" t="s">
        <v>19</v>
      </c>
      <c r="D2044" s="18" t="s">
        <v>1170</v>
      </c>
      <c r="E2044" s="18">
        <v>3</v>
      </c>
      <c r="F2044" s="18" t="s">
        <v>126</v>
      </c>
      <c r="G2044" s="18" t="s">
        <v>127</v>
      </c>
      <c r="H2044" s="18" t="s">
        <v>23</v>
      </c>
      <c r="I2044" s="19">
        <v>1804.57</v>
      </c>
      <c r="J2044" s="20">
        <f t="shared" si="62"/>
        <v>5413.71</v>
      </c>
      <c r="K2044" s="106"/>
      <c r="L2044" s="114"/>
      <c r="M2044" s="114">
        <f>tblAquisições[[#This Row],[VALOR UNITARIO COMPRADO]]*tblAquisições[[#This Row],[QUANTIDADE COMPRADA]]</f>
        <v>0</v>
      </c>
      <c r="N2044" s="110">
        <f>K2044-tblAquisições[[#This Row],[QUANTIDADE PLANEJADA]]</f>
        <v>-3</v>
      </c>
      <c r="O2044" s="106" t="str">
        <f t="shared" si="63"/>
        <v>Faltando Comprar</v>
      </c>
    </row>
    <row r="2045" spans="1:15" ht="63">
      <c r="A2045" s="16" t="s">
        <v>17</v>
      </c>
      <c r="B2045" s="16" t="s">
        <v>18</v>
      </c>
      <c r="C2045" s="17" t="s">
        <v>19</v>
      </c>
      <c r="D2045" s="18" t="s">
        <v>1171</v>
      </c>
      <c r="E2045" s="18">
        <v>2</v>
      </c>
      <c r="F2045" s="18" t="s">
        <v>126</v>
      </c>
      <c r="G2045" s="18" t="s">
        <v>127</v>
      </c>
      <c r="H2045" s="18" t="s">
        <v>23</v>
      </c>
      <c r="I2045" s="19">
        <v>11624.65</v>
      </c>
      <c r="J2045" s="20">
        <f t="shared" si="62"/>
        <v>23249.3</v>
      </c>
      <c r="K2045" s="106"/>
      <c r="L2045" s="114"/>
      <c r="M2045" s="114">
        <f>tblAquisições[[#This Row],[VALOR UNITARIO COMPRADO]]*tblAquisições[[#This Row],[QUANTIDADE COMPRADA]]</f>
        <v>0</v>
      </c>
      <c r="N2045" s="110">
        <f>K2045-tblAquisições[[#This Row],[QUANTIDADE PLANEJADA]]</f>
        <v>-2</v>
      </c>
      <c r="O2045" s="106" t="str">
        <f t="shared" si="63"/>
        <v>Faltando Comprar</v>
      </c>
    </row>
    <row r="2046" spans="1:15" ht="63">
      <c r="A2046" s="16" t="s">
        <v>17</v>
      </c>
      <c r="B2046" s="16" t="s">
        <v>24</v>
      </c>
      <c r="C2046" s="17" t="s">
        <v>19</v>
      </c>
      <c r="D2046" s="18" t="s">
        <v>1171</v>
      </c>
      <c r="E2046" s="18">
        <v>2</v>
      </c>
      <c r="F2046" s="18" t="s">
        <v>126</v>
      </c>
      <c r="G2046" s="18" t="s">
        <v>127</v>
      </c>
      <c r="H2046" s="18" t="s">
        <v>23</v>
      </c>
      <c r="I2046" s="19">
        <v>11624.65</v>
      </c>
      <c r="J2046" s="20">
        <f t="shared" si="62"/>
        <v>23249.3</v>
      </c>
      <c r="K2046" s="106"/>
      <c r="L2046" s="114"/>
      <c r="M2046" s="114">
        <f>tblAquisições[[#This Row],[VALOR UNITARIO COMPRADO]]*tblAquisições[[#This Row],[QUANTIDADE COMPRADA]]</f>
        <v>0</v>
      </c>
      <c r="N2046" s="110">
        <f>K2046-tblAquisições[[#This Row],[QUANTIDADE PLANEJADA]]</f>
        <v>-2</v>
      </c>
      <c r="O2046" s="106" t="str">
        <f t="shared" si="63"/>
        <v>Faltando Comprar</v>
      </c>
    </row>
    <row r="2047" spans="1:15" ht="63">
      <c r="A2047" s="16" t="s">
        <v>17</v>
      </c>
      <c r="B2047" s="16" t="s">
        <v>25</v>
      </c>
      <c r="C2047" s="17" t="s">
        <v>19</v>
      </c>
      <c r="D2047" s="18" t="s">
        <v>1171</v>
      </c>
      <c r="E2047" s="18">
        <v>2</v>
      </c>
      <c r="F2047" s="18" t="s">
        <v>126</v>
      </c>
      <c r="G2047" s="18" t="s">
        <v>127</v>
      </c>
      <c r="H2047" s="18" t="s">
        <v>23</v>
      </c>
      <c r="I2047" s="19">
        <v>11624.65</v>
      </c>
      <c r="J2047" s="20">
        <f t="shared" si="62"/>
        <v>23249.3</v>
      </c>
      <c r="K2047" s="106"/>
      <c r="L2047" s="114"/>
      <c r="M2047" s="114">
        <f>tblAquisições[[#This Row],[VALOR UNITARIO COMPRADO]]*tblAquisições[[#This Row],[QUANTIDADE COMPRADA]]</f>
        <v>0</v>
      </c>
      <c r="N2047" s="110">
        <f>K2047-tblAquisições[[#This Row],[QUANTIDADE PLANEJADA]]</f>
        <v>-2</v>
      </c>
      <c r="O2047" s="106" t="str">
        <f t="shared" si="63"/>
        <v>Faltando Comprar</v>
      </c>
    </row>
    <row r="2048" spans="1:15" ht="63">
      <c r="A2048" s="16" t="s">
        <v>17</v>
      </c>
      <c r="B2048" s="16" t="s">
        <v>18</v>
      </c>
      <c r="C2048" s="17" t="s">
        <v>19</v>
      </c>
      <c r="D2048" s="18" t="s">
        <v>1172</v>
      </c>
      <c r="E2048" s="18">
        <v>2</v>
      </c>
      <c r="F2048" s="18" t="s">
        <v>126</v>
      </c>
      <c r="G2048" s="18" t="s">
        <v>127</v>
      </c>
      <c r="H2048" s="18" t="s">
        <v>23</v>
      </c>
      <c r="I2048" s="19">
        <v>8985</v>
      </c>
      <c r="J2048" s="20">
        <f t="shared" si="62"/>
        <v>17970</v>
      </c>
      <c r="K2048" s="106"/>
      <c r="L2048" s="114"/>
      <c r="M2048" s="114">
        <f>tblAquisições[[#This Row],[VALOR UNITARIO COMPRADO]]*tblAquisições[[#This Row],[QUANTIDADE COMPRADA]]</f>
        <v>0</v>
      </c>
      <c r="N2048" s="110">
        <f>K2048-tblAquisições[[#This Row],[QUANTIDADE PLANEJADA]]</f>
        <v>-2</v>
      </c>
      <c r="O2048" s="106" t="str">
        <f t="shared" si="63"/>
        <v>Faltando Comprar</v>
      </c>
    </row>
    <row r="2049" spans="1:15" ht="63">
      <c r="A2049" s="16" t="s">
        <v>17</v>
      </c>
      <c r="B2049" s="16" t="s">
        <v>24</v>
      </c>
      <c r="C2049" s="17" t="s">
        <v>19</v>
      </c>
      <c r="D2049" s="18" t="s">
        <v>1172</v>
      </c>
      <c r="E2049" s="18">
        <v>2</v>
      </c>
      <c r="F2049" s="18" t="s">
        <v>126</v>
      </c>
      <c r="G2049" s="18" t="s">
        <v>127</v>
      </c>
      <c r="H2049" s="18" t="s">
        <v>23</v>
      </c>
      <c r="I2049" s="19">
        <v>8985</v>
      </c>
      <c r="J2049" s="20">
        <f t="shared" si="62"/>
        <v>17970</v>
      </c>
      <c r="K2049" s="106"/>
      <c r="L2049" s="114"/>
      <c r="M2049" s="114">
        <f>tblAquisições[[#This Row],[VALOR UNITARIO COMPRADO]]*tblAquisições[[#This Row],[QUANTIDADE COMPRADA]]</f>
        <v>0</v>
      </c>
      <c r="N2049" s="110">
        <f>K2049-tblAquisições[[#This Row],[QUANTIDADE PLANEJADA]]</f>
        <v>-2</v>
      </c>
      <c r="O2049" s="106" t="str">
        <f t="shared" si="63"/>
        <v>Faltando Comprar</v>
      </c>
    </row>
    <row r="2050" spans="1:15" ht="63">
      <c r="A2050" s="16" t="s">
        <v>17</v>
      </c>
      <c r="B2050" s="16" t="s">
        <v>25</v>
      </c>
      <c r="C2050" s="17" t="s">
        <v>19</v>
      </c>
      <c r="D2050" s="18" t="s">
        <v>1172</v>
      </c>
      <c r="E2050" s="18">
        <v>2</v>
      </c>
      <c r="F2050" s="18" t="s">
        <v>126</v>
      </c>
      <c r="G2050" s="18" t="s">
        <v>127</v>
      </c>
      <c r="H2050" s="18" t="s">
        <v>23</v>
      </c>
      <c r="I2050" s="19">
        <v>8985</v>
      </c>
      <c r="J2050" s="20">
        <f t="shared" ref="J2050:J2113" si="64">E2050*I2050</f>
        <v>17970</v>
      </c>
      <c r="K2050" s="106"/>
      <c r="L2050" s="114"/>
      <c r="M2050" s="114">
        <f>tblAquisições[[#This Row],[VALOR UNITARIO COMPRADO]]*tblAquisições[[#This Row],[QUANTIDADE COMPRADA]]</f>
        <v>0</v>
      </c>
      <c r="N2050" s="110">
        <f>K2050-tblAquisições[[#This Row],[QUANTIDADE PLANEJADA]]</f>
        <v>-2</v>
      </c>
      <c r="O2050" s="106" t="str">
        <f t="shared" ref="O2050:O2113" si="65">IF(K2050=E2050,"OK",IF(K2050&lt;E2050,"Faltando Comprar","Excedente"))</f>
        <v>Faltando Comprar</v>
      </c>
    </row>
    <row r="2051" spans="1:15" ht="47.25">
      <c r="A2051" s="16" t="s">
        <v>17</v>
      </c>
      <c r="B2051" s="16" t="s">
        <v>31</v>
      </c>
      <c r="C2051" s="17" t="s">
        <v>19</v>
      </c>
      <c r="D2051" s="18" t="s">
        <v>1173</v>
      </c>
      <c r="E2051" s="18">
        <v>2</v>
      </c>
      <c r="F2051" s="18" t="s">
        <v>78</v>
      </c>
      <c r="G2051" s="18" t="s">
        <v>22</v>
      </c>
      <c r="H2051" s="18" t="s">
        <v>23</v>
      </c>
      <c r="I2051" s="19">
        <v>427.11</v>
      </c>
      <c r="J2051" s="20">
        <f t="shared" si="64"/>
        <v>854.22</v>
      </c>
      <c r="K2051" s="106"/>
      <c r="L2051" s="114"/>
      <c r="M2051" s="114">
        <f>tblAquisições[[#This Row],[VALOR UNITARIO COMPRADO]]*tblAquisições[[#This Row],[QUANTIDADE COMPRADA]]</f>
        <v>0</v>
      </c>
      <c r="N2051" s="110">
        <f>K2051-tblAquisições[[#This Row],[QUANTIDADE PLANEJADA]]</f>
        <v>-2</v>
      </c>
      <c r="O2051" s="106" t="str">
        <f t="shared" si="65"/>
        <v>Faltando Comprar</v>
      </c>
    </row>
    <row r="2052" spans="1:15" ht="47.25">
      <c r="A2052" s="16" t="s">
        <v>17</v>
      </c>
      <c r="B2052" s="16" t="s">
        <v>28</v>
      </c>
      <c r="C2052" s="17" t="s">
        <v>19</v>
      </c>
      <c r="D2052" s="25" t="s">
        <v>1174</v>
      </c>
      <c r="E2052" s="18">
        <v>1</v>
      </c>
      <c r="F2052" s="18" t="s">
        <v>78</v>
      </c>
      <c r="G2052" s="18" t="s">
        <v>22</v>
      </c>
      <c r="H2052" s="18" t="s">
        <v>23</v>
      </c>
      <c r="I2052" s="19">
        <v>427.11</v>
      </c>
      <c r="J2052" s="20">
        <f t="shared" si="64"/>
        <v>427.11</v>
      </c>
      <c r="K2052" s="106"/>
      <c r="L2052" s="114"/>
      <c r="M2052" s="114">
        <f>tblAquisições[[#This Row],[VALOR UNITARIO COMPRADO]]*tblAquisições[[#This Row],[QUANTIDADE COMPRADA]]</f>
        <v>0</v>
      </c>
      <c r="N2052" s="110">
        <f>K2052-tblAquisições[[#This Row],[QUANTIDADE PLANEJADA]]</f>
        <v>-1</v>
      </c>
      <c r="O2052" s="106" t="str">
        <f t="shared" si="65"/>
        <v>Faltando Comprar</v>
      </c>
    </row>
    <row r="2053" spans="1:15" ht="47.25">
      <c r="A2053" s="16" t="s">
        <v>17</v>
      </c>
      <c r="B2053" s="16" t="s">
        <v>80</v>
      </c>
      <c r="C2053" s="17" t="s">
        <v>19</v>
      </c>
      <c r="D2053" s="18" t="s">
        <v>1175</v>
      </c>
      <c r="E2053" s="18">
        <v>12</v>
      </c>
      <c r="F2053" s="18" t="s">
        <v>191</v>
      </c>
      <c r="G2053" s="18" t="s">
        <v>39</v>
      </c>
      <c r="H2053" s="18" t="s">
        <v>23</v>
      </c>
      <c r="I2053" s="19">
        <v>5.95</v>
      </c>
      <c r="J2053" s="20">
        <f t="shared" si="64"/>
        <v>71.400000000000006</v>
      </c>
      <c r="K2053" s="106"/>
      <c r="L2053" s="114"/>
      <c r="M2053" s="114">
        <f>tblAquisições[[#This Row],[VALOR UNITARIO COMPRADO]]*tblAquisições[[#This Row],[QUANTIDADE COMPRADA]]</f>
        <v>0</v>
      </c>
      <c r="N2053" s="110">
        <f>K2053-tblAquisições[[#This Row],[QUANTIDADE PLANEJADA]]</f>
        <v>-12</v>
      </c>
      <c r="O2053" s="106" t="str">
        <f t="shared" si="65"/>
        <v>Faltando Comprar</v>
      </c>
    </row>
    <row r="2054" spans="1:15" ht="47.25">
      <c r="A2054" s="16" t="s">
        <v>17</v>
      </c>
      <c r="B2054" s="16" t="s">
        <v>26</v>
      </c>
      <c r="C2054" s="17" t="s">
        <v>19</v>
      </c>
      <c r="D2054" s="18" t="s">
        <v>1175</v>
      </c>
      <c r="E2054" s="18">
        <v>20</v>
      </c>
      <c r="F2054" s="18" t="s">
        <v>239</v>
      </c>
      <c r="G2054" s="18" t="s">
        <v>22</v>
      </c>
      <c r="H2054" s="18" t="s">
        <v>23</v>
      </c>
      <c r="I2054" s="19">
        <v>5.95</v>
      </c>
      <c r="J2054" s="20">
        <f t="shared" si="64"/>
        <v>119</v>
      </c>
      <c r="K2054" s="106"/>
      <c r="L2054" s="114"/>
      <c r="M2054" s="114">
        <f>tblAquisições[[#This Row],[VALOR UNITARIO COMPRADO]]*tblAquisições[[#This Row],[QUANTIDADE COMPRADA]]</f>
        <v>0</v>
      </c>
      <c r="N2054" s="110">
        <f>K2054-tblAquisições[[#This Row],[QUANTIDADE PLANEJADA]]</f>
        <v>-20</v>
      </c>
      <c r="O2054" s="106" t="str">
        <f t="shared" si="65"/>
        <v>Faltando Comprar</v>
      </c>
    </row>
    <row r="2055" spans="1:15" ht="47.25">
      <c r="A2055" s="16" t="s">
        <v>17</v>
      </c>
      <c r="B2055" s="16" t="s">
        <v>27</v>
      </c>
      <c r="C2055" s="17" t="s">
        <v>19</v>
      </c>
      <c r="D2055" s="18" t="s">
        <v>1176</v>
      </c>
      <c r="E2055" s="18">
        <v>11</v>
      </c>
      <c r="F2055" s="18" t="s">
        <v>78</v>
      </c>
      <c r="G2055" s="18" t="s">
        <v>22</v>
      </c>
      <c r="H2055" s="18" t="s">
        <v>23</v>
      </c>
      <c r="I2055" s="19">
        <v>60.63</v>
      </c>
      <c r="J2055" s="20">
        <f t="shared" si="64"/>
        <v>666.93000000000006</v>
      </c>
      <c r="K2055" s="106"/>
      <c r="L2055" s="114"/>
      <c r="M2055" s="114">
        <f>tblAquisições[[#This Row],[VALOR UNITARIO COMPRADO]]*tblAquisições[[#This Row],[QUANTIDADE COMPRADA]]</f>
        <v>0</v>
      </c>
      <c r="N2055" s="110">
        <f>K2055-tblAquisições[[#This Row],[QUANTIDADE PLANEJADA]]</f>
        <v>-11</v>
      </c>
      <c r="O2055" s="106" t="str">
        <f t="shared" si="65"/>
        <v>Faltando Comprar</v>
      </c>
    </row>
    <row r="2056" spans="1:15" ht="47.25">
      <c r="A2056" s="16" t="s">
        <v>17</v>
      </c>
      <c r="B2056" s="16" t="s">
        <v>72</v>
      </c>
      <c r="C2056" s="17" t="s">
        <v>19</v>
      </c>
      <c r="D2056" s="18" t="s">
        <v>1177</v>
      </c>
      <c r="E2056" s="18">
        <v>5</v>
      </c>
      <c r="F2056" s="18" t="s">
        <v>78</v>
      </c>
      <c r="G2056" s="18" t="s">
        <v>22</v>
      </c>
      <c r="H2056" s="18" t="s">
        <v>23</v>
      </c>
      <c r="I2056" s="19">
        <v>110.63</v>
      </c>
      <c r="J2056" s="20">
        <f t="shared" si="64"/>
        <v>553.15</v>
      </c>
      <c r="K2056" s="106"/>
      <c r="L2056" s="114"/>
      <c r="M2056" s="114">
        <f>tblAquisições[[#This Row],[VALOR UNITARIO COMPRADO]]*tblAquisições[[#This Row],[QUANTIDADE COMPRADA]]</f>
        <v>0</v>
      </c>
      <c r="N2056" s="110">
        <f>K2056-tblAquisições[[#This Row],[QUANTIDADE PLANEJADA]]</f>
        <v>-5</v>
      </c>
      <c r="O2056" s="106" t="str">
        <f t="shared" si="65"/>
        <v>Faltando Comprar</v>
      </c>
    </row>
    <row r="2057" spans="1:15" ht="78.75">
      <c r="A2057" s="16" t="s">
        <v>17</v>
      </c>
      <c r="B2057" s="16" t="s">
        <v>18</v>
      </c>
      <c r="C2057" s="17" t="s">
        <v>19</v>
      </c>
      <c r="D2057" s="18" t="s">
        <v>1178</v>
      </c>
      <c r="E2057" s="18">
        <v>2</v>
      </c>
      <c r="F2057" s="18" t="s">
        <v>126</v>
      </c>
      <c r="G2057" s="18" t="s">
        <v>127</v>
      </c>
      <c r="H2057" s="18" t="s">
        <v>23</v>
      </c>
      <c r="I2057" s="19">
        <v>2650</v>
      </c>
      <c r="J2057" s="20">
        <f t="shared" si="64"/>
        <v>5300</v>
      </c>
      <c r="K2057" s="106"/>
      <c r="L2057" s="114"/>
      <c r="M2057" s="114">
        <f>tblAquisições[[#This Row],[VALOR UNITARIO COMPRADO]]*tblAquisições[[#This Row],[QUANTIDADE COMPRADA]]</f>
        <v>0</v>
      </c>
      <c r="N2057" s="110">
        <f>K2057-tblAquisições[[#This Row],[QUANTIDADE PLANEJADA]]</f>
        <v>-2</v>
      </c>
      <c r="O2057" s="106" t="str">
        <f t="shared" si="65"/>
        <v>Faltando Comprar</v>
      </c>
    </row>
    <row r="2058" spans="1:15" ht="78.75">
      <c r="A2058" s="16" t="s">
        <v>17</v>
      </c>
      <c r="B2058" s="16" t="s">
        <v>24</v>
      </c>
      <c r="C2058" s="17" t="s">
        <v>19</v>
      </c>
      <c r="D2058" s="18" t="s">
        <v>1178</v>
      </c>
      <c r="E2058" s="18">
        <v>2</v>
      </c>
      <c r="F2058" s="18" t="s">
        <v>126</v>
      </c>
      <c r="G2058" s="18" t="s">
        <v>127</v>
      </c>
      <c r="H2058" s="18" t="s">
        <v>23</v>
      </c>
      <c r="I2058" s="19">
        <v>2650</v>
      </c>
      <c r="J2058" s="20">
        <f t="shared" si="64"/>
        <v>5300</v>
      </c>
      <c r="K2058" s="106"/>
      <c r="L2058" s="114"/>
      <c r="M2058" s="114">
        <f>tblAquisições[[#This Row],[VALOR UNITARIO COMPRADO]]*tblAquisições[[#This Row],[QUANTIDADE COMPRADA]]</f>
        <v>0</v>
      </c>
      <c r="N2058" s="110">
        <f>K2058-tblAquisições[[#This Row],[QUANTIDADE PLANEJADA]]</f>
        <v>-2</v>
      </c>
      <c r="O2058" s="106" t="str">
        <f t="shared" si="65"/>
        <v>Faltando Comprar</v>
      </c>
    </row>
    <row r="2059" spans="1:15" ht="78.75">
      <c r="A2059" s="16" t="s">
        <v>17</v>
      </c>
      <c r="B2059" s="16" t="s">
        <v>25</v>
      </c>
      <c r="C2059" s="17" t="s">
        <v>19</v>
      </c>
      <c r="D2059" s="18" t="s">
        <v>1178</v>
      </c>
      <c r="E2059" s="18">
        <v>2</v>
      </c>
      <c r="F2059" s="18" t="s">
        <v>126</v>
      </c>
      <c r="G2059" s="18" t="s">
        <v>127</v>
      </c>
      <c r="H2059" s="18" t="s">
        <v>23</v>
      </c>
      <c r="I2059" s="19">
        <v>2650</v>
      </c>
      <c r="J2059" s="20">
        <f t="shared" si="64"/>
        <v>5300</v>
      </c>
      <c r="K2059" s="106"/>
      <c r="L2059" s="114"/>
      <c r="M2059" s="114">
        <f>tblAquisições[[#This Row],[VALOR UNITARIO COMPRADO]]*tblAquisições[[#This Row],[QUANTIDADE COMPRADA]]</f>
        <v>0</v>
      </c>
      <c r="N2059" s="110">
        <f>K2059-tblAquisições[[#This Row],[QUANTIDADE PLANEJADA]]</f>
        <v>-2</v>
      </c>
      <c r="O2059" s="106" t="str">
        <f t="shared" si="65"/>
        <v>Faltando Comprar</v>
      </c>
    </row>
    <row r="2060" spans="1:15" ht="78.75">
      <c r="A2060" s="16" t="s">
        <v>17</v>
      </c>
      <c r="B2060" s="16" t="s">
        <v>18</v>
      </c>
      <c r="C2060" s="17" t="s">
        <v>19</v>
      </c>
      <c r="D2060" s="18" t="s">
        <v>1179</v>
      </c>
      <c r="E2060" s="18">
        <v>2</v>
      </c>
      <c r="F2060" s="18" t="s">
        <v>126</v>
      </c>
      <c r="G2060" s="18" t="s">
        <v>127</v>
      </c>
      <c r="H2060" s="18" t="s">
        <v>23</v>
      </c>
      <c r="I2060" s="19">
        <v>12500</v>
      </c>
      <c r="J2060" s="20">
        <f t="shared" si="64"/>
        <v>25000</v>
      </c>
      <c r="K2060" s="106"/>
      <c r="L2060" s="114"/>
      <c r="M2060" s="114">
        <f>tblAquisições[[#This Row],[VALOR UNITARIO COMPRADO]]*tblAquisições[[#This Row],[QUANTIDADE COMPRADA]]</f>
        <v>0</v>
      </c>
      <c r="N2060" s="110">
        <f>K2060-tblAquisições[[#This Row],[QUANTIDADE PLANEJADA]]</f>
        <v>-2</v>
      </c>
      <c r="O2060" s="106" t="str">
        <f t="shared" si="65"/>
        <v>Faltando Comprar</v>
      </c>
    </row>
    <row r="2061" spans="1:15" ht="78.75">
      <c r="A2061" s="16" t="s">
        <v>17</v>
      </c>
      <c r="B2061" s="16" t="s">
        <v>24</v>
      </c>
      <c r="C2061" s="17" t="s">
        <v>19</v>
      </c>
      <c r="D2061" s="18" t="s">
        <v>1179</v>
      </c>
      <c r="E2061" s="18">
        <v>2</v>
      </c>
      <c r="F2061" s="18" t="s">
        <v>126</v>
      </c>
      <c r="G2061" s="18" t="s">
        <v>127</v>
      </c>
      <c r="H2061" s="18" t="s">
        <v>23</v>
      </c>
      <c r="I2061" s="19">
        <v>12500</v>
      </c>
      <c r="J2061" s="20">
        <f t="shared" si="64"/>
        <v>25000</v>
      </c>
      <c r="K2061" s="106"/>
      <c r="L2061" s="114"/>
      <c r="M2061" s="114">
        <f>tblAquisições[[#This Row],[VALOR UNITARIO COMPRADO]]*tblAquisições[[#This Row],[QUANTIDADE COMPRADA]]</f>
        <v>0</v>
      </c>
      <c r="N2061" s="110">
        <f>K2061-tblAquisições[[#This Row],[QUANTIDADE PLANEJADA]]</f>
        <v>-2</v>
      </c>
      <c r="O2061" s="106" t="str">
        <f t="shared" si="65"/>
        <v>Faltando Comprar</v>
      </c>
    </row>
    <row r="2062" spans="1:15" ht="78.75">
      <c r="A2062" s="16" t="s">
        <v>17</v>
      </c>
      <c r="B2062" s="16" t="s">
        <v>25</v>
      </c>
      <c r="C2062" s="17" t="s">
        <v>19</v>
      </c>
      <c r="D2062" s="18" t="s">
        <v>1179</v>
      </c>
      <c r="E2062" s="18">
        <v>2</v>
      </c>
      <c r="F2062" s="18" t="s">
        <v>126</v>
      </c>
      <c r="G2062" s="18" t="s">
        <v>127</v>
      </c>
      <c r="H2062" s="18" t="s">
        <v>23</v>
      </c>
      <c r="I2062" s="19">
        <v>12500</v>
      </c>
      <c r="J2062" s="20">
        <f t="shared" si="64"/>
        <v>25000</v>
      </c>
      <c r="K2062" s="106"/>
      <c r="L2062" s="114"/>
      <c r="M2062" s="114">
        <f>tblAquisições[[#This Row],[VALOR UNITARIO COMPRADO]]*tblAquisições[[#This Row],[QUANTIDADE COMPRADA]]</f>
        <v>0</v>
      </c>
      <c r="N2062" s="110">
        <f>K2062-tblAquisições[[#This Row],[QUANTIDADE PLANEJADA]]</f>
        <v>-2</v>
      </c>
      <c r="O2062" s="106" t="str">
        <f t="shared" si="65"/>
        <v>Faltando Comprar</v>
      </c>
    </row>
    <row r="2063" spans="1:15" ht="63">
      <c r="A2063" s="16" t="s">
        <v>17</v>
      </c>
      <c r="B2063" s="16" t="s">
        <v>750</v>
      </c>
      <c r="C2063" s="17" t="s">
        <v>19</v>
      </c>
      <c r="D2063" s="18" t="s">
        <v>1180</v>
      </c>
      <c r="E2063" s="18">
        <v>2</v>
      </c>
      <c r="F2063" s="18" t="s">
        <v>214</v>
      </c>
      <c r="G2063" s="18" t="s">
        <v>127</v>
      </c>
      <c r="H2063" s="18" t="s">
        <v>23</v>
      </c>
      <c r="I2063" s="19">
        <v>2989</v>
      </c>
      <c r="J2063" s="20">
        <f t="shared" si="64"/>
        <v>5978</v>
      </c>
      <c r="K2063" s="106"/>
      <c r="L2063" s="114"/>
      <c r="M2063" s="114">
        <f>tblAquisições[[#This Row],[VALOR UNITARIO COMPRADO]]*tblAquisições[[#This Row],[QUANTIDADE COMPRADA]]</f>
        <v>0</v>
      </c>
      <c r="N2063" s="110">
        <f>K2063-tblAquisições[[#This Row],[QUANTIDADE PLANEJADA]]</f>
        <v>-2</v>
      </c>
      <c r="O2063" s="106" t="str">
        <f t="shared" si="65"/>
        <v>Faltando Comprar</v>
      </c>
    </row>
    <row r="2064" spans="1:15" ht="63">
      <c r="A2064" s="16" t="s">
        <v>17</v>
      </c>
      <c r="B2064" s="16" t="s">
        <v>18</v>
      </c>
      <c r="C2064" s="17" t="s">
        <v>19</v>
      </c>
      <c r="D2064" s="18" t="s">
        <v>1180</v>
      </c>
      <c r="E2064" s="18">
        <v>2</v>
      </c>
      <c r="F2064" s="18" t="s">
        <v>214</v>
      </c>
      <c r="G2064" s="18" t="s">
        <v>127</v>
      </c>
      <c r="H2064" s="18" t="s">
        <v>23</v>
      </c>
      <c r="I2064" s="19">
        <v>2989</v>
      </c>
      <c r="J2064" s="20">
        <f t="shared" si="64"/>
        <v>5978</v>
      </c>
      <c r="K2064" s="106"/>
      <c r="L2064" s="114"/>
      <c r="M2064" s="114">
        <f>tblAquisições[[#This Row],[VALOR UNITARIO COMPRADO]]*tblAquisições[[#This Row],[QUANTIDADE COMPRADA]]</f>
        <v>0</v>
      </c>
      <c r="N2064" s="110">
        <f>K2064-tblAquisições[[#This Row],[QUANTIDADE PLANEJADA]]</f>
        <v>-2</v>
      </c>
      <c r="O2064" s="106" t="str">
        <f t="shared" si="65"/>
        <v>Faltando Comprar</v>
      </c>
    </row>
    <row r="2065" spans="1:15" ht="63">
      <c r="A2065" s="16" t="s">
        <v>17</v>
      </c>
      <c r="B2065" s="16" t="s">
        <v>24</v>
      </c>
      <c r="C2065" s="17" t="s">
        <v>19</v>
      </c>
      <c r="D2065" s="18" t="s">
        <v>1180</v>
      </c>
      <c r="E2065" s="18">
        <v>2</v>
      </c>
      <c r="F2065" s="18" t="s">
        <v>214</v>
      </c>
      <c r="G2065" s="18" t="s">
        <v>127</v>
      </c>
      <c r="H2065" s="18" t="s">
        <v>23</v>
      </c>
      <c r="I2065" s="19">
        <v>2989</v>
      </c>
      <c r="J2065" s="20">
        <f t="shared" si="64"/>
        <v>5978</v>
      </c>
      <c r="K2065" s="106"/>
      <c r="L2065" s="114"/>
      <c r="M2065" s="114">
        <f>tblAquisições[[#This Row],[VALOR UNITARIO COMPRADO]]*tblAquisições[[#This Row],[QUANTIDADE COMPRADA]]</f>
        <v>0</v>
      </c>
      <c r="N2065" s="110">
        <f>K2065-tblAquisições[[#This Row],[QUANTIDADE PLANEJADA]]</f>
        <v>-2</v>
      </c>
      <c r="O2065" s="106" t="str">
        <f t="shared" si="65"/>
        <v>Faltando Comprar</v>
      </c>
    </row>
    <row r="2066" spans="1:15" ht="63">
      <c r="A2066" s="16" t="s">
        <v>17</v>
      </c>
      <c r="B2066" s="16" t="s">
        <v>25</v>
      </c>
      <c r="C2066" s="17" t="s">
        <v>19</v>
      </c>
      <c r="D2066" s="18" t="s">
        <v>1180</v>
      </c>
      <c r="E2066" s="18">
        <v>2</v>
      </c>
      <c r="F2066" s="18" t="s">
        <v>214</v>
      </c>
      <c r="G2066" s="18" t="s">
        <v>127</v>
      </c>
      <c r="H2066" s="18" t="s">
        <v>23</v>
      </c>
      <c r="I2066" s="19">
        <v>2989</v>
      </c>
      <c r="J2066" s="20">
        <f t="shared" si="64"/>
        <v>5978</v>
      </c>
      <c r="K2066" s="106"/>
      <c r="L2066" s="114"/>
      <c r="M2066" s="114">
        <f>tblAquisições[[#This Row],[VALOR UNITARIO COMPRADO]]*tblAquisições[[#This Row],[QUANTIDADE COMPRADA]]</f>
        <v>0</v>
      </c>
      <c r="N2066" s="110">
        <f>K2066-tblAquisições[[#This Row],[QUANTIDADE PLANEJADA]]</f>
        <v>-2</v>
      </c>
      <c r="O2066" s="106" t="str">
        <f t="shared" si="65"/>
        <v>Faltando Comprar</v>
      </c>
    </row>
    <row r="2067" spans="1:15" ht="47.25">
      <c r="A2067" s="16" t="s">
        <v>17</v>
      </c>
      <c r="B2067" s="16" t="s">
        <v>80</v>
      </c>
      <c r="C2067" s="17" t="s">
        <v>19</v>
      </c>
      <c r="D2067" s="18" t="s">
        <v>1181</v>
      </c>
      <c r="E2067" s="18">
        <v>3</v>
      </c>
      <c r="F2067" s="18" t="s">
        <v>191</v>
      </c>
      <c r="G2067" s="18" t="s">
        <v>39</v>
      </c>
      <c r="H2067" s="18" t="s">
        <v>23</v>
      </c>
      <c r="I2067" s="19">
        <v>8.66</v>
      </c>
      <c r="J2067" s="20">
        <f t="shared" si="64"/>
        <v>25.98</v>
      </c>
      <c r="K2067" s="106"/>
      <c r="L2067" s="114"/>
      <c r="M2067" s="114">
        <f>tblAquisições[[#This Row],[VALOR UNITARIO COMPRADO]]*tblAquisições[[#This Row],[QUANTIDADE COMPRADA]]</f>
        <v>0</v>
      </c>
      <c r="N2067" s="110">
        <f>K2067-tblAquisições[[#This Row],[QUANTIDADE PLANEJADA]]</f>
        <v>-3</v>
      </c>
      <c r="O2067" s="106" t="str">
        <f t="shared" si="65"/>
        <v>Faltando Comprar</v>
      </c>
    </row>
    <row r="2068" spans="1:15" ht="47.25">
      <c r="A2068" s="16" t="s">
        <v>17</v>
      </c>
      <c r="B2068" s="16" t="s">
        <v>18</v>
      </c>
      <c r="C2068" s="17" t="s">
        <v>19</v>
      </c>
      <c r="D2068" s="18" t="s">
        <v>1181</v>
      </c>
      <c r="E2068" s="18">
        <v>20</v>
      </c>
      <c r="F2068" s="18" t="s">
        <v>239</v>
      </c>
      <c r="G2068" s="18" t="s">
        <v>22</v>
      </c>
      <c r="H2068" s="18" t="s">
        <v>23</v>
      </c>
      <c r="I2068" s="19">
        <v>8.66</v>
      </c>
      <c r="J2068" s="20">
        <f t="shared" si="64"/>
        <v>173.2</v>
      </c>
      <c r="K2068" s="106"/>
      <c r="L2068" s="114"/>
      <c r="M2068" s="114">
        <f>tblAquisições[[#This Row],[VALOR UNITARIO COMPRADO]]*tblAquisições[[#This Row],[QUANTIDADE COMPRADA]]</f>
        <v>0</v>
      </c>
      <c r="N2068" s="110">
        <f>K2068-tblAquisições[[#This Row],[QUANTIDADE PLANEJADA]]</f>
        <v>-20</v>
      </c>
      <c r="O2068" s="106" t="str">
        <f t="shared" si="65"/>
        <v>Faltando Comprar</v>
      </c>
    </row>
    <row r="2069" spans="1:15" ht="47.25">
      <c r="A2069" s="16" t="s">
        <v>17</v>
      </c>
      <c r="B2069" s="16" t="s">
        <v>24</v>
      </c>
      <c r="C2069" s="17" t="s">
        <v>19</v>
      </c>
      <c r="D2069" s="18" t="s">
        <v>1181</v>
      </c>
      <c r="E2069" s="18">
        <v>20</v>
      </c>
      <c r="F2069" s="18" t="s">
        <v>239</v>
      </c>
      <c r="G2069" s="18" t="s">
        <v>22</v>
      </c>
      <c r="H2069" s="18" t="s">
        <v>23</v>
      </c>
      <c r="I2069" s="19">
        <v>8.66</v>
      </c>
      <c r="J2069" s="20">
        <f t="shared" si="64"/>
        <v>173.2</v>
      </c>
      <c r="K2069" s="106"/>
      <c r="L2069" s="114"/>
      <c r="M2069" s="114">
        <f>tblAquisições[[#This Row],[VALOR UNITARIO COMPRADO]]*tblAquisições[[#This Row],[QUANTIDADE COMPRADA]]</f>
        <v>0</v>
      </c>
      <c r="N2069" s="110">
        <f>K2069-tblAquisições[[#This Row],[QUANTIDADE PLANEJADA]]</f>
        <v>-20</v>
      </c>
      <c r="O2069" s="106" t="str">
        <f t="shared" si="65"/>
        <v>Faltando Comprar</v>
      </c>
    </row>
    <row r="2070" spans="1:15" ht="47.25">
      <c r="A2070" s="16" t="s">
        <v>17</v>
      </c>
      <c r="B2070" s="16" t="s">
        <v>25</v>
      </c>
      <c r="C2070" s="17" t="s">
        <v>19</v>
      </c>
      <c r="D2070" s="18" t="s">
        <v>1181</v>
      </c>
      <c r="E2070" s="18">
        <v>20</v>
      </c>
      <c r="F2070" s="18" t="s">
        <v>239</v>
      </c>
      <c r="G2070" s="18" t="s">
        <v>22</v>
      </c>
      <c r="H2070" s="18" t="s">
        <v>23</v>
      </c>
      <c r="I2070" s="19">
        <v>8.66</v>
      </c>
      <c r="J2070" s="20">
        <f t="shared" si="64"/>
        <v>173.2</v>
      </c>
      <c r="K2070" s="106"/>
      <c r="L2070" s="114"/>
      <c r="M2070" s="114">
        <f>tblAquisições[[#This Row],[VALOR UNITARIO COMPRADO]]*tblAquisições[[#This Row],[QUANTIDADE COMPRADA]]</f>
        <v>0</v>
      </c>
      <c r="N2070" s="110">
        <f>K2070-tblAquisições[[#This Row],[QUANTIDADE PLANEJADA]]</f>
        <v>-20</v>
      </c>
      <c r="O2070" s="106" t="str">
        <f t="shared" si="65"/>
        <v>Faltando Comprar</v>
      </c>
    </row>
    <row r="2071" spans="1:15" ht="47.25">
      <c r="A2071" s="16" t="s">
        <v>17</v>
      </c>
      <c r="B2071" s="16" t="s">
        <v>27</v>
      </c>
      <c r="C2071" s="17" t="s">
        <v>19</v>
      </c>
      <c r="D2071" s="18" t="s">
        <v>1181</v>
      </c>
      <c r="E2071" s="18">
        <v>12</v>
      </c>
      <c r="F2071" s="18" t="s">
        <v>239</v>
      </c>
      <c r="G2071" s="18" t="s">
        <v>22</v>
      </c>
      <c r="H2071" s="18" t="s">
        <v>23</v>
      </c>
      <c r="I2071" s="19">
        <v>8.66</v>
      </c>
      <c r="J2071" s="20">
        <f t="shared" si="64"/>
        <v>103.92</v>
      </c>
      <c r="K2071" s="106"/>
      <c r="L2071" s="114"/>
      <c r="M2071" s="114">
        <f>tblAquisições[[#This Row],[VALOR UNITARIO COMPRADO]]*tblAquisições[[#This Row],[QUANTIDADE COMPRADA]]</f>
        <v>0</v>
      </c>
      <c r="N2071" s="110">
        <f>K2071-tblAquisições[[#This Row],[QUANTIDADE PLANEJADA]]</f>
        <v>-12</v>
      </c>
      <c r="O2071" s="106" t="str">
        <f t="shared" si="65"/>
        <v>Faltando Comprar</v>
      </c>
    </row>
    <row r="2072" spans="1:15" ht="47.25">
      <c r="A2072" s="16" t="s">
        <v>17</v>
      </c>
      <c r="B2072" s="16" t="s">
        <v>28</v>
      </c>
      <c r="C2072" s="17" t="s">
        <v>19</v>
      </c>
      <c r="D2072" s="18" t="s">
        <v>1181</v>
      </c>
      <c r="E2072" s="18">
        <v>24</v>
      </c>
      <c r="F2072" s="18" t="s">
        <v>239</v>
      </c>
      <c r="G2072" s="18" t="s">
        <v>22</v>
      </c>
      <c r="H2072" s="18" t="s">
        <v>23</v>
      </c>
      <c r="I2072" s="19">
        <v>8.66</v>
      </c>
      <c r="J2072" s="20">
        <f t="shared" si="64"/>
        <v>207.84</v>
      </c>
      <c r="K2072" s="106"/>
      <c r="L2072" s="114"/>
      <c r="M2072" s="114">
        <f>tblAquisições[[#This Row],[VALOR UNITARIO COMPRADO]]*tblAquisições[[#This Row],[QUANTIDADE COMPRADA]]</f>
        <v>0</v>
      </c>
      <c r="N2072" s="110">
        <f>K2072-tblAquisições[[#This Row],[QUANTIDADE PLANEJADA]]</f>
        <v>-24</v>
      </c>
      <c r="O2072" s="106" t="str">
        <f t="shared" si="65"/>
        <v>Faltando Comprar</v>
      </c>
    </row>
    <row r="2073" spans="1:15" ht="47.25">
      <c r="A2073" s="16" t="s">
        <v>17</v>
      </c>
      <c r="B2073" s="16" t="s">
        <v>72</v>
      </c>
      <c r="C2073" s="17" t="s">
        <v>19</v>
      </c>
      <c r="D2073" s="18" t="s">
        <v>1181</v>
      </c>
      <c r="E2073" s="18">
        <v>4</v>
      </c>
      <c r="F2073" s="18" t="s">
        <v>239</v>
      </c>
      <c r="G2073" s="18" t="s">
        <v>22</v>
      </c>
      <c r="H2073" s="18" t="s">
        <v>23</v>
      </c>
      <c r="I2073" s="19">
        <v>8.66</v>
      </c>
      <c r="J2073" s="20">
        <f t="shared" si="64"/>
        <v>34.64</v>
      </c>
      <c r="K2073" s="106"/>
      <c r="L2073" s="114"/>
      <c r="M2073" s="114">
        <f>tblAquisições[[#This Row],[VALOR UNITARIO COMPRADO]]*tblAquisições[[#This Row],[QUANTIDADE COMPRADA]]</f>
        <v>0</v>
      </c>
      <c r="N2073" s="110">
        <f>K2073-tblAquisições[[#This Row],[QUANTIDADE PLANEJADA]]</f>
        <v>-4</v>
      </c>
      <c r="O2073" s="106" t="str">
        <f t="shared" si="65"/>
        <v>Faltando Comprar</v>
      </c>
    </row>
    <row r="2074" spans="1:15" ht="63">
      <c r="A2074" s="16" t="s">
        <v>17</v>
      </c>
      <c r="B2074" s="16" t="s">
        <v>80</v>
      </c>
      <c r="C2074" s="17" t="s">
        <v>19</v>
      </c>
      <c r="D2074" s="18" t="s">
        <v>1182</v>
      </c>
      <c r="E2074" s="18">
        <v>1</v>
      </c>
      <c r="F2074" s="18" t="s">
        <v>1158</v>
      </c>
      <c r="G2074" s="18" t="s">
        <v>775</v>
      </c>
      <c r="H2074" s="18" t="s">
        <v>23</v>
      </c>
      <c r="I2074" s="19">
        <v>17843</v>
      </c>
      <c r="J2074" s="20">
        <f t="shared" si="64"/>
        <v>17843</v>
      </c>
      <c r="K2074" s="106"/>
      <c r="L2074" s="114"/>
      <c r="M2074" s="114">
        <f>tblAquisições[[#This Row],[VALOR UNITARIO COMPRADO]]*tblAquisições[[#This Row],[QUANTIDADE COMPRADA]]</f>
        <v>0</v>
      </c>
      <c r="N2074" s="110">
        <f>K2074-tblAquisições[[#This Row],[QUANTIDADE PLANEJADA]]</f>
        <v>-1</v>
      </c>
      <c r="O2074" s="106" t="str">
        <f t="shared" si="65"/>
        <v>Faltando Comprar</v>
      </c>
    </row>
    <row r="2075" spans="1:15" ht="63">
      <c r="A2075" s="16" t="s">
        <v>17</v>
      </c>
      <c r="B2075" s="16" t="s">
        <v>80</v>
      </c>
      <c r="C2075" s="17" t="s">
        <v>19</v>
      </c>
      <c r="D2075" s="18" t="s">
        <v>1183</v>
      </c>
      <c r="E2075" s="18">
        <v>2</v>
      </c>
      <c r="F2075" s="18" t="s">
        <v>1158</v>
      </c>
      <c r="G2075" s="18" t="s">
        <v>775</v>
      </c>
      <c r="H2075" s="18" t="s">
        <v>23</v>
      </c>
      <c r="I2075" s="19">
        <v>13500</v>
      </c>
      <c r="J2075" s="20">
        <f t="shared" si="64"/>
        <v>27000</v>
      </c>
      <c r="K2075" s="106"/>
      <c r="L2075" s="114"/>
      <c r="M2075" s="114">
        <f>tblAquisições[[#This Row],[VALOR UNITARIO COMPRADO]]*tblAquisições[[#This Row],[QUANTIDADE COMPRADA]]</f>
        <v>0</v>
      </c>
      <c r="N2075" s="110">
        <f>K2075-tblAquisições[[#This Row],[QUANTIDADE PLANEJADA]]</f>
        <v>-2</v>
      </c>
      <c r="O2075" s="106" t="str">
        <f t="shared" si="65"/>
        <v>Faltando Comprar</v>
      </c>
    </row>
    <row r="2076" spans="1:15" ht="63">
      <c r="A2076" s="16" t="s">
        <v>17</v>
      </c>
      <c r="B2076" s="16" t="s">
        <v>18</v>
      </c>
      <c r="C2076" s="17" t="s">
        <v>19</v>
      </c>
      <c r="D2076" s="18" t="s">
        <v>1184</v>
      </c>
      <c r="E2076" s="18">
        <v>2</v>
      </c>
      <c r="F2076" s="18" t="s">
        <v>126</v>
      </c>
      <c r="G2076" s="18" t="s">
        <v>127</v>
      </c>
      <c r="H2076" s="18" t="s">
        <v>23</v>
      </c>
      <c r="I2076" s="19">
        <v>14420</v>
      </c>
      <c r="J2076" s="20">
        <f t="shared" si="64"/>
        <v>28840</v>
      </c>
      <c r="K2076" s="106"/>
      <c r="L2076" s="114"/>
      <c r="M2076" s="114">
        <f>tblAquisições[[#This Row],[VALOR UNITARIO COMPRADO]]*tblAquisições[[#This Row],[QUANTIDADE COMPRADA]]</f>
        <v>0</v>
      </c>
      <c r="N2076" s="110">
        <f>K2076-tblAquisições[[#This Row],[QUANTIDADE PLANEJADA]]</f>
        <v>-2</v>
      </c>
      <c r="O2076" s="106" t="str">
        <f t="shared" si="65"/>
        <v>Faltando Comprar</v>
      </c>
    </row>
    <row r="2077" spans="1:15" ht="63">
      <c r="A2077" s="16" t="s">
        <v>17</v>
      </c>
      <c r="B2077" s="16" t="s">
        <v>24</v>
      </c>
      <c r="C2077" s="17" t="s">
        <v>19</v>
      </c>
      <c r="D2077" s="18" t="s">
        <v>1184</v>
      </c>
      <c r="E2077" s="18">
        <v>2</v>
      </c>
      <c r="F2077" s="18" t="s">
        <v>126</v>
      </c>
      <c r="G2077" s="18" t="s">
        <v>127</v>
      </c>
      <c r="H2077" s="18" t="s">
        <v>23</v>
      </c>
      <c r="I2077" s="19">
        <v>14420</v>
      </c>
      <c r="J2077" s="20">
        <f t="shared" si="64"/>
        <v>28840</v>
      </c>
      <c r="K2077" s="106"/>
      <c r="L2077" s="114"/>
      <c r="M2077" s="114">
        <f>tblAquisições[[#This Row],[VALOR UNITARIO COMPRADO]]*tblAquisições[[#This Row],[QUANTIDADE COMPRADA]]</f>
        <v>0</v>
      </c>
      <c r="N2077" s="110">
        <f>K2077-tblAquisições[[#This Row],[QUANTIDADE PLANEJADA]]</f>
        <v>-2</v>
      </c>
      <c r="O2077" s="106" t="str">
        <f t="shared" si="65"/>
        <v>Faltando Comprar</v>
      </c>
    </row>
    <row r="2078" spans="1:15" ht="63">
      <c r="A2078" s="16" t="s">
        <v>17</v>
      </c>
      <c r="B2078" s="16" t="s">
        <v>25</v>
      </c>
      <c r="C2078" s="17" t="s">
        <v>19</v>
      </c>
      <c r="D2078" s="18" t="s">
        <v>1184</v>
      </c>
      <c r="E2078" s="18">
        <v>2</v>
      </c>
      <c r="F2078" s="18" t="s">
        <v>126</v>
      </c>
      <c r="G2078" s="18" t="s">
        <v>127</v>
      </c>
      <c r="H2078" s="18" t="s">
        <v>23</v>
      </c>
      <c r="I2078" s="19">
        <v>14420</v>
      </c>
      <c r="J2078" s="20">
        <f t="shared" si="64"/>
        <v>28840</v>
      </c>
      <c r="K2078" s="106"/>
      <c r="L2078" s="114"/>
      <c r="M2078" s="114">
        <f>tblAquisições[[#This Row],[VALOR UNITARIO COMPRADO]]*tblAquisições[[#This Row],[QUANTIDADE COMPRADA]]</f>
        <v>0</v>
      </c>
      <c r="N2078" s="110">
        <f>K2078-tblAquisições[[#This Row],[QUANTIDADE PLANEJADA]]</f>
        <v>-2</v>
      </c>
      <c r="O2078" s="106" t="str">
        <f t="shared" si="65"/>
        <v>Faltando Comprar</v>
      </c>
    </row>
    <row r="2079" spans="1:15" ht="63">
      <c r="A2079" s="16" t="s">
        <v>17</v>
      </c>
      <c r="B2079" s="16" t="s">
        <v>18</v>
      </c>
      <c r="C2079" s="17" t="s">
        <v>19</v>
      </c>
      <c r="D2079" s="18" t="s">
        <v>1185</v>
      </c>
      <c r="E2079" s="18">
        <v>3</v>
      </c>
      <c r="F2079" s="18" t="s">
        <v>126</v>
      </c>
      <c r="G2079" s="18" t="s">
        <v>127</v>
      </c>
      <c r="H2079" s="18" t="s">
        <v>23</v>
      </c>
      <c r="I2079" s="19">
        <v>6250</v>
      </c>
      <c r="J2079" s="20">
        <f t="shared" si="64"/>
        <v>18750</v>
      </c>
      <c r="K2079" s="106"/>
      <c r="L2079" s="114"/>
      <c r="M2079" s="114">
        <f>tblAquisições[[#This Row],[VALOR UNITARIO COMPRADO]]*tblAquisições[[#This Row],[QUANTIDADE COMPRADA]]</f>
        <v>0</v>
      </c>
      <c r="N2079" s="110">
        <f>K2079-tblAquisições[[#This Row],[QUANTIDADE PLANEJADA]]</f>
        <v>-3</v>
      </c>
      <c r="O2079" s="106" t="str">
        <f t="shared" si="65"/>
        <v>Faltando Comprar</v>
      </c>
    </row>
    <row r="2080" spans="1:15" ht="63">
      <c r="A2080" s="16" t="s">
        <v>17</v>
      </c>
      <c r="B2080" s="16" t="s">
        <v>24</v>
      </c>
      <c r="C2080" s="17" t="s">
        <v>19</v>
      </c>
      <c r="D2080" s="18" t="s">
        <v>1185</v>
      </c>
      <c r="E2080" s="18">
        <v>3</v>
      </c>
      <c r="F2080" s="18" t="s">
        <v>126</v>
      </c>
      <c r="G2080" s="18" t="s">
        <v>127</v>
      </c>
      <c r="H2080" s="18" t="s">
        <v>23</v>
      </c>
      <c r="I2080" s="19">
        <v>6250</v>
      </c>
      <c r="J2080" s="20">
        <f t="shared" si="64"/>
        <v>18750</v>
      </c>
      <c r="K2080" s="106"/>
      <c r="L2080" s="114"/>
      <c r="M2080" s="114">
        <f>tblAquisições[[#This Row],[VALOR UNITARIO COMPRADO]]*tblAquisições[[#This Row],[QUANTIDADE COMPRADA]]</f>
        <v>0</v>
      </c>
      <c r="N2080" s="110">
        <f>K2080-tblAquisições[[#This Row],[QUANTIDADE PLANEJADA]]</f>
        <v>-3</v>
      </c>
      <c r="O2080" s="106" t="str">
        <f t="shared" si="65"/>
        <v>Faltando Comprar</v>
      </c>
    </row>
    <row r="2081" spans="1:15" ht="63">
      <c r="A2081" s="16" t="s">
        <v>17</v>
      </c>
      <c r="B2081" s="16" t="s">
        <v>25</v>
      </c>
      <c r="C2081" s="17" t="s">
        <v>19</v>
      </c>
      <c r="D2081" s="18" t="s">
        <v>1185</v>
      </c>
      <c r="E2081" s="18">
        <v>3</v>
      </c>
      <c r="F2081" s="18" t="s">
        <v>126</v>
      </c>
      <c r="G2081" s="18" t="s">
        <v>127</v>
      </c>
      <c r="H2081" s="18" t="s">
        <v>23</v>
      </c>
      <c r="I2081" s="19">
        <v>6250</v>
      </c>
      <c r="J2081" s="20">
        <f t="shared" si="64"/>
        <v>18750</v>
      </c>
      <c r="K2081" s="106"/>
      <c r="L2081" s="114"/>
      <c r="M2081" s="114">
        <f>tblAquisições[[#This Row],[VALOR UNITARIO COMPRADO]]*tblAquisições[[#This Row],[QUANTIDADE COMPRADA]]</f>
        <v>0</v>
      </c>
      <c r="N2081" s="110">
        <f>K2081-tblAquisições[[#This Row],[QUANTIDADE PLANEJADA]]</f>
        <v>-3</v>
      </c>
      <c r="O2081" s="106" t="str">
        <f t="shared" si="65"/>
        <v>Faltando Comprar</v>
      </c>
    </row>
    <row r="2082" spans="1:15" ht="47.25">
      <c r="A2082" s="16" t="s">
        <v>17</v>
      </c>
      <c r="B2082" s="16" t="s">
        <v>18</v>
      </c>
      <c r="C2082" s="17" t="s">
        <v>19</v>
      </c>
      <c r="D2082" s="18" t="s">
        <v>1186</v>
      </c>
      <c r="E2082" s="18">
        <v>2</v>
      </c>
      <c r="F2082" s="18" t="s">
        <v>126</v>
      </c>
      <c r="G2082" s="18" t="s">
        <v>127</v>
      </c>
      <c r="H2082" s="18" t="s">
        <v>23</v>
      </c>
      <c r="I2082" s="19">
        <v>6250</v>
      </c>
      <c r="J2082" s="20">
        <f t="shared" si="64"/>
        <v>12500</v>
      </c>
      <c r="K2082" s="106"/>
      <c r="L2082" s="114"/>
      <c r="M2082" s="114">
        <f>tblAquisições[[#This Row],[VALOR UNITARIO COMPRADO]]*tblAquisições[[#This Row],[QUANTIDADE COMPRADA]]</f>
        <v>0</v>
      </c>
      <c r="N2082" s="110">
        <f>K2082-tblAquisições[[#This Row],[QUANTIDADE PLANEJADA]]</f>
        <v>-2</v>
      </c>
      <c r="O2082" s="106" t="str">
        <f t="shared" si="65"/>
        <v>Faltando Comprar</v>
      </c>
    </row>
    <row r="2083" spans="1:15" ht="47.25">
      <c r="A2083" s="16" t="s">
        <v>17</v>
      </c>
      <c r="B2083" s="16" t="s">
        <v>24</v>
      </c>
      <c r="C2083" s="17" t="s">
        <v>19</v>
      </c>
      <c r="D2083" s="18" t="s">
        <v>1186</v>
      </c>
      <c r="E2083" s="18">
        <v>2</v>
      </c>
      <c r="F2083" s="18" t="s">
        <v>126</v>
      </c>
      <c r="G2083" s="18" t="s">
        <v>127</v>
      </c>
      <c r="H2083" s="18" t="s">
        <v>23</v>
      </c>
      <c r="I2083" s="19">
        <v>6250</v>
      </c>
      <c r="J2083" s="20">
        <f t="shared" si="64"/>
        <v>12500</v>
      </c>
      <c r="K2083" s="106"/>
      <c r="L2083" s="114"/>
      <c r="M2083" s="114">
        <f>tblAquisições[[#This Row],[VALOR UNITARIO COMPRADO]]*tblAquisições[[#This Row],[QUANTIDADE COMPRADA]]</f>
        <v>0</v>
      </c>
      <c r="N2083" s="110">
        <f>K2083-tblAquisições[[#This Row],[QUANTIDADE PLANEJADA]]</f>
        <v>-2</v>
      </c>
      <c r="O2083" s="106" t="str">
        <f t="shared" si="65"/>
        <v>Faltando Comprar</v>
      </c>
    </row>
    <row r="2084" spans="1:15" ht="47.25">
      <c r="A2084" s="16" t="s">
        <v>17</v>
      </c>
      <c r="B2084" s="16" t="s">
        <v>25</v>
      </c>
      <c r="C2084" s="17" t="s">
        <v>19</v>
      </c>
      <c r="D2084" s="18" t="s">
        <v>1186</v>
      </c>
      <c r="E2084" s="18">
        <v>2</v>
      </c>
      <c r="F2084" s="18" t="s">
        <v>126</v>
      </c>
      <c r="G2084" s="18" t="s">
        <v>127</v>
      </c>
      <c r="H2084" s="18" t="s">
        <v>23</v>
      </c>
      <c r="I2084" s="19">
        <v>6250</v>
      </c>
      <c r="J2084" s="20">
        <f t="shared" si="64"/>
        <v>12500</v>
      </c>
      <c r="K2084" s="106"/>
      <c r="L2084" s="114"/>
      <c r="M2084" s="114">
        <f>tblAquisições[[#This Row],[VALOR UNITARIO COMPRADO]]*tblAquisições[[#This Row],[QUANTIDADE COMPRADA]]</f>
        <v>0</v>
      </c>
      <c r="N2084" s="110">
        <f>K2084-tblAquisições[[#This Row],[QUANTIDADE PLANEJADA]]</f>
        <v>-2</v>
      </c>
      <c r="O2084" s="106" t="str">
        <f t="shared" si="65"/>
        <v>Faltando Comprar</v>
      </c>
    </row>
    <row r="2085" spans="1:15" ht="63">
      <c r="A2085" s="16" t="s">
        <v>17</v>
      </c>
      <c r="B2085" s="16" t="s">
        <v>18</v>
      </c>
      <c r="C2085" s="17" t="s">
        <v>19</v>
      </c>
      <c r="D2085" s="18" t="s">
        <v>1187</v>
      </c>
      <c r="E2085" s="18">
        <v>2</v>
      </c>
      <c r="F2085" s="18" t="s">
        <v>126</v>
      </c>
      <c r="G2085" s="18" t="s">
        <v>127</v>
      </c>
      <c r="H2085" s="18" t="s">
        <v>23</v>
      </c>
      <c r="I2085" s="19">
        <v>13333.33</v>
      </c>
      <c r="J2085" s="20">
        <f t="shared" si="64"/>
        <v>26666.66</v>
      </c>
      <c r="K2085" s="106"/>
      <c r="L2085" s="114"/>
      <c r="M2085" s="114">
        <f>tblAquisições[[#This Row],[VALOR UNITARIO COMPRADO]]*tblAquisições[[#This Row],[QUANTIDADE COMPRADA]]</f>
        <v>0</v>
      </c>
      <c r="N2085" s="110">
        <f>K2085-tblAquisições[[#This Row],[QUANTIDADE PLANEJADA]]</f>
        <v>-2</v>
      </c>
      <c r="O2085" s="106" t="str">
        <f t="shared" si="65"/>
        <v>Faltando Comprar</v>
      </c>
    </row>
    <row r="2086" spans="1:15" ht="63">
      <c r="A2086" s="16" t="s">
        <v>17</v>
      </c>
      <c r="B2086" s="16" t="s">
        <v>24</v>
      </c>
      <c r="C2086" s="17" t="s">
        <v>19</v>
      </c>
      <c r="D2086" s="18" t="s">
        <v>1187</v>
      </c>
      <c r="E2086" s="18">
        <v>2</v>
      </c>
      <c r="F2086" s="18" t="s">
        <v>126</v>
      </c>
      <c r="G2086" s="18" t="s">
        <v>127</v>
      </c>
      <c r="H2086" s="18" t="s">
        <v>23</v>
      </c>
      <c r="I2086" s="19">
        <v>13333.33</v>
      </c>
      <c r="J2086" s="20">
        <f t="shared" si="64"/>
        <v>26666.66</v>
      </c>
      <c r="K2086" s="106"/>
      <c r="L2086" s="114"/>
      <c r="M2086" s="114">
        <f>tblAquisições[[#This Row],[VALOR UNITARIO COMPRADO]]*tblAquisições[[#This Row],[QUANTIDADE COMPRADA]]</f>
        <v>0</v>
      </c>
      <c r="N2086" s="110">
        <f>K2086-tblAquisições[[#This Row],[QUANTIDADE PLANEJADA]]</f>
        <v>-2</v>
      </c>
      <c r="O2086" s="106" t="str">
        <f t="shared" si="65"/>
        <v>Faltando Comprar</v>
      </c>
    </row>
    <row r="2087" spans="1:15" ht="63">
      <c r="A2087" s="16" t="s">
        <v>17</v>
      </c>
      <c r="B2087" s="16" t="s">
        <v>25</v>
      </c>
      <c r="C2087" s="17" t="s">
        <v>19</v>
      </c>
      <c r="D2087" s="18" t="s">
        <v>1187</v>
      </c>
      <c r="E2087" s="18">
        <v>2</v>
      </c>
      <c r="F2087" s="18" t="s">
        <v>126</v>
      </c>
      <c r="G2087" s="18" t="s">
        <v>127</v>
      </c>
      <c r="H2087" s="18" t="s">
        <v>23</v>
      </c>
      <c r="I2087" s="19">
        <v>13333.33</v>
      </c>
      <c r="J2087" s="20">
        <f t="shared" si="64"/>
        <v>26666.66</v>
      </c>
      <c r="K2087" s="106"/>
      <c r="L2087" s="114"/>
      <c r="M2087" s="114">
        <f>tblAquisições[[#This Row],[VALOR UNITARIO COMPRADO]]*tblAquisições[[#This Row],[QUANTIDADE COMPRADA]]</f>
        <v>0</v>
      </c>
      <c r="N2087" s="110">
        <f>K2087-tblAquisições[[#This Row],[QUANTIDADE PLANEJADA]]</f>
        <v>-2</v>
      </c>
      <c r="O2087" s="106" t="str">
        <f t="shared" si="65"/>
        <v>Faltando Comprar</v>
      </c>
    </row>
    <row r="2088" spans="1:15" ht="63">
      <c r="A2088" s="16" t="s">
        <v>17</v>
      </c>
      <c r="B2088" s="16" t="s">
        <v>18</v>
      </c>
      <c r="C2088" s="17" t="s">
        <v>19</v>
      </c>
      <c r="D2088" s="18" t="s">
        <v>1188</v>
      </c>
      <c r="E2088" s="18">
        <v>2</v>
      </c>
      <c r="F2088" s="18" t="s">
        <v>126</v>
      </c>
      <c r="G2088" s="18" t="s">
        <v>127</v>
      </c>
      <c r="H2088" s="18" t="s">
        <v>23</v>
      </c>
      <c r="I2088" s="19">
        <v>8750</v>
      </c>
      <c r="J2088" s="20">
        <f t="shared" si="64"/>
        <v>17500</v>
      </c>
      <c r="K2088" s="106"/>
      <c r="L2088" s="114"/>
      <c r="M2088" s="114">
        <f>tblAquisições[[#This Row],[VALOR UNITARIO COMPRADO]]*tblAquisições[[#This Row],[QUANTIDADE COMPRADA]]</f>
        <v>0</v>
      </c>
      <c r="N2088" s="110">
        <f>K2088-tblAquisições[[#This Row],[QUANTIDADE PLANEJADA]]</f>
        <v>-2</v>
      </c>
      <c r="O2088" s="106" t="str">
        <f t="shared" si="65"/>
        <v>Faltando Comprar</v>
      </c>
    </row>
    <row r="2089" spans="1:15" ht="63">
      <c r="A2089" s="16" t="s">
        <v>17</v>
      </c>
      <c r="B2089" s="16" t="s">
        <v>24</v>
      </c>
      <c r="C2089" s="17" t="s">
        <v>19</v>
      </c>
      <c r="D2089" s="18" t="s">
        <v>1188</v>
      </c>
      <c r="E2089" s="18">
        <v>2</v>
      </c>
      <c r="F2089" s="18" t="s">
        <v>126</v>
      </c>
      <c r="G2089" s="18" t="s">
        <v>127</v>
      </c>
      <c r="H2089" s="18" t="s">
        <v>23</v>
      </c>
      <c r="I2089" s="19">
        <v>8750</v>
      </c>
      <c r="J2089" s="20">
        <f t="shared" si="64"/>
        <v>17500</v>
      </c>
      <c r="K2089" s="106"/>
      <c r="L2089" s="114"/>
      <c r="M2089" s="114">
        <f>tblAquisições[[#This Row],[VALOR UNITARIO COMPRADO]]*tblAquisições[[#This Row],[QUANTIDADE COMPRADA]]</f>
        <v>0</v>
      </c>
      <c r="N2089" s="110">
        <f>K2089-tblAquisições[[#This Row],[QUANTIDADE PLANEJADA]]</f>
        <v>-2</v>
      </c>
      <c r="O2089" s="106" t="str">
        <f t="shared" si="65"/>
        <v>Faltando Comprar</v>
      </c>
    </row>
    <row r="2090" spans="1:15" ht="63">
      <c r="A2090" s="16" t="s">
        <v>17</v>
      </c>
      <c r="B2090" s="16" t="s">
        <v>25</v>
      </c>
      <c r="C2090" s="17" t="s">
        <v>19</v>
      </c>
      <c r="D2090" s="18" t="s">
        <v>1188</v>
      </c>
      <c r="E2090" s="18">
        <v>2</v>
      </c>
      <c r="F2090" s="18" t="s">
        <v>126</v>
      </c>
      <c r="G2090" s="18" t="s">
        <v>127</v>
      </c>
      <c r="H2090" s="18" t="s">
        <v>23</v>
      </c>
      <c r="I2090" s="19">
        <v>8750</v>
      </c>
      <c r="J2090" s="20">
        <f t="shared" si="64"/>
        <v>17500</v>
      </c>
      <c r="K2090" s="106"/>
      <c r="L2090" s="114"/>
      <c r="M2090" s="114">
        <f>tblAquisições[[#This Row],[VALOR UNITARIO COMPRADO]]*tblAquisições[[#This Row],[QUANTIDADE COMPRADA]]</f>
        <v>0</v>
      </c>
      <c r="N2090" s="110">
        <f>K2090-tblAquisições[[#This Row],[QUANTIDADE PLANEJADA]]</f>
        <v>-2</v>
      </c>
      <c r="O2090" s="106" t="str">
        <f t="shared" si="65"/>
        <v>Faltando Comprar</v>
      </c>
    </row>
    <row r="2091" spans="1:15" ht="63">
      <c r="A2091" s="16" t="s">
        <v>17</v>
      </c>
      <c r="B2091" s="16" t="s">
        <v>31</v>
      </c>
      <c r="C2091" s="17" t="s">
        <v>19</v>
      </c>
      <c r="D2091" s="18" t="s">
        <v>1189</v>
      </c>
      <c r="E2091" s="18">
        <v>4</v>
      </c>
      <c r="F2091" s="18" t="s">
        <v>126</v>
      </c>
      <c r="G2091" s="18" t="s">
        <v>127</v>
      </c>
      <c r="H2091" s="18" t="s">
        <v>23</v>
      </c>
      <c r="I2091" s="19">
        <v>8750</v>
      </c>
      <c r="J2091" s="20">
        <f t="shared" si="64"/>
        <v>35000</v>
      </c>
      <c r="K2091" s="106"/>
      <c r="L2091" s="114"/>
      <c r="M2091" s="114">
        <f>tblAquisições[[#This Row],[VALOR UNITARIO COMPRADO]]*tblAquisições[[#This Row],[QUANTIDADE COMPRADA]]</f>
        <v>0</v>
      </c>
      <c r="N2091" s="110">
        <f>K2091-tblAquisições[[#This Row],[QUANTIDADE PLANEJADA]]</f>
        <v>-4</v>
      </c>
      <c r="O2091" s="106" t="str">
        <f t="shared" si="65"/>
        <v>Faltando Comprar</v>
      </c>
    </row>
    <row r="2092" spans="1:15" ht="63">
      <c r="A2092" s="16" t="s">
        <v>17</v>
      </c>
      <c r="B2092" s="16" t="s">
        <v>26</v>
      </c>
      <c r="C2092" s="17" t="s">
        <v>19</v>
      </c>
      <c r="D2092" s="18" t="s">
        <v>1189</v>
      </c>
      <c r="E2092" s="18">
        <v>1</v>
      </c>
      <c r="F2092" s="18" t="s">
        <v>126</v>
      </c>
      <c r="G2092" s="18" t="s">
        <v>127</v>
      </c>
      <c r="H2092" s="18" t="s">
        <v>23</v>
      </c>
      <c r="I2092" s="19">
        <v>8750</v>
      </c>
      <c r="J2092" s="20">
        <f t="shared" si="64"/>
        <v>8750</v>
      </c>
      <c r="K2092" s="106"/>
      <c r="L2092" s="114"/>
      <c r="M2092" s="114">
        <f>tblAquisições[[#This Row],[VALOR UNITARIO COMPRADO]]*tblAquisições[[#This Row],[QUANTIDADE COMPRADA]]</f>
        <v>0</v>
      </c>
      <c r="N2092" s="110">
        <f>K2092-tblAquisições[[#This Row],[QUANTIDADE PLANEJADA]]</f>
        <v>-1</v>
      </c>
      <c r="O2092" s="106" t="str">
        <f t="shared" si="65"/>
        <v>Faltando Comprar</v>
      </c>
    </row>
    <row r="2093" spans="1:15" ht="63">
      <c r="A2093" s="16" t="s">
        <v>17</v>
      </c>
      <c r="B2093" s="16" t="s">
        <v>28</v>
      </c>
      <c r="C2093" s="17" t="s">
        <v>19</v>
      </c>
      <c r="D2093" s="18" t="s">
        <v>1189</v>
      </c>
      <c r="E2093" s="18">
        <v>10</v>
      </c>
      <c r="F2093" s="18" t="s">
        <v>126</v>
      </c>
      <c r="G2093" s="18" t="s">
        <v>127</v>
      </c>
      <c r="H2093" s="18" t="s">
        <v>23</v>
      </c>
      <c r="I2093" s="19">
        <v>8750</v>
      </c>
      <c r="J2093" s="20">
        <f t="shared" si="64"/>
        <v>87500</v>
      </c>
      <c r="K2093" s="106"/>
      <c r="L2093" s="114"/>
      <c r="M2093" s="114">
        <f>tblAquisições[[#This Row],[VALOR UNITARIO COMPRADO]]*tblAquisições[[#This Row],[QUANTIDADE COMPRADA]]</f>
        <v>0</v>
      </c>
      <c r="N2093" s="110">
        <f>K2093-tblAquisições[[#This Row],[QUANTIDADE PLANEJADA]]</f>
        <v>-10</v>
      </c>
      <c r="O2093" s="106" t="str">
        <f t="shared" si="65"/>
        <v>Faltando Comprar</v>
      </c>
    </row>
    <row r="2094" spans="1:15" ht="63">
      <c r="A2094" s="16" t="s">
        <v>17</v>
      </c>
      <c r="B2094" s="16" t="s">
        <v>18</v>
      </c>
      <c r="C2094" s="17" t="s">
        <v>19</v>
      </c>
      <c r="D2094" s="18" t="s">
        <v>1190</v>
      </c>
      <c r="E2094" s="18">
        <v>2</v>
      </c>
      <c r="F2094" s="18" t="s">
        <v>126</v>
      </c>
      <c r="G2094" s="18" t="s">
        <v>127</v>
      </c>
      <c r="H2094" s="18" t="s">
        <v>23</v>
      </c>
      <c r="I2094" s="19">
        <v>13333.33</v>
      </c>
      <c r="J2094" s="20">
        <f t="shared" si="64"/>
        <v>26666.66</v>
      </c>
      <c r="K2094" s="106"/>
      <c r="L2094" s="114"/>
      <c r="M2094" s="114">
        <f>tblAquisições[[#This Row],[VALOR UNITARIO COMPRADO]]*tblAquisições[[#This Row],[QUANTIDADE COMPRADA]]</f>
        <v>0</v>
      </c>
      <c r="N2094" s="110">
        <f>K2094-tblAquisições[[#This Row],[QUANTIDADE PLANEJADA]]</f>
        <v>-2</v>
      </c>
      <c r="O2094" s="106" t="str">
        <f t="shared" si="65"/>
        <v>Faltando Comprar</v>
      </c>
    </row>
    <row r="2095" spans="1:15" ht="63">
      <c r="A2095" s="16" t="s">
        <v>17</v>
      </c>
      <c r="B2095" s="16" t="s">
        <v>24</v>
      </c>
      <c r="C2095" s="17" t="s">
        <v>19</v>
      </c>
      <c r="D2095" s="18" t="s">
        <v>1190</v>
      </c>
      <c r="E2095" s="18">
        <v>2</v>
      </c>
      <c r="F2095" s="18" t="s">
        <v>126</v>
      </c>
      <c r="G2095" s="18" t="s">
        <v>127</v>
      </c>
      <c r="H2095" s="18" t="s">
        <v>23</v>
      </c>
      <c r="I2095" s="19">
        <v>13333.33</v>
      </c>
      <c r="J2095" s="20">
        <f t="shared" si="64"/>
        <v>26666.66</v>
      </c>
      <c r="K2095" s="106"/>
      <c r="L2095" s="114"/>
      <c r="M2095" s="114">
        <f>tblAquisições[[#This Row],[VALOR UNITARIO COMPRADO]]*tblAquisições[[#This Row],[QUANTIDADE COMPRADA]]</f>
        <v>0</v>
      </c>
      <c r="N2095" s="110">
        <f>K2095-tblAquisições[[#This Row],[QUANTIDADE PLANEJADA]]</f>
        <v>-2</v>
      </c>
      <c r="O2095" s="106" t="str">
        <f t="shared" si="65"/>
        <v>Faltando Comprar</v>
      </c>
    </row>
    <row r="2096" spans="1:15" ht="63">
      <c r="A2096" s="16" t="s">
        <v>17</v>
      </c>
      <c r="B2096" s="16" t="s">
        <v>25</v>
      </c>
      <c r="C2096" s="17" t="s">
        <v>19</v>
      </c>
      <c r="D2096" s="18" t="s">
        <v>1190</v>
      </c>
      <c r="E2096" s="18">
        <v>2</v>
      </c>
      <c r="F2096" s="18" t="s">
        <v>126</v>
      </c>
      <c r="G2096" s="18" t="s">
        <v>127</v>
      </c>
      <c r="H2096" s="18" t="s">
        <v>23</v>
      </c>
      <c r="I2096" s="19">
        <v>13333.33</v>
      </c>
      <c r="J2096" s="20">
        <f t="shared" si="64"/>
        <v>26666.66</v>
      </c>
      <c r="K2096" s="106"/>
      <c r="L2096" s="114"/>
      <c r="M2096" s="114">
        <f>tblAquisições[[#This Row],[VALOR UNITARIO COMPRADO]]*tblAquisições[[#This Row],[QUANTIDADE COMPRADA]]</f>
        <v>0</v>
      </c>
      <c r="N2096" s="110">
        <f>K2096-tblAquisições[[#This Row],[QUANTIDADE PLANEJADA]]</f>
        <v>-2</v>
      </c>
      <c r="O2096" s="106" t="str">
        <f t="shared" si="65"/>
        <v>Faltando Comprar</v>
      </c>
    </row>
    <row r="2097" spans="1:15" ht="63">
      <c r="A2097" s="16" t="s">
        <v>17</v>
      </c>
      <c r="B2097" s="16" t="s">
        <v>18</v>
      </c>
      <c r="C2097" s="17" t="s">
        <v>19</v>
      </c>
      <c r="D2097" s="18" t="s">
        <v>1191</v>
      </c>
      <c r="E2097" s="18">
        <v>2</v>
      </c>
      <c r="F2097" s="18" t="s">
        <v>126</v>
      </c>
      <c r="G2097" s="18" t="s">
        <v>127</v>
      </c>
      <c r="H2097" s="18" t="s">
        <v>23</v>
      </c>
      <c r="I2097" s="19">
        <v>12500</v>
      </c>
      <c r="J2097" s="20">
        <f t="shared" si="64"/>
        <v>25000</v>
      </c>
      <c r="K2097" s="106"/>
      <c r="L2097" s="114"/>
      <c r="M2097" s="114">
        <f>tblAquisições[[#This Row],[VALOR UNITARIO COMPRADO]]*tblAquisições[[#This Row],[QUANTIDADE COMPRADA]]</f>
        <v>0</v>
      </c>
      <c r="N2097" s="110">
        <f>K2097-tblAquisições[[#This Row],[QUANTIDADE PLANEJADA]]</f>
        <v>-2</v>
      </c>
      <c r="O2097" s="106" t="str">
        <f t="shared" si="65"/>
        <v>Faltando Comprar</v>
      </c>
    </row>
    <row r="2098" spans="1:15" ht="63">
      <c r="A2098" s="16" t="s">
        <v>17</v>
      </c>
      <c r="B2098" s="16" t="s">
        <v>24</v>
      </c>
      <c r="C2098" s="17" t="s">
        <v>19</v>
      </c>
      <c r="D2098" s="18" t="s">
        <v>1191</v>
      </c>
      <c r="E2098" s="18">
        <v>2</v>
      </c>
      <c r="F2098" s="18" t="s">
        <v>126</v>
      </c>
      <c r="G2098" s="18" t="s">
        <v>127</v>
      </c>
      <c r="H2098" s="18" t="s">
        <v>23</v>
      </c>
      <c r="I2098" s="19">
        <v>12500</v>
      </c>
      <c r="J2098" s="20">
        <f t="shared" si="64"/>
        <v>25000</v>
      </c>
      <c r="K2098" s="106"/>
      <c r="L2098" s="114"/>
      <c r="M2098" s="114">
        <f>tblAquisições[[#This Row],[VALOR UNITARIO COMPRADO]]*tblAquisições[[#This Row],[QUANTIDADE COMPRADA]]</f>
        <v>0</v>
      </c>
      <c r="N2098" s="110">
        <f>K2098-tblAquisições[[#This Row],[QUANTIDADE PLANEJADA]]</f>
        <v>-2</v>
      </c>
      <c r="O2098" s="106" t="str">
        <f t="shared" si="65"/>
        <v>Faltando Comprar</v>
      </c>
    </row>
    <row r="2099" spans="1:15" ht="63">
      <c r="A2099" s="16" t="s">
        <v>17</v>
      </c>
      <c r="B2099" s="16" t="s">
        <v>25</v>
      </c>
      <c r="C2099" s="17" t="s">
        <v>19</v>
      </c>
      <c r="D2099" s="18" t="s">
        <v>1191</v>
      </c>
      <c r="E2099" s="18">
        <v>2</v>
      </c>
      <c r="F2099" s="18" t="s">
        <v>126</v>
      </c>
      <c r="G2099" s="18" t="s">
        <v>127</v>
      </c>
      <c r="H2099" s="18" t="s">
        <v>23</v>
      </c>
      <c r="I2099" s="19">
        <v>12500</v>
      </c>
      <c r="J2099" s="20">
        <f t="shared" si="64"/>
        <v>25000</v>
      </c>
      <c r="K2099" s="106"/>
      <c r="L2099" s="114"/>
      <c r="M2099" s="114">
        <f>tblAquisições[[#This Row],[VALOR UNITARIO COMPRADO]]*tblAquisições[[#This Row],[QUANTIDADE COMPRADA]]</f>
        <v>0</v>
      </c>
      <c r="N2099" s="110">
        <f>K2099-tblAquisições[[#This Row],[QUANTIDADE PLANEJADA]]</f>
        <v>-2</v>
      </c>
      <c r="O2099" s="106" t="str">
        <f t="shared" si="65"/>
        <v>Faltando Comprar</v>
      </c>
    </row>
    <row r="2100" spans="1:15" ht="47.25">
      <c r="A2100" s="16" t="s">
        <v>17</v>
      </c>
      <c r="B2100" s="16" t="s">
        <v>28</v>
      </c>
      <c r="C2100" s="17" t="s">
        <v>19</v>
      </c>
      <c r="D2100" s="18" t="s">
        <v>1192</v>
      </c>
      <c r="E2100" s="18">
        <v>6</v>
      </c>
      <c r="F2100" s="18" t="s">
        <v>214</v>
      </c>
      <c r="G2100" s="18" t="s">
        <v>127</v>
      </c>
      <c r="H2100" s="18" t="s">
        <v>23</v>
      </c>
      <c r="I2100" s="19">
        <v>2332.9299999999998</v>
      </c>
      <c r="J2100" s="20">
        <f t="shared" si="64"/>
        <v>13997.579999999998</v>
      </c>
      <c r="K2100" s="106"/>
      <c r="L2100" s="114"/>
      <c r="M2100" s="114">
        <f>tblAquisições[[#This Row],[VALOR UNITARIO COMPRADO]]*tblAquisições[[#This Row],[QUANTIDADE COMPRADA]]</f>
        <v>0</v>
      </c>
      <c r="N2100" s="110">
        <f>K2100-tblAquisições[[#This Row],[QUANTIDADE PLANEJADA]]</f>
        <v>-6</v>
      </c>
      <c r="O2100" s="106" t="str">
        <f t="shared" si="65"/>
        <v>Faltando Comprar</v>
      </c>
    </row>
    <row r="2101" spans="1:15" ht="31.5">
      <c r="A2101" s="16" t="s">
        <v>17</v>
      </c>
      <c r="B2101" s="16" t="s">
        <v>18</v>
      </c>
      <c r="C2101" s="17" t="s">
        <v>19</v>
      </c>
      <c r="D2101" s="18" t="s">
        <v>1193</v>
      </c>
      <c r="E2101" s="18">
        <v>3</v>
      </c>
      <c r="F2101" s="18" t="s">
        <v>30</v>
      </c>
      <c r="G2101" s="18" t="s">
        <v>22</v>
      </c>
      <c r="H2101" s="18" t="s">
        <v>23</v>
      </c>
      <c r="I2101" s="19">
        <v>610</v>
      </c>
      <c r="J2101" s="20">
        <f t="shared" si="64"/>
        <v>1830</v>
      </c>
      <c r="K2101" s="106"/>
      <c r="L2101" s="114"/>
      <c r="M2101" s="114">
        <f>tblAquisições[[#This Row],[VALOR UNITARIO COMPRADO]]*tblAquisições[[#This Row],[QUANTIDADE COMPRADA]]</f>
        <v>0</v>
      </c>
      <c r="N2101" s="110">
        <f>K2101-tblAquisições[[#This Row],[QUANTIDADE PLANEJADA]]</f>
        <v>-3</v>
      </c>
      <c r="O2101" s="106" t="str">
        <f t="shared" si="65"/>
        <v>Faltando Comprar</v>
      </c>
    </row>
    <row r="2102" spans="1:15" ht="31.5">
      <c r="A2102" s="16" t="s">
        <v>17</v>
      </c>
      <c r="B2102" s="16" t="s">
        <v>24</v>
      </c>
      <c r="C2102" s="17" t="s">
        <v>19</v>
      </c>
      <c r="D2102" s="18" t="s">
        <v>1193</v>
      </c>
      <c r="E2102" s="18">
        <v>3</v>
      </c>
      <c r="F2102" s="18" t="s">
        <v>30</v>
      </c>
      <c r="G2102" s="18" t="s">
        <v>22</v>
      </c>
      <c r="H2102" s="18" t="s">
        <v>23</v>
      </c>
      <c r="I2102" s="19">
        <v>610</v>
      </c>
      <c r="J2102" s="20">
        <f t="shared" si="64"/>
        <v>1830</v>
      </c>
      <c r="K2102" s="106"/>
      <c r="L2102" s="114"/>
      <c r="M2102" s="114">
        <f>tblAquisições[[#This Row],[VALOR UNITARIO COMPRADO]]*tblAquisições[[#This Row],[QUANTIDADE COMPRADA]]</f>
        <v>0</v>
      </c>
      <c r="N2102" s="110">
        <f>K2102-tblAquisições[[#This Row],[QUANTIDADE PLANEJADA]]</f>
        <v>-3</v>
      </c>
      <c r="O2102" s="106" t="str">
        <f t="shared" si="65"/>
        <v>Faltando Comprar</v>
      </c>
    </row>
    <row r="2103" spans="1:15" ht="31.5">
      <c r="A2103" s="16" t="s">
        <v>17</v>
      </c>
      <c r="B2103" s="16" t="s">
        <v>25</v>
      </c>
      <c r="C2103" s="17" t="s">
        <v>19</v>
      </c>
      <c r="D2103" s="18" t="s">
        <v>1193</v>
      </c>
      <c r="E2103" s="18">
        <v>3</v>
      </c>
      <c r="F2103" s="18" t="s">
        <v>30</v>
      </c>
      <c r="G2103" s="18" t="s">
        <v>22</v>
      </c>
      <c r="H2103" s="18" t="s">
        <v>23</v>
      </c>
      <c r="I2103" s="19">
        <v>610</v>
      </c>
      <c r="J2103" s="20">
        <f t="shared" si="64"/>
        <v>1830</v>
      </c>
      <c r="K2103" s="106"/>
      <c r="L2103" s="114"/>
      <c r="M2103" s="114">
        <f>tblAquisições[[#This Row],[VALOR UNITARIO COMPRADO]]*tblAquisições[[#This Row],[QUANTIDADE COMPRADA]]</f>
        <v>0</v>
      </c>
      <c r="N2103" s="110">
        <f>K2103-tblAquisições[[#This Row],[QUANTIDADE PLANEJADA]]</f>
        <v>-3</v>
      </c>
      <c r="O2103" s="106" t="str">
        <f t="shared" si="65"/>
        <v>Faltando Comprar</v>
      </c>
    </row>
    <row r="2104" spans="1:15" ht="31.5">
      <c r="A2104" s="16" t="s">
        <v>17</v>
      </c>
      <c r="B2104" s="16" t="s">
        <v>26</v>
      </c>
      <c r="C2104" s="17" t="s">
        <v>19</v>
      </c>
      <c r="D2104" s="18" t="s">
        <v>1194</v>
      </c>
      <c r="E2104" s="18">
        <v>100</v>
      </c>
      <c r="F2104" s="18" t="s">
        <v>21</v>
      </c>
      <c r="G2104" s="18" t="s">
        <v>22</v>
      </c>
      <c r="H2104" s="18" t="s">
        <v>83</v>
      </c>
      <c r="I2104" s="19">
        <v>6.88</v>
      </c>
      <c r="J2104" s="20">
        <f t="shared" si="64"/>
        <v>688</v>
      </c>
      <c r="K2104" s="106"/>
      <c r="L2104" s="114"/>
      <c r="M2104" s="114">
        <f>tblAquisições[[#This Row],[VALOR UNITARIO COMPRADO]]*tblAquisições[[#This Row],[QUANTIDADE COMPRADA]]</f>
        <v>0</v>
      </c>
      <c r="N2104" s="110">
        <f>K2104-tblAquisições[[#This Row],[QUANTIDADE PLANEJADA]]</f>
        <v>-100</v>
      </c>
      <c r="O2104" s="106" t="str">
        <f t="shared" si="65"/>
        <v>Faltando Comprar</v>
      </c>
    </row>
    <row r="2105" spans="1:15" ht="47.25">
      <c r="A2105" s="16" t="s">
        <v>17</v>
      </c>
      <c r="B2105" s="16" t="s">
        <v>28</v>
      </c>
      <c r="C2105" s="17" t="s">
        <v>19</v>
      </c>
      <c r="D2105" s="18" t="s">
        <v>1195</v>
      </c>
      <c r="E2105" s="18">
        <v>2</v>
      </c>
      <c r="F2105" s="18" t="s">
        <v>126</v>
      </c>
      <c r="G2105" s="18" t="s">
        <v>127</v>
      </c>
      <c r="H2105" s="18" t="s">
        <v>23</v>
      </c>
      <c r="I2105" s="19">
        <v>4247.4399999999996</v>
      </c>
      <c r="J2105" s="20">
        <f t="shared" si="64"/>
        <v>8494.8799999999992</v>
      </c>
      <c r="K2105" s="106"/>
      <c r="L2105" s="114"/>
      <c r="M2105" s="114">
        <f>tblAquisições[[#This Row],[VALOR UNITARIO COMPRADO]]*tblAquisições[[#This Row],[QUANTIDADE COMPRADA]]</f>
        <v>0</v>
      </c>
      <c r="N2105" s="110">
        <f>K2105-tblAquisições[[#This Row],[QUANTIDADE PLANEJADA]]</f>
        <v>-2</v>
      </c>
      <c r="O2105" s="106" t="str">
        <f t="shared" si="65"/>
        <v>Faltando Comprar</v>
      </c>
    </row>
    <row r="2106" spans="1:15" ht="47.25">
      <c r="A2106" s="16" t="s">
        <v>17</v>
      </c>
      <c r="B2106" s="16" t="s">
        <v>28</v>
      </c>
      <c r="C2106" s="17" t="s">
        <v>19</v>
      </c>
      <c r="D2106" s="18" t="s">
        <v>1196</v>
      </c>
      <c r="E2106" s="18">
        <v>2</v>
      </c>
      <c r="F2106" s="18" t="s">
        <v>126</v>
      </c>
      <c r="G2106" s="18" t="s">
        <v>127</v>
      </c>
      <c r="H2106" s="18" t="s">
        <v>23</v>
      </c>
      <c r="I2106" s="19">
        <v>8750</v>
      </c>
      <c r="J2106" s="20">
        <f t="shared" si="64"/>
        <v>17500</v>
      </c>
      <c r="K2106" s="106"/>
      <c r="L2106" s="114"/>
      <c r="M2106" s="114">
        <f>tblAquisições[[#This Row],[VALOR UNITARIO COMPRADO]]*tblAquisições[[#This Row],[QUANTIDADE COMPRADA]]</f>
        <v>0</v>
      </c>
      <c r="N2106" s="110">
        <f>K2106-tblAquisições[[#This Row],[QUANTIDADE PLANEJADA]]</f>
        <v>-2</v>
      </c>
      <c r="O2106" s="106" t="str">
        <f t="shared" si="65"/>
        <v>Faltando Comprar</v>
      </c>
    </row>
    <row r="2107" spans="1:15" ht="47.25">
      <c r="A2107" s="16" t="s">
        <v>17</v>
      </c>
      <c r="B2107" s="16" t="s">
        <v>72</v>
      </c>
      <c r="C2107" s="17" t="s">
        <v>19</v>
      </c>
      <c r="D2107" s="18" t="s">
        <v>1197</v>
      </c>
      <c r="E2107" s="18">
        <v>5</v>
      </c>
      <c r="F2107" s="18" t="s">
        <v>58</v>
      </c>
      <c r="G2107" s="18" t="s">
        <v>22</v>
      </c>
      <c r="H2107" s="18" t="s">
        <v>23</v>
      </c>
      <c r="I2107" s="19">
        <v>10.8</v>
      </c>
      <c r="J2107" s="20">
        <f t="shared" si="64"/>
        <v>54</v>
      </c>
      <c r="K2107" s="106"/>
      <c r="L2107" s="114"/>
      <c r="M2107" s="114">
        <f>tblAquisições[[#This Row],[VALOR UNITARIO COMPRADO]]*tblAquisições[[#This Row],[QUANTIDADE COMPRADA]]</f>
        <v>0</v>
      </c>
      <c r="N2107" s="110">
        <f>K2107-tblAquisições[[#This Row],[QUANTIDADE PLANEJADA]]</f>
        <v>-5</v>
      </c>
      <c r="O2107" s="106" t="str">
        <f t="shared" si="65"/>
        <v>Faltando Comprar</v>
      </c>
    </row>
    <row r="2108" spans="1:15" ht="31.5">
      <c r="A2108" s="16" t="s">
        <v>17</v>
      </c>
      <c r="B2108" s="16" t="s">
        <v>28</v>
      </c>
      <c r="C2108" s="17" t="s">
        <v>19</v>
      </c>
      <c r="D2108" s="18" t="s">
        <v>1198</v>
      </c>
      <c r="E2108" s="18">
        <v>10</v>
      </c>
      <c r="F2108" s="18" t="s">
        <v>21</v>
      </c>
      <c r="G2108" s="18" t="s">
        <v>22</v>
      </c>
      <c r="H2108" s="18" t="s">
        <v>23</v>
      </c>
      <c r="I2108" s="19">
        <v>16.54</v>
      </c>
      <c r="J2108" s="20">
        <f t="shared" si="64"/>
        <v>165.39999999999998</v>
      </c>
      <c r="K2108" s="106"/>
      <c r="L2108" s="114"/>
      <c r="M2108" s="114">
        <f>tblAquisições[[#This Row],[VALOR UNITARIO COMPRADO]]*tblAquisições[[#This Row],[QUANTIDADE COMPRADA]]</f>
        <v>0</v>
      </c>
      <c r="N2108" s="110">
        <f>K2108-tblAquisições[[#This Row],[QUANTIDADE PLANEJADA]]</f>
        <v>-10</v>
      </c>
      <c r="O2108" s="106" t="str">
        <f t="shared" si="65"/>
        <v>Faltando Comprar</v>
      </c>
    </row>
    <row r="2109" spans="1:15" ht="47.25">
      <c r="A2109" s="16" t="s">
        <v>17</v>
      </c>
      <c r="B2109" s="16" t="s">
        <v>80</v>
      </c>
      <c r="C2109" s="17" t="s">
        <v>19</v>
      </c>
      <c r="D2109" s="18" t="s">
        <v>1199</v>
      </c>
      <c r="E2109" s="18">
        <v>6</v>
      </c>
      <c r="F2109" s="18" t="s">
        <v>147</v>
      </c>
      <c r="G2109" s="18" t="s">
        <v>39</v>
      </c>
      <c r="H2109" s="18" t="s">
        <v>23</v>
      </c>
      <c r="I2109" s="19">
        <v>10.98</v>
      </c>
      <c r="J2109" s="20">
        <f t="shared" si="64"/>
        <v>65.88</v>
      </c>
      <c r="K2109" s="106"/>
      <c r="L2109" s="114"/>
      <c r="M2109" s="114">
        <f>tblAquisições[[#This Row],[VALOR UNITARIO COMPRADO]]*tblAquisições[[#This Row],[QUANTIDADE COMPRADA]]</f>
        <v>0</v>
      </c>
      <c r="N2109" s="110">
        <f>K2109-tblAquisições[[#This Row],[QUANTIDADE PLANEJADA]]</f>
        <v>-6</v>
      </c>
      <c r="O2109" s="106" t="str">
        <f t="shared" si="65"/>
        <v>Faltando Comprar</v>
      </c>
    </row>
    <row r="2110" spans="1:15" ht="47.25">
      <c r="A2110" s="16" t="s">
        <v>17</v>
      </c>
      <c r="B2110" s="16" t="s">
        <v>28</v>
      </c>
      <c r="C2110" s="17" t="s">
        <v>19</v>
      </c>
      <c r="D2110" s="18" t="s">
        <v>1200</v>
      </c>
      <c r="E2110" s="18">
        <v>1</v>
      </c>
      <c r="F2110" s="18" t="s">
        <v>58</v>
      </c>
      <c r="G2110" s="18" t="s">
        <v>22</v>
      </c>
      <c r="H2110" s="18" t="s">
        <v>23</v>
      </c>
      <c r="I2110" s="19">
        <v>63.45</v>
      </c>
      <c r="J2110" s="20">
        <f t="shared" si="64"/>
        <v>63.45</v>
      </c>
      <c r="K2110" s="106"/>
      <c r="L2110" s="114"/>
      <c r="M2110" s="114">
        <f>tblAquisições[[#This Row],[VALOR UNITARIO COMPRADO]]*tblAquisições[[#This Row],[QUANTIDADE COMPRADA]]</f>
        <v>0</v>
      </c>
      <c r="N2110" s="110">
        <f>K2110-tblAquisições[[#This Row],[QUANTIDADE PLANEJADA]]</f>
        <v>-1</v>
      </c>
      <c r="O2110" s="106" t="str">
        <f t="shared" si="65"/>
        <v>Faltando Comprar</v>
      </c>
    </row>
    <row r="2111" spans="1:15" ht="31.5">
      <c r="A2111" s="16" t="s">
        <v>17</v>
      </c>
      <c r="B2111" s="16" t="s">
        <v>28</v>
      </c>
      <c r="C2111" s="17" t="s">
        <v>19</v>
      </c>
      <c r="D2111" s="18" t="s">
        <v>1201</v>
      </c>
      <c r="E2111" s="18">
        <v>60</v>
      </c>
      <c r="F2111" s="18" t="s">
        <v>21</v>
      </c>
      <c r="G2111" s="18" t="s">
        <v>22</v>
      </c>
      <c r="H2111" s="18" t="s">
        <v>23</v>
      </c>
      <c r="I2111" s="19">
        <v>1.38</v>
      </c>
      <c r="J2111" s="20">
        <f t="shared" si="64"/>
        <v>82.8</v>
      </c>
      <c r="K2111" s="106"/>
      <c r="L2111" s="114"/>
      <c r="M2111" s="114">
        <f>tblAquisições[[#This Row],[VALOR UNITARIO COMPRADO]]*tblAquisições[[#This Row],[QUANTIDADE COMPRADA]]</f>
        <v>0</v>
      </c>
      <c r="N2111" s="110">
        <f>K2111-tblAquisições[[#This Row],[QUANTIDADE PLANEJADA]]</f>
        <v>-60</v>
      </c>
      <c r="O2111" s="106" t="str">
        <f t="shared" si="65"/>
        <v>Faltando Comprar</v>
      </c>
    </row>
    <row r="2112" spans="1:15" ht="47.25">
      <c r="A2112" s="16" t="s">
        <v>17</v>
      </c>
      <c r="B2112" s="16" t="s">
        <v>26</v>
      </c>
      <c r="C2112" s="17" t="s">
        <v>19</v>
      </c>
      <c r="D2112" s="18" t="s">
        <v>1202</v>
      </c>
      <c r="E2112" s="18">
        <v>2</v>
      </c>
      <c r="F2112" s="18" t="s">
        <v>58</v>
      </c>
      <c r="G2112" s="18" t="s">
        <v>22</v>
      </c>
      <c r="H2112" s="18" t="s">
        <v>23</v>
      </c>
      <c r="I2112" s="19">
        <v>16.48</v>
      </c>
      <c r="J2112" s="20">
        <f t="shared" si="64"/>
        <v>32.96</v>
      </c>
      <c r="K2112" s="106"/>
      <c r="L2112" s="114"/>
      <c r="M2112" s="114">
        <f>tblAquisições[[#This Row],[VALOR UNITARIO COMPRADO]]*tblAquisições[[#This Row],[QUANTIDADE COMPRADA]]</f>
        <v>0</v>
      </c>
      <c r="N2112" s="110">
        <f>K2112-tblAquisições[[#This Row],[QUANTIDADE PLANEJADA]]</f>
        <v>-2</v>
      </c>
      <c r="O2112" s="106" t="str">
        <f t="shared" si="65"/>
        <v>Faltando Comprar</v>
      </c>
    </row>
    <row r="2113" spans="1:15" ht="47.25">
      <c r="A2113" s="16" t="s">
        <v>17</v>
      </c>
      <c r="B2113" s="16" t="s">
        <v>26</v>
      </c>
      <c r="C2113" s="17" t="s">
        <v>19</v>
      </c>
      <c r="D2113" s="18" t="s">
        <v>1203</v>
      </c>
      <c r="E2113" s="18">
        <v>30</v>
      </c>
      <c r="F2113" s="18" t="s">
        <v>239</v>
      </c>
      <c r="G2113" s="18" t="s">
        <v>22</v>
      </c>
      <c r="H2113" s="18" t="s">
        <v>23</v>
      </c>
      <c r="I2113" s="19">
        <v>3</v>
      </c>
      <c r="J2113" s="20">
        <f t="shared" si="64"/>
        <v>90</v>
      </c>
      <c r="K2113" s="106"/>
      <c r="L2113" s="114"/>
      <c r="M2113" s="114">
        <f>tblAquisições[[#This Row],[VALOR UNITARIO COMPRADO]]*tblAquisições[[#This Row],[QUANTIDADE COMPRADA]]</f>
        <v>0</v>
      </c>
      <c r="N2113" s="110">
        <f>K2113-tblAquisições[[#This Row],[QUANTIDADE PLANEJADA]]</f>
        <v>-30</v>
      </c>
      <c r="O2113" s="106" t="str">
        <f t="shared" si="65"/>
        <v>Faltando Comprar</v>
      </c>
    </row>
    <row r="2114" spans="1:15" ht="47.25">
      <c r="A2114" s="16" t="s">
        <v>17</v>
      </c>
      <c r="B2114" s="16" t="s">
        <v>26</v>
      </c>
      <c r="C2114" s="17" t="s">
        <v>19</v>
      </c>
      <c r="D2114" s="18" t="s">
        <v>1204</v>
      </c>
      <c r="E2114" s="18">
        <v>12</v>
      </c>
      <c r="F2114" s="18" t="s">
        <v>58</v>
      </c>
      <c r="G2114" s="18" t="s">
        <v>22</v>
      </c>
      <c r="H2114" s="18" t="s">
        <v>23</v>
      </c>
      <c r="I2114" s="19">
        <v>19.690000000000001</v>
      </c>
      <c r="J2114" s="20">
        <f t="shared" ref="J2114:J2177" si="66">E2114*I2114</f>
        <v>236.28000000000003</v>
      </c>
      <c r="K2114" s="106"/>
      <c r="L2114" s="114"/>
      <c r="M2114" s="114">
        <f>tblAquisições[[#This Row],[VALOR UNITARIO COMPRADO]]*tblAquisições[[#This Row],[QUANTIDADE COMPRADA]]</f>
        <v>0</v>
      </c>
      <c r="N2114" s="110">
        <f>K2114-tblAquisições[[#This Row],[QUANTIDADE PLANEJADA]]</f>
        <v>-12</v>
      </c>
      <c r="O2114" s="106" t="str">
        <f t="shared" ref="O2114:O2177" si="67">IF(K2114=E2114,"OK",IF(K2114&lt;E2114,"Faltando Comprar","Excedente"))</f>
        <v>Faltando Comprar</v>
      </c>
    </row>
    <row r="2115" spans="1:15" ht="47.25">
      <c r="A2115" s="16" t="s">
        <v>17</v>
      </c>
      <c r="B2115" s="16" t="s">
        <v>31</v>
      </c>
      <c r="C2115" s="17" t="s">
        <v>19</v>
      </c>
      <c r="D2115" s="18" t="s">
        <v>1205</v>
      </c>
      <c r="E2115" s="18">
        <v>950</v>
      </c>
      <c r="F2115" s="18" t="s">
        <v>313</v>
      </c>
      <c r="G2115" s="18" t="s">
        <v>22</v>
      </c>
      <c r="H2115" s="18" t="s">
        <v>23</v>
      </c>
      <c r="I2115" s="19">
        <v>69.72</v>
      </c>
      <c r="J2115" s="20">
        <f t="shared" si="66"/>
        <v>66234</v>
      </c>
      <c r="K2115" s="106"/>
      <c r="L2115" s="114"/>
      <c r="M2115" s="114">
        <f>tblAquisições[[#This Row],[VALOR UNITARIO COMPRADO]]*tblAquisições[[#This Row],[QUANTIDADE COMPRADA]]</f>
        <v>0</v>
      </c>
      <c r="N2115" s="110">
        <f>K2115-tblAquisições[[#This Row],[QUANTIDADE PLANEJADA]]</f>
        <v>-950</v>
      </c>
      <c r="O2115" s="106" t="str">
        <f t="shared" si="67"/>
        <v>Faltando Comprar</v>
      </c>
    </row>
    <row r="2116" spans="1:15" ht="47.25">
      <c r="A2116" s="16" t="s">
        <v>17</v>
      </c>
      <c r="B2116" s="16" t="s">
        <v>26</v>
      </c>
      <c r="C2116" s="17" t="s">
        <v>19</v>
      </c>
      <c r="D2116" s="18" t="s">
        <v>1206</v>
      </c>
      <c r="E2116" s="18">
        <v>2</v>
      </c>
      <c r="F2116" s="18" t="s">
        <v>78</v>
      </c>
      <c r="G2116" s="18" t="s">
        <v>22</v>
      </c>
      <c r="H2116" s="18" t="s">
        <v>23</v>
      </c>
      <c r="I2116" s="19">
        <v>27.75</v>
      </c>
      <c r="J2116" s="20">
        <f t="shared" si="66"/>
        <v>55.5</v>
      </c>
      <c r="K2116" s="106"/>
      <c r="L2116" s="114"/>
      <c r="M2116" s="114">
        <f>tblAquisições[[#This Row],[VALOR UNITARIO COMPRADO]]*tblAquisições[[#This Row],[QUANTIDADE COMPRADA]]</f>
        <v>0</v>
      </c>
      <c r="N2116" s="110">
        <f>K2116-tblAquisições[[#This Row],[QUANTIDADE PLANEJADA]]</f>
        <v>-2</v>
      </c>
      <c r="O2116" s="106" t="str">
        <f t="shared" si="67"/>
        <v>Faltando Comprar</v>
      </c>
    </row>
    <row r="2117" spans="1:15" ht="47.25">
      <c r="A2117" s="16" t="s">
        <v>17</v>
      </c>
      <c r="B2117" s="16" t="s">
        <v>18</v>
      </c>
      <c r="C2117" s="17" t="s">
        <v>19</v>
      </c>
      <c r="D2117" s="18" t="s">
        <v>1207</v>
      </c>
      <c r="E2117" s="18">
        <v>4</v>
      </c>
      <c r="F2117" s="18" t="s">
        <v>126</v>
      </c>
      <c r="G2117" s="18" t="s">
        <v>127</v>
      </c>
      <c r="H2117" s="18" t="s">
        <v>23</v>
      </c>
      <c r="I2117" s="19">
        <v>12000</v>
      </c>
      <c r="J2117" s="20">
        <f t="shared" si="66"/>
        <v>48000</v>
      </c>
      <c r="K2117" s="106"/>
      <c r="L2117" s="114"/>
      <c r="M2117" s="114">
        <f>tblAquisições[[#This Row],[VALOR UNITARIO COMPRADO]]*tblAquisições[[#This Row],[QUANTIDADE COMPRADA]]</f>
        <v>0</v>
      </c>
      <c r="N2117" s="110">
        <f>K2117-tblAquisições[[#This Row],[QUANTIDADE PLANEJADA]]</f>
        <v>-4</v>
      </c>
      <c r="O2117" s="106" t="str">
        <f t="shared" si="67"/>
        <v>Faltando Comprar</v>
      </c>
    </row>
    <row r="2118" spans="1:15" ht="47.25">
      <c r="A2118" s="16" t="s">
        <v>17</v>
      </c>
      <c r="B2118" s="16" t="s">
        <v>24</v>
      </c>
      <c r="C2118" s="17" t="s">
        <v>19</v>
      </c>
      <c r="D2118" s="18" t="s">
        <v>1207</v>
      </c>
      <c r="E2118" s="18">
        <v>4</v>
      </c>
      <c r="F2118" s="18" t="s">
        <v>126</v>
      </c>
      <c r="G2118" s="18" t="s">
        <v>127</v>
      </c>
      <c r="H2118" s="18" t="s">
        <v>23</v>
      </c>
      <c r="I2118" s="19">
        <v>12000</v>
      </c>
      <c r="J2118" s="20">
        <f t="shared" si="66"/>
        <v>48000</v>
      </c>
      <c r="K2118" s="106"/>
      <c r="L2118" s="114"/>
      <c r="M2118" s="114">
        <f>tblAquisições[[#This Row],[VALOR UNITARIO COMPRADO]]*tblAquisições[[#This Row],[QUANTIDADE COMPRADA]]</f>
        <v>0</v>
      </c>
      <c r="N2118" s="110">
        <f>K2118-tblAquisições[[#This Row],[QUANTIDADE PLANEJADA]]</f>
        <v>-4</v>
      </c>
      <c r="O2118" s="106" t="str">
        <f t="shared" si="67"/>
        <v>Faltando Comprar</v>
      </c>
    </row>
    <row r="2119" spans="1:15" ht="47.25">
      <c r="A2119" s="16" t="s">
        <v>17</v>
      </c>
      <c r="B2119" s="16" t="s">
        <v>25</v>
      </c>
      <c r="C2119" s="17" t="s">
        <v>19</v>
      </c>
      <c r="D2119" s="18" t="s">
        <v>1207</v>
      </c>
      <c r="E2119" s="18">
        <v>4</v>
      </c>
      <c r="F2119" s="18" t="s">
        <v>126</v>
      </c>
      <c r="G2119" s="18" t="s">
        <v>127</v>
      </c>
      <c r="H2119" s="18" t="s">
        <v>23</v>
      </c>
      <c r="I2119" s="19">
        <v>12000</v>
      </c>
      <c r="J2119" s="20">
        <f t="shared" si="66"/>
        <v>48000</v>
      </c>
      <c r="K2119" s="106"/>
      <c r="L2119" s="114"/>
      <c r="M2119" s="114">
        <f>tblAquisições[[#This Row],[VALOR UNITARIO COMPRADO]]*tblAquisições[[#This Row],[QUANTIDADE COMPRADA]]</f>
        <v>0</v>
      </c>
      <c r="N2119" s="110">
        <f>K2119-tblAquisições[[#This Row],[QUANTIDADE PLANEJADA]]</f>
        <v>-4</v>
      </c>
      <c r="O2119" s="106" t="str">
        <f t="shared" si="67"/>
        <v>Faltando Comprar</v>
      </c>
    </row>
    <row r="2120" spans="1:15" ht="63">
      <c r="A2120" s="16" t="s">
        <v>17</v>
      </c>
      <c r="B2120" s="16" t="s">
        <v>80</v>
      </c>
      <c r="C2120" s="17" t="s">
        <v>19</v>
      </c>
      <c r="D2120" s="18" t="s">
        <v>1208</v>
      </c>
      <c r="E2120" s="18">
        <v>80</v>
      </c>
      <c r="F2120" s="18" t="s">
        <v>166</v>
      </c>
      <c r="G2120" s="18" t="s">
        <v>39</v>
      </c>
      <c r="H2120" s="18" t="s">
        <v>23</v>
      </c>
      <c r="I2120" s="19">
        <v>186.67</v>
      </c>
      <c r="J2120" s="20">
        <f t="shared" si="66"/>
        <v>14933.599999999999</v>
      </c>
      <c r="K2120" s="106"/>
      <c r="L2120" s="114"/>
      <c r="M2120" s="114">
        <f>tblAquisições[[#This Row],[VALOR UNITARIO COMPRADO]]*tblAquisições[[#This Row],[QUANTIDADE COMPRADA]]</f>
        <v>0</v>
      </c>
      <c r="N2120" s="110">
        <f>K2120-tblAquisições[[#This Row],[QUANTIDADE PLANEJADA]]</f>
        <v>-80</v>
      </c>
      <c r="O2120" s="106" t="str">
        <f t="shared" si="67"/>
        <v>Faltando Comprar</v>
      </c>
    </row>
    <row r="2121" spans="1:15" ht="63">
      <c r="A2121" s="16" t="s">
        <v>17</v>
      </c>
      <c r="B2121" s="16" t="s">
        <v>28</v>
      </c>
      <c r="C2121" s="17" t="s">
        <v>19</v>
      </c>
      <c r="D2121" s="18" t="s">
        <v>1209</v>
      </c>
      <c r="E2121" s="18">
        <v>15</v>
      </c>
      <c r="F2121" s="18" t="s">
        <v>838</v>
      </c>
      <c r="G2121" s="18" t="s">
        <v>22</v>
      </c>
      <c r="H2121" s="18" t="s">
        <v>65</v>
      </c>
      <c r="I2121" s="19">
        <v>186.67</v>
      </c>
      <c r="J2121" s="20">
        <f t="shared" si="66"/>
        <v>2800.0499999999997</v>
      </c>
      <c r="K2121" s="106"/>
      <c r="L2121" s="114"/>
      <c r="M2121" s="114">
        <f>tblAquisições[[#This Row],[VALOR UNITARIO COMPRADO]]*tblAquisições[[#This Row],[QUANTIDADE COMPRADA]]</f>
        <v>0</v>
      </c>
      <c r="N2121" s="110">
        <f>K2121-tblAquisições[[#This Row],[QUANTIDADE PLANEJADA]]</f>
        <v>-15</v>
      </c>
      <c r="O2121" s="106" t="str">
        <f t="shared" si="67"/>
        <v>Faltando Comprar</v>
      </c>
    </row>
    <row r="2122" spans="1:15" ht="63">
      <c r="A2122" s="16" t="s">
        <v>17</v>
      </c>
      <c r="B2122" s="16" t="s">
        <v>31</v>
      </c>
      <c r="C2122" s="17" t="s">
        <v>19</v>
      </c>
      <c r="D2122" s="18" t="s">
        <v>1210</v>
      </c>
      <c r="E2122" s="18">
        <v>10</v>
      </c>
      <c r="F2122" s="18" t="s">
        <v>131</v>
      </c>
      <c r="G2122" s="18" t="s">
        <v>22</v>
      </c>
      <c r="H2122" s="18" t="s">
        <v>23</v>
      </c>
      <c r="I2122" s="19">
        <v>58.7</v>
      </c>
      <c r="J2122" s="20">
        <f t="shared" si="66"/>
        <v>587</v>
      </c>
      <c r="K2122" s="106"/>
      <c r="L2122" s="114"/>
      <c r="M2122" s="114">
        <f>tblAquisições[[#This Row],[VALOR UNITARIO COMPRADO]]*tblAquisições[[#This Row],[QUANTIDADE COMPRADA]]</f>
        <v>0</v>
      </c>
      <c r="N2122" s="110">
        <f>K2122-tblAquisições[[#This Row],[QUANTIDADE PLANEJADA]]</f>
        <v>-10</v>
      </c>
      <c r="O2122" s="106" t="str">
        <f t="shared" si="67"/>
        <v>Faltando Comprar</v>
      </c>
    </row>
    <row r="2123" spans="1:15" ht="63">
      <c r="A2123" s="16" t="s">
        <v>17</v>
      </c>
      <c r="B2123" s="16" t="s">
        <v>80</v>
      </c>
      <c r="C2123" s="17" t="s">
        <v>19</v>
      </c>
      <c r="D2123" s="18" t="s">
        <v>1211</v>
      </c>
      <c r="E2123" s="18">
        <v>2</v>
      </c>
      <c r="F2123" s="18" t="s">
        <v>82</v>
      </c>
      <c r="G2123" s="18" t="s">
        <v>39</v>
      </c>
      <c r="H2123" s="21"/>
      <c r="I2123" s="19">
        <v>5943.2</v>
      </c>
      <c r="J2123" s="20">
        <f t="shared" si="66"/>
        <v>11886.4</v>
      </c>
      <c r="K2123" s="106"/>
      <c r="L2123" s="114"/>
      <c r="M2123" s="114">
        <f>tblAquisições[[#This Row],[VALOR UNITARIO COMPRADO]]*tblAquisições[[#This Row],[QUANTIDADE COMPRADA]]</f>
        <v>0</v>
      </c>
      <c r="N2123" s="110">
        <f>K2123-tblAquisições[[#This Row],[QUANTIDADE PLANEJADA]]</f>
        <v>-2</v>
      </c>
      <c r="O2123" s="106" t="str">
        <f t="shared" si="67"/>
        <v>Faltando Comprar</v>
      </c>
    </row>
    <row r="2124" spans="1:15" ht="63">
      <c r="A2124" s="16" t="s">
        <v>17</v>
      </c>
      <c r="B2124" s="16" t="s">
        <v>31</v>
      </c>
      <c r="C2124" s="17" t="s">
        <v>19</v>
      </c>
      <c r="D2124" s="18" t="s">
        <v>1212</v>
      </c>
      <c r="E2124" s="18">
        <v>1</v>
      </c>
      <c r="F2124" s="18" t="s">
        <v>30</v>
      </c>
      <c r="G2124" s="18" t="s">
        <v>22</v>
      </c>
      <c r="H2124" s="18" t="s">
        <v>23</v>
      </c>
      <c r="I2124" s="19">
        <v>5943.2</v>
      </c>
      <c r="J2124" s="20">
        <f t="shared" si="66"/>
        <v>5943.2</v>
      </c>
      <c r="K2124" s="106"/>
      <c r="L2124" s="114"/>
      <c r="M2124" s="114">
        <f>tblAquisições[[#This Row],[VALOR UNITARIO COMPRADO]]*tblAquisições[[#This Row],[QUANTIDADE COMPRADA]]</f>
        <v>0</v>
      </c>
      <c r="N2124" s="110">
        <f>K2124-tblAquisições[[#This Row],[QUANTIDADE PLANEJADA]]</f>
        <v>-1</v>
      </c>
      <c r="O2124" s="106" t="str">
        <f t="shared" si="67"/>
        <v>Faltando Comprar</v>
      </c>
    </row>
    <row r="2125" spans="1:15" ht="47.25">
      <c r="A2125" s="16" t="s">
        <v>17</v>
      </c>
      <c r="B2125" s="16" t="s">
        <v>34</v>
      </c>
      <c r="C2125" s="17" t="s">
        <v>19</v>
      </c>
      <c r="D2125" s="18" t="s">
        <v>1213</v>
      </c>
      <c r="E2125" s="18">
        <v>20</v>
      </c>
      <c r="F2125" s="18" t="s">
        <v>131</v>
      </c>
      <c r="G2125" s="18" t="s">
        <v>22</v>
      </c>
      <c r="H2125" s="18" t="s">
        <v>23</v>
      </c>
      <c r="I2125" s="19">
        <v>9.19</v>
      </c>
      <c r="J2125" s="20">
        <f t="shared" si="66"/>
        <v>183.79999999999998</v>
      </c>
      <c r="K2125" s="106"/>
      <c r="L2125" s="114"/>
      <c r="M2125" s="114">
        <f>tblAquisições[[#This Row],[VALOR UNITARIO COMPRADO]]*tblAquisições[[#This Row],[QUANTIDADE COMPRADA]]</f>
        <v>0</v>
      </c>
      <c r="N2125" s="110">
        <f>K2125-tblAquisições[[#This Row],[QUANTIDADE PLANEJADA]]</f>
        <v>-20</v>
      </c>
      <c r="O2125" s="106" t="str">
        <f t="shared" si="67"/>
        <v>Faltando Comprar</v>
      </c>
    </row>
    <row r="2126" spans="1:15" ht="47.25">
      <c r="A2126" s="16" t="s">
        <v>17</v>
      </c>
      <c r="B2126" s="16" t="s">
        <v>26</v>
      </c>
      <c r="C2126" s="17" t="s">
        <v>19</v>
      </c>
      <c r="D2126" s="18" t="s">
        <v>1214</v>
      </c>
      <c r="E2126" s="18">
        <v>12</v>
      </c>
      <c r="F2126" s="18" t="s">
        <v>239</v>
      </c>
      <c r="G2126" s="18" t="s">
        <v>22</v>
      </c>
      <c r="H2126" s="18" t="s">
        <v>23</v>
      </c>
      <c r="I2126" s="19">
        <v>19.649999999999999</v>
      </c>
      <c r="J2126" s="20">
        <f t="shared" si="66"/>
        <v>235.79999999999998</v>
      </c>
      <c r="K2126" s="106"/>
      <c r="L2126" s="114"/>
      <c r="M2126" s="114">
        <f>tblAquisições[[#This Row],[VALOR UNITARIO COMPRADO]]*tblAquisições[[#This Row],[QUANTIDADE COMPRADA]]</f>
        <v>0</v>
      </c>
      <c r="N2126" s="110">
        <f>K2126-tblAquisições[[#This Row],[QUANTIDADE PLANEJADA]]</f>
        <v>-12</v>
      </c>
      <c r="O2126" s="106" t="str">
        <f t="shared" si="67"/>
        <v>Faltando Comprar</v>
      </c>
    </row>
    <row r="2127" spans="1:15" ht="63">
      <c r="A2127" s="16" t="s">
        <v>17</v>
      </c>
      <c r="B2127" s="16" t="s">
        <v>34</v>
      </c>
      <c r="C2127" s="17" t="s">
        <v>19</v>
      </c>
      <c r="D2127" s="18" t="s">
        <v>1215</v>
      </c>
      <c r="E2127" s="18">
        <v>2700</v>
      </c>
      <c r="F2127" s="18" t="s">
        <v>115</v>
      </c>
      <c r="G2127" s="18" t="s">
        <v>22</v>
      </c>
      <c r="H2127" s="18" t="s">
        <v>100</v>
      </c>
      <c r="I2127" s="19">
        <v>26.46</v>
      </c>
      <c r="J2127" s="20">
        <f t="shared" si="66"/>
        <v>71442</v>
      </c>
      <c r="K2127" s="106"/>
      <c r="L2127" s="114"/>
      <c r="M2127" s="114">
        <f>tblAquisições[[#This Row],[VALOR UNITARIO COMPRADO]]*tblAquisições[[#This Row],[QUANTIDADE COMPRADA]]</f>
        <v>0</v>
      </c>
      <c r="N2127" s="110">
        <f>K2127-tblAquisições[[#This Row],[QUANTIDADE PLANEJADA]]</f>
        <v>-2700</v>
      </c>
      <c r="O2127" s="106" t="str">
        <f t="shared" si="67"/>
        <v>Faltando Comprar</v>
      </c>
    </row>
    <row r="2128" spans="1:15" ht="47.25">
      <c r="A2128" s="16" t="s">
        <v>17</v>
      </c>
      <c r="B2128" s="16" t="s">
        <v>17</v>
      </c>
      <c r="C2128" s="17" t="s">
        <v>19</v>
      </c>
      <c r="D2128" s="18" t="s">
        <v>1216</v>
      </c>
      <c r="E2128" s="18">
        <v>10</v>
      </c>
      <c r="F2128" s="18" t="s">
        <v>217</v>
      </c>
      <c r="G2128" s="18" t="s">
        <v>39</v>
      </c>
      <c r="H2128" s="18" t="s">
        <v>23</v>
      </c>
      <c r="I2128" s="19">
        <v>20.88</v>
      </c>
      <c r="J2128" s="20">
        <f t="shared" si="66"/>
        <v>208.79999999999998</v>
      </c>
      <c r="K2128" s="106"/>
      <c r="L2128" s="114"/>
      <c r="M2128" s="114">
        <f>tblAquisições[[#This Row],[VALOR UNITARIO COMPRADO]]*tblAquisições[[#This Row],[QUANTIDADE COMPRADA]]</f>
        <v>0</v>
      </c>
      <c r="N2128" s="110">
        <f>K2128-tblAquisições[[#This Row],[QUANTIDADE PLANEJADA]]</f>
        <v>-10</v>
      </c>
      <c r="O2128" s="106" t="str">
        <f t="shared" si="67"/>
        <v>Faltando Comprar</v>
      </c>
    </row>
    <row r="2129" spans="1:15" ht="47.25">
      <c r="A2129" s="16" t="s">
        <v>17</v>
      </c>
      <c r="B2129" s="16" t="s">
        <v>31</v>
      </c>
      <c r="C2129" s="17" t="s">
        <v>19</v>
      </c>
      <c r="D2129" s="18" t="s">
        <v>1217</v>
      </c>
      <c r="E2129" s="18">
        <v>10</v>
      </c>
      <c r="F2129" s="18" t="s">
        <v>131</v>
      </c>
      <c r="G2129" s="18" t="s">
        <v>22</v>
      </c>
      <c r="H2129" s="18" t="s">
        <v>23</v>
      </c>
      <c r="I2129" s="19">
        <v>20.88</v>
      </c>
      <c r="J2129" s="20">
        <f t="shared" si="66"/>
        <v>208.79999999999998</v>
      </c>
      <c r="K2129" s="106"/>
      <c r="L2129" s="114"/>
      <c r="M2129" s="114">
        <f>tblAquisições[[#This Row],[VALOR UNITARIO COMPRADO]]*tblAquisições[[#This Row],[QUANTIDADE COMPRADA]]</f>
        <v>0</v>
      </c>
      <c r="N2129" s="110">
        <f>K2129-tblAquisições[[#This Row],[QUANTIDADE PLANEJADA]]</f>
        <v>-10</v>
      </c>
      <c r="O2129" s="106" t="str">
        <f t="shared" si="67"/>
        <v>Faltando Comprar</v>
      </c>
    </row>
    <row r="2130" spans="1:15" ht="47.25">
      <c r="A2130" s="16" t="s">
        <v>17</v>
      </c>
      <c r="B2130" s="16" t="s">
        <v>28</v>
      </c>
      <c r="C2130" s="17" t="s">
        <v>19</v>
      </c>
      <c r="D2130" s="18" t="s">
        <v>1218</v>
      </c>
      <c r="E2130" s="18">
        <v>1</v>
      </c>
      <c r="F2130" s="18" t="s">
        <v>131</v>
      </c>
      <c r="G2130" s="18" t="s">
        <v>22</v>
      </c>
      <c r="H2130" s="18" t="s">
        <v>23</v>
      </c>
      <c r="I2130" s="19">
        <v>55.84</v>
      </c>
      <c r="J2130" s="20">
        <f t="shared" si="66"/>
        <v>55.84</v>
      </c>
      <c r="K2130" s="106"/>
      <c r="L2130" s="114"/>
      <c r="M2130" s="114">
        <f>tblAquisições[[#This Row],[VALOR UNITARIO COMPRADO]]*tblAquisições[[#This Row],[QUANTIDADE COMPRADA]]</f>
        <v>0</v>
      </c>
      <c r="N2130" s="110">
        <f>K2130-tblAquisições[[#This Row],[QUANTIDADE PLANEJADA]]</f>
        <v>-1</v>
      </c>
      <c r="O2130" s="106" t="str">
        <f t="shared" si="67"/>
        <v>Faltando Comprar</v>
      </c>
    </row>
    <row r="2131" spans="1:15" ht="63">
      <c r="A2131" s="16" t="s">
        <v>17</v>
      </c>
      <c r="B2131" s="16" t="s">
        <v>31</v>
      </c>
      <c r="C2131" s="17" t="s">
        <v>19</v>
      </c>
      <c r="D2131" s="18" t="s">
        <v>1219</v>
      </c>
      <c r="E2131" s="18">
        <v>75</v>
      </c>
      <c r="F2131" s="18" t="s">
        <v>131</v>
      </c>
      <c r="G2131" s="18" t="s">
        <v>22</v>
      </c>
      <c r="H2131" s="18" t="s">
        <v>23</v>
      </c>
      <c r="I2131" s="19">
        <v>77.59</v>
      </c>
      <c r="J2131" s="20">
        <f t="shared" si="66"/>
        <v>5819.25</v>
      </c>
      <c r="K2131" s="106"/>
      <c r="L2131" s="114"/>
      <c r="M2131" s="114">
        <f>tblAquisições[[#This Row],[VALOR UNITARIO COMPRADO]]*tblAquisições[[#This Row],[QUANTIDADE COMPRADA]]</f>
        <v>0</v>
      </c>
      <c r="N2131" s="110">
        <f>K2131-tblAquisições[[#This Row],[QUANTIDADE PLANEJADA]]</f>
        <v>-75</v>
      </c>
      <c r="O2131" s="106" t="str">
        <f t="shared" si="67"/>
        <v>Faltando Comprar</v>
      </c>
    </row>
    <row r="2132" spans="1:15" ht="31.5">
      <c r="A2132" s="16" t="s">
        <v>17</v>
      </c>
      <c r="B2132" s="16" t="s">
        <v>31</v>
      </c>
      <c r="C2132" s="17" t="s">
        <v>19</v>
      </c>
      <c r="D2132" s="18" t="s">
        <v>1220</v>
      </c>
      <c r="E2132" s="18">
        <v>3</v>
      </c>
      <c r="F2132" s="18" t="s">
        <v>328</v>
      </c>
      <c r="G2132" s="18" t="s">
        <v>22</v>
      </c>
      <c r="H2132" s="18" t="s">
        <v>23</v>
      </c>
      <c r="I2132" s="19">
        <v>130.03</v>
      </c>
      <c r="J2132" s="20">
        <f t="shared" si="66"/>
        <v>390.09000000000003</v>
      </c>
      <c r="K2132" s="106"/>
      <c r="L2132" s="114"/>
      <c r="M2132" s="114">
        <f>tblAquisições[[#This Row],[VALOR UNITARIO COMPRADO]]*tblAquisições[[#This Row],[QUANTIDADE COMPRADA]]</f>
        <v>0</v>
      </c>
      <c r="N2132" s="110">
        <f>K2132-tblAquisições[[#This Row],[QUANTIDADE PLANEJADA]]</f>
        <v>-3</v>
      </c>
      <c r="O2132" s="106" t="str">
        <f t="shared" si="67"/>
        <v>Faltando Comprar</v>
      </c>
    </row>
    <row r="2133" spans="1:15" ht="47.25">
      <c r="A2133" s="16" t="s">
        <v>17</v>
      </c>
      <c r="B2133" s="16" t="s">
        <v>18</v>
      </c>
      <c r="C2133" s="17" t="s">
        <v>19</v>
      </c>
      <c r="D2133" s="18" t="s">
        <v>1221</v>
      </c>
      <c r="E2133" s="18">
        <v>2</v>
      </c>
      <c r="F2133" s="18" t="s">
        <v>214</v>
      </c>
      <c r="G2133" s="18" t="s">
        <v>127</v>
      </c>
      <c r="H2133" s="18" t="s">
        <v>23</v>
      </c>
      <c r="I2133" s="19">
        <v>4209.3599999999997</v>
      </c>
      <c r="J2133" s="20">
        <f t="shared" si="66"/>
        <v>8418.7199999999993</v>
      </c>
      <c r="K2133" s="106"/>
      <c r="L2133" s="114"/>
      <c r="M2133" s="114">
        <f>tblAquisições[[#This Row],[VALOR UNITARIO COMPRADO]]*tblAquisições[[#This Row],[QUANTIDADE COMPRADA]]</f>
        <v>0</v>
      </c>
      <c r="N2133" s="110">
        <f>K2133-tblAquisições[[#This Row],[QUANTIDADE PLANEJADA]]</f>
        <v>-2</v>
      </c>
      <c r="O2133" s="106" t="str">
        <f t="shared" si="67"/>
        <v>Faltando Comprar</v>
      </c>
    </row>
    <row r="2134" spans="1:15" ht="47.25">
      <c r="A2134" s="16" t="s">
        <v>17</v>
      </c>
      <c r="B2134" s="16" t="s">
        <v>24</v>
      </c>
      <c r="C2134" s="17" t="s">
        <v>19</v>
      </c>
      <c r="D2134" s="18" t="s">
        <v>1221</v>
      </c>
      <c r="E2134" s="18">
        <v>2</v>
      </c>
      <c r="F2134" s="18" t="s">
        <v>214</v>
      </c>
      <c r="G2134" s="18" t="s">
        <v>127</v>
      </c>
      <c r="H2134" s="18" t="s">
        <v>23</v>
      </c>
      <c r="I2134" s="19">
        <v>4209.3599999999997</v>
      </c>
      <c r="J2134" s="20">
        <f t="shared" si="66"/>
        <v>8418.7199999999993</v>
      </c>
      <c r="K2134" s="106"/>
      <c r="L2134" s="114"/>
      <c r="M2134" s="114">
        <f>tblAquisições[[#This Row],[VALOR UNITARIO COMPRADO]]*tblAquisições[[#This Row],[QUANTIDADE COMPRADA]]</f>
        <v>0</v>
      </c>
      <c r="N2134" s="110">
        <f>K2134-tblAquisições[[#This Row],[QUANTIDADE PLANEJADA]]</f>
        <v>-2</v>
      </c>
      <c r="O2134" s="106" t="str">
        <f t="shared" si="67"/>
        <v>Faltando Comprar</v>
      </c>
    </row>
    <row r="2135" spans="1:15" ht="47.25">
      <c r="A2135" s="16" t="s">
        <v>17</v>
      </c>
      <c r="B2135" s="16" t="s">
        <v>25</v>
      </c>
      <c r="C2135" s="17" t="s">
        <v>19</v>
      </c>
      <c r="D2135" s="18" t="s">
        <v>1221</v>
      </c>
      <c r="E2135" s="18">
        <v>2</v>
      </c>
      <c r="F2135" s="18" t="s">
        <v>214</v>
      </c>
      <c r="G2135" s="18" t="s">
        <v>127</v>
      </c>
      <c r="H2135" s="18" t="s">
        <v>23</v>
      </c>
      <c r="I2135" s="19">
        <v>4209.3599999999997</v>
      </c>
      <c r="J2135" s="20">
        <f t="shared" si="66"/>
        <v>8418.7199999999993</v>
      </c>
      <c r="K2135" s="106"/>
      <c r="L2135" s="114"/>
      <c r="M2135" s="114">
        <f>tblAquisições[[#This Row],[VALOR UNITARIO COMPRADO]]*tblAquisições[[#This Row],[QUANTIDADE COMPRADA]]</f>
        <v>0</v>
      </c>
      <c r="N2135" s="110">
        <f>K2135-tblAquisições[[#This Row],[QUANTIDADE PLANEJADA]]</f>
        <v>-2</v>
      </c>
      <c r="O2135" s="106" t="str">
        <f t="shared" si="67"/>
        <v>Faltando Comprar</v>
      </c>
    </row>
    <row r="2136" spans="1:15" ht="47.25">
      <c r="A2136" s="16" t="s">
        <v>17</v>
      </c>
      <c r="B2136" s="16" t="s">
        <v>41</v>
      </c>
      <c r="C2136" s="17" t="s">
        <v>19</v>
      </c>
      <c r="D2136" s="18" t="s">
        <v>1221</v>
      </c>
      <c r="E2136" s="18">
        <v>2</v>
      </c>
      <c r="F2136" s="18" t="s">
        <v>214</v>
      </c>
      <c r="G2136" s="18" t="s">
        <v>127</v>
      </c>
      <c r="H2136" s="18" t="s">
        <v>23</v>
      </c>
      <c r="I2136" s="19">
        <v>4209.3599999999997</v>
      </c>
      <c r="J2136" s="20">
        <f t="shared" si="66"/>
        <v>8418.7199999999993</v>
      </c>
      <c r="K2136" s="106"/>
      <c r="L2136" s="114"/>
      <c r="M2136" s="114">
        <f>tblAquisições[[#This Row],[VALOR UNITARIO COMPRADO]]*tblAquisições[[#This Row],[QUANTIDADE COMPRADA]]</f>
        <v>0</v>
      </c>
      <c r="N2136" s="110">
        <f>K2136-tblAquisições[[#This Row],[QUANTIDADE PLANEJADA]]</f>
        <v>-2</v>
      </c>
      <c r="O2136" s="106" t="str">
        <f t="shared" si="67"/>
        <v>Faltando Comprar</v>
      </c>
    </row>
    <row r="2137" spans="1:15" ht="47.25">
      <c r="A2137" s="16" t="s">
        <v>17</v>
      </c>
      <c r="B2137" s="16" t="s">
        <v>18</v>
      </c>
      <c r="C2137" s="17" t="s">
        <v>19</v>
      </c>
      <c r="D2137" s="18" t="s">
        <v>1222</v>
      </c>
      <c r="E2137" s="18">
        <v>2</v>
      </c>
      <c r="F2137" s="18" t="s">
        <v>214</v>
      </c>
      <c r="G2137" s="18" t="s">
        <v>127</v>
      </c>
      <c r="H2137" s="18" t="s">
        <v>23</v>
      </c>
      <c r="I2137" s="19">
        <v>2698.67</v>
      </c>
      <c r="J2137" s="20">
        <f t="shared" si="66"/>
        <v>5397.34</v>
      </c>
      <c r="K2137" s="106"/>
      <c r="L2137" s="114"/>
      <c r="M2137" s="114">
        <f>tblAquisições[[#This Row],[VALOR UNITARIO COMPRADO]]*tblAquisições[[#This Row],[QUANTIDADE COMPRADA]]</f>
        <v>0</v>
      </c>
      <c r="N2137" s="110">
        <f>K2137-tblAquisições[[#This Row],[QUANTIDADE PLANEJADA]]</f>
        <v>-2</v>
      </c>
      <c r="O2137" s="106" t="str">
        <f t="shared" si="67"/>
        <v>Faltando Comprar</v>
      </c>
    </row>
    <row r="2138" spans="1:15" ht="47.25">
      <c r="A2138" s="16" t="s">
        <v>17</v>
      </c>
      <c r="B2138" s="16" t="s">
        <v>24</v>
      </c>
      <c r="C2138" s="17" t="s">
        <v>19</v>
      </c>
      <c r="D2138" s="18" t="s">
        <v>1222</v>
      </c>
      <c r="E2138" s="18">
        <v>2</v>
      </c>
      <c r="F2138" s="18" t="s">
        <v>214</v>
      </c>
      <c r="G2138" s="18" t="s">
        <v>127</v>
      </c>
      <c r="H2138" s="18" t="s">
        <v>23</v>
      </c>
      <c r="I2138" s="19">
        <v>2698.67</v>
      </c>
      <c r="J2138" s="20">
        <f t="shared" si="66"/>
        <v>5397.34</v>
      </c>
      <c r="K2138" s="106"/>
      <c r="L2138" s="114"/>
      <c r="M2138" s="114">
        <f>tblAquisições[[#This Row],[VALOR UNITARIO COMPRADO]]*tblAquisições[[#This Row],[QUANTIDADE COMPRADA]]</f>
        <v>0</v>
      </c>
      <c r="N2138" s="110">
        <f>K2138-tblAquisições[[#This Row],[QUANTIDADE PLANEJADA]]</f>
        <v>-2</v>
      </c>
      <c r="O2138" s="106" t="str">
        <f t="shared" si="67"/>
        <v>Faltando Comprar</v>
      </c>
    </row>
    <row r="2139" spans="1:15" ht="47.25">
      <c r="A2139" s="16" t="s">
        <v>17</v>
      </c>
      <c r="B2139" s="16" t="s">
        <v>25</v>
      </c>
      <c r="C2139" s="17" t="s">
        <v>19</v>
      </c>
      <c r="D2139" s="18" t="s">
        <v>1222</v>
      </c>
      <c r="E2139" s="18">
        <v>2</v>
      </c>
      <c r="F2139" s="18" t="s">
        <v>214</v>
      </c>
      <c r="G2139" s="18" t="s">
        <v>127</v>
      </c>
      <c r="H2139" s="18" t="s">
        <v>23</v>
      </c>
      <c r="I2139" s="19">
        <v>2698.67</v>
      </c>
      <c r="J2139" s="20">
        <f t="shared" si="66"/>
        <v>5397.34</v>
      </c>
      <c r="K2139" s="106"/>
      <c r="L2139" s="114"/>
      <c r="M2139" s="114">
        <f>tblAquisições[[#This Row],[VALOR UNITARIO COMPRADO]]*tblAquisições[[#This Row],[QUANTIDADE COMPRADA]]</f>
        <v>0</v>
      </c>
      <c r="N2139" s="110">
        <f>K2139-tblAquisições[[#This Row],[QUANTIDADE PLANEJADA]]</f>
        <v>-2</v>
      </c>
      <c r="O2139" s="106" t="str">
        <f t="shared" si="67"/>
        <v>Faltando Comprar</v>
      </c>
    </row>
    <row r="2140" spans="1:15" ht="47.25">
      <c r="A2140" s="16" t="s">
        <v>17</v>
      </c>
      <c r="B2140" s="16" t="s">
        <v>26</v>
      </c>
      <c r="C2140" s="17" t="s">
        <v>19</v>
      </c>
      <c r="D2140" s="18" t="s">
        <v>1222</v>
      </c>
      <c r="E2140" s="18">
        <v>3</v>
      </c>
      <c r="F2140" s="18" t="s">
        <v>214</v>
      </c>
      <c r="G2140" s="18" t="s">
        <v>127</v>
      </c>
      <c r="H2140" s="18" t="s">
        <v>23</v>
      </c>
      <c r="I2140" s="19">
        <v>2698.67</v>
      </c>
      <c r="J2140" s="20">
        <f t="shared" si="66"/>
        <v>8096.01</v>
      </c>
      <c r="K2140" s="106"/>
      <c r="L2140" s="114"/>
      <c r="M2140" s="114">
        <f>tblAquisições[[#This Row],[VALOR UNITARIO COMPRADO]]*tblAquisições[[#This Row],[QUANTIDADE COMPRADA]]</f>
        <v>0</v>
      </c>
      <c r="N2140" s="110">
        <f>K2140-tblAquisições[[#This Row],[QUANTIDADE PLANEJADA]]</f>
        <v>-3</v>
      </c>
      <c r="O2140" s="106" t="str">
        <f t="shared" si="67"/>
        <v>Faltando Comprar</v>
      </c>
    </row>
    <row r="2141" spans="1:15" ht="47.25">
      <c r="A2141" s="16" t="s">
        <v>17</v>
      </c>
      <c r="B2141" s="16" t="s">
        <v>28</v>
      </c>
      <c r="C2141" s="17" t="s">
        <v>19</v>
      </c>
      <c r="D2141" s="18" t="s">
        <v>1222</v>
      </c>
      <c r="E2141" s="18">
        <v>4</v>
      </c>
      <c r="F2141" s="18" t="s">
        <v>214</v>
      </c>
      <c r="G2141" s="18" t="s">
        <v>127</v>
      </c>
      <c r="H2141" s="18" t="s">
        <v>23</v>
      </c>
      <c r="I2141" s="19">
        <v>2698.67</v>
      </c>
      <c r="J2141" s="20">
        <f t="shared" si="66"/>
        <v>10794.68</v>
      </c>
      <c r="K2141" s="106"/>
      <c r="L2141" s="114"/>
      <c r="M2141" s="114">
        <f>tblAquisições[[#This Row],[VALOR UNITARIO COMPRADO]]*tblAquisições[[#This Row],[QUANTIDADE COMPRADA]]</f>
        <v>0</v>
      </c>
      <c r="N2141" s="110">
        <f>K2141-tblAquisições[[#This Row],[QUANTIDADE PLANEJADA]]</f>
        <v>-4</v>
      </c>
      <c r="O2141" s="106" t="str">
        <f t="shared" si="67"/>
        <v>Faltando Comprar</v>
      </c>
    </row>
    <row r="2142" spans="1:15" ht="47.25">
      <c r="A2142" s="16" t="s">
        <v>17</v>
      </c>
      <c r="B2142" s="16" t="s">
        <v>72</v>
      </c>
      <c r="C2142" s="17" t="s">
        <v>19</v>
      </c>
      <c r="D2142" s="18" t="s">
        <v>1222</v>
      </c>
      <c r="E2142" s="18">
        <v>1</v>
      </c>
      <c r="F2142" s="18" t="s">
        <v>214</v>
      </c>
      <c r="G2142" s="18" t="s">
        <v>127</v>
      </c>
      <c r="H2142" s="18" t="s">
        <v>23</v>
      </c>
      <c r="I2142" s="19">
        <v>2698.67</v>
      </c>
      <c r="J2142" s="20">
        <f t="shared" si="66"/>
        <v>2698.67</v>
      </c>
      <c r="K2142" s="106"/>
      <c r="L2142" s="114"/>
      <c r="M2142" s="114">
        <f>tblAquisições[[#This Row],[VALOR UNITARIO COMPRADO]]*tblAquisições[[#This Row],[QUANTIDADE COMPRADA]]</f>
        <v>0</v>
      </c>
      <c r="N2142" s="110">
        <f>K2142-tblAquisições[[#This Row],[QUANTIDADE PLANEJADA]]</f>
        <v>-1</v>
      </c>
      <c r="O2142" s="106" t="str">
        <f t="shared" si="67"/>
        <v>Faltando Comprar</v>
      </c>
    </row>
    <row r="2143" spans="1:15" ht="47.25">
      <c r="A2143" s="16" t="s">
        <v>17</v>
      </c>
      <c r="B2143" s="16" t="s">
        <v>18</v>
      </c>
      <c r="C2143" s="17" t="s">
        <v>19</v>
      </c>
      <c r="D2143" s="18" t="s">
        <v>1223</v>
      </c>
      <c r="E2143" s="18">
        <v>6</v>
      </c>
      <c r="F2143" s="18" t="s">
        <v>214</v>
      </c>
      <c r="G2143" s="18" t="s">
        <v>127</v>
      </c>
      <c r="H2143" s="18" t="s">
        <v>23</v>
      </c>
      <c r="I2143" s="19">
        <v>2418.94</v>
      </c>
      <c r="J2143" s="20">
        <f t="shared" si="66"/>
        <v>14513.64</v>
      </c>
      <c r="K2143" s="106"/>
      <c r="L2143" s="114"/>
      <c r="M2143" s="114">
        <f>tblAquisições[[#This Row],[VALOR UNITARIO COMPRADO]]*tblAquisições[[#This Row],[QUANTIDADE COMPRADA]]</f>
        <v>0</v>
      </c>
      <c r="N2143" s="110">
        <f>K2143-tblAquisições[[#This Row],[QUANTIDADE PLANEJADA]]</f>
        <v>-6</v>
      </c>
      <c r="O2143" s="106" t="str">
        <f t="shared" si="67"/>
        <v>Faltando Comprar</v>
      </c>
    </row>
    <row r="2144" spans="1:15" ht="47.25">
      <c r="A2144" s="16" t="s">
        <v>17</v>
      </c>
      <c r="B2144" s="16" t="s">
        <v>24</v>
      </c>
      <c r="C2144" s="17" t="s">
        <v>19</v>
      </c>
      <c r="D2144" s="18" t="s">
        <v>1223</v>
      </c>
      <c r="E2144" s="18">
        <v>6</v>
      </c>
      <c r="F2144" s="18" t="s">
        <v>214</v>
      </c>
      <c r="G2144" s="18" t="s">
        <v>127</v>
      </c>
      <c r="H2144" s="18" t="s">
        <v>23</v>
      </c>
      <c r="I2144" s="19">
        <v>2418.94</v>
      </c>
      <c r="J2144" s="20">
        <f t="shared" si="66"/>
        <v>14513.64</v>
      </c>
      <c r="K2144" s="106"/>
      <c r="L2144" s="114"/>
      <c r="M2144" s="114">
        <f>tblAquisições[[#This Row],[VALOR UNITARIO COMPRADO]]*tblAquisições[[#This Row],[QUANTIDADE COMPRADA]]</f>
        <v>0</v>
      </c>
      <c r="N2144" s="110">
        <f>K2144-tblAquisições[[#This Row],[QUANTIDADE PLANEJADA]]</f>
        <v>-6</v>
      </c>
      <c r="O2144" s="106" t="str">
        <f t="shared" si="67"/>
        <v>Faltando Comprar</v>
      </c>
    </row>
    <row r="2145" spans="1:15" ht="47.25">
      <c r="A2145" s="16" t="s">
        <v>17</v>
      </c>
      <c r="B2145" s="16" t="s">
        <v>25</v>
      </c>
      <c r="C2145" s="17" t="s">
        <v>19</v>
      </c>
      <c r="D2145" s="18" t="s">
        <v>1223</v>
      </c>
      <c r="E2145" s="18">
        <v>6</v>
      </c>
      <c r="F2145" s="18" t="s">
        <v>214</v>
      </c>
      <c r="G2145" s="18" t="s">
        <v>127</v>
      </c>
      <c r="H2145" s="18" t="s">
        <v>23</v>
      </c>
      <c r="I2145" s="19">
        <v>2418.94</v>
      </c>
      <c r="J2145" s="20">
        <f t="shared" si="66"/>
        <v>14513.64</v>
      </c>
      <c r="K2145" s="106"/>
      <c r="L2145" s="114"/>
      <c r="M2145" s="114">
        <f>tblAquisições[[#This Row],[VALOR UNITARIO COMPRADO]]*tblAquisições[[#This Row],[QUANTIDADE COMPRADA]]</f>
        <v>0</v>
      </c>
      <c r="N2145" s="110">
        <f>K2145-tblAquisições[[#This Row],[QUANTIDADE PLANEJADA]]</f>
        <v>-6</v>
      </c>
      <c r="O2145" s="106" t="str">
        <f t="shared" si="67"/>
        <v>Faltando Comprar</v>
      </c>
    </row>
    <row r="2146" spans="1:15" ht="47.25">
      <c r="A2146" s="16" t="s">
        <v>17</v>
      </c>
      <c r="B2146" s="16" t="s">
        <v>41</v>
      </c>
      <c r="C2146" s="17" t="s">
        <v>19</v>
      </c>
      <c r="D2146" s="18" t="s">
        <v>1223</v>
      </c>
      <c r="E2146" s="18">
        <v>20</v>
      </c>
      <c r="F2146" s="18" t="s">
        <v>214</v>
      </c>
      <c r="G2146" s="18" t="s">
        <v>127</v>
      </c>
      <c r="H2146" s="18" t="s">
        <v>23</v>
      </c>
      <c r="I2146" s="19">
        <v>2418.94</v>
      </c>
      <c r="J2146" s="20">
        <f t="shared" si="66"/>
        <v>48378.8</v>
      </c>
      <c r="K2146" s="106"/>
      <c r="L2146" s="114"/>
      <c r="M2146" s="114">
        <f>tblAquisições[[#This Row],[VALOR UNITARIO COMPRADO]]*tblAquisições[[#This Row],[QUANTIDADE COMPRADA]]</f>
        <v>0</v>
      </c>
      <c r="N2146" s="110">
        <f>K2146-tblAquisições[[#This Row],[QUANTIDADE PLANEJADA]]</f>
        <v>-20</v>
      </c>
      <c r="O2146" s="106" t="str">
        <f t="shared" si="67"/>
        <v>Faltando Comprar</v>
      </c>
    </row>
    <row r="2147" spans="1:15" ht="47.25">
      <c r="A2147" s="16" t="s">
        <v>17</v>
      </c>
      <c r="B2147" s="16" t="s">
        <v>26</v>
      </c>
      <c r="C2147" s="17" t="s">
        <v>19</v>
      </c>
      <c r="D2147" s="18" t="s">
        <v>1223</v>
      </c>
      <c r="E2147" s="18">
        <v>25</v>
      </c>
      <c r="F2147" s="18" t="s">
        <v>214</v>
      </c>
      <c r="G2147" s="18" t="s">
        <v>127</v>
      </c>
      <c r="H2147" s="18" t="s">
        <v>23</v>
      </c>
      <c r="I2147" s="19">
        <v>2418.94</v>
      </c>
      <c r="J2147" s="20">
        <f t="shared" si="66"/>
        <v>60473.5</v>
      </c>
      <c r="K2147" s="106"/>
      <c r="L2147" s="114"/>
      <c r="M2147" s="114">
        <f>tblAquisições[[#This Row],[VALOR UNITARIO COMPRADO]]*tblAquisições[[#This Row],[QUANTIDADE COMPRADA]]</f>
        <v>0</v>
      </c>
      <c r="N2147" s="110">
        <f>K2147-tblAquisições[[#This Row],[QUANTIDADE PLANEJADA]]</f>
        <v>-25</v>
      </c>
      <c r="O2147" s="106" t="str">
        <f t="shared" si="67"/>
        <v>Faltando Comprar</v>
      </c>
    </row>
    <row r="2148" spans="1:15" ht="47.25">
      <c r="A2148" s="16" t="s">
        <v>17</v>
      </c>
      <c r="B2148" s="16" t="s">
        <v>28</v>
      </c>
      <c r="C2148" s="17" t="s">
        <v>19</v>
      </c>
      <c r="D2148" s="18" t="s">
        <v>1223</v>
      </c>
      <c r="E2148" s="18">
        <v>5</v>
      </c>
      <c r="F2148" s="18" t="s">
        <v>214</v>
      </c>
      <c r="G2148" s="18" t="s">
        <v>127</v>
      </c>
      <c r="H2148" s="18" t="s">
        <v>23</v>
      </c>
      <c r="I2148" s="19">
        <v>2418.94</v>
      </c>
      <c r="J2148" s="20">
        <f t="shared" si="66"/>
        <v>12094.7</v>
      </c>
      <c r="K2148" s="106"/>
      <c r="L2148" s="114"/>
      <c r="M2148" s="114">
        <f>tblAquisições[[#This Row],[VALOR UNITARIO COMPRADO]]*tblAquisições[[#This Row],[QUANTIDADE COMPRADA]]</f>
        <v>0</v>
      </c>
      <c r="N2148" s="110">
        <f>K2148-tblAquisições[[#This Row],[QUANTIDADE PLANEJADA]]</f>
        <v>-5</v>
      </c>
      <c r="O2148" s="106" t="str">
        <f t="shared" si="67"/>
        <v>Faltando Comprar</v>
      </c>
    </row>
    <row r="2149" spans="1:15" ht="31.5">
      <c r="A2149" s="16" t="s">
        <v>17</v>
      </c>
      <c r="B2149" s="16" t="s">
        <v>26</v>
      </c>
      <c r="C2149" s="17" t="s">
        <v>19</v>
      </c>
      <c r="D2149" s="18" t="s">
        <v>1224</v>
      </c>
      <c r="E2149" s="18">
        <v>10</v>
      </c>
      <c r="F2149" s="18" t="s">
        <v>30</v>
      </c>
      <c r="G2149" s="18" t="s">
        <v>22</v>
      </c>
      <c r="H2149" s="18" t="s">
        <v>23</v>
      </c>
      <c r="I2149" s="19">
        <v>99.8</v>
      </c>
      <c r="J2149" s="20">
        <f t="shared" si="66"/>
        <v>998</v>
      </c>
      <c r="K2149" s="106"/>
      <c r="L2149" s="114"/>
      <c r="M2149" s="114">
        <f>tblAquisições[[#This Row],[VALOR UNITARIO COMPRADO]]*tblAquisições[[#This Row],[QUANTIDADE COMPRADA]]</f>
        <v>0</v>
      </c>
      <c r="N2149" s="110">
        <f>K2149-tblAquisições[[#This Row],[QUANTIDADE PLANEJADA]]</f>
        <v>-10</v>
      </c>
      <c r="O2149" s="106" t="str">
        <f t="shared" si="67"/>
        <v>Faltando Comprar</v>
      </c>
    </row>
    <row r="2150" spans="1:15" ht="78.75">
      <c r="A2150" s="16" t="s">
        <v>17</v>
      </c>
      <c r="B2150" s="16" t="s">
        <v>80</v>
      </c>
      <c r="C2150" s="17" t="s">
        <v>19</v>
      </c>
      <c r="D2150" s="18" t="s">
        <v>1225</v>
      </c>
      <c r="E2150" s="18">
        <v>2</v>
      </c>
      <c r="F2150" s="18" t="s">
        <v>1158</v>
      </c>
      <c r="G2150" s="18" t="s">
        <v>775</v>
      </c>
      <c r="H2150" s="21"/>
      <c r="I2150" s="19">
        <v>8645.16</v>
      </c>
      <c r="J2150" s="20">
        <f t="shared" si="66"/>
        <v>17290.32</v>
      </c>
      <c r="K2150" s="106"/>
      <c r="L2150" s="114"/>
      <c r="M2150" s="114">
        <f>tblAquisições[[#This Row],[VALOR UNITARIO COMPRADO]]*tblAquisições[[#This Row],[QUANTIDADE COMPRADA]]</f>
        <v>0</v>
      </c>
      <c r="N2150" s="110">
        <f>K2150-tblAquisições[[#This Row],[QUANTIDADE PLANEJADA]]</f>
        <v>-2</v>
      </c>
      <c r="O2150" s="106" t="str">
        <f t="shared" si="67"/>
        <v>Faltando Comprar</v>
      </c>
    </row>
    <row r="2151" spans="1:15" ht="63">
      <c r="A2151" s="16" t="s">
        <v>17</v>
      </c>
      <c r="B2151" s="16" t="s">
        <v>31</v>
      </c>
      <c r="C2151" s="17" t="s">
        <v>19</v>
      </c>
      <c r="D2151" s="18" t="s">
        <v>1226</v>
      </c>
      <c r="E2151" s="18">
        <v>2</v>
      </c>
      <c r="F2151" s="18" t="s">
        <v>126</v>
      </c>
      <c r="G2151" s="18" t="s">
        <v>127</v>
      </c>
      <c r="H2151" s="18" t="s">
        <v>23</v>
      </c>
      <c r="I2151" s="19">
        <v>8645.16</v>
      </c>
      <c r="J2151" s="20">
        <f t="shared" si="66"/>
        <v>17290.32</v>
      </c>
      <c r="K2151" s="106"/>
      <c r="L2151" s="114"/>
      <c r="M2151" s="114">
        <f>tblAquisições[[#This Row],[VALOR UNITARIO COMPRADO]]*tblAquisições[[#This Row],[QUANTIDADE COMPRADA]]</f>
        <v>0</v>
      </c>
      <c r="N2151" s="110">
        <f>K2151-tblAquisições[[#This Row],[QUANTIDADE PLANEJADA]]</f>
        <v>-2</v>
      </c>
      <c r="O2151" s="106" t="str">
        <f t="shared" si="67"/>
        <v>Faltando Comprar</v>
      </c>
    </row>
    <row r="2152" spans="1:15" ht="63">
      <c r="A2152" s="16" t="s">
        <v>17</v>
      </c>
      <c r="B2152" s="16" t="s">
        <v>26</v>
      </c>
      <c r="C2152" s="17" t="s">
        <v>19</v>
      </c>
      <c r="D2152" s="18" t="s">
        <v>1226</v>
      </c>
      <c r="E2152" s="18">
        <v>1</v>
      </c>
      <c r="F2152" s="18" t="s">
        <v>126</v>
      </c>
      <c r="G2152" s="18" t="s">
        <v>127</v>
      </c>
      <c r="H2152" s="18" t="s">
        <v>23</v>
      </c>
      <c r="I2152" s="19">
        <v>8645.16</v>
      </c>
      <c r="J2152" s="20">
        <f t="shared" si="66"/>
        <v>8645.16</v>
      </c>
      <c r="K2152" s="106"/>
      <c r="L2152" s="114"/>
      <c r="M2152" s="114">
        <f>tblAquisições[[#This Row],[VALOR UNITARIO COMPRADO]]*tblAquisições[[#This Row],[QUANTIDADE COMPRADA]]</f>
        <v>0</v>
      </c>
      <c r="N2152" s="110">
        <f>K2152-tblAquisições[[#This Row],[QUANTIDADE PLANEJADA]]</f>
        <v>-1</v>
      </c>
      <c r="O2152" s="106" t="str">
        <f t="shared" si="67"/>
        <v>Faltando Comprar</v>
      </c>
    </row>
    <row r="2153" spans="1:15" ht="63">
      <c r="A2153" s="16" t="s">
        <v>17</v>
      </c>
      <c r="B2153" s="16" t="s">
        <v>28</v>
      </c>
      <c r="C2153" s="17" t="s">
        <v>19</v>
      </c>
      <c r="D2153" s="18" t="s">
        <v>1226</v>
      </c>
      <c r="E2153" s="18">
        <v>10</v>
      </c>
      <c r="F2153" s="18" t="s">
        <v>126</v>
      </c>
      <c r="G2153" s="18" t="s">
        <v>127</v>
      </c>
      <c r="H2153" s="18" t="s">
        <v>23</v>
      </c>
      <c r="I2153" s="19">
        <v>8645.16</v>
      </c>
      <c r="J2153" s="20">
        <f t="shared" si="66"/>
        <v>86451.6</v>
      </c>
      <c r="K2153" s="106"/>
      <c r="L2153" s="114"/>
      <c r="M2153" s="114">
        <f>tblAquisições[[#This Row],[VALOR UNITARIO COMPRADO]]*tblAquisições[[#This Row],[QUANTIDADE COMPRADA]]</f>
        <v>0</v>
      </c>
      <c r="N2153" s="110">
        <f>K2153-tblAquisições[[#This Row],[QUANTIDADE PLANEJADA]]</f>
        <v>-10</v>
      </c>
      <c r="O2153" s="106" t="str">
        <f t="shared" si="67"/>
        <v>Faltando Comprar</v>
      </c>
    </row>
    <row r="2154" spans="1:15" ht="63">
      <c r="A2154" s="16" t="s">
        <v>17</v>
      </c>
      <c r="B2154" s="16" t="s">
        <v>34</v>
      </c>
      <c r="C2154" s="17" t="s">
        <v>19</v>
      </c>
      <c r="D2154" s="18" t="s">
        <v>1227</v>
      </c>
      <c r="E2154" s="18">
        <v>12</v>
      </c>
      <c r="F2154" s="18" t="s">
        <v>1228</v>
      </c>
      <c r="G2154" s="18" t="s">
        <v>22</v>
      </c>
      <c r="H2154" s="18" t="s">
        <v>23</v>
      </c>
      <c r="I2154" s="19">
        <v>30.11</v>
      </c>
      <c r="J2154" s="20">
        <f t="shared" si="66"/>
        <v>361.32</v>
      </c>
      <c r="K2154" s="106"/>
      <c r="L2154" s="114"/>
      <c r="M2154" s="114">
        <f>tblAquisições[[#This Row],[VALOR UNITARIO COMPRADO]]*tblAquisições[[#This Row],[QUANTIDADE COMPRADA]]</f>
        <v>0</v>
      </c>
      <c r="N2154" s="110">
        <f>K2154-tblAquisições[[#This Row],[QUANTIDADE PLANEJADA]]</f>
        <v>-12</v>
      </c>
      <c r="O2154" s="106" t="str">
        <f t="shared" si="67"/>
        <v>Faltando Comprar</v>
      </c>
    </row>
    <row r="2155" spans="1:15" ht="47.25">
      <c r="A2155" s="16" t="s">
        <v>17</v>
      </c>
      <c r="B2155" s="16" t="s">
        <v>80</v>
      </c>
      <c r="C2155" s="17" t="s">
        <v>19</v>
      </c>
      <c r="D2155" s="18" t="s">
        <v>1229</v>
      </c>
      <c r="E2155" s="18">
        <v>100</v>
      </c>
      <c r="F2155" s="18" t="s">
        <v>147</v>
      </c>
      <c r="G2155" s="18" t="s">
        <v>39</v>
      </c>
      <c r="H2155" s="18" t="s">
        <v>23</v>
      </c>
      <c r="I2155" s="19">
        <v>3.53</v>
      </c>
      <c r="J2155" s="20">
        <f t="shared" si="66"/>
        <v>353</v>
      </c>
      <c r="K2155" s="106"/>
      <c r="L2155" s="114"/>
      <c r="M2155" s="114">
        <f>tblAquisições[[#This Row],[VALOR UNITARIO COMPRADO]]*tblAquisições[[#This Row],[QUANTIDADE COMPRADA]]</f>
        <v>0</v>
      </c>
      <c r="N2155" s="110">
        <f>K2155-tblAquisições[[#This Row],[QUANTIDADE PLANEJADA]]</f>
        <v>-100</v>
      </c>
      <c r="O2155" s="106" t="str">
        <f t="shared" si="67"/>
        <v>Faltando Comprar</v>
      </c>
    </row>
    <row r="2156" spans="1:15" ht="47.25">
      <c r="A2156" s="16" t="s">
        <v>17</v>
      </c>
      <c r="B2156" s="16" t="s">
        <v>28</v>
      </c>
      <c r="C2156" s="17" t="s">
        <v>19</v>
      </c>
      <c r="D2156" s="18" t="s">
        <v>1230</v>
      </c>
      <c r="E2156" s="18">
        <v>4</v>
      </c>
      <c r="F2156" s="18" t="s">
        <v>78</v>
      </c>
      <c r="G2156" s="18" t="s">
        <v>22</v>
      </c>
      <c r="H2156" s="18" t="s">
        <v>23</v>
      </c>
      <c r="I2156" s="19">
        <v>4.1399999999999997</v>
      </c>
      <c r="J2156" s="20">
        <f t="shared" si="66"/>
        <v>16.559999999999999</v>
      </c>
      <c r="K2156" s="106"/>
      <c r="L2156" s="114"/>
      <c r="M2156" s="114">
        <f>tblAquisições[[#This Row],[VALOR UNITARIO COMPRADO]]*tblAquisições[[#This Row],[QUANTIDADE COMPRADA]]</f>
        <v>0</v>
      </c>
      <c r="N2156" s="110">
        <f>K2156-tblAquisições[[#This Row],[QUANTIDADE PLANEJADA]]</f>
        <v>-4</v>
      </c>
      <c r="O2156" s="106" t="str">
        <f t="shared" si="67"/>
        <v>Faltando Comprar</v>
      </c>
    </row>
    <row r="2157" spans="1:15" ht="31.5">
      <c r="A2157" s="16" t="s">
        <v>17</v>
      </c>
      <c r="B2157" s="16" t="s">
        <v>26</v>
      </c>
      <c r="C2157" s="17" t="s">
        <v>19</v>
      </c>
      <c r="D2157" s="18" t="s">
        <v>1231</v>
      </c>
      <c r="E2157" s="18">
        <v>5</v>
      </c>
      <c r="F2157" s="18" t="s">
        <v>170</v>
      </c>
      <c r="G2157" s="18" t="s">
        <v>22</v>
      </c>
      <c r="H2157" s="18" t="s">
        <v>23</v>
      </c>
      <c r="I2157" s="19">
        <v>104.66</v>
      </c>
      <c r="J2157" s="20">
        <f t="shared" si="66"/>
        <v>523.29999999999995</v>
      </c>
      <c r="K2157" s="106"/>
      <c r="L2157" s="114"/>
      <c r="M2157" s="114">
        <f>tblAquisições[[#This Row],[VALOR UNITARIO COMPRADO]]*tblAquisições[[#This Row],[QUANTIDADE COMPRADA]]</f>
        <v>0</v>
      </c>
      <c r="N2157" s="110">
        <f>K2157-tblAquisições[[#This Row],[QUANTIDADE PLANEJADA]]</f>
        <v>-5</v>
      </c>
      <c r="O2157" s="106" t="str">
        <f t="shared" si="67"/>
        <v>Faltando Comprar</v>
      </c>
    </row>
    <row r="2158" spans="1:15" ht="31.5">
      <c r="A2158" s="16" t="s">
        <v>17</v>
      </c>
      <c r="B2158" s="16" t="s">
        <v>80</v>
      </c>
      <c r="C2158" s="17" t="s">
        <v>19</v>
      </c>
      <c r="D2158" s="18" t="s">
        <v>1232</v>
      </c>
      <c r="E2158" s="18">
        <v>2</v>
      </c>
      <c r="F2158" s="18" t="s">
        <v>56</v>
      </c>
      <c r="G2158" s="18" t="s">
        <v>39</v>
      </c>
      <c r="H2158" s="18" t="s">
        <v>23</v>
      </c>
      <c r="I2158" s="19">
        <v>54.7</v>
      </c>
      <c r="J2158" s="20">
        <f t="shared" si="66"/>
        <v>109.4</v>
      </c>
      <c r="K2158" s="106"/>
      <c r="L2158" s="114"/>
      <c r="M2158" s="114">
        <f>tblAquisições[[#This Row],[VALOR UNITARIO COMPRADO]]*tblAquisições[[#This Row],[QUANTIDADE COMPRADA]]</f>
        <v>0</v>
      </c>
      <c r="N2158" s="110">
        <f>K2158-tblAquisições[[#This Row],[QUANTIDADE PLANEJADA]]</f>
        <v>-2</v>
      </c>
      <c r="O2158" s="106" t="str">
        <f t="shared" si="67"/>
        <v>Faltando Comprar</v>
      </c>
    </row>
    <row r="2159" spans="1:15" ht="31.5">
      <c r="A2159" s="16" t="s">
        <v>17</v>
      </c>
      <c r="B2159" s="16" t="s">
        <v>72</v>
      </c>
      <c r="C2159" s="17" t="s">
        <v>19</v>
      </c>
      <c r="D2159" s="18" t="s">
        <v>1233</v>
      </c>
      <c r="E2159" s="18">
        <v>1</v>
      </c>
      <c r="F2159" s="18" t="s">
        <v>170</v>
      </c>
      <c r="G2159" s="18" t="s">
        <v>22</v>
      </c>
      <c r="H2159" s="18" t="s">
        <v>23</v>
      </c>
      <c r="I2159" s="19">
        <v>54.7</v>
      </c>
      <c r="J2159" s="20">
        <f t="shared" si="66"/>
        <v>54.7</v>
      </c>
      <c r="K2159" s="106"/>
      <c r="L2159" s="114"/>
      <c r="M2159" s="114">
        <f>tblAquisições[[#This Row],[VALOR UNITARIO COMPRADO]]*tblAquisições[[#This Row],[QUANTIDADE COMPRADA]]</f>
        <v>0</v>
      </c>
      <c r="N2159" s="110">
        <f>K2159-tblAquisições[[#This Row],[QUANTIDADE PLANEJADA]]</f>
        <v>-1</v>
      </c>
      <c r="O2159" s="106" t="str">
        <f t="shared" si="67"/>
        <v>Faltando Comprar</v>
      </c>
    </row>
    <row r="2160" spans="1:15" ht="47.25">
      <c r="A2160" s="16" t="s">
        <v>17</v>
      </c>
      <c r="B2160" s="16" t="s">
        <v>59</v>
      </c>
      <c r="C2160" s="17" t="s">
        <v>19</v>
      </c>
      <c r="D2160" s="18" t="s">
        <v>1234</v>
      </c>
      <c r="E2160" s="18">
        <v>30</v>
      </c>
      <c r="F2160" s="18" t="s">
        <v>58</v>
      </c>
      <c r="G2160" s="18" t="s">
        <v>22</v>
      </c>
      <c r="H2160" s="18" t="s">
        <v>23</v>
      </c>
      <c r="I2160" s="19">
        <v>28.27</v>
      </c>
      <c r="J2160" s="20">
        <f t="shared" si="66"/>
        <v>848.1</v>
      </c>
      <c r="K2160" s="106"/>
      <c r="L2160" s="114"/>
      <c r="M2160" s="114">
        <f>tblAquisições[[#This Row],[VALOR UNITARIO COMPRADO]]*tblAquisições[[#This Row],[QUANTIDADE COMPRADA]]</f>
        <v>0</v>
      </c>
      <c r="N2160" s="110">
        <f>K2160-tblAquisições[[#This Row],[QUANTIDADE PLANEJADA]]</f>
        <v>-30</v>
      </c>
      <c r="O2160" s="106" t="str">
        <f t="shared" si="67"/>
        <v>Faltando Comprar</v>
      </c>
    </row>
    <row r="2161" spans="1:15" ht="63">
      <c r="A2161" s="16" t="s">
        <v>17</v>
      </c>
      <c r="B2161" s="16" t="s">
        <v>41</v>
      </c>
      <c r="C2161" s="17" t="s">
        <v>19</v>
      </c>
      <c r="D2161" s="18" t="s">
        <v>1235</v>
      </c>
      <c r="E2161" s="18">
        <v>48</v>
      </c>
      <c r="F2161" s="18" t="s">
        <v>118</v>
      </c>
      <c r="G2161" s="18" t="s">
        <v>22</v>
      </c>
      <c r="H2161" s="18" t="s">
        <v>23</v>
      </c>
      <c r="I2161" s="19">
        <v>50.9</v>
      </c>
      <c r="J2161" s="20">
        <f t="shared" si="66"/>
        <v>2443.1999999999998</v>
      </c>
      <c r="K2161" s="106"/>
      <c r="L2161" s="114"/>
      <c r="M2161" s="114">
        <f>tblAquisições[[#This Row],[VALOR UNITARIO COMPRADO]]*tblAquisições[[#This Row],[QUANTIDADE COMPRADA]]</f>
        <v>0</v>
      </c>
      <c r="N2161" s="110">
        <f>K2161-tblAquisições[[#This Row],[QUANTIDADE PLANEJADA]]</f>
        <v>-48</v>
      </c>
      <c r="O2161" s="106" t="str">
        <f t="shared" si="67"/>
        <v>Faltando Comprar</v>
      </c>
    </row>
    <row r="2162" spans="1:15" ht="31.5">
      <c r="A2162" s="26" t="s">
        <v>17</v>
      </c>
      <c r="B2162" s="26" t="s">
        <v>28</v>
      </c>
      <c r="C2162" s="17" t="s">
        <v>19</v>
      </c>
      <c r="D2162" s="27" t="s">
        <v>1236</v>
      </c>
      <c r="E2162" s="27">
        <v>40</v>
      </c>
      <c r="F2162" s="27" t="s">
        <v>21</v>
      </c>
      <c r="G2162" s="27" t="s">
        <v>22</v>
      </c>
      <c r="H2162" s="27" t="s">
        <v>23</v>
      </c>
      <c r="I2162" s="28">
        <v>71.569999999999993</v>
      </c>
      <c r="J2162" s="20">
        <f t="shared" si="66"/>
        <v>2862.7999999999997</v>
      </c>
      <c r="K2162" s="106"/>
      <c r="L2162" s="114"/>
      <c r="M2162" s="114">
        <f>tblAquisições[[#This Row],[VALOR UNITARIO COMPRADO]]*tblAquisições[[#This Row],[QUANTIDADE COMPRADA]]</f>
        <v>0</v>
      </c>
      <c r="N2162" s="110">
        <f>K2162-tblAquisições[[#This Row],[QUANTIDADE PLANEJADA]]</f>
        <v>-40</v>
      </c>
      <c r="O2162" s="106" t="str">
        <f t="shared" si="67"/>
        <v>Faltando Comprar</v>
      </c>
    </row>
    <row r="2163" spans="1:15" ht="31.5">
      <c r="A2163" s="16" t="s">
        <v>17</v>
      </c>
      <c r="B2163" s="16" t="s">
        <v>28</v>
      </c>
      <c r="C2163" s="17" t="s">
        <v>19</v>
      </c>
      <c r="D2163" s="18" t="s">
        <v>1237</v>
      </c>
      <c r="E2163" s="18">
        <v>24</v>
      </c>
      <c r="F2163" s="18" t="s">
        <v>21</v>
      </c>
      <c r="G2163" s="18" t="s">
        <v>22</v>
      </c>
      <c r="H2163" s="18" t="s">
        <v>23</v>
      </c>
      <c r="I2163" s="19">
        <v>22.57</v>
      </c>
      <c r="J2163" s="20">
        <f t="shared" si="66"/>
        <v>541.68000000000006</v>
      </c>
      <c r="K2163" s="106"/>
      <c r="L2163" s="114"/>
      <c r="M2163" s="114">
        <f>tblAquisições[[#This Row],[VALOR UNITARIO COMPRADO]]*tblAquisições[[#This Row],[QUANTIDADE COMPRADA]]</f>
        <v>0</v>
      </c>
      <c r="N2163" s="110">
        <f>K2163-tblAquisições[[#This Row],[QUANTIDADE PLANEJADA]]</f>
        <v>-24</v>
      </c>
      <c r="O2163" s="106" t="str">
        <f t="shared" si="67"/>
        <v>Faltando Comprar</v>
      </c>
    </row>
    <row r="2164" spans="1:15" ht="63">
      <c r="A2164" s="16" t="s">
        <v>17</v>
      </c>
      <c r="B2164" s="16" t="s">
        <v>28</v>
      </c>
      <c r="C2164" s="17" t="s">
        <v>19</v>
      </c>
      <c r="D2164" s="18" t="s">
        <v>1238</v>
      </c>
      <c r="E2164" s="18">
        <v>200</v>
      </c>
      <c r="F2164" s="18" t="s">
        <v>1228</v>
      </c>
      <c r="G2164" s="18" t="s">
        <v>22</v>
      </c>
      <c r="H2164" s="18" t="s">
        <v>83</v>
      </c>
      <c r="I2164" s="19">
        <v>21.27</v>
      </c>
      <c r="J2164" s="20">
        <f t="shared" si="66"/>
        <v>4254</v>
      </c>
      <c r="K2164" s="106"/>
      <c r="L2164" s="114"/>
      <c r="M2164" s="114">
        <f>tblAquisições[[#This Row],[VALOR UNITARIO COMPRADO]]*tblAquisições[[#This Row],[QUANTIDADE COMPRADA]]</f>
        <v>0</v>
      </c>
      <c r="N2164" s="110">
        <f>K2164-tblAquisições[[#This Row],[QUANTIDADE PLANEJADA]]</f>
        <v>-200</v>
      </c>
      <c r="O2164" s="106" t="str">
        <f t="shared" si="67"/>
        <v>Faltando Comprar</v>
      </c>
    </row>
    <row r="2165" spans="1:15" ht="31.5">
      <c r="A2165" s="16" t="s">
        <v>17</v>
      </c>
      <c r="B2165" s="16" t="s">
        <v>34</v>
      </c>
      <c r="C2165" s="17" t="s">
        <v>19</v>
      </c>
      <c r="D2165" s="18" t="s">
        <v>1239</v>
      </c>
      <c r="E2165" s="18">
        <v>200</v>
      </c>
      <c r="F2165" s="18" t="s">
        <v>21</v>
      </c>
      <c r="G2165" s="18" t="s">
        <v>22</v>
      </c>
      <c r="H2165" s="18" t="s">
        <v>53</v>
      </c>
      <c r="I2165" s="19">
        <v>17</v>
      </c>
      <c r="J2165" s="20">
        <f t="shared" si="66"/>
        <v>3400</v>
      </c>
      <c r="K2165" s="106"/>
      <c r="L2165" s="114"/>
      <c r="M2165" s="114">
        <f>tblAquisições[[#This Row],[VALOR UNITARIO COMPRADO]]*tblAquisições[[#This Row],[QUANTIDADE COMPRADA]]</f>
        <v>0</v>
      </c>
      <c r="N2165" s="110">
        <f>K2165-tblAquisições[[#This Row],[QUANTIDADE PLANEJADA]]</f>
        <v>-200</v>
      </c>
      <c r="O2165" s="106" t="str">
        <f t="shared" si="67"/>
        <v>Faltando Comprar</v>
      </c>
    </row>
    <row r="2166" spans="1:15" ht="47.25">
      <c r="A2166" s="16" t="s">
        <v>17</v>
      </c>
      <c r="B2166" s="16" t="s">
        <v>34</v>
      </c>
      <c r="C2166" s="17" t="s">
        <v>19</v>
      </c>
      <c r="D2166" s="18" t="s">
        <v>1240</v>
      </c>
      <c r="E2166" s="18">
        <v>30</v>
      </c>
      <c r="F2166" s="18" t="s">
        <v>391</v>
      </c>
      <c r="G2166" s="18" t="s">
        <v>22</v>
      </c>
      <c r="H2166" s="18" t="s">
        <v>23</v>
      </c>
      <c r="I2166" s="19">
        <v>375</v>
      </c>
      <c r="J2166" s="20">
        <f t="shared" si="66"/>
        <v>11250</v>
      </c>
      <c r="K2166" s="106"/>
      <c r="L2166" s="114"/>
      <c r="M2166" s="114">
        <f>tblAquisições[[#This Row],[VALOR UNITARIO COMPRADO]]*tblAquisições[[#This Row],[QUANTIDADE COMPRADA]]</f>
        <v>0</v>
      </c>
      <c r="N2166" s="110">
        <f>K2166-tblAquisições[[#This Row],[QUANTIDADE PLANEJADA]]</f>
        <v>-30</v>
      </c>
      <c r="O2166" s="106" t="str">
        <f t="shared" si="67"/>
        <v>Faltando Comprar</v>
      </c>
    </row>
    <row r="2167" spans="1:15" ht="47.25">
      <c r="A2167" s="16" t="s">
        <v>17</v>
      </c>
      <c r="B2167" s="16" t="s">
        <v>34</v>
      </c>
      <c r="C2167" s="17" t="s">
        <v>19</v>
      </c>
      <c r="D2167" s="18" t="s">
        <v>1241</v>
      </c>
      <c r="E2167" s="18">
        <v>6</v>
      </c>
      <c r="F2167" s="18" t="s">
        <v>391</v>
      </c>
      <c r="G2167" s="18" t="s">
        <v>22</v>
      </c>
      <c r="H2167" s="18" t="s">
        <v>23</v>
      </c>
      <c r="I2167" s="19">
        <v>600</v>
      </c>
      <c r="J2167" s="20">
        <f t="shared" si="66"/>
        <v>3600</v>
      </c>
      <c r="K2167" s="106"/>
      <c r="L2167" s="114"/>
      <c r="M2167" s="114">
        <f>tblAquisições[[#This Row],[VALOR UNITARIO COMPRADO]]*tblAquisições[[#This Row],[QUANTIDADE COMPRADA]]</f>
        <v>0</v>
      </c>
      <c r="N2167" s="110">
        <f>K2167-tblAquisições[[#This Row],[QUANTIDADE PLANEJADA]]</f>
        <v>-6</v>
      </c>
      <c r="O2167" s="106" t="str">
        <f t="shared" si="67"/>
        <v>Faltando Comprar</v>
      </c>
    </row>
    <row r="2168" spans="1:15" ht="47.25">
      <c r="A2168" s="16" t="s">
        <v>17</v>
      </c>
      <c r="B2168" s="16" t="s">
        <v>34</v>
      </c>
      <c r="C2168" s="17" t="s">
        <v>19</v>
      </c>
      <c r="D2168" s="18" t="s">
        <v>1242</v>
      </c>
      <c r="E2168" s="18">
        <v>30</v>
      </c>
      <c r="F2168" s="18" t="s">
        <v>391</v>
      </c>
      <c r="G2168" s="18" t="s">
        <v>22</v>
      </c>
      <c r="H2168" s="18" t="s">
        <v>23</v>
      </c>
      <c r="I2168" s="19">
        <v>300</v>
      </c>
      <c r="J2168" s="20">
        <f t="shared" si="66"/>
        <v>9000</v>
      </c>
      <c r="K2168" s="106"/>
      <c r="L2168" s="114"/>
      <c r="M2168" s="114">
        <f>tblAquisições[[#This Row],[VALOR UNITARIO COMPRADO]]*tblAquisições[[#This Row],[QUANTIDADE COMPRADA]]</f>
        <v>0</v>
      </c>
      <c r="N2168" s="110">
        <f>K2168-tblAquisições[[#This Row],[QUANTIDADE PLANEJADA]]</f>
        <v>-30</v>
      </c>
      <c r="O2168" s="106" t="str">
        <f t="shared" si="67"/>
        <v>Faltando Comprar</v>
      </c>
    </row>
    <row r="2169" spans="1:15" ht="47.25">
      <c r="A2169" s="16" t="s">
        <v>17</v>
      </c>
      <c r="B2169" s="16" t="s">
        <v>34</v>
      </c>
      <c r="C2169" s="17" t="s">
        <v>19</v>
      </c>
      <c r="D2169" s="18" t="s">
        <v>1243</v>
      </c>
      <c r="E2169" s="18">
        <v>6</v>
      </c>
      <c r="F2169" s="18" t="s">
        <v>391</v>
      </c>
      <c r="G2169" s="18" t="s">
        <v>22</v>
      </c>
      <c r="H2169" s="18" t="s">
        <v>23</v>
      </c>
      <c r="I2169" s="19">
        <v>114</v>
      </c>
      <c r="J2169" s="20">
        <f t="shared" si="66"/>
        <v>684</v>
      </c>
      <c r="K2169" s="106"/>
      <c r="L2169" s="114"/>
      <c r="M2169" s="114">
        <f>tblAquisições[[#This Row],[VALOR UNITARIO COMPRADO]]*tblAquisições[[#This Row],[QUANTIDADE COMPRADA]]</f>
        <v>0</v>
      </c>
      <c r="N2169" s="110">
        <f>K2169-tblAquisições[[#This Row],[QUANTIDADE PLANEJADA]]</f>
        <v>-6</v>
      </c>
      <c r="O2169" s="106" t="str">
        <f t="shared" si="67"/>
        <v>Faltando Comprar</v>
      </c>
    </row>
    <row r="2170" spans="1:15" ht="47.25">
      <c r="A2170" s="16" t="s">
        <v>17</v>
      </c>
      <c r="B2170" s="16" t="s">
        <v>18</v>
      </c>
      <c r="C2170" s="17" t="s">
        <v>19</v>
      </c>
      <c r="D2170" s="18" t="s">
        <v>1244</v>
      </c>
      <c r="E2170" s="18">
        <v>3</v>
      </c>
      <c r="F2170" s="18" t="s">
        <v>391</v>
      </c>
      <c r="G2170" s="18" t="s">
        <v>22</v>
      </c>
      <c r="H2170" s="18" t="s">
        <v>23</v>
      </c>
      <c r="I2170" s="19">
        <v>1510</v>
      </c>
      <c r="J2170" s="20">
        <f t="shared" si="66"/>
        <v>4530</v>
      </c>
      <c r="K2170" s="106"/>
      <c r="L2170" s="114"/>
      <c r="M2170" s="114">
        <f>tblAquisições[[#This Row],[VALOR UNITARIO COMPRADO]]*tblAquisições[[#This Row],[QUANTIDADE COMPRADA]]</f>
        <v>0</v>
      </c>
      <c r="N2170" s="110">
        <f>K2170-tblAquisições[[#This Row],[QUANTIDADE PLANEJADA]]</f>
        <v>-3</v>
      </c>
      <c r="O2170" s="106" t="str">
        <f t="shared" si="67"/>
        <v>Faltando Comprar</v>
      </c>
    </row>
    <row r="2171" spans="1:15" ht="47.25">
      <c r="A2171" s="16" t="s">
        <v>17</v>
      </c>
      <c r="B2171" s="16" t="s">
        <v>24</v>
      </c>
      <c r="C2171" s="17" t="s">
        <v>19</v>
      </c>
      <c r="D2171" s="18" t="s">
        <v>1244</v>
      </c>
      <c r="E2171" s="18">
        <v>3</v>
      </c>
      <c r="F2171" s="18" t="s">
        <v>391</v>
      </c>
      <c r="G2171" s="18" t="s">
        <v>22</v>
      </c>
      <c r="H2171" s="18" t="s">
        <v>23</v>
      </c>
      <c r="I2171" s="19">
        <v>1510</v>
      </c>
      <c r="J2171" s="20">
        <f t="shared" si="66"/>
        <v>4530</v>
      </c>
      <c r="K2171" s="106"/>
      <c r="L2171" s="114"/>
      <c r="M2171" s="114">
        <f>tblAquisições[[#This Row],[VALOR UNITARIO COMPRADO]]*tblAquisições[[#This Row],[QUANTIDADE COMPRADA]]</f>
        <v>0</v>
      </c>
      <c r="N2171" s="110">
        <f>K2171-tblAquisições[[#This Row],[QUANTIDADE PLANEJADA]]</f>
        <v>-3</v>
      </c>
      <c r="O2171" s="106" t="str">
        <f t="shared" si="67"/>
        <v>Faltando Comprar</v>
      </c>
    </row>
    <row r="2172" spans="1:15" ht="47.25">
      <c r="A2172" s="16" t="s">
        <v>17</v>
      </c>
      <c r="B2172" s="16" t="s">
        <v>25</v>
      </c>
      <c r="C2172" s="17" t="s">
        <v>19</v>
      </c>
      <c r="D2172" s="18" t="s">
        <v>1244</v>
      </c>
      <c r="E2172" s="18">
        <v>3</v>
      </c>
      <c r="F2172" s="18" t="s">
        <v>391</v>
      </c>
      <c r="G2172" s="18" t="s">
        <v>22</v>
      </c>
      <c r="H2172" s="18" t="s">
        <v>23</v>
      </c>
      <c r="I2172" s="19">
        <v>1510</v>
      </c>
      <c r="J2172" s="20">
        <f t="shared" si="66"/>
        <v>4530</v>
      </c>
      <c r="K2172" s="106"/>
      <c r="L2172" s="114"/>
      <c r="M2172" s="114">
        <f>tblAquisições[[#This Row],[VALOR UNITARIO COMPRADO]]*tblAquisições[[#This Row],[QUANTIDADE COMPRADA]]</f>
        <v>0</v>
      </c>
      <c r="N2172" s="110">
        <f>K2172-tblAquisições[[#This Row],[QUANTIDADE PLANEJADA]]</f>
        <v>-3</v>
      </c>
      <c r="O2172" s="106" t="str">
        <f t="shared" si="67"/>
        <v>Faltando Comprar</v>
      </c>
    </row>
    <row r="2173" spans="1:15" ht="47.25">
      <c r="A2173" s="16" t="s">
        <v>17</v>
      </c>
      <c r="B2173" s="16" t="s">
        <v>28</v>
      </c>
      <c r="C2173" s="17" t="s">
        <v>19</v>
      </c>
      <c r="D2173" s="18" t="s">
        <v>1245</v>
      </c>
      <c r="E2173" s="18">
        <v>2</v>
      </c>
      <c r="F2173" s="18" t="s">
        <v>78</v>
      </c>
      <c r="G2173" s="18" t="s">
        <v>22</v>
      </c>
      <c r="H2173" s="18" t="s">
        <v>23</v>
      </c>
      <c r="I2173" s="19">
        <v>65.260000000000005</v>
      </c>
      <c r="J2173" s="20">
        <f t="shared" si="66"/>
        <v>130.52000000000001</v>
      </c>
      <c r="K2173" s="106"/>
      <c r="L2173" s="114"/>
      <c r="M2173" s="114">
        <f>tblAquisições[[#This Row],[VALOR UNITARIO COMPRADO]]*tblAquisições[[#This Row],[QUANTIDADE COMPRADA]]</f>
        <v>0</v>
      </c>
      <c r="N2173" s="110">
        <f>K2173-tblAquisições[[#This Row],[QUANTIDADE PLANEJADA]]</f>
        <v>-2</v>
      </c>
      <c r="O2173" s="106" t="str">
        <f t="shared" si="67"/>
        <v>Faltando Comprar</v>
      </c>
    </row>
    <row r="2174" spans="1:15" ht="47.25">
      <c r="A2174" s="16" t="s">
        <v>17</v>
      </c>
      <c r="B2174" s="16" t="s">
        <v>80</v>
      </c>
      <c r="C2174" s="17" t="s">
        <v>19</v>
      </c>
      <c r="D2174" s="18" t="s">
        <v>1246</v>
      </c>
      <c r="E2174" s="18">
        <v>10</v>
      </c>
      <c r="F2174" s="18" t="s">
        <v>82</v>
      </c>
      <c r="G2174" s="18" t="s">
        <v>39</v>
      </c>
      <c r="H2174" s="21"/>
      <c r="I2174" s="19">
        <v>500</v>
      </c>
      <c r="J2174" s="20">
        <f t="shared" si="66"/>
        <v>5000</v>
      </c>
      <c r="K2174" s="106"/>
      <c r="L2174" s="114"/>
      <c r="M2174" s="114">
        <f>tblAquisições[[#This Row],[VALOR UNITARIO COMPRADO]]*tblAquisições[[#This Row],[QUANTIDADE COMPRADA]]</f>
        <v>0</v>
      </c>
      <c r="N2174" s="110">
        <f>K2174-tblAquisições[[#This Row],[QUANTIDADE PLANEJADA]]</f>
        <v>-10</v>
      </c>
      <c r="O2174" s="106" t="str">
        <f t="shared" si="67"/>
        <v>Faltando Comprar</v>
      </c>
    </row>
    <row r="2175" spans="1:15" ht="31.5">
      <c r="A2175" s="16" t="s">
        <v>17</v>
      </c>
      <c r="B2175" s="16" t="s">
        <v>25</v>
      </c>
      <c r="C2175" s="17" t="s">
        <v>19</v>
      </c>
      <c r="D2175" s="18" t="s">
        <v>1247</v>
      </c>
      <c r="E2175" s="18">
        <v>5</v>
      </c>
      <c r="F2175" s="18" t="s">
        <v>30</v>
      </c>
      <c r="G2175" s="18" t="s">
        <v>22</v>
      </c>
      <c r="H2175" s="18" t="s">
        <v>23</v>
      </c>
      <c r="I2175" s="19">
        <v>500</v>
      </c>
      <c r="J2175" s="20">
        <f t="shared" si="66"/>
        <v>2500</v>
      </c>
      <c r="K2175" s="106"/>
      <c r="L2175" s="114"/>
      <c r="M2175" s="114">
        <f>tblAquisições[[#This Row],[VALOR UNITARIO COMPRADO]]*tblAquisições[[#This Row],[QUANTIDADE COMPRADA]]</f>
        <v>0</v>
      </c>
      <c r="N2175" s="110">
        <f>K2175-tblAquisições[[#This Row],[QUANTIDADE PLANEJADA]]</f>
        <v>-5</v>
      </c>
      <c r="O2175" s="106" t="str">
        <f t="shared" si="67"/>
        <v>Faltando Comprar</v>
      </c>
    </row>
    <row r="2176" spans="1:15" ht="47.25">
      <c r="A2176" s="16" t="s">
        <v>17</v>
      </c>
      <c r="B2176" s="16" t="s">
        <v>80</v>
      </c>
      <c r="C2176" s="17" t="s">
        <v>19</v>
      </c>
      <c r="D2176" s="18" t="s">
        <v>1248</v>
      </c>
      <c r="E2176" s="18">
        <v>2</v>
      </c>
      <c r="F2176" s="18" t="s">
        <v>82</v>
      </c>
      <c r="G2176" s="18" t="s">
        <v>39</v>
      </c>
      <c r="H2176" s="21"/>
      <c r="I2176" s="19">
        <v>550</v>
      </c>
      <c r="J2176" s="20">
        <f t="shared" si="66"/>
        <v>1100</v>
      </c>
      <c r="K2176" s="106"/>
      <c r="L2176" s="114"/>
      <c r="M2176" s="114">
        <f>tblAquisições[[#This Row],[VALOR UNITARIO COMPRADO]]*tblAquisições[[#This Row],[QUANTIDADE COMPRADA]]</f>
        <v>0</v>
      </c>
      <c r="N2176" s="110">
        <f>K2176-tblAquisições[[#This Row],[QUANTIDADE PLANEJADA]]</f>
        <v>-2</v>
      </c>
      <c r="O2176" s="106" t="str">
        <f t="shared" si="67"/>
        <v>Faltando Comprar</v>
      </c>
    </row>
    <row r="2177" spans="1:15" ht="31.5">
      <c r="A2177" s="16" t="s">
        <v>17</v>
      </c>
      <c r="B2177" s="16" t="s">
        <v>25</v>
      </c>
      <c r="C2177" s="17" t="s">
        <v>19</v>
      </c>
      <c r="D2177" s="18" t="s">
        <v>1249</v>
      </c>
      <c r="E2177" s="18">
        <v>5</v>
      </c>
      <c r="F2177" s="18" t="s">
        <v>30</v>
      </c>
      <c r="G2177" s="18" t="s">
        <v>22</v>
      </c>
      <c r="H2177" s="18" t="s">
        <v>23</v>
      </c>
      <c r="I2177" s="19">
        <v>550</v>
      </c>
      <c r="J2177" s="20">
        <f t="shared" si="66"/>
        <v>2750</v>
      </c>
      <c r="K2177" s="106"/>
      <c r="L2177" s="114"/>
      <c r="M2177" s="114">
        <f>tblAquisições[[#This Row],[VALOR UNITARIO COMPRADO]]*tblAquisições[[#This Row],[QUANTIDADE COMPRADA]]</f>
        <v>0</v>
      </c>
      <c r="N2177" s="110">
        <f>K2177-tblAquisições[[#This Row],[QUANTIDADE PLANEJADA]]</f>
        <v>-5</v>
      </c>
      <c r="O2177" s="106" t="str">
        <f t="shared" si="67"/>
        <v>Faltando Comprar</v>
      </c>
    </row>
    <row r="2178" spans="1:15" ht="31.5">
      <c r="A2178" s="16" t="s">
        <v>17</v>
      </c>
      <c r="B2178" s="16" t="s">
        <v>25</v>
      </c>
      <c r="C2178" s="17" t="s">
        <v>19</v>
      </c>
      <c r="D2178" s="18" t="s">
        <v>1250</v>
      </c>
      <c r="E2178" s="18">
        <v>5</v>
      </c>
      <c r="F2178" s="18" t="s">
        <v>30</v>
      </c>
      <c r="G2178" s="18" t="s">
        <v>22</v>
      </c>
      <c r="H2178" s="18" t="s">
        <v>23</v>
      </c>
      <c r="I2178" s="19">
        <v>750</v>
      </c>
      <c r="J2178" s="20">
        <f t="shared" ref="J2178:J2241" si="68">E2178*I2178</f>
        <v>3750</v>
      </c>
      <c r="K2178" s="106"/>
      <c r="L2178" s="114"/>
      <c r="M2178" s="114">
        <f>tblAquisições[[#This Row],[VALOR UNITARIO COMPRADO]]*tblAquisições[[#This Row],[QUANTIDADE COMPRADA]]</f>
        <v>0</v>
      </c>
      <c r="N2178" s="110">
        <f>K2178-tblAquisições[[#This Row],[QUANTIDADE PLANEJADA]]</f>
        <v>-5</v>
      </c>
      <c r="O2178" s="106" t="str">
        <f t="shared" ref="O2178:O2241" si="69">IF(K2178=E2178,"OK",IF(K2178&lt;E2178,"Faltando Comprar","Excedente"))</f>
        <v>Faltando Comprar</v>
      </c>
    </row>
    <row r="2179" spans="1:15" ht="47.25">
      <c r="A2179" s="16" t="s">
        <v>17</v>
      </c>
      <c r="B2179" s="16" t="s">
        <v>80</v>
      </c>
      <c r="C2179" s="17" t="s">
        <v>19</v>
      </c>
      <c r="D2179" s="18" t="s">
        <v>1251</v>
      </c>
      <c r="E2179" s="18">
        <v>1</v>
      </c>
      <c r="F2179" s="18" t="s">
        <v>82</v>
      </c>
      <c r="G2179" s="18" t="s">
        <v>39</v>
      </c>
      <c r="H2179" s="21"/>
      <c r="I2179" s="19">
        <v>900</v>
      </c>
      <c r="J2179" s="20">
        <f t="shared" si="68"/>
        <v>900</v>
      </c>
      <c r="K2179" s="106"/>
      <c r="L2179" s="114"/>
      <c r="M2179" s="114">
        <f>tblAquisições[[#This Row],[VALOR UNITARIO COMPRADO]]*tblAquisições[[#This Row],[QUANTIDADE COMPRADA]]</f>
        <v>0</v>
      </c>
      <c r="N2179" s="110">
        <f>K2179-tblAquisições[[#This Row],[QUANTIDADE PLANEJADA]]</f>
        <v>-1</v>
      </c>
      <c r="O2179" s="106" t="str">
        <f t="shared" si="69"/>
        <v>Faltando Comprar</v>
      </c>
    </row>
    <row r="2180" spans="1:15" ht="31.5">
      <c r="A2180" s="16" t="s">
        <v>17</v>
      </c>
      <c r="B2180" s="16" t="s">
        <v>25</v>
      </c>
      <c r="C2180" s="17" t="s">
        <v>19</v>
      </c>
      <c r="D2180" s="18" t="s">
        <v>1252</v>
      </c>
      <c r="E2180" s="18">
        <v>5</v>
      </c>
      <c r="F2180" s="18" t="s">
        <v>30</v>
      </c>
      <c r="G2180" s="18" t="s">
        <v>22</v>
      </c>
      <c r="H2180" s="18" t="s">
        <v>23</v>
      </c>
      <c r="I2180" s="19">
        <v>900</v>
      </c>
      <c r="J2180" s="20">
        <f t="shared" si="68"/>
        <v>4500</v>
      </c>
      <c r="K2180" s="106"/>
      <c r="L2180" s="114"/>
      <c r="M2180" s="114">
        <f>tblAquisições[[#This Row],[VALOR UNITARIO COMPRADO]]*tblAquisições[[#This Row],[QUANTIDADE COMPRADA]]</f>
        <v>0</v>
      </c>
      <c r="N2180" s="110">
        <f>K2180-tblAquisições[[#This Row],[QUANTIDADE PLANEJADA]]</f>
        <v>-5</v>
      </c>
      <c r="O2180" s="106" t="str">
        <f t="shared" si="69"/>
        <v>Faltando Comprar</v>
      </c>
    </row>
    <row r="2181" spans="1:15" ht="31.5">
      <c r="A2181" s="16" t="s">
        <v>17</v>
      </c>
      <c r="B2181" s="16" t="s">
        <v>26</v>
      </c>
      <c r="C2181" s="17" t="s">
        <v>19</v>
      </c>
      <c r="D2181" s="18" t="s">
        <v>1253</v>
      </c>
      <c r="E2181" s="18">
        <v>5</v>
      </c>
      <c r="F2181" s="18" t="s">
        <v>30</v>
      </c>
      <c r="G2181" s="18" t="s">
        <v>22</v>
      </c>
      <c r="H2181" s="18" t="s">
        <v>23</v>
      </c>
      <c r="I2181" s="19">
        <v>221.9</v>
      </c>
      <c r="J2181" s="20">
        <f t="shared" si="68"/>
        <v>1109.5</v>
      </c>
      <c r="K2181" s="106"/>
      <c r="L2181" s="114"/>
      <c r="M2181" s="114">
        <f>tblAquisições[[#This Row],[VALOR UNITARIO COMPRADO]]*tblAquisições[[#This Row],[QUANTIDADE COMPRADA]]</f>
        <v>0</v>
      </c>
      <c r="N2181" s="110">
        <f>K2181-tblAquisições[[#This Row],[QUANTIDADE PLANEJADA]]</f>
        <v>-5</v>
      </c>
      <c r="O2181" s="106" t="str">
        <f t="shared" si="69"/>
        <v>Faltando Comprar</v>
      </c>
    </row>
    <row r="2182" spans="1:15" ht="31.5">
      <c r="A2182" s="16" t="s">
        <v>17</v>
      </c>
      <c r="B2182" s="16" t="s">
        <v>26</v>
      </c>
      <c r="C2182" s="17" t="s">
        <v>19</v>
      </c>
      <c r="D2182" s="18" t="s">
        <v>1254</v>
      </c>
      <c r="E2182" s="18">
        <v>30</v>
      </c>
      <c r="F2182" s="18" t="s">
        <v>30</v>
      </c>
      <c r="G2182" s="18" t="s">
        <v>22</v>
      </c>
      <c r="H2182" s="18" t="s">
        <v>23</v>
      </c>
      <c r="I2182" s="19">
        <v>16.5</v>
      </c>
      <c r="J2182" s="20">
        <f t="shared" si="68"/>
        <v>495</v>
      </c>
      <c r="K2182" s="106"/>
      <c r="L2182" s="114"/>
      <c r="M2182" s="114">
        <f>tblAquisições[[#This Row],[VALOR UNITARIO COMPRADO]]*tblAquisições[[#This Row],[QUANTIDADE COMPRADA]]</f>
        <v>0</v>
      </c>
      <c r="N2182" s="110">
        <f>K2182-tblAquisições[[#This Row],[QUANTIDADE PLANEJADA]]</f>
        <v>-30</v>
      </c>
      <c r="O2182" s="106" t="str">
        <f t="shared" si="69"/>
        <v>Faltando Comprar</v>
      </c>
    </row>
    <row r="2183" spans="1:15" ht="31.5">
      <c r="A2183" s="16" t="s">
        <v>17</v>
      </c>
      <c r="B2183" s="16" t="s">
        <v>26</v>
      </c>
      <c r="C2183" s="17" t="s">
        <v>19</v>
      </c>
      <c r="D2183" s="18" t="s">
        <v>1255</v>
      </c>
      <c r="E2183" s="18">
        <v>30</v>
      </c>
      <c r="F2183" s="18" t="s">
        <v>30</v>
      </c>
      <c r="G2183" s="18" t="s">
        <v>22</v>
      </c>
      <c r="H2183" s="18" t="s">
        <v>23</v>
      </c>
      <c r="I2183" s="19">
        <v>19.5</v>
      </c>
      <c r="J2183" s="20">
        <f t="shared" si="68"/>
        <v>585</v>
      </c>
      <c r="K2183" s="106"/>
      <c r="L2183" s="114"/>
      <c r="M2183" s="114">
        <f>tblAquisições[[#This Row],[VALOR UNITARIO COMPRADO]]*tblAquisições[[#This Row],[QUANTIDADE COMPRADA]]</f>
        <v>0</v>
      </c>
      <c r="N2183" s="110">
        <f>K2183-tblAquisições[[#This Row],[QUANTIDADE PLANEJADA]]</f>
        <v>-30</v>
      </c>
      <c r="O2183" s="106" t="str">
        <f t="shared" si="69"/>
        <v>Faltando Comprar</v>
      </c>
    </row>
    <row r="2184" spans="1:15" ht="31.5">
      <c r="A2184" s="16" t="s">
        <v>17</v>
      </c>
      <c r="B2184" s="16" t="s">
        <v>26</v>
      </c>
      <c r="C2184" s="17" t="s">
        <v>19</v>
      </c>
      <c r="D2184" s="18" t="s">
        <v>1256</v>
      </c>
      <c r="E2184" s="18">
        <v>30</v>
      </c>
      <c r="F2184" s="18" t="s">
        <v>30</v>
      </c>
      <c r="G2184" s="18" t="s">
        <v>22</v>
      </c>
      <c r="H2184" s="18" t="s">
        <v>23</v>
      </c>
      <c r="I2184" s="19">
        <v>21.5</v>
      </c>
      <c r="J2184" s="20">
        <f t="shared" si="68"/>
        <v>645</v>
      </c>
      <c r="K2184" s="106"/>
      <c r="L2184" s="114"/>
      <c r="M2184" s="114">
        <f>tblAquisições[[#This Row],[VALOR UNITARIO COMPRADO]]*tblAquisições[[#This Row],[QUANTIDADE COMPRADA]]</f>
        <v>0</v>
      </c>
      <c r="N2184" s="110">
        <f>K2184-tblAquisições[[#This Row],[QUANTIDADE PLANEJADA]]</f>
        <v>-30</v>
      </c>
      <c r="O2184" s="106" t="str">
        <f t="shared" si="69"/>
        <v>Faltando Comprar</v>
      </c>
    </row>
    <row r="2185" spans="1:15" ht="31.5">
      <c r="A2185" s="16" t="s">
        <v>17</v>
      </c>
      <c r="B2185" s="16" t="s">
        <v>26</v>
      </c>
      <c r="C2185" s="17" t="s">
        <v>19</v>
      </c>
      <c r="D2185" s="18" t="s">
        <v>1257</v>
      </c>
      <c r="E2185" s="18">
        <v>50</v>
      </c>
      <c r="F2185" s="18" t="s">
        <v>30</v>
      </c>
      <c r="G2185" s="18" t="s">
        <v>22</v>
      </c>
      <c r="H2185" s="18" t="s">
        <v>23</v>
      </c>
      <c r="I2185" s="19">
        <v>47.5</v>
      </c>
      <c r="J2185" s="20">
        <f t="shared" si="68"/>
        <v>2375</v>
      </c>
      <c r="K2185" s="106"/>
      <c r="L2185" s="114"/>
      <c r="M2185" s="114">
        <f>tblAquisições[[#This Row],[VALOR UNITARIO COMPRADO]]*tblAquisições[[#This Row],[QUANTIDADE COMPRADA]]</f>
        <v>0</v>
      </c>
      <c r="N2185" s="110">
        <f>K2185-tblAquisições[[#This Row],[QUANTIDADE PLANEJADA]]</f>
        <v>-50</v>
      </c>
      <c r="O2185" s="106" t="str">
        <f t="shared" si="69"/>
        <v>Faltando Comprar</v>
      </c>
    </row>
    <row r="2186" spans="1:15" ht="47.25">
      <c r="A2186" s="16" t="s">
        <v>17</v>
      </c>
      <c r="B2186" s="16" t="s">
        <v>27</v>
      </c>
      <c r="C2186" s="17" t="s">
        <v>19</v>
      </c>
      <c r="D2186" s="18" t="s">
        <v>1258</v>
      </c>
      <c r="E2186" s="18">
        <v>30</v>
      </c>
      <c r="F2186" s="18" t="s">
        <v>78</v>
      </c>
      <c r="G2186" s="18" t="s">
        <v>22</v>
      </c>
      <c r="H2186" s="18" t="s">
        <v>23</v>
      </c>
      <c r="I2186" s="19">
        <v>16.989999999999998</v>
      </c>
      <c r="J2186" s="20">
        <f t="shared" si="68"/>
        <v>509.69999999999993</v>
      </c>
      <c r="K2186" s="106"/>
      <c r="L2186" s="114"/>
      <c r="M2186" s="114">
        <f>tblAquisições[[#This Row],[VALOR UNITARIO COMPRADO]]*tblAquisições[[#This Row],[QUANTIDADE COMPRADA]]</f>
        <v>0</v>
      </c>
      <c r="N2186" s="110">
        <f>K2186-tblAquisições[[#This Row],[QUANTIDADE PLANEJADA]]</f>
        <v>-30</v>
      </c>
      <c r="O2186" s="106" t="str">
        <f t="shared" si="69"/>
        <v>Faltando Comprar</v>
      </c>
    </row>
    <row r="2187" spans="1:15" ht="31.5">
      <c r="A2187" s="16" t="s">
        <v>17</v>
      </c>
      <c r="B2187" s="16" t="s">
        <v>28</v>
      </c>
      <c r="C2187" s="17" t="s">
        <v>19</v>
      </c>
      <c r="D2187" s="18" t="s">
        <v>1259</v>
      </c>
      <c r="E2187" s="18">
        <v>10</v>
      </c>
      <c r="F2187" s="18" t="s">
        <v>30</v>
      </c>
      <c r="G2187" s="18" t="s">
        <v>22</v>
      </c>
      <c r="H2187" s="18" t="s">
        <v>23</v>
      </c>
      <c r="I2187" s="19">
        <v>113.33</v>
      </c>
      <c r="J2187" s="20">
        <f t="shared" si="68"/>
        <v>1133.3</v>
      </c>
      <c r="K2187" s="106"/>
      <c r="L2187" s="114"/>
      <c r="M2187" s="114">
        <f>tblAquisições[[#This Row],[VALOR UNITARIO COMPRADO]]*tblAquisições[[#This Row],[QUANTIDADE COMPRADA]]</f>
        <v>0</v>
      </c>
      <c r="N2187" s="110">
        <f>K2187-tblAquisições[[#This Row],[QUANTIDADE PLANEJADA]]</f>
        <v>-10</v>
      </c>
      <c r="O2187" s="106" t="str">
        <f t="shared" si="69"/>
        <v>Faltando Comprar</v>
      </c>
    </row>
    <row r="2188" spans="1:15" ht="47.25">
      <c r="A2188" s="16" t="s">
        <v>17</v>
      </c>
      <c r="B2188" s="16" t="s">
        <v>80</v>
      </c>
      <c r="C2188" s="17" t="s">
        <v>19</v>
      </c>
      <c r="D2188" s="18" t="s">
        <v>1260</v>
      </c>
      <c r="E2188" s="18">
        <v>6</v>
      </c>
      <c r="F2188" s="18" t="s">
        <v>82</v>
      </c>
      <c r="G2188" s="18" t="s">
        <v>39</v>
      </c>
      <c r="H2188" s="18" t="s">
        <v>23</v>
      </c>
      <c r="I2188" s="19">
        <v>76.62</v>
      </c>
      <c r="J2188" s="20">
        <f t="shared" si="68"/>
        <v>459.72</v>
      </c>
      <c r="K2188" s="106"/>
      <c r="L2188" s="114"/>
      <c r="M2188" s="114">
        <f>tblAquisições[[#This Row],[VALOR UNITARIO COMPRADO]]*tblAquisições[[#This Row],[QUANTIDADE COMPRADA]]</f>
        <v>0</v>
      </c>
      <c r="N2188" s="110">
        <f>K2188-tblAquisições[[#This Row],[QUANTIDADE PLANEJADA]]</f>
        <v>-6</v>
      </c>
      <c r="O2188" s="106" t="str">
        <f t="shared" si="69"/>
        <v>Faltando Comprar</v>
      </c>
    </row>
    <row r="2189" spans="1:15" ht="31.5">
      <c r="A2189" s="16" t="s">
        <v>17</v>
      </c>
      <c r="B2189" s="16" t="s">
        <v>26</v>
      </c>
      <c r="C2189" s="17" t="s">
        <v>19</v>
      </c>
      <c r="D2189" s="18" t="s">
        <v>1261</v>
      </c>
      <c r="E2189" s="18">
        <v>6</v>
      </c>
      <c r="F2189" s="18" t="s">
        <v>30</v>
      </c>
      <c r="G2189" s="18" t="s">
        <v>22</v>
      </c>
      <c r="H2189" s="18" t="s">
        <v>23</v>
      </c>
      <c r="I2189" s="19">
        <v>86.3</v>
      </c>
      <c r="J2189" s="20">
        <f t="shared" si="68"/>
        <v>517.79999999999995</v>
      </c>
      <c r="K2189" s="106"/>
      <c r="L2189" s="114"/>
      <c r="M2189" s="114">
        <f>tblAquisições[[#This Row],[VALOR UNITARIO COMPRADO]]*tblAquisições[[#This Row],[QUANTIDADE COMPRADA]]</f>
        <v>0</v>
      </c>
      <c r="N2189" s="110">
        <f>K2189-tblAquisições[[#This Row],[QUANTIDADE PLANEJADA]]</f>
        <v>-6</v>
      </c>
      <c r="O2189" s="106" t="str">
        <f t="shared" si="69"/>
        <v>Faltando Comprar</v>
      </c>
    </row>
    <row r="2190" spans="1:15" ht="31.5">
      <c r="A2190" s="16" t="s">
        <v>17</v>
      </c>
      <c r="B2190" s="16" t="s">
        <v>80</v>
      </c>
      <c r="C2190" s="17" t="s">
        <v>19</v>
      </c>
      <c r="D2190" s="18" t="s">
        <v>1262</v>
      </c>
      <c r="E2190" s="18">
        <v>2</v>
      </c>
      <c r="F2190" s="18" t="s">
        <v>82</v>
      </c>
      <c r="G2190" s="18" t="s">
        <v>39</v>
      </c>
      <c r="H2190" s="21"/>
      <c r="I2190" s="19">
        <v>206.01</v>
      </c>
      <c r="J2190" s="20">
        <f t="shared" si="68"/>
        <v>412.02</v>
      </c>
      <c r="K2190" s="106"/>
      <c r="L2190" s="114"/>
      <c r="M2190" s="114">
        <f>tblAquisições[[#This Row],[VALOR UNITARIO COMPRADO]]*tblAquisições[[#This Row],[QUANTIDADE COMPRADA]]</f>
        <v>0</v>
      </c>
      <c r="N2190" s="110">
        <f>K2190-tblAquisições[[#This Row],[QUANTIDADE PLANEJADA]]</f>
        <v>-2</v>
      </c>
      <c r="O2190" s="106" t="str">
        <f t="shared" si="69"/>
        <v>Faltando Comprar</v>
      </c>
    </row>
    <row r="2191" spans="1:15" ht="31.5">
      <c r="A2191" s="16" t="s">
        <v>17</v>
      </c>
      <c r="B2191" s="16" t="s">
        <v>26</v>
      </c>
      <c r="C2191" s="17" t="s">
        <v>19</v>
      </c>
      <c r="D2191" s="18" t="s">
        <v>1263</v>
      </c>
      <c r="E2191" s="18">
        <v>6</v>
      </c>
      <c r="F2191" s="18" t="s">
        <v>30</v>
      </c>
      <c r="G2191" s="18" t="s">
        <v>22</v>
      </c>
      <c r="H2191" s="18" t="s">
        <v>23</v>
      </c>
      <c r="I2191" s="19">
        <v>206.01</v>
      </c>
      <c r="J2191" s="20">
        <f t="shared" si="68"/>
        <v>1236.06</v>
      </c>
      <c r="K2191" s="106"/>
      <c r="L2191" s="114"/>
      <c r="M2191" s="114">
        <f>tblAquisições[[#This Row],[VALOR UNITARIO COMPRADO]]*tblAquisições[[#This Row],[QUANTIDADE COMPRADA]]</f>
        <v>0</v>
      </c>
      <c r="N2191" s="110">
        <f>K2191-tblAquisições[[#This Row],[QUANTIDADE PLANEJADA]]</f>
        <v>-6</v>
      </c>
      <c r="O2191" s="106" t="str">
        <f t="shared" si="69"/>
        <v>Faltando Comprar</v>
      </c>
    </row>
    <row r="2192" spans="1:15" ht="31.5">
      <c r="A2192" s="16" t="s">
        <v>17</v>
      </c>
      <c r="B2192" s="16" t="s">
        <v>80</v>
      </c>
      <c r="C2192" s="17" t="s">
        <v>19</v>
      </c>
      <c r="D2192" s="18" t="s">
        <v>1264</v>
      </c>
      <c r="E2192" s="18">
        <v>2</v>
      </c>
      <c r="F2192" s="18" t="s">
        <v>82</v>
      </c>
      <c r="G2192" s="18" t="s">
        <v>39</v>
      </c>
      <c r="H2192" s="21"/>
      <c r="I2192" s="19">
        <v>158.07</v>
      </c>
      <c r="J2192" s="20">
        <f t="shared" si="68"/>
        <v>316.14</v>
      </c>
      <c r="K2192" s="106"/>
      <c r="L2192" s="114"/>
      <c r="M2192" s="114">
        <f>tblAquisições[[#This Row],[VALOR UNITARIO COMPRADO]]*tblAquisições[[#This Row],[QUANTIDADE COMPRADA]]</f>
        <v>0</v>
      </c>
      <c r="N2192" s="110">
        <f>K2192-tblAquisições[[#This Row],[QUANTIDADE PLANEJADA]]</f>
        <v>-2</v>
      </c>
      <c r="O2192" s="106" t="str">
        <f t="shared" si="69"/>
        <v>Faltando Comprar</v>
      </c>
    </row>
    <row r="2193" spans="1:15" ht="31.5">
      <c r="A2193" s="16" t="s">
        <v>17</v>
      </c>
      <c r="B2193" s="16" t="s">
        <v>26</v>
      </c>
      <c r="C2193" s="17" t="s">
        <v>19</v>
      </c>
      <c r="D2193" s="18" t="s">
        <v>1265</v>
      </c>
      <c r="E2193" s="18">
        <v>6</v>
      </c>
      <c r="F2193" s="18" t="s">
        <v>30</v>
      </c>
      <c r="G2193" s="18" t="s">
        <v>22</v>
      </c>
      <c r="H2193" s="18" t="s">
        <v>23</v>
      </c>
      <c r="I2193" s="19">
        <v>158.07</v>
      </c>
      <c r="J2193" s="20">
        <f t="shared" si="68"/>
        <v>948.42</v>
      </c>
      <c r="K2193" s="106"/>
      <c r="L2193" s="114"/>
      <c r="M2193" s="114">
        <f>tblAquisições[[#This Row],[VALOR UNITARIO COMPRADO]]*tblAquisições[[#This Row],[QUANTIDADE COMPRADA]]</f>
        <v>0</v>
      </c>
      <c r="N2193" s="110">
        <f>K2193-tblAquisições[[#This Row],[QUANTIDADE PLANEJADA]]</f>
        <v>-6</v>
      </c>
      <c r="O2193" s="106" t="str">
        <f t="shared" si="69"/>
        <v>Faltando Comprar</v>
      </c>
    </row>
    <row r="2194" spans="1:15" ht="31.5">
      <c r="A2194" s="16" t="s">
        <v>17</v>
      </c>
      <c r="B2194" s="16" t="s">
        <v>26</v>
      </c>
      <c r="C2194" s="17" t="s">
        <v>19</v>
      </c>
      <c r="D2194" s="18" t="s">
        <v>1266</v>
      </c>
      <c r="E2194" s="18">
        <v>5</v>
      </c>
      <c r="F2194" s="18" t="s">
        <v>30</v>
      </c>
      <c r="G2194" s="18" t="s">
        <v>22</v>
      </c>
      <c r="H2194" s="18" t="s">
        <v>23</v>
      </c>
      <c r="I2194" s="19">
        <v>181.31</v>
      </c>
      <c r="J2194" s="20">
        <f t="shared" si="68"/>
        <v>906.55</v>
      </c>
      <c r="K2194" s="106"/>
      <c r="L2194" s="114"/>
      <c r="M2194" s="114">
        <f>tblAquisições[[#This Row],[VALOR UNITARIO COMPRADO]]*tblAquisições[[#This Row],[QUANTIDADE COMPRADA]]</f>
        <v>0</v>
      </c>
      <c r="N2194" s="110">
        <f>K2194-tblAquisições[[#This Row],[QUANTIDADE PLANEJADA]]</f>
        <v>-5</v>
      </c>
      <c r="O2194" s="106" t="str">
        <f t="shared" si="69"/>
        <v>Faltando Comprar</v>
      </c>
    </row>
    <row r="2195" spans="1:15" ht="31.5">
      <c r="A2195" s="16" t="s">
        <v>17</v>
      </c>
      <c r="B2195" s="16" t="s">
        <v>26</v>
      </c>
      <c r="C2195" s="17" t="s">
        <v>19</v>
      </c>
      <c r="D2195" s="18" t="s">
        <v>1267</v>
      </c>
      <c r="E2195" s="18">
        <v>5</v>
      </c>
      <c r="F2195" s="18" t="s">
        <v>30</v>
      </c>
      <c r="G2195" s="18" t="s">
        <v>22</v>
      </c>
      <c r="H2195" s="18" t="s">
        <v>23</v>
      </c>
      <c r="I2195" s="19">
        <v>438.9</v>
      </c>
      <c r="J2195" s="20">
        <f t="shared" si="68"/>
        <v>2194.5</v>
      </c>
      <c r="K2195" s="106"/>
      <c r="L2195" s="114"/>
      <c r="M2195" s="114">
        <f>tblAquisições[[#This Row],[VALOR UNITARIO COMPRADO]]*tblAquisições[[#This Row],[QUANTIDADE COMPRADA]]</f>
        <v>0</v>
      </c>
      <c r="N2195" s="110">
        <f>K2195-tblAquisições[[#This Row],[QUANTIDADE PLANEJADA]]</f>
        <v>-5</v>
      </c>
      <c r="O2195" s="106" t="str">
        <f t="shared" si="69"/>
        <v>Faltando Comprar</v>
      </c>
    </row>
    <row r="2196" spans="1:15" ht="31.5">
      <c r="A2196" s="16" t="s">
        <v>17</v>
      </c>
      <c r="B2196" s="16" t="s">
        <v>80</v>
      </c>
      <c r="C2196" s="17" t="s">
        <v>19</v>
      </c>
      <c r="D2196" s="18" t="s">
        <v>1268</v>
      </c>
      <c r="E2196" s="18">
        <v>2</v>
      </c>
      <c r="F2196" s="18" t="s">
        <v>82</v>
      </c>
      <c r="G2196" s="18" t="s">
        <v>39</v>
      </c>
      <c r="H2196" s="21"/>
      <c r="I2196" s="19">
        <v>274.33</v>
      </c>
      <c r="J2196" s="20">
        <f t="shared" si="68"/>
        <v>548.66</v>
      </c>
      <c r="K2196" s="106"/>
      <c r="L2196" s="114"/>
      <c r="M2196" s="114">
        <f>tblAquisições[[#This Row],[VALOR UNITARIO COMPRADO]]*tblAquisições[[#This Row],[QUANTIDADE COMPRADA]]</f>
        <v>0</v>
      </c>
      <c r="N2196" s="110">
        <f>K2196-tblAquisições[[#This Row],[QUANTIDADE PLANEJADA]]</f>
        <v>-2</v>
      </c>
      <c r="O2196" s="106" t="str">
        <f t="shared" si="69"/>
        <v>Faltando Comprar</v>
      </c>
    </row>
    <row r="2197" spans="1:15" ht="31.5">
      <c r="A2197" s="16" t="s">
        <v>17</v>
      </c>
      <c r="B2197" s="16" t="s">
        <v>31</v>
      </c>
      <c r="C2197" s="17" t="s">
        <v>19</v>
      </c>
      <c r="D2197" s="18" t="s">
        <v>1269</v>
      </c>
      <c r="E2197" s="18">
        <v>4</v>
      </c>
      <c r="F2197" s="18" t="s">
        <v>30</v>
      </c>
      <c r="G2197" s="18" t="s">
        <v>22</v>
      </c>
      <c r="H2197" s="18" t="s">
        <v>23</v>
      </c>
      <c r="I2197" s="19">
        <v>274.33</v>
      </c>
      <c r="J2197" s="20">
        <f t="shared" si="68"/>
        <v>1097.32</v>
      </c>
      <c r="K2197" s="106"/>
      <c r="L2197" s="114"/>
      <c r="M2197" s="114">
        <f>tblAquisições[[#This Row],[VALOR UNITARIO COMPRADO]]*tblAquisições[[#This Row],[QUANTIDADE COMPRADA]]</f>
        <v>0</v>
      </c>
      <c r="N2197" s="110">
        <f>K2197-tblAquisições[[#This Row],[QUANTIDADE PLANEJADA]]</f>
        <v>-4</v>
      </c>
      <c r="O2197" s="106" t="str">
        <f t="shared" si="69"/>
        <v>Faltando Comprar</v>
      </c>
    </row>
    <row r="2198" spans="1:15" ht="31.5">
      <c r="A2198" s="16" t="s">
        <v>17</v>
      </c>
      <c r="B2198" s="16" t="s">
        <v>18</v>
      </c>
      <c r="C2198" s="17" t="s">
        <v>19</v>
      </c>
      <c r="D2198" s="18" t="s">
        <v>1269</v>
      </c>
      <c r="E2198" s="18">
        <v>8</v>
      </c>
      <c r="F2198" s="18" t="s">
        <v>30</v>
      </c>
      <c r="G2198" s="18" t="s">
        <v>22</v>
      </c>
      <c r="H2198" s="18" t="s">
        <v>23</v>
      </c>
      <c r="I2198" s="19">
        <v>274.33</v>
      </c>
      <c r="J2198" s="20">
        <f t="shared" si="68"/>
        <v>2194.64</v>
      </c>
      <c r="K2198" s="106"/>
      <c r="L2198" s="114"/>
      <c r="M2198" s="114">
        <f>tblAquisições[[#This Row],[VALOR UNITARIO COMPRADO]]*tblAquisições[[#This Row],[QUANTIDADE COMPRADA]]</f>
        <v>0</v>
      </c>
      <c r="N2198" s="110">
        <f>K2198-tblAquisições[[#This Row],[QUANTIDADE PLANEJADA]]</f>
        <v>-8</v>
      </c>
      <c r="O2198" s="106" t="str">
        <f t="shared" si="69"/>
        <v>Faltando Comprar</v>
      </c>
    </row>
    <row r="2199" spans="1:15" ht="31.5">
      <c r="A2199" s="16" t="s">
        <v>17</v>
      </c>
      <c r="B2199" s="16" t="s">
        <v>24</v>
      </c>
      <c r="C2199" s="17" t="s">
        <v>19</v>
      </c>
      <c r="D2199" s="18" t="s">
        <v>1269</v>
      </c>
      <c r="E2199" s="18">
        <v>8</v>
      </c>
      <c r="F2199" s="18" t="s">
        <v>30</v>
      </c>
      <c r="G2199" s="18" t="s">
        <v>22</v>
      </c>
      <c r="H2199" s="18" t="s">
        <v>23</v>
      </c>
      <c r="I2199" s="19">
        <v>274.33</v>
      </c>
      <c r="J2199" s="20">
        <f t="shared" si="68"/>
        <v>2194.64</v>
      </c>
      <c r="K2199" s="106"/>
      <c r="L2199" s="114"/>
      <c r="M2199" s="114">
        <f>tblAquisições[[#This Row],[VALOR UNITARIO COMPRADO]]*tblAquisições[[#This Row],[QUANTIDADE COMPRADA]]</f>
        <v>0</v>
      </c>
      <c r="N2199" s="110">
        <f>K2199-tblAquisições[[#This Row],[QUANTIDADE PLANEJADA]]</f>
        <v>-8</v>
      </c>
      <c r="O2199" s="106" t="str">
        <f t="shared" si="69"/>
        <v>Faltando Comprar</v>
      </c>
    </row>
    <row r="2200" spans="1:15" ht="31.5">
      <c r="A2200" s="16" t="s">
        <v>17</v>
      </c>
      <c r="B2200" s="16" t="s">
        <v>25</v>
      </c>
      <c r="C2200" s="17" t="s">
        <v>19</v>
      </c>
      <c r="D2200" s="18" t="s">
        <v>1269</v>
      </c>
      <c r="E2200" s="18">
        <v>8</v>
      </c>
      <c r="F2200" s="18" t="s">
        <v>30</v>
      </c>
      <c r="G2200" s="18" t="s">
        <v>22</v>
      </c>
      <c r="H2200" s="18" t="s">
        <v>23</v>
      </c>
      <c r="I2200" s="19">
        <v>274.33</v>
      </c>
      <c r="J2200" s="20">
        <f t="shared" si="68"/>
        <v>2194.64</v>
      </c>
      <c r="K2200" s="106"/>
      <c r="L2200" s="114"/>
      <c r="M2200" s="114">
        <f>tblAquisições[[#This Row],[VALOR UNITARIO COMPRADO]]*tblAquisições[[#This Row],[QUANTIDADE COMPRADA]]</f>
        <v>0</v>
      </c>
      <c r="N2200" s="110">
        <f>K2200-tblAquisições[[#This Row],[QUANTIDADE PLANEJADA]]</f>
        <v>-8</v>
      </c>
      <c r="O2200" s="106" t="str">
        <f t="shared" si="69"/>
        <v>Faltando Comprar</v>
      </c>
    </row>
    <row r="2201" spans="1:15" ht="31.5">
      <c r="A2201" s="16" t="s">
        <v>17</v>
      </c>
      <c r="B2201" s="16" t="s">
        <v>26</v>
      </c>
      <c r="C2201" s="17" t="s">
        <v>19</v>
      </c>
      <c r="D2201" s="18" t="s">
        <v>1269</v>
      </c>
      <c r="E2201" s="18">
        <v>5</v>
      </c>
      <c r="F2201" s="18" t="s">
        <v>30</v>
      </c>
      <c r="G2201" s="18" t="s">
        <v>22</v>
      </c>
      <c r="H2201" s="18" t="s">
        <v>23</v>
      </c>
      <c r="I2201" s="19">
        <v>274.33</v>
      </c>
      <c r="J2201" s="20">
        <f t="shared" si="68"/>
        <v>1371.6499999999999</v>
      </c>
      <c r="K2201" s="106"/>
      <c r="L2201" s="114"/>
      <c r="M2201" s="114">
        <f>tblAquisições[[#This Row],[VALOR UNITARIO COMPRADO]]*tblAquisições[[#This Row],[QUANTIDADE COMPRADA]]</f>
        <v>0</v>
      </c>
      <c r="N2201" s="110">
        <f>K2201-tblAquisições[[#This Row],[QUANTIDADE PLANEJADA]]</f>
        <v>-5</v>
      </c>
      <c r="O2201" s="106" t="str">
        <f t="shared" si="69"/>
        <v>Faltando Comprar</v>
      </c>
    </row>
    <row r="2202" spans="1:15" ht="31.5">
      <c r="A2202" s="16" t="s">
        <v>17</v>
      </c>
      <c r="B2202" s="16" t="s">
        <v>27</v>
      </c>
      <c r="C2202" s="17" t="s">
        <v>19</v>
      </c>
      <c r="D2202" s="18" t="s">
        <v>1269</v>
      </c>
      <c r="E2202" s="18">
        <v>10</v>
      </c>
      <c r="F2202" s="18" t="s">
        <v>30</v>
      </c>
      <c r="G2202" s="18" t="s">
        <v>22</v>
      </c>
      <c r="H2202" s="18" t="s">
        <v>23</v>
      </c>
      <c r="I2202" s="19">
        <v>274.33</v>
      </c>
      <c r="J2202" s="20">
        <f t="shared" si="68"/>
        <v>2743.2999999999997</v>
      </c>
      <c r="K2202" s="106"/>
      <c r="L2202" s="114"/>
      <c r="M2202" s="114">
        <f>tblAquisições[[#This Row],[VALOR UNITARIO COMPRADO]]*tblAquisições[[#This Row],[QUANTIDADE COMPRADA]]</f>
        <v>0</v>
      </c>
      <c r="N2202" s="110">
        <f>K2202-tblAquisições[[#This Row],[QUANTIDADE PLANEJADA]]</f>
        <v>-10</v>
      </c>
      <c r="O2202" s="106" t="str">
        <f t="shared" si="69"/>
        <v>Faltando Comprar</v>
      </c>
    </row>
    <row r="2203" spans="1:15" ht="31.5">
      <c r="A2203" s="16" t="s">
        <v>17</v>
      </c>
      <c r="B2203" s="16" t="s">
        <v>80</v>
      </c>
      <c r="C2203" s="17" t="s">
        <v>19</v>
      </c>
      <c r="D2203" s="18" t="s">
        <v>1270</v>
      </c>
      <c r="E2203" s="18">
        <v>2</v>
      </c>
      <c r="F2203" s="18" t="s">
        <v>82</v>
      </c>
      <c r="G2203" s="18" t="s">
        <v>39</v>
      </c>
      <c r="H2203" s="21"/>
      <c r="I2203" s="19">
        <v>229.67</v>
      </c>
      <c r="J2203" s="20">
        <f t="shared" si="68"/>
        <v>459.34</v>
      </c>
      <c r="K2203" s="106"/>
      <c r="L2203" s="114"/>
      <c r="M2203" s="114">
        <f>tblAquisições[[#This Row],[VALOR UNITARIO COMPRADO]]*tblAquisições[[#This Row],[QUANTIDADE COMPRADA]]</f>
        <v>0</v>
      </c>
      <c r="N2203" s="110">
        <f>K2203-tblAquisições[[#This Row],[QUANTIDADE PLANEJADA]]</f>
        <v>-2</v>
      </c>
      <c r="O2203" s="106" t="str">
        <f t="shared" si="69"/>
        <v>Faltando Comprar</v>
      </c>
    </row>
    <row r="2204" spans="1:15" ht="31.5">
      <c r="A2204" s="16" t="s">
        <v>17</v>
      </c>
      <c r="B2204" s="16" t="s">
        <v>31</v>
      </c>
      <c r="C2204" s="17" t="s">
        <v>19</v>
      </c>
      <c r="D2204" s="18" t="s">
        <v>1271</v>
      </c>
      <c r="E2204" s="18">
        <v>4</v>
      </c>
      <c r="F2204" s="18" t="s">
        <v>30</v>
      </c>
      <c r="G2204" s="18" t="s">
        <v>22</v>
      </c>
      <c r="H2204" s="18" t="s">
        <v>23</v>
      </c>
      <c r="I2204" s="19">
        <v>229.67</v>
      </c>
      <c r="J2204" s="20">
        <f t="shared" si="68"/>
        <v>918.68</v>
      </c>
      <c r="K2204" s="106"/>
      <c r="L2204" s="114"/>
      <c r="M2204" s="114">
        <f>tblAquisições[[#This Row],[VALOR UNITARIO COMPRADO]]*tblAquisições[[#This Row],[QUANTIDADE COMPRADA]]</f>
        <v>0</v>
      </c>
      <c r="N2204" s="110">
        <f>K2204-tblAquisições[[#This Row],[QUANTIDADE PLANEJADA]]</f>
        <v>-4</v>
      </c>
      <c r="O2204" s="106" t="str">
        <f t="shared" si="69"/>
        <v>Faltando Comprar</v>
      </c>
    </row>
    <row r="2205" spans="1:15" ht="31.5">
      <c r="A2205" s="16" t="s">
        <v>17</v>
      </c>
      <c r="B2205" s="16" t="s">
        <v>18</v>
      </c>
      <c r="C2205" s="17" t="s">
        <v>19</v>
      </c>
      <c r="D2205" s="18" t="s">
        <v>1271</v>
      </c>
      <c r="E2205" s="18">
        <v>8</v>
      </c>
      <c r="F2205" s="18" t="s">
        <v>30</v>
      </c>
      <c r="G2205" s="18" t="s">
        <v>22</v>
      </c>
      <c r="H2205" s="18" t="s">
        <v>23</v>
      </c>
      <c r="I2205" s="19">
        <v>229.67</v>
      </c>
      <c r="J2205" s="20">
        <f t="shared" si="68"/>
        <v>1837.36</v>
      </c>
      <c r="K2205" s="106"/>
      <c r="L2205" s="114"/>
      <c r="M2205" s="114">
        <f>tblAquisições[[#This Row],[VALOR UNITARIO COMPRADO]]*tblAquisições[[#This Row],[QUANTIDADE COMPRADA]]</f>
        <v>0</v>
      </c>
      <c r="N2205" s="110">
        <f>K2205-tblAquisições[[#This Row],[QUANTIDADE PLANEJADA]]</f>
        <v>-8</v>
      </c>
      <c r="O2205" s="106" t="str">
        <f t="shared" si="69"/>
        <v>Faltando Comprar</v>
      </c>
    </row>
    <row r="2206" spans="1:15" ht="31.5">
      <c r="A2206" s="16" t="s">
        <v>17</v>
      </c>
      <c r="B2206" s="16" t="s">
        <v>24</v>
      </c>
      <c r="C2206" s="17" t="s">
        <v>19</v>
      </c>
      <c r="D2206" s="18" t="s">
        <v>1271</v>
      </c>
      <c r="E2206" s="18">
        <v>8</v>
      </c>
      <c r="F2206" s="18" t="s">
        <v>30</v>
      </c>
      <c r="G2206" s="18" t="s">
        <v>22</v>
      </c>
      <c r="H2206" s="18" t="s">
        <v>23</v>
      </c>
      <c r="I2206" s="19">
        <v>229.67</v>
      </c>
      <c r="J2206" s="20">
        <f t="shared" si="68"/>
        <v>1837.36</v>
      </c>
      <c r="K2206" s="106"/>
      <c r="L2206" s="114"/>
      <c r="M2206" s="114">
        <f>tblAquisições[[#This Row],[VALOR UNITARIO COMPRADO]]*tblAquisições[[#This Row],[QUANTIDADE COMPRADA]]</f>
        <v>0</v>
      </c>
      <c r="N2206" s="110">
        <f>K2206-tblAquisições[[#This Row],[QUANTIDADE PLANEJADA]]</f>
        <v>-8</v>
      </c>
      <c r="O2206" s="106" t="str">
        <f t="shared" si="69"/>
        <v>Faltando Comprar</v>
      </c>
    </row>
    <row r="2207" spans="1:15" ht="31.5">
      <c r="A2207" s="16" t="s">
        <v>17</v>
      </c>
      <c r="B2207" s="16" t="s">
        <v>25</v>
      </c>
      <c r="C2207" s="17" t="s">
        <v>19</v>
      </c>
      <c r="D2207" s="18" t="s">
        <v>1271</v>
      </c>
      <c r="E2207" s="18">
        <v>8</v>
      </c>
      <c r="F2207" s="18" t="s">
        <v>30</v>
      </c>
      <c r="G2207" s="18" t="s">
        <v>22</v>
      </c>
      <c r="H2207" s="18" t="s">
        <v>23</v>
      </c>
      <c r="I2207" s="19">
        <v>229.67</v>
      </c>
      <c r="J2207" s="20">
        <f t="shared" si="68"/>
        <v>1837.36</v>
      </c>
      <c r="K2207" s="106"/>
      <c r="L2207" s="114"/>
      <c r="M2207" s="114">
        <f>tblAquisições[[#This Row],[VALOR UNITARIO COMPRADO]]*tblAquisições[[#This Row],[QUANTIDADE COMPRADA]]</f>
        <v>0</v>
      </c>
      <c r="N2207" s="110">
        <f>K2207-tblAquisições[[#This Row],[QUANTIDADE PLANEJADA]]</f>
        <v>-8</v>
      </c>
      <c r="O2207" s="106" t="str">
        <f t="shared" si="69"/>
        <v>Faltando Comprar</v>
      </c>
    </row>
    <row r="2208" spans="1:15" ht="31.5">
      <c r="A2208" s="16" t="s">
        <v>17</v>
      </c>
      <c r="B2208" s="16" t="s">
        <v>26</v>
      </c>
      <c r="C2208" s="17" t="s">
        <v>19</v>
      </c>
      <c r="D2208" s="18" t="s">
        <v>1271</v>
      </c>
      <c r="E2208" s="18">
        <v>5</v>
      </c>
      <c r="F2208" s="18" t="s">
        <v>30</v>
      </c>
      <c r="G2208" s="18" t="s">
        <v>22</v>
      </c>
      <c r="H2208" s="18" t="s">
        <v>23</v>
      </c>
      <c r="I2208" s="19">
        <v>229.67</v>
      </c>
      <c r="J2208" s="20">
        <f t="shared" si="68"/>
        <v>1148.3499999999999</v>
      </c>
      <c r="K2208" s="106"/>
      <c r="L2208" s="114"/>
      <c r="M2208" s="114">
        <f>tblAquisições[[#This Row],[VALOR UNITARIO COMPRADO]]*tblAquisições[[#This Row],[QUANTIDADE COMPRADA]]</f>
        <v>0</v>
      </c>
      <c r="N2208" s="110">
        <f>K2208-tblAquisições[[#This Row],[QUANTIDADE PLANEJADA]]</f>
        <v>-5</v>
      </c>
      <c r="O2208" s="106" t="str">
        <f t="shared" si="69"/>
        <v>Faltando Comprar</v>
      </c>
    </row>
    <row r="2209" spans="1:15" ht="31.5">
      <c r="A2209" s="16" t="s">
        <v>17</v>
      </c>
      <c r="B2209" s="16" t="s">
        <v>27</v>
      </c>
      <c r="C2209" s="17" t="s">
        <v>19</v>
      </c>
      <c r="D2209" s="18" t="s">
        <v>1271</v>
      </c>
      <c r="E2209" s="18">
        <v>10</v>
      </c>
      <c r="F2209" s="18" t="s">
        <v>30</v>
      </c>
      <c r="G2209" s="18" t="s">
        <v>22</v>
      </c>
      <c r="H2209" s="18" t="s">
        <v>23</v>
      </c>
      <c r="I2209" s="19">
        <v>229.67</v>
      </c>
      <c r="J2209" s="20">
        <f t="shared" si="68"/>
        <v>2296.6999999999998</v>
      </c>
      <c r="K2209" s="106"/>
      <c r="L2209" s="114"/>
      <c r="M2209" s="114">
        <f>tblAquisições[[#This Row],[VALOR UNITARIO COMPRADO]]*tblAquisições[[#This Row],[QUANTIDADE COMPRADA]]</f>
        <v>0</v>
      </c>
      <c r="N2209" s="110">
        <f>K2209-tblAquisições[[#This Row],[QUANTIDADE PLANEJADA]]</f>
        <v>-10</v>
      </c>
      <c r="O2209" s="106" t="str">
        <f t="shared" si="69"/>
        <v>Faltando Comprar</v>
      </c>
    </row>
    <row r="2210" spans="1:15" ht="31.5">
      <c r="A2210" s="16" t="s">
        <v>17</v>
      </c>
      <c r="B2210" s="16" t="s">
        <v>80</v>
      </c>
      <c r="C2210" s="17" t="s">
        <v>19</v>
      </c>
      <c r="D2210" s="18" t="s">
        <v>1272</v>
      </c>
      <c r="E2210" s="18">
        <v>2</v>
      </c>
      <c r="F2210" s="18" t="s">
        <v>82</v>
      </c>
      <c r="G2210" s="18" t="s">
        <v>39</v>
      </c>
      <c r="H2210" s="21"/>
      <c r="I2210" s="19">
        <v>713</v>
      </c>
      <c r="J2210" s="20">
        <f t="shared" si="68"/>
        <v>1426</v>
      </c>
      <c r="K2210" s="106"/>
      <c r="L2210" s="114"/>
      <c r="M2210" s="114">
        <f>tblAquisições[[#This Row],[VALOR UNITARIO COMPRADO]]*tblAquisições[[#This Row],[QUANTIDADE COMPRADA]]</f>
        <v>0</v>
      </c>
      <c r="N2210" s="110">
        <f>K2210-tblAquisições[[#This Row],[QUANTIDADE PLANEJADA]]</f>
        <v>-2</v>
      </c>
      <c r="O2210" s="106" t="str">
        <f t="shared" si="69"/>
        <v>Faltando Comprar</v>
      </c>
    </row>
    <row r="2211" spans="1:15" ht="31.5">
      <c r="A2211" s="16" t="s">
        <v>17</v>
      </c>
      <c r="B2211" s="16" t="s">
        <v>31</v>
      </c>
      <c r="C2211" s="17" t="s">
        <v>19</v>
      </c>
      <c r="D2211" s="18" t="s">
        <v>1273</v>
      </c>
      <c r="E2211" s="18">
        <v>2</v>
      </c>
      <c r="F2211" s="18" t="s">
        <v>30</v>
      </c>
      <c r="G2211" s="18" t="s">
        <v>22</v>
      </c>
      <c r="H2211" s="18" t="s">
        <v>23</v>
      </c>
      <c r="I2211" s="19">
        <v>713</v>
      </c>
      <c r="J2211" s="20">
        <f t="shared" si="68"/>
        <v>1426</v>
      </c>
      <c r="K2211" s="106"/>
      <c r="L2211" s="114"/>
      <c r="M2211" s="114">
        <f>tblAquisições[[#This Row],[VALOR UNITARIO COMPRADO]]*tblAquisições[[#This Row],[QUANTIDADE COMPRADA]]</f>
        <v>0</v>
      </c>
      <c r="N2211" s="110">
        <f>K2211-tblAquisições[[#This Row],[QUANTIDADE PLANEJADA]]</f>
        <v>-2</v>
      </c>
      <c r="O2211" s="106" t="str">
        <f t="shared" si="69"/>
        <v>Faltando Comprar</v>
      </c>
    </row>
    <row r="2212" spans="1:15" ht="31.5">
      <c r="A2212" s="16" t="s">
        <v>17</v>
      </c>
      <c r="B2212" s="16" t="s">
        <v>18</v>
      </c>
      <c r="C2212" s="17" t="s">
        <v>19</v>
      </c>
      <c r="D2212" s="18" t="s">
        <v>1273</v>
      </c>
      <c r="E2212" s="18">
        <v>8</v>
      </c>
      <c r="F2212" s="18" t="s">
        <v>30</v>
      </c>
      <c r="G2212" s="18" t="s">
        <v>22</v>
      </c>
      <c r="H2212" s="18" t="s">
        <v>23</v>
      </c>
      <c r="I2212" s="19">
        <v>713</v>
      </c>
      <c r="J2212" s="20">
        <f t="shared" si="68"/>
        <v>5704</v>
      </c>
      <c r="K2212" s="106"/>
      <c r="L2212" s="114"/>
      <c r="M2212" s="114">
        <f>tblAquisições[[#This Row],[VALOR UNITARIO COMPRADO]]*tblAquisições[[#This Row],[QUANTIDADE COMPRADA]]</f>
        <v>0</v>
      </c>
      <c r="N2212" s="110">
        <f>K2212-tblAquisições[[#This Row],[QUANTIDADE PLANEJADA]]</f>
        <v>-8</v>
      </c>
      <c r="O2212" s="106" t="str">
        <f t="shared" si="69"/>
        <v>Faltando Comprar</v>
      </c>
    </row>
    <row r="2213" spans="1:15" ht="31.5">
      <c r="A2213" s="16" t="s">
        <v>17</v>
      </c>
      <c r="B2213" s="16" t="s">
        <v>24</v>
      </c>
      <c r="C2213" s="17" t="s">
        <v>19</v>
      </c>
      <c r="D2213" s="18" t="s">
        <v>1273</v>
      </c>
      <c r="E2213" s="18">
        <v>8</v>
      </c>
      <c r="F2213" s="18" t="s">
        <v>30</v>
      </c>
      <c r="G2213" s="18" t="s">
        <v>22</v>
      </c>
      <c r="H2213" s="18" t="s">
        <v>23</v>
      </c>
      <c r="I2213" s="19">
        <v>713</v>
      </c>
      <c r="J2213" s="20">
        <f t="shared" si="68"/>
        <v>5704</v>
      </c>
      <c r="K2213" s="106"/>
      <c r="L2213" s="114"/>
      <c r="M2213" s="114">
        <f>tblAquisições[[#This Row],[VALOR UNITARIO COMPRADO]]*tblAquisições[[#This Row],[QUANTIDADE COMPRADA]]</f>
        <v>0</v>
      </c>
      <c r="N2213" s="110">
        <f>K2213-tblAquisições[[#This Row],[QUANTIDADE PLANEJADA]]</f>
        <v>-8</v>
      </c>
      <c r="O2213" s="106" t="str">
        <f t="shared" si="69"/>
        <v>Faltando Comprar</v>
      </c>
    </row>
    <row r="2214" spans="1:15" ht="31.5">
      <c r="A2214" s="16" t="s">
        <v>17</v>
      </c>
      <c r="B2214" s="16" t="s">
        <v>25</v>
      </c>
      <c r="C2214" s="17" t="s">
        <v>19</v>
      </c>
      <c r="D2214" s="18" t="s">
        <v>1273</v>
      </c>
      <c r="E2214" s="18">
        <v>8</v>
      </c>
      <c r="F2214" s="18" t="s">
        <v>30</v>
      </c>
      <c r="G2214" s="18" t="s">
        <v>22</v>
      </c>
      <c r="H2214" s="18" t="s">
        <v>23</v>
      </c>
      <c r="I2214" s="19">
        <v>713</v>
      </c>
      <c r="J2214" s="20">
        <f t="shared" si="68"/>
        <v>5704</v>
      </c>
      <c r="K2214" s="106"/>
      <c r="L2214" s="114"/>
      <c r="M2214" s="114">
        <f>tblAquisições[[#This Row],[VALOR UNITARIO COMPRADO]]*tblAquisições[[#This Row],[QUANTIDADE COMPRADA]]</f>
        <v>0</v>
      </c>
      <c r="N2214" s="110">
        <f>K2214-tblAquisições[[#This Row],[QUANTIDADE PLANEJADA]]</f>
        <v>-8</v>
      </c>
      <c r="O2214" s="106" t="str">
        <f t="shared" si="69"/>
        <v>Faltando Comprar</v>
      </c>
    </row>
    <row r="2215" spans="1:15" ht="31.5">
      <c r="A2215" s="16" t="s">
        <v>17</v>
      </c>
      <c r="B2215" s="16" t="s">
        <v>26</v>
      </c>
      <c r="C2215" s="17" t="s">
        <v>19</v>
      </c>
      <c r="D2215" s="18" t="s">
        <v>1273</v>
      </c>
      <c r="E2215" s="18">
        <v>5</v>
      </c>
      <c r="F2215" s="18" t="s">
        <v>30</v>
      </c>
      <c r="G2215" s="18" t="s">
        <v>22</v>
      </c>
      <c r="H2215" s="18" t="s">
        <v>23</v>
      </c>
      <c r="I2215" s="19">
        <v>713</v>
      </c>
      <c r="J2215" s="20">
        <f t="shared" si="68"/>
        <v>3565</v>
      </c>
      <c r="K2215" s="106"/>
      <c r="L2215" s="114"/>
      <c r="M2215" s="114">
        <f>tblAquisições[[#This Row],[VALOR UNITARIO COMPRADO]]*tblAquisições[[#This Row],[QUANTIDADE COMPRADA]]</f>
        <v>0</v>
      </c>
      <c r="N2215" s="110">
        <f>K2215-tblAquisições[[#This Row],[QUANTIDADE PLANEJADA]]</f>
        <v>-5</v>
      </c>
      <c r="O2215" s="106" t="str">
        <f t="shared" si="69"/>
        <v>Faltando Comprar</v>
      </c>
    </row>
    <row r="2216" spans="1:15" ht="31.5">
      <c r="A2216" s="16" t="s">
        <v>17</v>
      </c>
      <c r="B2216" s="16" t="s">
        <v>27</v>
      </c>
      <c r="C2216" s="17" t="s">
        <v>19</v>
      </c>
      <c r="D2216" s="18" t="s">
        <v>1273</v>
      </c>
      <c r="E2216" s="18">
        <v>10</v>
      </c>
      <c r="F2216" s="18" t="s">
        <v>30</v>
      </c>
      <c r="G2216" s="18" t="s">
        <v>22</v>
      </c>
      <c r="H2216" s="18" t="s">
        <v>23</v>
      </c>
      <c r="I2216" s="19">
        <v>713</v>
      </c>
      <c r="J2216" s="20">
        <f t="shared" si="68"/>
        <v>7130</v>
      </c>
      <c r="K2216" s="106"/>
      <c r="L2216" s="114"/>
      <c r="M2216" s="114">
        <f>tblAquisições[[#This Row],[VALOR UNITARIO COMPRADO]]*tblAquisições[[#This Row],[QUANTIDADE COMPRADA]]</f>
        <v>0</v>
      </c>
      <c r="N2216" s="110">
        <f>K2216-tblAquisições[[#This Row],[QUANTIDADE PLANEJADA]]</f>
        <v>-10</v>
      </c>
      <c r="O2216" s="106" t="str">
        <f t="shared" si="69"/>
        <v>Faltando Comprar</v>
      </c>
    </row>
    <row r="2217" spans="1:15" ht="31.5">
      <c r="A2217" s="16" t="s">
        <v>17</v>
      </c>
      <c r="B2217" s="16" t="s">
        <v>18</v>
      </c>
      <c r="C2217" s="17" t="s">
        <v>19</v>
      </c>
      <c r="D2217" s="18" t="s">
        <v>1274</v>
      </c>
      <c r="E2217" s="18">
        <v>10</v>
      </c>
      <c r="F2217" s="18" t="s">
        <v>30</v>
      </c>
      <c r="G2217" s="18" t="s">
        <v>22</v>
      </c>
      <c r="H2217" s="18" t="s">
        <v>23</v>
      </c>
      <c r="I2217" s="19">
        <v>400.21</v>
      </c>
      <c r="J2217" s="20">
        <f t="shared" si="68"/>
        <v>4002.1</v>
      </c>
      <c r="K2217" s="106"/>
      <c r="L2217" s="114"/>
      <c r="M2217" s="114">
        <f>tblAquisições[[#This Row],[VALOR UNITARIO COMPRADO]]*tblAquisições[[#This Row],[QUANTIDADE COMPRADA]]</f>
        <v>0</v>
      </c>
      <c r="N2217" s="110">
        <f>K2217-tblAquisições[[#This Row],[QUANTIDADE PLANEJADA]]</f>
        <v>-10</v>
      </c>
      <c r="O2217" s="106" t="str">
        <f t="shared" si="69"/>
        <v>Faltando Comprar</v>
      </c>
    </row>
    <row r="2218" spans="1:15" ht="31.5">
      <c r="A2218" s="16" t="s">
        <v>17</v>
      </c>
      <c r="B2218" s="16" t="s">
        <v>24</v>
      </c>
      <c r="C2218" s="17" t="s">
        <v>19</v>
      </c>
      <c r="D2218" s="18" t="s">
        <v>1274</v>
      </c>
      <c r="E2218" s="18">
        <v>10</v>
      </c>
      <c r="F2218" s="18" t="s">
        <v>30</v>
      </c>
      <c r="G2218" s="18" t="s">
        <v>22</v>
      </c>
      <c r="H2218" s="18" t="s">
        <v>23</v>
      </c>
      <c r="I2218" s="19">
        <v>400.21</v>
      </c>
      <c r="J2218" s="20">
        <f t="shared" si="68"/>
        <v>4002.1</v>
      </c>
      <c r="K2218" s="106"/>
      <c r="L2218" s="114"/>
      <c r="M2218" s="114">
        <f>tblAquisições[[#This Row],[VALOR UNITARIO COMPRADO]]*tblAquisições[[#This Row],[QUANTIDADE COMPRADA]]</f>
        <v>0</v>
      </c>
      <c r="N2218" s="110">
        <f>K2218-tblAquisições[[#This Row],[QUANTIDADE PLANEJADA]]</f>
        <v>-10</v>
      </c>
      <c r="O2218" s="106" t="str">
        <f t="shared" si="69"/>
        <v>Faltando Comprar</v>
      </c>
    </row>
    <row r="2219" spans="1:15" ht="31.5">
      <c r="A2219" s="16" t="s">
        <v>17</v>
      </c>
      <c r="B2219" s="16" t="s">
        <v>25</v>
      </c>
      <c r="C2219" s="17" t="s">
        <v>19</v>
      </c>
      <c r="D2219" s="18" t="s">
        <v>1274</v>
      </c>
      <c r="E2219" s="18">
        <v>10</v>
      </c>
      <c r="F2219" s="18" t="s">
        <v>30</v>
      </c>
      <c r="G2219" s="18" t="s">
        <v>22</v>
      </c>
      <c r="H2219" s="18" t="s">
        <v>23</v>
      </c>
      <c r="I2219" s="19">
        <v>400.21</v>
      </c>
      <c r="J2219" s="20">
        <f t="shared" si="68"/>
        <v>4002.1</v>
      </c>
      <c r="K2219" s="106"/>
      <c r="L2219" s="114"/>
      <c r="M2219" s="114">
        <f>tblAquisições[[#This Row],[VALOR UNITARIO COMPRADO]]*tblAquisições[[#This Row],[QUANTIDADE COMPRADA]]</f>
        <v>0</v>
      </c>
      <c r="N2219" s="110">
        <f>K2219-tblAquisições[[#This Row],[QUANTIDADE PLANEJADA]]</f>
        <v>-10</v>
      </c>
      <c r="O2219" s="106" t="str">
        <f t="shared" si="69"/>
        <v>Faltando Comprar</v>
      </c>
    </row>
    <row r="2220" spans="1:15" ht="31.5">
      <c r="A2220" s="16" t="s">
        <v>17</v>
      </c>
      <c r="B2220" s="16" t="s">
        <v>27</v>
      </c>
      <c r="C2220" s="17" t="s">
        <v>19</v>
      </c>
      <c r="D2220" s="18" t="s">
        <v>1274</v>
      </c>
      <c r="E2220" s="18">
        <v>10</v>
      </c>
      <c r="F2220" s="18" t="s">
        <v>30</v>
      </c>
      <c r="G2220" s="18" t="s">
        <v>22</v>
      </c>
      <c r="H2220" s="18" t="s">
        <v>23</v>
      </c>
      <c r="I2220" s="19">
        <v>400.21</v>
      </c>
      <c r="J2220" s="20">
        <f t="shared" si="68"/>
        <v>4002.1</v>
      </c>
      <c r="K2220" s="106"/>
      <c r="L2220" s="114"/>
      <c r="M2220" s="114">
        <f>tblAquisições[[#This Row],[VALOR UNITARIO COMPRADO]]*tblAquisições[[#This Row],[QUANTIDADE COMPRADA]]</f>
        <v>0</v>
      </c>
      <c r="N2220" s="110">
        <f>K2220-tblAquisições[[#This Row],[QUANTIDADE PLANEJADA]]</f>
        <v>-10</v>
      </c>
      <c r="O2220" s="106" t="str">
        <f t="shared" si="69"/>
        <v>Faltando Comprar</v>
      </c>
    </row>
    <row r="2221" spans="1:15" ht="31.5">
      <c r="A2221" s="16" t="s">
        <v>17</v>
      </c>
      <c r="B2221" s="16" t="s">
        <v>80</v>
      </c>
      <c r="C2221" s="17" t="s">
        <v>19</v>
      </c>
      <c r="D2221" s="18" t="s">
        <v>1275</v>
      </c>
      <c r="E2221" s="18">
        <v>3</v>
      </c>
      <c r="F2221" s="18" t="s">
        <v>82</v>
      </c>
      <c r="G2221" s="18" t="s">
        <v>39</v>
      </c>
      <c r="H2221" s="21"/>
      <c r="I2221" s="19">
        <v>170</v>
      </c>
      <c r="J2221" s="20">
        <f t="shared" si="68"/>
        <v>510</v>
      </c>
      <c r="K2221" s="106"/>
      <c r="L2221" s="114"/>
      <c r="M2221" s="114">
        <f>tblAquisições[[#This Row],[VALOR UNITARIO COMPRADO]]*tblAquisições[[#This Row],[QUANTIDADE COMPRADA]]</f>
        <v>0</v>
      </c>
      <c r="N2221" s="110">
        <f>K2221-tblAquisições[[#This Row],[QUANTIDADE PLANEJADA]]</f>
        <v>-3</v>
      </c>
      <c r="O2221" s="106" t="str">
        <f t="shared" si="69"/>
        <v>Faltando Comprar</v>
      </c>
    </row>
    <row r="2222" spans="1:15" ht="31.5">
      <c r="A2222" s="16" t="s">
        <v>17</v>
      </c>
      <c r="B2222" s="16" t="s">
        <v>26</v>
      </c>
      <c r="C2222" s="17" t="s">
        <v>19</v>
      </c>
      <c r="D2222" s="18" t="s">
        <v>1276</v>
      </c>
      <c r="E2222" s="18">
        <v>5</v>
      </c>
      <c r="F2222" s="18" t="s">
        <v>30</v>
      </c>
      <c r="G2222" s="18" t="s">
        <v>22</v>
      </c>
      <c r="H2222" s="18" t="s">
        <v>23</v>
      </c>
      <c r="I2222" s="19">
        <v>170</v>
      </c>
      <c r="J2222" s="20">
        <f t="shared" si="68"/>
        <v>850</v>
      </c>
      <c r="K2222" s="106"/>
      <c r="L2222" s="114"/>
      <c r="M2222" s="114">
        <f>tblAquisições[[#This Row],[VALOR UNITARIO COMPRADO]]*tblAquisições[[#This Row],[QUANTIDADE COMPRADA]]</f>
        <v>0</v>
      </c>
      <c r="N2222" s="110">
        <f>K2222-tblAquisições[[#This Row],[QUANTIDADE PLANEJADA]]</f>
        <v>-5</v>
      </c>
      <c r="O2222" s="106" t="str">
        <f t="shared" si="69"/>
        <v>Faltando Comprar</v>
      </c>
    </row>
    <row r="2223" spans="1:15" ht="31.5">
      <c r="A2223" s="16" t="s">
        <v>17</v>
      </c>
      <c r="B2223" s="16" t="s">
        <v>31</v>
      </c>
      <c r="C2223" s="17" t="s">
        <v>19</v>
      </c>
      <c r="D2223" s="18" t="s">
        <v>1277</v>
      </c>
      <c r="E2223" s="18">
        <v>35</v>
      </c>
      <c r="F2223" s="18" t="s">
        <v>30</v>
      </c>
      <c r="G2223" s="18" t="s">
        <v>22</v>
      </c>
      <c r="H2223" s="18" t="s">
        <v>23</v>
      </c>
      <c r="I2223" s="19">
        <v>190</v>
      </c>
      <c r="J2223" s="20">
        <f t="shared" si="68"/>
        <v>6650</v>
      </c>
      <c r="K2223" s="106"/>
      <c r="L2223" s="114"/>
      <c r="M2223" s="114">
        <f>tblAquisições[[#This Row],[VALOR UNITARIO COMPRADO]]*tblAquisições[[#This Row],[QUANTIDADE COMPRADA]]</f>
        <v>0</v>
      </c>
      <c r="N2223" s="110">
        <f>K2223-tblAquisições[[#This Row],[QUANTIDADE PLANEJADA]]</f>
        <v>-35</v>
      </c>
      <c r="O2223" s="106" t="str">
        <f t="shared" si="69"/>
        <v>Faltando Comprar</v>
      </c>
    </row>
    <row r="2224" spans="1:15" ht="31.5">
      <c r="A2224" s="16" t="s">
        <v>17</v>
      </c>
      <c r="B2224" s="16" t="s">
        <v>80</v>
      </c>
      <c r="C2224" s="17" t="s">
        <v>19</v>
      </c>
      <c r="D2224" s="18" t="s">
        <v>1278</v>
      </c>
      <c r="E2224" s="18">
        <v>3</v>
      </c>
      <c r="F2224" s="18" t="s">
        <v>82</v>
      </c>
      <c r="G2224" s="18" t="s">
        <v>39</v>
      </c>
      <c r="H2224" s="21"/>
      <c r="I2224" s="19">
        <v>215</v>
      </c>
      <c r="J2224" s="20">
        <f t="shared" si="68"/>
        <v>645</v>
      </c>
      <c r="K2224" s="106"/>
      <c r="L2224" s="114"/>
      <c r="M2224" s="114">
        <f>tblAquisições[[#This Row],[VALOR UNITARIO COMPRADO]]*tblAquisições[[#This Row],[QUANTIDADE COMPRADA]]</f>
        <v>0</v>
      </c>
      <c r="N2224" s="110">
        <f>K2224-tblAquisições[[#This Row],[QUANTIDADE PLANEJADA]]</f>
        <v>-3</v>
      </c>
      <c r="O2224" s="106" t="str">
        <f t="shared" si="69"/>
        <v>Faltando Comprar</v>
      </c>
    </row>
    <row r="2225" spans="1:15" ht="31.5">
      <c r="A2225" s="16" t="s">
        <v>17</v>
      </c>
      <c r="B2225" s="16" t="s">
        <v>18</v>
      </c>
      <c r="C2225" s="17" t="s">
        <v>19</v>
      </c>
      <c r="D2225" s="18" t="s">
        <v>1279</v>
      </c>
      <c r="E2225" s="18">
        <v>10</v>
      </c>
      <c r="F2225" s="18" t="s">
        <v>30</v>
      </c>
      <c r="G2225" s="18" t="s">
        <v>22</v>
      </c>
      <c r="H2225" s="18" t="s">
        <v>23</v>
      </c>
      <c r="I2225" s="19">
        <v>215</v>
      </c>
      <c r="J2225" s="20">
        <f t="shared" si="68"/>
        <v>2150</v>
      </c>
      <c r="K2225" s="106"/>
      <c r="L2225" s="114"/>
      <c r="M2225" s="114">
        <f>tblAquisições[[#This Row],[VALOR UNITARIO COMPRADO]]*tblAquisições[[#This Row],[QUANTIDADE COMPRADA]]</f>
        <v>0</v>
      </c>
      <c r="N2225" s="110">
        <f>K2225-tblAquisições[[#This Row],[QUANTIDADE PLANEJADA]]</f>
        <v>-10</v>
      </c>
      <c r="O2225" s="106" t="str">
        <f t="shared" si="69"/>
        <v>Faltando Comprar</v>
      </c>
    </row>
    <row r="2226" spans="1:15" ht="31.5">
      <c r="A2226" s="16" t="s">
        <v>17</v>
      </c>
      <c r="B2226" s="16" t="s">
        <v>24</v>
      </c>
      <c r="C2226" s="17" t="s">
        <v>19</v>
      </c>
      <c r="D2226" s="18" t="s">
        <v>1279</v>
      </c>
      <c r="E2226" s="18">
        <v>10</v>
      </c>
      <c r="F2226" s="18" t="s">
        <v>30</v>
      </c>
      <c r="G2226" s="18" t="s">
        <v>22</v>
      </c>
      <c r="H2226" s="18" t="s">
        <v>23</v>
      </c>
      <c r="I2226" s="19">
        <v>215</v>
      </c>
      <c r="J2226" s="20">
        <f t="shared" si="68"/>
        <v>2150</v>
      </c>
      <c r="K2226" s="106"/>
      <c r="L2226" s="114"/>
      <c r="M2226" s="114">
        <f>tblAquisições[[#This Row],[VALOR UNITARIO COMPRADO]]*tblAquisições[[#This Row],[QUANTIDADE COMPRADA]]</f>
        <v>0</v>
      </c>
      <c r="N2226" s="110">
        <f>K2226-tblAquisições[[#This Row],[QUANTIDADE PLANEJADA]]</f>
        <v>-10</v>
      </c>
      <c r="O2226" s="106" t="str">
        <f t="shared" si="69"/>
        <v>Faltando Comprar</v>
      </c>
    </row>
    <row r="2227" spans="1:15" ht="31.5">
      <c r="A2227" s="16" t="s">
        <v>17</v>
      </c>
      <c r="B2227" s="16" t="s">
        <v>25</v>
      </c>
      <c r="C2227" s="17" t="s">
        <v>19</v>
      </c>
      <c r="D2227" s="18" t="s">
        <v>1279</v>
      </c>
      <c r="E2227" s="18">
        <v>10</v>
      </c>
      <c r="F2227" s="18" t="s">
        <v>30</v>
      </c>
      <c r="G2227" s="18" t="s">
        <v>22</v>
      </c>
      <c r="H2227" s="18" t="s">
        <v>23</v>
      </c>
      <c r="I2227" s="19">
        <v>215</v>
      </c>
      <c r="J2227" s="20">
        <f t="shared" si="68"/>
        <v>2150</v>
      </c>
      <c r="K2227" s="106"/>
      <c r="L2227" s="114"/>
      <c r="M2227" s="114">
        <f>tblAquisições[[#This Row],[VALOR UNITARIO COMPRADO]]*tblAquisições[[#This Row],[QUANTIDADE COMPRADA]]</f>
        <v>0</v>
      </c>
      <c r="N2227" s="110">
        <f>K2227-tblAquisições[[#This Row],[QUANTIDADE PLANEJADA]]</f>
        <v>-10</v>
      </c>
      <c r="O2227" s="106" t="str">
        <f t="shared" si="69"/>
        <v>Faltando Comprar</v>
      </c>
    </row>
    <row r="2228" spans="1:15" ht="31.5">
      <c r="A2228" s="16" t="s">
        <v>17</v>
      </c>
      <c r="B2228" s="16" t="s">
        <v>26</v>
      </c>
      <c r="C2228" s="17" t="s">
        <v>19</v>
      </c>
      <c r="D2228" s="18" t="s">
        <v>1279</v>
      </c>
      <c r="E2228" s="18">
        <v>5</v>
      </c>
      <c r="F2228" s="18" t="s">
        <v>30</v>
      </c>
      <c r="G2228" s="18" t="s">
        <v>22</v>
      </c>
      <c r="H2228" s="18" t="s">
        <v>23</v>
      </c>
      <c r="I2228" s="19">
        <v>215</v>
      </c>
      <c r="J2228" s="20">
        <f t="shared" si="68"/>
        <v>1075</v>
      </c>
      <c r="K2228" s="106"/>
      <c r="L2228" s="114"/>
      <c r="M2228" s="114">
        <f>tblAquisições[[#This Row],[VALOR UNITARIO COMPRADO]]*tblAquisições[[#This Row],[QUANTIDADE COMPRADA]]</f>
        <v>0</v>
      </c>
      <c r="N2228" s="110">
        <f>K2228-tblAquisições[[#This Row],[QUANTIDADE PLANEJADA]]</f>
        <v>-5</v>
      </c>
      <c r="O2228" s="106" t="str">
        <f t="shared" si="69"/>
        <v>Faltando Comprar</v>
      </c>
    </row>
    <row r="2229" spans="1:15" ht="31.5">
      <c r="A2229" s="16" t="s">
        <v>17</v>
      </c>
      <c r="B2229" s="16" t="s">
        <v>18</v>
      </c>
      <c r="C2229" s="17" t="s">
        <v>19</v>
      </c>
      <c r="D2229" s="18" t="s">
        <v>1280</v>
      </c>
      <c r="E2229" s="18">
        <v>15</v>
      </c>
      <c r="F2229" s="18" t="s">
        <v>30</v>
      </c>
      <c r="G2229" s="18" t="s">
        <v>22</v>
      </c>
      <c r="H2229" s="18" t="s">
        <v>23</v>
      </c>
      <c r="I2229" s="19">
        <v>265</v>
      </c>
      <c r="J2229" s="20">
        <f t="shared" si="68"/>
        <v>3975</v>
      </c>
      <c r="K2229" s="106"/>
      <c r="L2229" s="114"/>
      <c r="M2229" s="114">
        <f>tblAquisições[[#This Row],[VALOR UNITARIO COMPRADO]]*tblAquisições[[#This Row],[QUANTIDADE COMPRADA]]</f>
        <v>0</v>
      </c>
      <c r="N2229" s="110">
        <f>K2229-tblAquisições[[#This Row],[QUANTIDADE PLANEJADA]]</f>
        <v>-15</v>
      </c>
      <c r="O2229" s="106" t="str">
        <f t="shared" si="69"/>
        <v>Faltando Comprar</v>
      </c>
    </row>
    <row r="2230" spans="1:15" ht="31.5">
      <c r="A2230" s="16" t="s">
        <v>17</v>
      </c>
      <c r="B2230" s="16" t="s">
        <v>24</v>
      </c>
      <c r="C2230" s="17" t="s">
        <v>19</v>
      </c>
      <c r="D2230" s="18" t="s">
        <v>1280</v>
      </c>
      <c r="E2230" s="18">
        <v>15</v>
      </c>
      <c r="F2230" s="18" t="s">
        <v>30</v>
      </c>
      <c r="G2230" s="18" t="s">
        <v>22</v>
      </c>
      <c r="H2230" s="18" t="s">
        <v>23</v>
      </c>
      <c r="I2230" s="19">
        <v>265</v>
      </c>
      <c r="J2230" s="20">
        <f t="shared" si="68"/>
        <v>3975</v>
      </c>
      <c r="K2230" s="106"/>
      <c r="L2230" s="114"/>
      <c r="M2230" s="114">
        <f>tblAquisições[[#This Row],[VALOR UNITARIO COMPRADO]]*tblAquisições[[#This Row],[QUANTIDADE COMPRADA]]</f>
        <v>0</v>
      </c>
      <c r="N2230" s="110">
        <f>K2230-tblAquisições[[#This Row],[QUANTIDADE PLANEJADA]]</f>
        <v>-15</v>
      </c>
      <c r="O2230" s="106" t="str">
        <f t="shared" si="69"/>
        <v>Faltando Comprar</v>
      </c>
    </row>
    <row r="2231" spans="1:15" ht="31.5">
      <c r="A2231" s="16" t="s">
        <v>17</v>
      </c>
      <c r="B2231" s="16" t="s">
        <v>25</v>
      </c>
      <c r="C2231" s="17" t="s">
        <v>19</v>
      </c>
      <c r="D2231" s="18" t="s">
        <v>1280</v>
      </c>
      <c r="E2231" s="18">
        <v>15</v>
      </c>
      <c r="F2231" s="18" t="s">
        <v>30</v>
      </c>
      <c r="G2231" s="18" t="s">
        <v>22</v>
      </c>
      <c r="H2231" s="18" t="s">
        <v>23</v>
      </c>
      <c r="I2231" s="19">
        <v>265</v>
      </c>
      <c r="J2231" s="20">
        <f t="shared" si="68"/>
        <v>3975</v>
      </c>
      <c r="K2231" s="106"/>
      <c r="L2231" s="114"/>
      <c r="M2231" s="114">
        <f>tblAquisições[[#This Row],[VALOR UNITARIO COMPRADO]]*tblAquisições[[#This Row],[QUANTIDADE COMPRADA]]</f>
        <v>0</v>
      </c>
      <c r="N2231" s="110">
        <f>K2231-tblAquisições[[#This Row],[QUANTIDADE PLANEJADA]]</f>
        <v>-15</v>
      </c>
      <c r="O2231" s="106" t="str">
        <f t="shared" si="69"/>
        <v>Faltando Comprar</v>
      </c>
    </row>
    <row r="2232" spans="1:15" ht="31.5">
      <c r="A2232" s="16" t="s">
        <v>17</v>
      </c>
      <c r="B2232" s="16" t="s">
        <v>80</v>
      </c>
      <c r="C2232" s="17" t="s">
        <v>19</v>
      </c>
      <c r="D2232" s="18" t="s">
        <v>1281</v>
      </c>
      <c r="E2232" s="18">
        <v>3</v>
      </c>
      <c r="F2232" s="18" t="s">
        <v>82</v>
      </c>
      <c r="G2232" s="18" t="s">
        <v>39</v>
      </c>
      <c r="H2232" s="21"/>
      <c r="I2232" s="19">
        <v>375</v>
      </c>
      <c r="J2232" s="20">
        <f t="shared" si="68"/>
        <v>1125</v>
      </c>
      <c r="K2232" s="106"/>
      <c r="L2232" s="114"/>
      <c r="M2232" s="114">
        <f>tblAquisições[[#This Row],[VALOR UNITARIO COMPRADO]]*tblAquisições[[#This Row],[QUANTIDADE COMPRADA]]</f>
        <v>0</v>
      </c>
      <c r="N2232" s="110">
        <f>K2232-tblAquisições[[#This Row],[QUANTIDADE PLANEJADA]]</f>
        <v>-3</v>
      </c>
      <c r="O2232" s="106" t="str">
        <f t="shared" si="69"/>
        <v>Faltando Comprar</v>
      </c>
    </row>
    <row r="2233" spans="1:15" ht="31.5">
      <c r="A2233" s="16" t="s">
        <v>17</v>
      </c>
      <c r="B2233" s="16" t="s">
        <v>18</v>
      </c>
      <c r="C2233" s="17" t="s">
        <v>19</v>
      </c>
      <c r="D2233" s="18" t="s">
        <v>1282</v>
      </c>
      <c r="E2233" s="18">
        <v>10</v>
      </c>
      <c r="F2233" s="18" t="s">
        <v>30</v>
      </c>
      <c r="G2233" s="18" t="s">
        <v>22</v>
      </c>
      <c r="H2233" s="18" t="s">
        <v>23</v>
      </c>
      <c r="I2233" s="19">
        <v>375</v>
      </c>
      <c r="J2233" s="20">
        <f t="shared" si="68"/>
        <v>3750</v>
      </c>
      <c r="K2233" s="106"/>
      <c r="L2233" s="114"/>
      <c r="M2233" s="114">
        <f>tblAquisições[[#This Row],[VALOR UNITARIO COMPRADO]]*tblAquisições[[#This Row],[QUANTIDADE COMPRADA]]</f>
        <v>0</v>
      </c>
      <c r="N2233" s="110">
        <f>K2233-tblAquisições[[#This Row],[QUANTIDADE PLANEJADA]]</f>
        <v>-10</v>
      </c>
      <c r="O2233" s="106" t="str">
        <f t="shared" si="69"/>
        <v>Faltando Comprar</v>
      </c>
    </row>
    <row r="2234" spans="1:15" ht="31.5">
      <c r="A2234" s="16" t="s">
        <v>17</v>
      </c>
      <c r="B2234" s="16" t="s">
        <v>24</v>
      </c>
      <c r="C2234" s="17" t="s">
        <v>19</v>
      </c>
      <c r="D2234" s="18" t="s">
        <v>1282</v>
      </c>
      <c r="E2234" s="18">
        <v>10</v>
      </c>
      <c r="F2234" s="18" t="s">
        <v>30</v>
      </c>
      <c r="G2234" s="18" t="s">
        <v>22</v>
      </c>
      <c r="H2234" s="18" t="s">
        <v>23</v>
      </c>
      <c r="I2234" s="19">
        <v>375</v>
      </c>
      <c r="J2234" s="20">
        <f t="shared" si="68"/>
        <v>3750</v>
      </c>
      <c r="K2234" s="106"/>
      <c r="L2234" s="114"/>
      <c r="M2234" s="114">
        <f>tblAquisições[[#This Row],[VALOR UNITARIO COMPRADO]]*tblAquisições[[#This Row],[QUANTIDADE COMPRADA]]</f>
        <v>0</v>
      </c>
      <c r="N2234" s="110">
        <f>K2234-tblAquisições[[#This Row],[QUANTIDADE PLANEJADA]]</f>
        <v>-10</v>
      </c>
      <c r="O2234" s="106" t="str">
        <f t="shared" si="69"/>
        <v>Faltando Comprar</v>
      </c>
    </row>
    <row r="2235" spans="1:15" ht="31.5">
      <c r="A2235" s="16" t="s">
        <v>17</v>
      </c>
      <c r="B2235" s="16" t="s">
        <v>25</v>
      </c>
      <c r="C2235" s="17" t="s">
        <v>19</v>
      </c>
      <c r="D2235" s="18" t="s">
        <v>1282</v>
      </c>
      <c r="E2235" s="18">
        <v>10</v>
      </c>
      <c r="F2235" s="18" t="s">
        <v>30</v>
      </c>
      <c r="G2235" s="18" t="s">
        <v>22</v>
      </c>
      <c r="H2235" s="18" t="s">
        <v>23</v>
      </c>
      <c r="I2235" s="19">
        <v>375</v>
      </c>
      <c r="J2235" s="20">
        <f t="shared" si="68"/>
        <v>3750</v>
      </c>
      <c r="K2235" s="106"/>
      <c r="L2235" s="114"/>
      <c r="M2235" s="114">
        <f>tblAquisições[[#This Row],[VALOR UNITARIO COMPRADO]]*tblAquisições[[#This Row],[QUANTIDADE COMPRADA]]</f>
        <v>0</v>
      </c>
      <c r="N2235" s="110">
        <f>K2235-tblAquisições[[#This Row],[QUANTIDADE PLANEJADA]]</f>
        <v>-10</v>
      </c>
      <c r="O2235" s="106" t="str">
        <f t="shared" si="69"/>
        <v>Faltando Comprar</v>
      </c>
    </row>
    <row r="2236" spans="1:15" ht="31.5">
      <c r="A2236" s="16" t="s">
        <v>17</v>
      </c>
      <c r="B2236" s="16" t="s">
        <v>26</v>
      </c>
      <c r="C2236" s="17" t="s">
        <v>19</v>
      </c>
      <c r="D2236" s="18" t="s">
        <v>1282</v>
      </c>
      <c r="E2236" s="18">
        <v>5</v>
      </c>
      <c r="F2236" s="18" t="s">
        <v>30</v>
      </c>
      <c r="G2236" s="18" t="s">
        <v>22</v>
      </c>
      <c r="H2236" s="18" t="s">
        <v>23</v>
      </c>
      <c r="I2236" s="19">
        <v>375</v>
      </c>
      <c r="J2236" s="20">
        <f t="shared" si="68"/>
        <v>1875</v>
      </c>
      <c r="K2236" s="106"/>
      <c r="L2236" s="114"/>
      <c r="M2236" s="114">
        <f>tblAquisições[[#This Row],[VALOR UNITARIO COMPRADO]]*tblAquisições[[#This Row],[QUANTIDADE COMPRADA]]</f>
        <v>0</v>
      </c>
      <c r="N2236" s="110">
        <f>K2236-tblAquisições[[#This Row],[QUANTIDADE PLANEJADA]]</f>
        <v>-5</v>
      </c>
      <c r="O2236" s="106" t="str">
        <f t="shared" si="69"/>
        <v>Faltando Comprar</v>
      </c>
    </row>
    <row r="2237" spans="1:15" ht="31.5">
      <c r="A2237" s="16" t="s">
        <v>17</v>
      </c>
      <c r="B2237" s="16" t="s">
        <v>27</v>
      </c>
      <c r="C2237" s="17" t="s">
        <v>19</v>
      </c>
      <c r="D2237" s="18" t="s">
        <v>1282</v>
      </c>
      <c r="E2237" s="18">
        <v>10</v>
      </c>
      <c r="F2237" s="18" t="s">
        <v>30</v>
      </c>
      <c r="G2237" s="18" t="s">
        <v>22</v>
      </c>
      <c r="H2237" s="18" t="s">
        <v>23</v>
      </c>
      <c r="I2237" s="19">
        <v>375</v>
      </c>
      <c r="J2237" s="20">
        <f t="shared" si="68"/>
        <v>3750</v>
      </c>
      <c r="K2237" s="106"/>
      <c r="L2237" s="114"/>
      <c r="M2237" s="114">
        <f>tblAquisições[[#This Row],[VALOR UNITARIO COMPRADO]]*tblAquisições[[#This Row],[QUANTIDADE COMPRADA]]</f>
        <v>0</v>
      </c>
      <c r="N2237" s="110">
        <f>K2237-tblAquisições[[#This Row],[QUANTIDADE PLANEJADA]]</f>
        <v>-10</v>
      </c>
      <c r="O2237" s="106" t="str">
        <f t="shared" si="69"/>
        <v>Faltando Comprar</v>
      </c>
    </row>
    <row r="2238" spans="1:15" ht="31.5">
      <c r="A2238" s="16" t="s">
        <v>17</v>
      </c>
      <c r="B2238" s="16" t="s">
        <v>31</v>
      </c>
      <c r="C2238" s="17" t="s">
        <v>19</v>
      </c>
      <c r="D2238" s="18" t="s">
        <v>1283</v>
      </c>
      <c r="E2238" s="18">
        <v>20</v>
      </c>
      <c r="F2238" s="18" t="s">
        <v>30</v>
      </c>
      <c r="G2238" s="18" t="s">
        <v>22</v>
      </c>
      <c r="H2238" s="18" t="s">
        <v>23</v>
      </c>
      <c r="I2238" s="19">
        <v>375</v>
      </c>
      <c r="J2238" s="20">
        <f t="shared" si="68"/>
        <v>7500</v>
      </c>
      <c r="K2238" s="106"/>
      <c r="L2238" s="114"/>
      <c r="M2238" s="114">
        <f>tblAquisições[[#This Row],[VALOR UNITARIO COMPRADO]]*tblAquisições[[#This Row],[QUANTIDADE COMPRADA]]</f>
        <v>0</v>
      </c>
      <c r="N2238" s="110">
        <f>K2238-tblAquisições[[#This Row],[QUANTIDADE PLANEJADA]]</f>
        <v>-20</v>
      </c>
      <c r="O2238" s="106" t="str">
        <f t="shared" si="69"/>
        <v>Faltando Comprar</v>
      </c>
    </row>
    <row r="2239" spans="1:15" ht="31.5">
      <c r="A2239" s="16" t="s">
        <v>17</v>
      </c>
      <c r="B2239" s="16" t="s">
        <v>26</v>
      </c>
      <c r="C2239" s="17" t="s">
        <v>19</v>
      </c>
      <c r="D2239" s="18" t="s">
        <v>1283</v>
      </c>
      <c r="E2239" s="18">
        <v>10</v>
      </c>
      <c r="F2239" s="18" t="s">
        <v>30</v>
      </c>
      <c r="G2239" s="18" t="s">
        <v>22</v>
      </c>
      <c r="H2239" s="18" t="s">
        <v>23</v>
      </c>
      <c r="I2239" s="19">
        <v>375</v>
      </c>
      <c r="J2239" s="20">
        <f t="shared" si="68"/>
        <v>3750</v>
      </c>
      <c r="K2239" s="106"/>
      <c r="L2239" s="114"/>
      <c r="M2239" s="114">
        <f>tblAquisições[[#This Row],[VALOR UNITARIO COMPRADO]]*tblAquisições[[#This Row],[QUANTIDADE COMPRADA]]</f>
        <v>0</v>
      </c>
      <c r="N2239" s="110">
        <f>K2239-tblAquisições[[#This Row],[QUANTIDADE PLANEJADA]]</f>
        <v>-10</v>
      </c>
      <c r="O2239" s="106" t="str">
        <f t="shared" si="69"/>
        <v>Faltando Comprar</v>
      </c>
    </row>
    <row r="2240" spans="1:15" ht="31.5">
      <c r="A2240" s="16" t="s">
        <v>17</v>
      </c>
      <c r="B2240" s="16" t="s">
        <v>80</v>
      </c>
      <c r="C2240" s="17" t="s">
        <v>19</v>
      </c>
      <c r="D2240" s="18" t="s">
        <v>1284</v>
      </c>
      <c r="E2240" s="18">
        <v>2</v>
      </c>
      <c r="F2240" s="18" t="s">
        <v>82</v>
      </c>
      <c r="G2240" s="18" t="s">
        <v>39</v>
      </c>
      <c r="H2240" s="21"/>
      <c r="I2240" s="19">
        <v>425</v>
      </c>
      <c r="J2240" s="20">
        <f t="shared" si="68"/>
        <v>850</v>
      </c>
      <c r="K2240" s="106"/>
      <c r="L2240" s="114"/>
      <c r="M2240" s="114">
        <f>tblAquisições[[#This Row],[VALOR UNITARIO COMPRADO]]*tblAquisições[[#This Row],[QUANTIDADE COMPRADA]]</f>
        <v>0</v>
      </c>
      <c r="N2240" s="110">
        <f>K2240-tblAquisições[[#This Row],[QUANTIDADE PLANEJADA]]</f>
        <v>-2</v>
      </c>
      <c r="O2240" s="106" t="str">
        <f t="shared" si="69"/>
        <v>Faltando Comprar</v>
      </c>
    </row>
    <row r="2241" spans="1:15" ht="31.5">
      <c r="A2241" s="16" t="s">
        <v>17</v>
      </c>
      <c r="B2241" s="16" t="s">
        <v>18</v>
      </c>
      <c r="C2241" s="17" t="s">
        <v>19</v>
      </c>
      <c r="D2241" s="18" t="s">
        <v>1285</v>
      </c>
      <c r="E2241" s="18">
        <v>8</v>
      </c>
      <c r="F2241" s="18" t="s">
        <v>30</v>
      </c>
      <c r="G2241" s="18" t="s">
        <v>22</v>
      </c>
      <c r="H2241" s="18" t="s">
        <v>23</v>
      </c>
      <c r="I2241" s="19">
        <v>425</v>
      </c>
      <c r="J2241" s="20">
        <f t="shared" si="68"/>
        <v>3400</v>
      </c>
      <c r="K2241" s="106"/>
      <c r="L2241" s="114"/>
      <c r="M2241" s="114">
        <f>tblAquisições[[#This Row],[VALOR UNITARIO COMPRADO]]*tblAquisições[[#This Row],[QUANTIDADE COMPRADA]]</f>
        <v>0</v>
      </c>
      <c r="N2241" s="110">
        <f>K2241-tblAquisições[[#This Row],[QUANTIDADE PLANEJADA]]</f>
        <v>-8</v>
      </c>
      <c r="O2241" s="106" t="str">
        <f t="shared" si="69"/>
        <v>Faltando Comprar</v>
      </c>
    </row>
    <row r="2242" spans="1:15" ht="31.5">
      <c r="A2242" s="16" t="s">
        <v>17</v>
      </c>
      <c r="B2242" s="16" t="s">
        <v>24</v>
      </c>
      <c r="C2242" s="17" t="s">
        <v>19</v>
      </c>
      <c r="D2242" s="18" t="s">
        <v>1285</v>
      </c>
      <c r="E2242" s="18">
        <v>8</v>
      </c>
      <c r="F2242" s="18" t="s">
        <v>30</v>
      </c>
      <c r="G2242" s="18" t="s">
        <v>22</v>
      </c>
      <c r="H2242" s="18" t="s">
        <v>23</v>
      </c>
      <c r="I2242" s="19">
        <v>425</v>
      </c>
      <c r="J2242" s="20">
        <f t="shared" ref="J2242:J2305" si="70">E2242*I2242</f>
        <v>3400</v>
      </c>
      <c r="K2242" s="106"/>
      <c r="L2242" s="114"/>
      <c r="M2242" s="114">
        <f>tblAquisições[[#This Row],[VALOR UNITARIO COMPRADO]]*tblAquisições[[#This Row],[QUANTIDADE COMPRADA]]</f>
        <v>0</v>
      </c>
      <c r="N2242" s="110">
        <f>K2242-tblAquisições[[#This Row],[QUANTIDADE PLANEJADA]]</f>
        <v>-8</v>
      </c>
      <c r="O2242" s="106" t="str">
        <f t="shared" ref="O2242:O2305" si="71">IF(K2242=E2242,"OK",IF(K2242&lt;E2242,"Faltando Comprar","Excedente"))</f>
        <v>Faltando Comprar</v>
      </c>
    </row>
    <row r="2243" spans="1:15" ht="31.5">
      <c r="A2243" s="16" t="s">
        <v>17</v>
      </c>
      <c r="B2243" s="16" t="s">
        <v>25</v>
      </c>
      <c r="C2243" s="17" t="s">
        <v>19</v>
      </c>
      <c r="D2243" s="18" t="s">
        <v>1285</v>
      </c>
      <c r="E2243" s="18">
        <v>8</v>
      </c>
      <c r="F2243" s="18" t="s">
        <v>30</v>
      </c>
      <c r="G2243" s="18" t="s">
        <v>22</v>
      </c>
      <c r="H2243" s="18" t="s">
        <v>23</v>
      </c>
      <c r="I2243" s="19">
        <v>425</v>
      </c>
      <c r="J2243" s="20">
        <f t="shared" si="70"/>
        <v>3400</v>
      </c>
      <c r="K2243" s="106"/>
      <c r="L2243" s="114"/>
      <c r="M2243" s="114">
        <f>tblAquisições[[#This Row],[VALOR UNITARIO COMPRADO]]*tblAquisições[[#This Row],[QUANTIDADE COMPRADA]]</f>
        <v>0</v>
      </c>
      <c r="N2243" s="110">
        <f>K2243-tblAquisições[[#This Row],[QUANTIDADE PLANEJADA]]</f>
        <v>-8</v>
      </c>
      <c r="O2243" s="106" t="str">
        <f t="shared" si="71"/>
        <v>Faltando Comprar</v>
      </c>
    </row>
    <row r="2244" spans="1:15" ht="31.5">
      <c r="A2244" s="16" t="s">
        <v>17</v>
      </c>
      <c r="B2244" s="16" t="s">
        <v>26</v>
      </c>
      <c r="C2244" s="17" t="s">
        <v>19</v>
      </c>
      <c r="D2244" s="18" t="s">
        <v>1285</v>
      </c>
      <c r="E2244" s="18">
        <v>5</v>
      </c>
      <c r="F2244" s="18" t="s">
        <v>30</v>
      </c>
      <c r="G2244" s="18" t="s">
        <v>22</v>
      </c>
      <c r="H2244" s="18" t="s">
        <v>23</v>
      </c>
      <c r="I2244" s="19">
        <v>425</v>
      </c>
      <c r="J2244" s="20">
        <f t="shared" si="70"/>
        <v>2125</v>
      </c>
      <c r="K2244" s="106"/>
      <c r="L2244" s="114"/>
      <c r="M2244" s="114">
        <f>tblAquisições[[#This Row],[VALOR UNITARIO COMPRADO]]*tblAquisições[[#This Row],[QUANTIDADE COMPRADA]]</f>
        <v>0</v>
      </c>
      <c r="N2244" s="110">
        <f>K2244-tblAquisições[[#This Row],[QUANTIDADE PLANEJADA]]</f>
        <v>-5</v>
      </c>
      <c r="O2244" s="106" t="str">
        <f t="shared" si="71"/>
        <v>Faltando Comprar</v>
      </c>
    </row>
    <row r="2245" spans="1:15" ht="31.5">
      <c r="A2245" s="16" t="s">
        <v>17</v>
      </c>
      <c r="B2245" s="16" t="s">
        <v>27</v>
      </c>
      <c r="C2245" s="17" t="s">
        <v>19</v>
      </c>
      <c r="D2245" s="18" t="s">
        <v>1285</v>
      </c>
      <c r="E2245" s="18">
        <v>10</v>
      </c>
      <c r="F2245" s="18" t="s">
        <v>30</v>
      </c>
      <c r="G2245" s="18" t="s">
        <v>22</v>
      </c>
      <c r="H2245" s="18" t="s">
        <v>23</v>
      </c>
      <c r="I2245" s="19">
        <v>425</v>
      </c>
      <c r="J2245" s="20">
        <f t="shared" si="70"/>
        <v>4250</v>
      </c>
      <c r="K2245" s="106"/>
      <c r="L2245" s="114"/>
      <c r="M2245" s="114">
        <f>tblAquisições[[#This Row],[VALOR UNITARIO COMPRADO]]*tblAquisições[[#This Row],[QUANTIDADE COMPRADA]]</f>
        <v>0</v>
      </c>
      <c r="N2245" s="110">
        <f>K2245-tblAquisições[[#This Row],[QUANTIDADE PLANEJADA]]</f>
        <v>-10</v>
      </c>
      <c r="O2245" s="106" t="str">
        <f t="shared" si="71"/>
        <v>Faltando Comprar</v>
      </c>
    </row>
    <row r="2246" spans="1:15" ht="31.5">
      <c r="A2246" s="16" t="s">
        <v>17</v>
      </c>
      <c r="B2246" s="16" t="s">
        <v>80</v>
      </c>
      <c r="C2246" s="17" t="s">
        <v>19</v>
      </c>
      <c r="D2246" s="18" t="s">
        <v>1286</v>
      </c>
      <c r="E2246" s="18">
        <v>5</v>
      </c>
      <c r="F2246" s="18" t="s">
        <v>82</v>
      </c>
      <c r="G2246" s="18" t="s">
        <v>39</v>
      </c>
      <c r="H2246" s="21"/>
      <c r="I2246" s="19">
        <v>127.12</v>
      </c>
      <c r="J2246" s="20">
        <f t="shared" si="70"/>
        <v>635.6</v>
      </c>
      <c r="K2246" s="106"/>
      <c r="L2246" s="114"/>
      <c r="M2246" s="114">
        <f>tblAquisições[[#This Row],[VALOR UNITARIO COMPRADO]]*tblAquisições[[#This Row],[QUANTIDADE COMPRADA]]</f>
        <v>0</v>
      </c>
      <c r="N2246" s="110">
        <f>K2246-tblAquisições[[#This Row],[QUANTIDADE PLANEJADA]]</f>
        <v>-5</v>
      </c>
      <c r="O2246" s="106" t="str">
        <f t="shared" si="71"/>
        <v>Faltando Comprar</v>
      </c>
    </row>
    <row r="2247" spans="1:15" ht="31.5">
      <c r="A2247" s="16" t="s">
        <v>17</v>
      </c>
      <c r="B2247" s="16" t="s">
        <v>26</v>
      </c>
      <c r="C2247" s="17" t="s">
        <v>19</v>
      </c>
      <c r="D2247" s="18" t="s">
        <v>1287</v>
      </c>
      <c r="E2247" s="18">
        <v>6</v>
      </c>
      <c r="F2247" s="18" t="s">
        <v>30</v>
      </c>
      <c r="G2247" s="18" t="s">
        <v>22</v>
      </c>
      <c r="H2247" s="18" t="s">
        <v>23</v>
      </c>
      <c r="I2247" s="19">
        <v>127.12</v>
      </c>
      <c r="J2247" s="20">
        <f t="shared" si="70"/>
        <v>762.72</v>
      </c>
      <c r="K2247" s="106"/>
      <c r="L2247" s="114"/>
      <c r="M2247" s="114">
        <f>tblAquisições[[#This Row],[VALOR UNITARIO COMPRADO]]*tblAquisições[[#This Row],[QUANTIDADE COMPRADA]]</f>
        <v>0</v>
      </c>
      <c r="N2247" s="110">
        <f>K2247-tblAquisições[[#This Row],[QUANTIDADE PLANEJADA]]</f>
        <v>-6</v>
      </c>
      <c r="O2247" s="106" t="str">
        <f t="shared" si="71"/>
        <v>Faltando Comprar</v>
      </c>
    </row>
    <row r="2248" spans="1:15" ht="31.5">
      <c r="A2248" s="16" t="s">
        <v>17</v>
      </c>
      <c r="B2248" s="16" t="s">
        <v>80</v>
      </c>
      <c r="C2248" s="17" t="s">
        <v>19</v>
      </c>
      <c r="D2248" s="18" t="s">
        <v>1288</v>
      </c>
      <c r="E2248" s="18">
        <v>5</v>
      </c>
      <c r="F2248" s="18" t="s">
        <v>82</v>
      </c>
      <c r="G2248" s="18" t="s">
        <v>39</v>
      </c>
      <c r="H2248" s="21"/>
      <c r="I2248" s="19">
        <v>169.72</v>
      </c>
      <c r="J2248" s="20">
        <f t="shared" si="70"/>
        <v>848.6</v>
      </c>
      <c r="K2248" s="106"/>
      <c r="L2248" s="114"/>
      <c r="M2248" s="114">
        <f>tblAquisições[[#This Row],[VALOR UNITARIO COMPRADO]]*tblAquisições[[#This Row],[QUANTIDADE COMPRADA]]</f>
        <v>0</v>
      </c>
      <c r="N2248" s="110">
        <f>K2248-tblAquisições[[#This Row],[QUANTIDADE PLANEJADA]]</f>
        <v>-5</v>
      </c>
      <c r="O2248" s="106" t="str">
        <f t="shared" si="71"/>
        <v>Faltando Comprar</v>
      </c>
    </row>
    <row r="2249" spans="1:15" ht="31.5">
      <c r="A2249" s="16" t="s">
        <v>17</v>
      </c>
      <c r="B2249" s="16" t="s">
        <v>26</v>
      </c>
      <c r="C2249" s="17" t="s">
        <v>19</v>
      </c>
      <c r="D2249" s="18" t="s">
        <v>1289</v>
      </c>
      <c r="E2249" s="18">
        <v>6</v>
      </c>
      <c r="F2249" s="18" t="s">
        <v>30</v>
      </c>
      <c r="G2249" s="18" t="s">
        <v>22</v>
      </c>
      <c r="H2249" s="18" t="s">
        <v>23</v>
      </c>
      <c r="I2249" s="19">
        <v>169.72</v>
      </c>
      <c r="J2249" s="20">
        <f t="shared" si="70"/>
        <v>1018.3199999999999</v>
      </c>
      <c r="K2249" s="106"/>
      <c r="L2249" s="114"/>
      <c r="M2249" s="114">
        <f>tblAquisições[[#This Row],[VALOR UNITARIO COMPRADO]]*tblAquisições[[#This Row],[QUANTIDADE COMPRADA]]</f>
        <v>0</v>
      </c>
      <c r="N2249" s="110">
        <f>K2249-tblAquisições[[#This Row],[QUANTIDADE PLANEJADA]]</f>
        <v>-6</v>
      </c>
      <c r="O2249" s="106" t="str">
        <f t="shared" si="71"/>
        <v>Faltando Comprar</v>
      </c>
    </row>
    <row r="2250" spans="1:15" ht="31.5">
      <c r="A2250" s="16" t="s">
        <v>17</v>
      </c>
      <c r="B2250" s="16" t="s">
        <v>26</v>
      </c>
      <c r="C2250" s="17" t="s">
        <v>19</v>
      </c>
      <c r="D2250" s="18" t="s">
        <v>1290</v>
      </c>
      <c r="E2250" s="18">
        <v>5</v>
      </c>
      <c r="F2250" s="18" t="s">
        <v>30</v>
      </c>
      <c r="G2250" s="18" t="s">
        <v>22</v>
      </c>
      <c r="H2250" s="18" t="s">
        <v>23</v>
      </c>
      <c r="I2250" s="19">
        <v>79.290000000000006</v>
      </c>
      <c r="J2250" s="20">
        <f t="shared" si="70"/>
        <v>396.45000000000005</v>
      </c>
      <c r="K2250" s="106"/>
      <c r="L2250" s="114"/>
      <c r="M2250" s="114">
        <f>tblAquisições[[#This Row],[VALOR UNITARIO COMPRADO]]*tblAquisições[[#This Row],[QUANTIDADE COMPRADA]]</f>
        <v>0</v>
      </c>
      <c r="N2250" s="110">
        <f>K2250-tblAquisições[[#This Row],[QUANTIDADE PLANEJADA]]</f>
        <v>-5</v>
      </c>
      <c r="O2250" s="106" t="str">
        <f t="shared" si="71"/>
        <v>Faltando Comprar</v>
      </c>
    </row>
    <row r="2251" spans="1:15" ht="31.5">
      <c r="A2251" s="16" t="s">
        <v>17</v>
      </c>
      <c r="B2251" s="16" t="s">
        <v>26</v>
      </c>
      <c r="C2251" s="17" t="s">
        <v>19</v>
      </c>
      <c r="D2251" s="18" t="s">
        <v>1291</v>
      </c>
      <c r="E2251" s="18">
        <v>5</v>
      </c>
      <c r="F2251" s="18" t="s">
        <v>30</v>
      </c>
      <c r="G2251" s="18" t="s">
        <v>22</v>
      </c>
      <c r="H2251" s="18" t="s">
        <v>23</v>
      </c>
      <c r="I2251" s="19">
        <v>147.22</v>
      </c>
      <c r="J2251" s="20">
        <f t="shared" si="70"/>
        <v>736.1</v>
      </c>
      <c r="K2251" s="106"/>
      <c r="L2251" s="114"/>
      <c r="M2251" s="114">
        <f>tblAquisições[[#This Row],[VALOR UNITARIO COMPRADO]]*tblAquisições[[#This Row],[QUANTIDADE COMPRADA]]</f>
        <v>0</v>
      </c>
      <c r="N2251" s="110">
        <f>K2251-tblAquisições[[#This Row],[QUANTIDADE PLANEJADA]]</f>
        <v>-5</v>
      </c>
      <c r="O2251" s="106" t="str">
        <f t="shared" si="71"/>
        <v>Faltando Comprar</v>
      </c>
    </row>
    <row r="2252" spans="1:15" ht="31.5">
      <c r="A2252" s="16" t="s">
        <v>17</v>
      </c>
      <c r="B2252" s="16" t="s">
        <v>26</v>
      </c>
      <c r="C2252" s="17" t="s">
        <v>19</v>
      </c>
      <c r="D2252" s="18" t="s">
        <v>1292</v>
      </c>
      <c r="E2252" s="18">
        <v>5</v>
      </c>
      <c r="F2252" s="18" t="s">
        <v>30</v>
      </c>
      <c r="G2252" s="18" t="s">
        <v>22</v>
      </c>
      <c r="H2252" s="18" t="s">
        <v>23</v>
      </c>
      <c r="I2252" s="19">
        <v>130</v>
      </c>
      <c r="J2252" s="20">
        <f t="shared" si="70"/>
        <v>650</v>
      </c>
      <c r="K2252" s="106"/>
      <c r="L2252" s="114"/>
      <c r="M2252" s="114">
        <f>tblAquisições[[#This Row],[VALOR UNITARIO COMPRADO]]*tblAquisições[[#This Row],[QUANTIDADE COMPRADA]]</f>
        <v>0</v>
      </c>
      <c r="N2252" s="110">
        <f>K2252-tblAquisições[[#This Row],[QUANTIDADE PLANEJADA]]</f>
        <v>-5</v>
      </c>
      <c r="O2252" s="106" t="str">
        <f t="shared" si="71"/>
        <v>Faltando Comprar</v>
      </c>
    </row>
    <row r="2253" spans="1:15" ht="31.5">
      <c r="A2253" s="16" t="s">
        <v>17</v>
      </c>
      <c r="B2253" s="16" t="s">
        <v>26</v>
      </c>
      <c r="C2253" s="17" t="s">
        <v>19</v>
      </c>
      <c r="D2253" s="18" t="s">
        <v>1293</v>
      </c>
      <c r="E2253" s="18">
        <v>5</v>
      </c>
      <c r="F2253" s="18" t="s">
        <v>30</v>
      </c>
      <c r="G2253" s="18" t="s">
        <v>22</v>
      </c>
      <c r="H2253" s="18" t="s">
        <v>23</v>
      </c>
      <c r="I2253" s="19">
        <v>130</v>
      </c>
      <c r="J2253" s="20">
        <f t="shared" si="70"/>
        <v>650</v>
      </c>
      <c r="K2253" s="106"/>
      <c r="L2253" s="114"/>
      <c r="M2253" s="114">
        <f>tblAquisições[[#This Row],[VALOR UNITARIO COMPRADO]]*tblAquisições[[#This Row],[QUANTIDADE COMPRADA]]</f>
        <v>0</v>
      </c>
      <c r="N2253" s="110">
        <f>K2253-tblAquisições[[#This Row],[QUANTIDADE PLANEJADA]]</f>
        <v>-5</v>
      </c>
      <c r="O2253" s="106" t="str">
        <f t="shared" si="71"/>
        <v>Faltando Comprar</v>
      </c>
    </row>
    <row r="2254" spans="1:15" ht="31.5">
      <c r="A2254" s="16" t="s">
        <v>17</v>
      </c>
      <c r="B2254" s="16" t="s">
        <v>26</v>
      </c>
      <c r="C2254" s="17" t="s">
        <v>19</v>
      </c>
      <c r="D2254" s="18" t="s">
        <v>1294</v>
      </c>
      <c r="E2254" s="18">
        <v>5</v>
      </c>
      <c r="F2254" s="18" t="s">
        <v>30</v>
      </c>
      <c r="G2254" s="18" t="s">
        <v>22</v>
      </c>
      <c r="H2254" s="18" t="s">
        <v>23</v>
      </c>
      <c r="I2254" s="19">
        <v>130</v>
      </c>
      <c r="J2254" s="20">
        <f t="shared" si="70"/>
        <v>650</v>
      </c>
      <c r="K2254" s="106"/>
      <c r="L2254" s="114"/>
      <c r="M2254" s="114">
        <f>tblAquisições[[#This Row],[VALOR UNITARIO COMPRADO]]*tblAquisições[[#This Row],[QUANTIDADE COMPRADA]]</f>
        <v>0</v>
      </c>
      <c r="N2254" s="110">
        <f>K2254-tblAquisições[[#This Row],[QUANTIDADE PLANEJADA]]</f>
        <v>-5</v>
      </c>
      <c r="O2254" s="106" t="str">
        <f t="shared" si="71"/>
        <v>Faltando Comprar</v>
      </c>
    </row>
    <row r="2255" spans="1:15" ht="31.5">
      <c r="A2255" s="16" t="s">
        <v>17</v>
      </c>
      <c r="B2255" s="16" t="s">
        <v>26</v>
      </c>
      <c r="C2255" s="17" t="s">
        <v>19</v>
      </c>
      <c r="D2255" s="18" t="s">
        <v>1295</v>
      </c>
      <c r="E2255" s="18">
        <v>5</v>
      </c>
      <c r="F2255" s="18" t="s">
        <v>30</v>
      </c>
      <c r="G2255" s="18" t="s">
        <v>22</v>
      </c>
      <c r="H2255" s="18" t="s">
        <v>23</v>
      </c>
      <c r="I2255" s="19">
        <v>140</v>
      </c>
      <c r="J2255" s="20">
        <f t="shared" si="70"/>
        <v>700</v>
      </c>
      <c r="K2255" s="106"/>
      <c r="L2255" s="114"/>
      <c r="M2255" s="114">
        <f>tblAquisições[[#This Row],[VALOR UNITARIO COMPRADO]]*tblAquisições[[#This Row],[QUANTIDADE COMPRADA]]</f>
        <v>0</v>
      </c>
      <c r="N2255" s="110">
        <f>K2255-tblAquisições[[#This Row],[QUANTIDADE PLANEJADA]]</f>
        <v>-5</v>
      </c>
      <c r="O2255" s="106" t="str">
        <f t="shared" si="71"/>
        <v>Faltando Comprar</v>
      </c>
    </row>
    <row r="2256" spans="1:15" ht="31.5">
      <c r="A2256" s="16" t="s">
        <v>17</v>
      </c>
      <c r="B2256" s="16" t="s">
        <v>31</v>
      </c>
      <c r="C2256" s="17" t="s">
        <v>19</v>
      </c>
      <c r="D2256" s="18" t="s">
        <v>1296</v>
      </c>
      <c r="E2256" s="18">
        <v>20</v>
      </c>
      <c r="F2256" s="18" t="s">
        <v>30</v>
      </c>
      <c r="G2256" s="18" t="s">
        <v>22</v>
      </c>
      <c r="H2256" s="18" t="s">
        <v>23</v>
      </c>
      <c r="I2256" s="19">
        <v>150</v>
      </c>
      <c r="J2256" s="20">
        <f t="shared" si="70"/>
        <v>3000</v>
      </c>
      <c r="K2256" s="106"/>
      <c r="L2256" s="114"/>
      <c r="M2256" s="114">
        <f>tblAquisições[[#This Row],[VALOR UNITARIO COMPRADO]]*tblAquisições[[#This Row],[QUANTIDADE COMPRADA]]</f>
        <v>0</v>
      </c>
      <c r="N2256" s="110">
        <f>K2256-tblAquisições[[#This Row],[QUANTIDADE PLANEJADA]]</f>
        <v>-20</v>
      </c>
      <c r="O2256" s="106" t="str">
        <f t="shared" si="71"/>
        <v>Faltando Comprar</v>
      </c>
    </row>
    <row r="2257" spans="1:15" ht="31.5">
      <c r="A2257" s="16" t="s">
        <v>17</v>
      </c>
      <c r="B2257" s="16" t="s">
        <v>26</v>
      </c>
      <c r="C2257" s="17" t="s">
        <v>19</v>
      </c>
      <c r="D2257" s="18" t="s">
        <v>1296</v>
      </c>
      <c r="E2257" s="18">
        <v>10</v>
      </c>
      <c r="F2257" s="18" t="s">
        <v>30</v>
      </c>
      <c r="G2257" s="18" t="s">
        <v>22</v>
      </c>
      <c r="H2257" s="18" t="s">
        <v>23</v>
      </c>
      <c r="I2257" s="19">
        <v>150</v>
      </c>
      <c r="J2257" s="20">
        <f t="shared" si="70"/>
        <v>1500</v>
      </c>
      <c r="K2257" s="106"/>
      <c r="L2257" s="114"/>
      <c r="M2257" s="114">
        <f>tblAquisições[[#This Row],[VALOR UNITARIO COMPRADO]]*tblAquisições[[#This Row],[QUANTIDADE COMPRADA]]</f>
        <v>0</v>
      </c>
      <c r="N2257" s="110">
        <f>K2257-tblAquisições[[#This Row],[QUANTIDADE PLANEJADA]]</f>
        <v>-10</v>
      </c>
      <c r="O2257" s="106" t="str">
        <f t="shared" si="71"/>
        <v>Faltando Comprar</v>
      </c>
    </row>
    <row r="2258" spans="1:15" ht="31.5">
      <c r="A2258" s="16" t="s">
        <v>17</v>
      </c>
      <c r="B2258" s="16" t="s">
        <v>80</v>
      </c>
      <c r="C2258" s="17" t="s">
        <v>19</v>
      </c>
      <c r="D2258" s="18" t="s">
        <v>1297</v>
      </c>
      <c r="E2258" s="18">
        <v>1</v>
      </c>
      <c r="F2258" s="18" t="s">
        <v>82</v>
      </c>
      <c r="G2258" s="18" t="s">
        <v>39</v>
      </c>
      <c r="H2258" s="21"/>
      <c r="I2258" s="19">
        <v>650</v>
      </c>
      <c r="J2258" s="20">
        <f t="shared" si="70"/>
        <v>650</v>
      </c>
      <c r="K2258" s="106"/>
      <c r="L2258" s="114"/>
      <c r="M2258" s="114">
        <f>tblAquisições[[#This Row],[VALOR UNITARIO COMPRADO]]*tblAquisições[[#This Row],[QUANTIDADE COMPRADA]]</f>
        <v>0</v>
      </c>
      <c r="N2258" s="110">
        <f>K2258-tblAquisições[[#This Row],[QUANTIDADE PLANEJADA]]</f>
        <v>-1</v>
      </c>
      <c r="O2258" s="106" t="str">
        <f t="shared" si="71"/>
        <v>Faltando Comprar</v>
      </c>
    </row>
    <row r="2259" spans="1:15" ht="31.5">
      <c r="A2259" s="16" t="s">
        <v>17</v>
      </c>
      <c r="B2259" s="16" t="s">
        <v>18</v>
      </c>
      <c r="C2259" s="17" t="s">
        <v>19</v>
      </c>
      <c r="D2259" s="18" t="s">
        <v>1298</v>
      </c>
      <c r="E2259" s="18">
        <v>5</v>
      </c>
      <c r="F2259" s="18" t="s">
        <v>30</v>
      </c>
      <c r="G2259" s="18" t="s">
        <v>22</v>
      </c>
      <c r="H2259" s="18" t="s">
        <v>23</v>
      </c>
      <c r="I2259" s="19">
        <v>650</v>
      </c>
      <c r="J2259" s="20">
        <f t="shared" si="70"/>
        <v>3250</v>
      </c>
      <c r="K2259" s="106"/>
      <c r="L2259" s="114"/>
      <c r="M2259" s="114">
        <f>tblAquisições[[#This Row],[VALOR UNITARIO COMPRADO]]*tblAquisições[[#This Row],[QUANTIDADE COMPRADA]]</f>
        <v>0</v>
      </c>
      <c r="N2259" s="110">
        <f>K2259-tblAquisições[[#This Row],[QUANTIDADE PLANEJADA]]</f>
        <v>-5</v>
      </c>
      <c r="O2259" s="106" t="str">
        <f t="shared" si="71"/>
        <v>Faltando Comprar</v>
      </c>
    </row>
    <row r="2260" spans="1:15" ht="31.5">
      <c r="A2260" s="16" t="s">
        <v>17</v>
      </c>
      <c r="B2260" s="16" t="s">
        <v>24</v>
      </c>
      <c r="C2260" s="17" t="s">
        <v>19</v>
      </c>
      <c r="D2260" s="18" t="s">
        <v>1298</v>
      </c>
      <c r="E2260" s="18">
        <v>5</v>
      </c>
      <c r="F2260" s="18" t="s">
        <v>30</v>
      </c>
      <c r="G2260" s="18" t="s">
        <v>22</v>
      </c>
      <c r="H2260" s="18" t="s">
        <v>23</v>
      </c>
      <c r="I2260" s="19">
        <v>650</v>
      </c>
      <c r="J2260" s="20">
        <f t="shared" si="70"/>
        <v>3250</v>
      </c>
      <c r="K2260" s="106"/>
      <c r="L2260" s="114"/>
      <c r="M2260" s="114">
        <f>tblAquisições[[#This Row],[VALOR UNITARIO COMPRADO]]*tblAquisições[[#This Row],[QUANTIDADE COMPRADA]]</f>
        <v>0</v>
      </c>
      <c r="N2260" s="110">
        <f>K2260-tblAquisições[[#This Row],[QUANTIDADE PLANEJADA]]</f>
        <v>-5</v>
      </c>
      <c r="O2260" s="106" t="str">
        <f t="shared" si="71"/>
        <v>Faltando Comprar</v>
      </c>
    </row>
    <row r="2261" spans="1:15" ht="31.5">
      <c r="A2261" s="16" t="s">
        <v>17</v>
      </c>
      <c r="B2261" s="16" t="s">
        <v>25</v>
      </c>
      <c r="C2261" s="17" t="s">
        <v>19</v>
      </c>
      <c r="D2261" s="18" t="s">
        <v>1298</v>
      </c>
      <c r="E2261" s="18">
        <v>5</v>
      </c>
      <c r="F2261" s="18" t="s">
        <v>30</v>
      </c>
      <c r="G2261" s="18" t="s">
        <v>22</v>
      </c>
      <c r="H2261" s="18" t="s">
        <v>23</v>
      </c>
      <c r="I2261" s="19">
        <v>650</v>
      </c>
      <c r="J2261" s="20">
        <f t="shared" si="70"/>
        <v>3250</v>
      </c>
      <c r="K2261" s="106"/>
      <c r="L2261" s="114"/>
      <c r="M2261" s="114">
        <f>tblAquisições[[#This Row],[VALOR UNITARIO COMPRADO]]*tblAquisições[[#This Row],[QUANTIDADE COMPRADA]]</f>
        <v>0</v>
      </c>
      <c r="N2261" s="110">
        <f>K2261-tblAquisições[[#This Row],[QUANTIDADE PLANEJADA]]</f>
        <v>-5</v>
      </c>
      <c r="O2261" s="106" t="str">
        <f t="shared" si="71"/>
        <v>Faltando Comprar</v>
      </c>
    </row>
    <row r="2262" spans="1:15" ht="31.5">
      <c r="A2262" s="16" t="s">
        <v>17</v>
      </c>
      <c r="B2262" s="16" t="s">
        <v>26</v>
      </c>
      <c r="C2262" s="17" t="s">
        <v>19</v>
      </c>
      <c r="D2262" s="18" t="s">
        <v>1298</v>
      </c>
      <c r="E2262" s="18">
        <v>5</v>
      </c>
      <c r="F2262" s="18" t="s">
        <v>30</v>
      </c>
      <c r="G2262" s="18" t="s">
        <v>22</v>
      </c>
      <c r="H2262" s="18" t="s">
        <v>23</v>
      </c>
      <c r="I2262" s="19">
        <v>650</v>
      </c>
      <c r="J2262" s="20">
        <f t="shared" si="70"/>
        <v>3250</v>
      </c>
      <c r="K2262" s="106"/>
      <c r="L2262" s="114"/>
      <c r="M2262" s="114">
        <f>tblAquisições[[#This Row],[VALOR UNITARIO COMPRADO]]*tblAquisições[[#This Row],[QUANTIDADE COMPRADA]]</f>
        <v>0</v>
      </c>
      <c r="N2262" s="110">
        <f>K2262-tblAquisições[[#This Row],[QUANTIDADE PLANEJADA]]</f>
        <v>-5</v>
      </c>
      <c r="O2262" s="106" t="str">
        <f t="shared" si="71"/>
        <v>Faltando Comprar</v>
      </c>
    </row>
    <row r="2263" spans="1:15" ht="31.5">
      <c r="A2263" s="16" t="s">
        <v>17</v>
      </c>
      <c r="B2263" s="16" t="s">
        <v>27</v>
      </c>
      <c r="C2263" s="17" t="s">
        <v>19</v>
      </c>
      <c r="D2263" s="18" t="s">
        <v>1298</v>
      </c>
      <c r="E2263" s="18">
        <v>10</v>
      </c>
      <c r="F2263" s="18" t="s">
        <v>30</v>
      </c>
      <c r="G2263" s="18" t="s">
        <v>22</v>
      </c>
      <c r="H2263" s="18" t="s">
        <v>23</v>
      </c>
      <c r="I2263" s="19">
        <v>650</v>
      </c>
      <c r="J2263" s="20">
        <f t="shared" si="70"/>
        <v>6500</v>
      </c>
      <c r="K2263" s="106"/>
      <c r="L2263" s="114"/>
      <c r="M2263" s="114">
        <f>tblAquisições[[#This Row],[VALOR UNITARIO COMPRADO]]*tblAquisições[[#This Row],[QUANTIDADE COMPRADA]]</f>
        <v>0</v>
      </c>
      <c r="N2263" s="110">
        <f>K2263-tblAquisições[[#This Row],[QUANTIDADE PLANEJADA]]</f>
        <v>-10</v>
      </c>
      <c r="O2263" s="106" t="str">
        <f t="shared" si="71"/>
        <v>Faltando Comprar</v>
      </c>
    </row>
    <row r="2264" spans="1:15" ht="31.5">
      <c r="A2264" s="16" t="s">
        <v>17</v>
      </c>
      <c r="B2264" s="16" t="s">
        <v>26</v>
      </c>
      <c r="C2264" s="17" t="s">
        <v>19</v>
      </c>
      <c r="D2264" s="18" t="s">
        <v>1299</v>
      </c>
      <c r="E2264" s="18">
        <v>10</v>
      </c>
      <c r="F2264" s="18" t="s">
        <v>30</v>
      </c>
      <c r="G2264" s="18" t="s">
        <v>22</v>
      </c>
      <c r="H2264" s="18" t="s">
        <v>23</v>
      </c>
      <c r="I2264" s="19">
        <v>120</v>
      </c>
      <c r="J2264" s="20">
        <f t="shared" si="70"/>
        <v>1200</v>
      </c>
      <c r="K2264" s="106"/>
      <c r="L2264" s="114"/>
      <c r="M2264" s="114">
        <f>tblAquisições[[#This Row],[VALOR UNITARIO COMPRADO]]*tblAquisições[[#This Row],[QUANTIDADE COMPRADA]]</f>
        <v>0</v>
      </c>
      <c r="N2264" s="110">
        <f>K2264-tblAquisições[[#This Row],[QUANTIDADE PLANEJADA]]</f>
        <v>-10</v>
      </c>
      <c r="O2264" s="106" t="str">
        <f t="shared" si="71"/>
        <v>Faltando Comprar</v>
      </c>
    </row>
    <row r="2265" spans="1:15" ht="31.5">
      <c r="A2265" s="16" t="s">
        <v>17</v>
      </c>
      <c r="B2265" s="16" t="s">
        <v>17</v>
      </c>
      <c r="C2265" s="17" t="s">
        <v>19</v>
      </c>
      <c r="D2265" s="18" t="s">
        <v>1300</v>
      </c>
      <c r="E2265" s="18">
        <v>40</v>
      </c>
      <c r="F2265" s="18" t="s">
        <v>38</v>
      </c>
      <c r="G2265" s="18" t="s">
        <v>39</v>
      </c>
      <c r="H2265" s="18" t="s">
        <v>53</v>
      </c>
      <c r="I2265" s="19">
        <v>86.17</v>
      </c>
      <c r="J2265" s="20">
        <f t="shared" si="70"/>
        <v>3446.8</v>
      </c>
      <c r="K2265" s="106"/>
      <c r="L2265" s="114"/>
      <c r="M2265" s="114">
        <f>tblAquisições[[#This Row],[VALOR UNITARIO COMPRADO]]*tblAquisições[[#This Row],[QUANTIDADE COMPRADA]]</f>
        <v>0</v>
      </c>
      <c r="N2265" s="110">
        <f>K2265-tblAquisições[[#This Row],[QUANTIDADE PLANEJADA]]</f>
        <v>-40</v>
      </c>
      <c r="O2265" s="106" t="str">
        <f t="shared" si="71"/>
        <v>Faltando Comprar</v>
      </c>
    </row>
    <row r="2266" spans="1:15" ht="31.5">
      <c r="A2266" s="16" t="s">
        <v>17</v>
      </c>
      <c r="B2266" s="16" t="s">
        <v>18</v>
      </c>
      <c r="C2266" s="17" t="s">
        <v>19</v>
      </c>
      <c r="D2266" s="18" t="s">
        <v>1301</v>
      </c>
      <c r="E2266" s="18">
        <v>30</v>
      </c>
      <c r="F2266" s="18" t="s">
        <v>21</v>
      </c>
      <c r="G2266" s="18" t="s">
        <v>22</v>
      </c>
      <c r="H2266" s="18" t="s">
        <v>23</v>
      </c>
      <c r="I2266" s="19">
        <v>86.17</v>
      </c>
      <c r="J2266" s="20">
        <f t="shared" si="70"/>
        <v>2585.1</v>
      </c>
      <c r="K2266" s="106"/>
      <c r="L2266" s="114"/>
      <c r="M2266" s="114">
        <f>tblAquisições[[#This Row],[VALOR UNITARIO COMPRADO]]*tblAquisições[[#This Row],[QUANTIDADE COMPRADA]]</f>
        <v>0</v>
      </c>
      <c r="N2266" s="110">
        <f>K2266-tblAquisições[[#This Row],[QUANTIDADE PLANEJADA]]</f>
        <v>-30</v>
      </c>
      <c r="O2266" s="106" t="str">
        <f t="shared" si="71"/>
        <v>Faltando Comprar</v>
      </c>
    </row>
    <row r="2267" spans="1:15" ht="31.5">
      <c r="A2267" s="16" t="s">
        <v>17</v>
      </c>
      <c r="B2267" s="16" t="s">
        <v>24</v>
      </c>
      <c r="C2267" s="17" t="s">
        <v>19</v>
      </c>
      <c r="D2267" s="18" t="s">
        <v>1301</v>
      </c>
      <c r="E2267" s="18">
        <v>30</v>
      </c>
      <c r="F2267" s="18" t="s">
        <v>21</v>
      </c>
      <c r="G2267" s="18" t="s">
        <v>22</v>
      </c>
      <c r="H2267" s="18" t="s">
        <v>23</v>
      </c>
      <c r="I2267" s="19">
        <v>86.17</v>
      </c>
      <c r="J2267" s="20">
        <f t="shared" si="70"/>
        <v>2585.1</v>
      </c>
      <c r="K2267" s="106"/>
      <c r="L2267" s="114"/>
      <c r="M2267" s="114">
        <f>tblAquisições[[#This Row],[VALOR UNITARIO COMPRADO]]*tblAquisições[[#This Row],[QUANTIDADE COMPRADA]]</f>
        <v>0</v>
      </c>
      <c r="N2267" s="110">
        <f>K2267-tblAquisições[[#This Row],[QUANTIDADE PLANEJADA]]</f>
        <v>-30</v>
      </c>
      <c r="O2267" s="106" t="str">
        <f t="shared" si="71"/>
        <v>Faltando Comprar</v>
      </c>
    </row>
    <row r="2268" spans="1:15" ht="31.5">
      <c r="A2268" s="16" t="s">
        <v>17</v>
      </c>
      <c r="B2268" s="16" t="s">
        <v>25</v>
      </c>
      <c r="C2268" s="17" t="s">
        <v>19</v>
      </c>
      <c r="D2268" s="18" t="s">
        <v>1301</v>
      </c>
      <c r="E2268" s="18">
        <v>30</v>
      </c>
      <c r="F2268" s="18" t="s">
        <v>21</v>
      </c>
      <c r="G2268" s="18" t="s">
        <v>22</v>
      </c>
      <c r="H2268" s="18" t="s">
        <v>23</v>
      </c>
      <c r="I2268" s="19">
        <v>86.17</v>
      </c>
      <c r="J2268" s="20">
        <f t="shared" si="70"/>
        <v>2585.1</v>
      </c>
      <c r="K2268" s="106"/>
      <c r="L2268" s="114"/>
      <c r="M2268" s="114">
        <f>tblAquisições[[#This Row],[VALOR UNITARIO COMPRADO]]*tblAquisições[[#This Row],[QUANTIDADE COMPRADA]]</f>
        <v>0</v>
      </c>
      <c r="N2268" s="110">
        <f>K2268-tblAquisições[[#This Row],[QUANTIDADE PLANEJADA]]</f>
        <v>-30</v>
      </c>
      <c r="O2268" s="106" t="str">
        <f t="shared" si="71"/>
        <v>Faltando Comprar</v>
      </c>
    </row>
    <row r="2269" spans="1:15" ht="31.5">
      <c r="A2269" s="16" t="s">
        <v>17</v>
      </c>
      <c r="B2269" s="16" t="s">
        <v>28</v>
      </c>
      <c r="C2269" s="17" t="s">
        <v>19</v>
      </c>
      <c r="D2269" s="18" t="s">
        <v>1301</v>
      </c>
      <c r="E2269" s="18">
        <v>120</v>
      </c>
      <c r="F2269" s="18" t="s">
        <v>21</v>
      </c>
      <c r="G2269" s="18" t="s">
        <v>22</v>
      </c>
      <c r="H2269" s="18" t="s">
        <v>23</v>
      </c>
      <c r="I2269" s="19">
        <v>86.17</v>
      </c>
      <c r="J2269" s="20">
        <f t="shared" si="70"/>
        <v>10340.4</v>
      </c>
      <c r="K2269" s="106"/>
      <c r="L2269" s="114"/>
      <c r="M2269" s="114">
        <f>tblAquisições[[#This Row],[VALOR UNITARIO COMPRADO]]*tblAquisições[[#This Row],[QUANTIDADE COMPRADA]]</f>
        <v>0</v>
      </c>
      <c r="N2269" s="110">
        <f>K2269-tblAquisições[[#This Row],[QUANTIDADE PLANEJADA]]</f>
        <v>-120</v>
      </c>
      <c r="O2269" s="106" t="str">
        <f t="shared" si="71"/>
        <v>Faltando Comprar</v>
      </c>
    </row>
    <row r="2270" spans="1:15" ht="31.5">
      <c r="A2270" s="16" t="s">
        <v>17</v>
      </c>
      <c r="B2270" s="16" t="s">
        <v>31</v>
      </c>
      <c r="C2270" s="17" t="s">
        <v>19</v>
      </c>
      <c r="D2270" s="18" t="s">
        <v>1302</v>
      </c>
      <c r="E2270" s="18">
        <v>50</v>
      </c>
      <c r="F2270" s="18" t="s">
        <v>21</v>
      </c>
      <c r="G2270" s="18" t="s">
        <v>22</v>
      </c>
      <c r="H2270" s="18" t="s">
        <v>23</v>
      </c>
      <c r="I2270" s="19">
        <v>1.3</v>
      </c>
      <c r="J2270" s="20">
        <f t="shared" si="70"/>
        <v>65</v>
      </c>
      <c r="K2270" s="106"/>
      <c r="L2270" s="114"/>
      <c r="M2270" s="114">
        <f>tblAquisições[[#This Row],[VALOR UNITARIO COMPRADO]]*tblAquisições[[#This Row],[QUANTIDADE COMPRADA]]</f>
        <v>0</v>
      </c>
      <c r="N2270" s="110">
        <f>K2270-tblAquisições[[#This Row],[QUANTIDADE PLANEJADA]]</f>
        <v>-50</v>
      </c>
      <c r="O2270" s="106" t="str">
        <f t="shared" si="71"/>
        <v>Faltando Comprar</v>
      </c>
    </row>
    <row r="2271" spans="1:15" ht="31.5">
      <c r="A2271" s="16" t="s">
        <v>17</v>
      </c>
      <c r="B2271" s="16" t="s">
        <v>26</v>
      </c>
      <c r="C2271" s="17" t="s">
        <v>19</v>
      </c>
      <c r="D2271" s="18" t="s">
        <v>1302</v>
      </c>
      <c r="E2271" s="18">
        <v>50</v>
      </c>
      <c r="F2271" s="18" t="s">
        <v>21</v>
      </c>
      <c r="G2271" s="18" t="s">
        <v>22</v>
      </c>
      <c r="H2271" s="18" t="s">
        <v>23</v>
      </c>
      <c r="I2271" s="19">
        <v>1.3</v>
      </c>
      <c r="J2271" s="20">
        <f t="shared" si="70"/>
        <v>65</v>
      </c>
      <c r="K2271" s="106"/>
      <c r="L2271" s="114"/>
      <c r="M2271" s="114">
        <f>tblAquisições[[#This Row],[VALOR UNITARIO COMPRADO]]*tblAquisições[[#This Row],[QUANTIDADE COMPRADA]]</f>
        <v>0</v>
      </c>
      <c r="N2271" s="110">
        <f>K2271-tblAquisições[[#This Row],[QUANTIDADE PLANEJADA]]</f>
        <v>-50</v>
      </c>
      <c r="O2271" s="106" t="str">
        <f t="shared" si="71"/>
        <v>Faltando Comprar</v>
      </c>
    </row>
    <row r="2272" spans="1:15" ht="31.5">
      <c r="A2272" s="16" t="s">
        <v>17</v>
      </c>
      <c r="B2272" s="16" t="s">
        <v>31</v>
      </c>
      <c r="C2272" s="17" t="s">
        <v>19</v>
      </c>
      <c r="D2272" s="18" t="s">
        <v>1303</v>
      </c>
      <c r="E2272" s="18">
        <v>10</v>
      </c>
      <c r="F2272" s="18" t="s">
        <v>328</v>
      </c>
      <c r="G2272" s="18" t="s">
        <v>22</v>
      </c>
      <c r="H2272" s="18" t="s">
        <v>23</v>
      </c>
      <c r="I2272" s="19">
        <v>13.08</v>
      </c>
      <c r="J2272" s="20">
        <f t="shared" si="70"/>
        <v>130.80000000000001</v>
      </c>
      <c r="K2272" s="106"/>
      <c r="L2272" s="114"/>
      <c r="M2272" s="114">
        <f>tblAquisições[[#This Row],[VALOR UNITARIO COMPRADO]]*tblAquisições[[#This Row],[QUANTIDADE COMPRADA]]</f>
        <v>0</v>
      </c>
      <c r="N2272" s="110">
        <f>K2272-tblAquisições[[#This Row],[QUANTIDADE PLANEJADA]]</f>
        <v>-10</v>
      </c>
      <c r="O2272" s="106" t="str">
        <f t="shared" si="71"/>
        <v>Faltando Comprar</v>
      </c>
    </row>
    <row r="2273" spans="1:15" ht="31.5">
      <c r="A2273" s="16" t="s">
        <v>17</v>
      </c>
      <c r="B2273" s="16" t="s">
        <v>26</v>
      </c>
      <c r="C2273" s="17" t="s">
        <v>19</v>
      </c>
      <c r="D2273" s="18" t="s">
        <v>1304</v>
      </c>
      <c r="E2273" s="18">
        <v>100</v>
      </c>
      <c r="F2273" s="18" t="s">
        <v>30</v>
      </c>
      <c r="G2273" s="18" t="s">
        <v>22</v>
      </c>
      <c r="H2273" s="18" t="s">
        <v>23</v>
      </c>
      <c r="I2273" s="19">
        <v>60.1</v>
      </c>
      <c r="J2273" s="20">
        <f t="shared" si="70"/>
        <v>6010</v>
      </c>
      <c r="K2273" s="106"/>
      <c r="L2273" s="114"/>
      <c r="M2273" s="114">
        <f>tblAquisições[[#This Row],[VALOR UNITARIO COMPRADO]]*tblAquisições[[#This Row],[QUANTIDADE COMPRADA]]</f>
        <v>0</v>
      </c>
      <c r="N2273" s="110">
        <f>K2273-tblAquisições[[#This Row],[QUANTIDADE PLANEJADA]]</f>
        <v>-100</v>
      </c>
      <c r="O2273" s="106" t="str">
        <f t="shared" si="71"/>
        <v>Faltando Comprar</v>
      </c>
    </row>
    <row r="2274" spans="1:15" ht="31.5">
      <c r="A2274" s="16" t="s">
        <v>17</v>
      </c>
      <c r="B2274" s="16" t="s">
        <v>80</v>
      </c>
      <c r="C2274" s="17" t="s">
        <v>19</v>
      </c>
      <c r="D2274" s="18" t="s">
        <v>1305</v>
      </c>
      <c r="E2274" s="18">
        <v>6</v>
      </c>
      <c r="F2274" s="18" t="s">
        <v>82</v>
      </c>
      <c r="G2274" s="18" t="s">
        <v>39</v>
      </c>
      <c r="H2274" s="21"/>
      <c r="I2274" s="19">
        <v>700</v>
      </c>
      <c r="J2274" s="20">
        <f t="shared" si="70"/>
        <v>4200</v>
      </c>
      <c r="K2274" s="106"/>
      <c r="L2274" s="114"/>
      <c r="M2274" s="114">
        <f>tblAquisições[[#This Row],[VALOR UNITARIO COMPRADO]]*tblAquisições[[#This Row],[QUANTIDADE COMPRADA]]</f>
        <v>0</v>
      </c>
      <c r="N2274" s="110">
        <f>K2274-tblAquisições[[#This Row],[QUANTIDADE PLANEJADA]]</f>
        <v>-6</v>
      </c>
      <c r="O2274" s="106" t="str">
        <f t="shared" si="71"/>
        <v>Faltando Comprar</v>
      </c>
    </row>
    <row r="2275" spans="1:15" ht="31.5">
      <c r="A2275" s="16" t="s">
        <v>17</v>
      </c>
      <c r="B2275" s="16" t="s">
        <v>80</v>
      </c>
      <c r="C2275" s="17" t="s">
        <v>19</v>
      </c>
      <c r="D2275" s="18" t="s">
        <v>1306</v>
      </c>
      <c r="E2275" s="18">
        <v>2</v>
      </c>
      <c r="F2275" s="18" t="s">
        <v>82</v>
      </c>
      <c r="G2275" s="18" t="s">
        <v>39</v>
      </c>
      <c r="H2275" s="21"/>
      <c r="I2275" s="19">
        <v>630.47</v>
      </c>
      <c r="J2275" s="20">
        <f t="shared" si="70"/>
        <v>1260.94</v>
      </c>
      <c r="K2275" s="106"/>
      <c r="L2275" s="114"/>
      <c r="M2275" s="114">
        <f>tblAquisições[[#This Row],[VALOR UNITARIO COMPRADO]]*tblAquisições[[#This Row],[QUANTIDADE COMPRADA]]</f>
        <v>0</v>
      </c>
      <c r="N2275" s="110">
        <f>K2275-tblAquisições[[#This Row],[QUANTIDADE PLANEJADA]]</f>
        <v>-2</v>
      </c>
      <c r="O2275" s="106" t="str">
        <f t="shared" si="71"/>
        <v>Faltando Comprar</v>
      </c>
    </row>
    <row r="2276" spans="1:15" ht="31.5">
      <c r="A2276" s="16" t="s">
        <v>17</v>
      </c>
      <c r="B2276" s="16" t="s">
        <v>25</v>
      </c>
      <c r="C2276" s="17" t="s">
        <v>19</v>
      </c>
      <c r="D2276" s="18" t="s">
        <v>1307</v>
      </c>
      <c r="E2276" s="18">
        <v>5</v>
      </c>
      <c r="F2276" s="18" t="s">
        <v>30</v>
      </c>
      <c r="G2276" s="18" t="s">
        <v>22</v>
      </c>
      <c r="H2276" s="18" t="s">
        <v>23</v>
      </c>
      <c r="I2276" s="19">
        <v>630.47</v>
      </c>
      <c r="J2276" s="20">
        <f t="shared" si="70"/>
        <v>3152.3500000000004</v>
      </c>
      <c r="K2276" s="106"/>
      <c r="L2276" s="114"/>
      <c r="M2276" s="114">
        <f>tblAquisições[[#This Row],[VALOR UNITARIO COMPRADO]]*tblAquisições[[#This Row],[QUANTIDADE COMPRADA]]</f>
        <v>0</v>
      </c>
      <c r="N2276" s="110">
        <f>K2276-tblAquisições[[#This Row],[QUANTIDADE PLANEJADA]]</f>
        <v>-5</v>
      </c>
      <c r="O2276" s="106" t="str">
        <f t="shared" si="71"/>
        <v>Faltando Comprar</v>
      </c>
    </row>
    <row r="2277" spans="1:15" ht="31.5">
      <c r="A2277" s="16" t="s">
        <v>17</v>
      </c>
      <c r="B2277" s="16" t="s">
        <v>25</v>
      </c>
      <c r="C2277" s="17" t="s">
        <v>19</v>
      </c>
      <c r="D2277" s="18" t="s">
        <v>1308</v>
      </c>
      <c r="E2277" s="18">
        <v>5</v>
      </c>
      <c r="F2277" s="18" t="s">
        <v>30</v>
      </c>
      <c r="G2277" s="18" t="s">
        <v>22</v>
      </c>
      <c r="H2277" s="18" t="s">
        <v>23</v>
      </c>
      <c r="I2277" s="19">
        <v>623.26</v>
      </c>
      <c r="J2277" s="20">
        <f t="shared" si="70"/>
        <v>3116.3</v>
      </c>
      <c r="K2277" s="106"/>
      <c r="L2277" s="114"/>
      <c r="M2277" s="114">
        <f>tblAquisições[[#This Row],[VALOR UNITARIO COMPRADO]]*tblAquisições[[#This Row],[QUANTIDADE COMPRADA]]</f>
        <v>0</v>
      </c>
      <c r="N2277" s="110">
        <f>K2277-tblAquisições[[#This Row],[QUANTIDADE PLANEJADA]]</f>
        <v>-5</v>
      </c>
      <c r="O2277" s="106" t="str">
        <f t="shared" si="71"/>
        <v>Faltando Comprar</v>
      </c>
    </row>
    <row r="2278" spans="1:15" ht="31.5">
      <c r="A2278" s="16" t="s">
        <v>17</v>
      </c>
      <c r="B2278" s="16" t="s">
        <v>31</v>
      </c>
      <c r="C2278" s="17" t="s">
        <v>19</v>
      </c>
      <c r="D2278" s="18" t="s">
        <v>1309</v>
      </c>
      <c r="E2278" s="18">
        <v>20</v>
      </c>
      <c r="F2278" s="18" t="s">
        <v>30</v>
      </c>
      <c r="G2278" s="18" t="s">
        <v>22</v>
      </c>
      <c r="H2278" s="18" t="s">
        <v>23</v>
      </c>
      <c r="I2278" s="19">
        <v>2500</v>
      </c>
      <c r="J2278" s="20">
        <f t="shared" si="70"/>
        <v>50000</v>
      </c>
      <c r="K2278" s="106"/>
      <c r="L2278" s="114"/>
      <c r="M2278" s="114">
        <f>tblAquisições[[#This Row],[VALOR UNITARIO COMPRADO]]*tblAquisições[[#This Row],[QUANTIDADE COMPRADA]]</f>
        <v>0</v>
      </c>
      <c r="N2278" s="110">
        <f>K2278-tblAquisições[[#This Row],[QUANTIDADE PLANEJADA]]</f>
        <v>-20</v>
      </c>
      <c r="O2278" s="106" t="str">
        <f t="shared" si="71"/>
        <v>Faltando Comprar</v>
      </c>
    </row>
    <row r="2279" spans="1:15" ht="31.5">
      <c r="A2279" s="16" t="s">
        <v>17</v>
      </c>
      <c r="B2279" s="16" t="s">
        <v>26</v>
      </c>
      <c r="C2279" s="17" t="s">
        <v>19</v>
      </c>
      <c r="D2279" s="18" t="s">
        <v>1310</v>
      </c>
      <c r="E2279" s="18">
        <v>5</v>
      </c>
      <c r="F2279" s="18" t="s">
        <v>30</v>
      </c>
      <c r="G2279" s="18" t="s">
        <v>22</v>
      </c>
      <c r="H2279" s="18" t="s">
        <v>23</v>
      </c>
      <c r="I2279" s="19">
        <v>165</v>
      </c>
      <c r="J2279" s="20">
        <f t="shared" si="70"/>
        <v>825</v>
      </c>
      <c r="K2279" s="106"/>
      <c r="L2279" s="114"/>
      <c r="M2279" s="114">
        <f>tblAquisições[[#This Row],[VALOR UNITARIO COMPRADO]]*tblAquisições[[#This Row],[QUANTIDADE COMPRADA]]</f>
        <v>0</v>
      </c>
      <c r="N2279" s="110">
        <f>K2279-tblAquisições[[#This Row],[QUANTIDADE PLANEJADA]]</f>
        <v>-5</v>
      </c>
      <c r="O2279" s="106" t="str">
        <f t="shared" si="71"/>
        <v>Faltando Comprar</v>
      </c>
    </row>
    <row r="2280" spans="1:15" ht="31.5">
      <c r="A2280" s="16" t="s">
        <v>17</v>
      </c>
      <c r="B2280" s="16" t="s">
        <v>26</v>
      </c>
      <c r="C2280" s="17" t="s">
        <v>19</v>
      </c>
      <c r="D2280" s="18" t="s">
        <v>1311</v>
      </c>
      <c r="E2280" s="18">
        <v>5</v>
      </c>
      <c r="F2280" s="18" t="s">
        <v>30</v>
      </c>
      <c r="G2280" s="18" t="s">
        <v>22</v>
      </c>
      <c r="H2280" s="18" t="s">
        <v>23</v>
      </c>
      <c r="I2280" s="19">
        <v>180</v>
      </c>
      <c r="J2280" s="20">
        <f t="shared" si="70"/>
        <v>900</v>
      </c>
      <c r="K2280" s="106"/>
      <c r="L2280" s="114"/>
      <c r="M2280" s="114">
        <f>tblAquisições[[#This Row],[VALOR UNITARIO COMPRADO]]*tblAquisições[[#This Row],[QUANTIDADE COMPRADA]]</f>
        <v>0</v>
      </c>
      <c r="N2280" s="110">
        <f>K2280-tblAquisições[[#This Row],[QUANTIDADE PLANEJADA]]</f>
        <v>-5</v>
      </c>
      <c r="O2280" s="106" t="str">
        <f t="shared" si="71"/>
        <v>Faltando Comprar</v>
      </c>
    </row>
    <row r="2281" spans="1:15" ht="31.5">
      <c r="A2281" s="16" t="s">
        <v>17</v>
      </c>
      <c r="B2281" s="16" t="s">
        <v>26</v>
      </c>
      <c r="C2281" s="17" t="s">
        <v>19</v>
      </c>
      <c r="D2281" s="18" t="s">
        <v>1312</v>
      </c>
      <c r="E2281" s="18">
        <v>40</v>
      </c>
      <c r="F2281" s="18" t="s">
        <v>30</v>
      </c>
      <c r="G2281" s="18" t="s">
        <v>22</v>
      </c>
      <c r="H2281" s="18" t="s">
        <v>23</v>
      </c>
      <c r="I2281" s="19">
        <v>16.5</v>
      </c>
      <c r="J2281" s="20">
        <f t="shared" si="70"/>
        <v>660</v>
      </c>
      <c r="K2281" s="106"/>
      <c r="L2281" s="114"/>
      <c r="M2281" s="114">
        <f>tblAquisições[[#This Row],[VALOR UNITARIO COMPRADO]]*tblAquisições[[#This Row],[QUANTIDADE COMPRADA]]</f>
        <v>0</v>
      </c>
      <c r="N2281" s="110">
        <f>K2281-tblAquisições[[#This Row],[QUANTIDADE PLANEJADA]]</f>
        <v>-40</v>
      </c>
      <c r="O2281" s="106" t="str">
        <f t="shared" si="71"/>
        <v>Faltando Comprar</v>
      </c>
    </row>
    <row r="2282" spans="1:15" ht="31.5">
      <c r="A2282" s="16" t="s">
        <v>17</v>
      </c>
      <c r="B2282" s="16" t="s">
        <v>26</v>
      </c>
      <c r="C2282" s="17" t="s">
        <v>19</v>
      </c>
      <c r="D2282" s="18" t="s">
        <v>1313</v>
      </c>
      <c r="E2282" s="18">
        <v>20</v>
      </c>
      <c r="F2282" s="18" t="s">
        <v>30</v>
      </c>
      <c r="G2282" s="18" t="s">
        <v>22</v>
      </c>
      <c r="H2282" s="18" t="s">
        <v>23</v>
      </c>
      <c r="I2282" s="19">
        <v>17.5</v>
      </c>
      <c r="J2282" s="20">
        <f t="shared" si="70"/>
        <v>350</v>
      </c>
      <c r="K2282" s="106"/>
      <c r="L2282" s="114"/>
      <c r="M2282" s="114">
        <f>tblAquisições[[#This Row],[VALOR UNITARIO COMPRADO]]*tblAquisições[[#This Row],[QUANTIDADE COMPRADA]]</f>
        <v>0</v>
      </c>
      <c r="N2282" s="110">
        <f>K2282-tblAquisições[[#This Row],[QUANTIDADE PLANEJADA]]</f>
        <v>-20</v>
      </c>
      <c r="O2282" s="106" t="str">
        <f t="shared" si="71"/>
        <v>Faltando Comprar</v>
      </c>
    </row>
    <row r="2283" spans="1:15" ht="31.5">
      <c r="A2283" s="16" t="s">
        <v>17</v>
      </c>
      <c r="B2283" s="16" t="s">
        <v>26</v>
      </c>
      <c r="C2283" s="17" t="s">
        <v>19</v>
      </c>
      <c r="D2283" s="18" t="s">
        <v>1314</v>
      </c>
      <c r="E2283" s="18">
        <v>20</v>
      </c>
      <c r="F2283" s="18" t="s">
        <v>30</v>
      </c>
      <c r="G2283" s="18" t="s">
        <v>22</v>
      </c>
      <c r="H2283" s="18" t="s">
        <v>23</v>
      </c>
      <c r="I2283" s="19">
        <v>18.5</v>
      </c>
      <c r="J2283" s="20">
        <f t="shared" si="70"/>
        <v>370</v>
      </c>
      <c r="K2283" s="106"/>
      <c r="L2283" s="114"/>
      <c r="M2283" s="114">
        <f>tblAquisições[[#This Row],[VALOR UNITARIO COMPRADO]]*tblAquisições[[#This Row],[QUANTIDADE COMPRADA]]</f>
        <v>0</v>
      </c>
      <c r="N2283" s="110">
        <f>K2283-tblAquisições[[#This Row],[QUANTIDADE PLANEJADA]]</f>
        <v>-20</v>
      </c>
      <c r="O2283" s="106" t="str">
        <f t="shared" si="71"/>
        <v>Faltando Comprar</v>
      </c>
    </row>
    <row r="2284" spans="1:15" ht="31.5">
      <c r="A2284" s="16" t="s">
        <v>17</v>
      </c>
      <c r="B2284" s="16" t="s">
        <v>26</v>
      </c>
      <c r="C2284" s="17" t="s">
        <v>19</v>
      </c>
      <c r="D2284" s="18" t="s">
        <v>1315</v>
      </c>
      <c r="E2284" s="18">
        <v>10</v>
      </c>
      <c r="F2284" s="18" t="s">
        <v>30</v>
      </c>
      <c r="G2284" s="18" t="s">
        <v>22</v>
      </c>
      <c r="H2284" s="18" t="s">
        <v>23</v>
      </c>
      <c r="I2284" s="19">
        <v>64</v>
      </c>
      <c r="J2284" s="20">
        <f t="shared" si="70"/>
        <v>640</v>
      </c>
      <c r="K2284" s="106"/>
      <c r="L2284" s="114"/>
      <c r="M2284" s="114">
        <f>tblAquisições[[#This Row],[VALOR UNITARIO COMPRADO]]*tblAquisições[[#This Row],[QUANTIDADE COMPRADA]]</f>
        <v>0</v>
      </c>
      <c r="N2284" s="110">
        <f>K2284-tblAquisições[[#This Row],[QUANTIDADE PLANEJADA]]</f>
        <v>-10</v>
      </c>
      <c r="O2284" s="106" t="str">
        <f t="shared" si="71"/>
        <v>Faltando Comprar</v>
      </c>
    </row>
    <row r="2285" spans="1:15" ht="31.5">
      <c r="A2285" s="16" t="s">
        <v>17</v>
      </c>
      <c r="B2285" s="16" t="s">
        <v>80</v>
      </c>
      <c r="C2285" s="17" t="s">
        <v>19</v>
      </c>
      <c r="D2285" s="18" t="s">
        <v>1316</v>
      </c>
      <c r="E2285" s="18">
        <v>4</v>
      </c>
      <c r="F2285" s="18" t="s">
        <v>82</v>
      </c>
      <c r="G2285" s="18" t="s">
        <v>39</v>
      </c>
      <c r="H2285" s="18" t="s">
        <v>65</v>
      </c>
      <c r="I2285" s="19">
        <v>70</v>
      </c>
      <c r="J2285" s="20">
        <f t="shared" si="70"/>
        <v>280</v>
      </c>
      <c r="K2285" s="106"/>
      <c r="L2285" s="114"/>
      <c r="M2285" s="114">
        <f>tblAquisições[[#This Row],[VALOR UNITARIO COMPRADO]]*tblAquisições[[#This Row],[QUANTIDADE COMPRADA]]</f>
        <v>0</v>
      </c>
      <c r="N2285" s="110">
        <f>K2285-tblAquisições[[#This Row],[QUANTIDADE PLANEJADA]]</f>
        <v>-4</v>
      </c>
      <c r="O2285" s="106" t="str">
        <f t="shared" si="71"/>
        <v>Faltando Comprar</v>
      </c>
    </row>
    <row r="2286" spans="1:15" ht="31.5">
      <c r="A2286" s="16" t="s">
        <v>17</v>
      </c>
      <c r="B2286" s="16" t="s">
        <v>26</v>
      </c>
      <c r="C2286" s="17" t="s">
        <v>19</v>
      </c>
      <c r="D2286" s="18" t="s">
        <v>1317</v>
      </c>
      <c r="E2286" s="18">
        <v>10</v>
      </c>
      <c r="F2286" s="18" t="s">
        <v>30</v>
      </c>
      <c r="G2286" s="18" t="s">
        <v>22</v>
      </c>
      <c r="H2286" s="18" t="s">
        <v>23</v>
      </c>
      <c r="I2286" s="19">
        <v>70</v>
      </c>
      <c r="J2286" s="20">
        <f t="shared" si="70"/>
        <v>700</v>
      </c>
      <c r="K2286" s="106"/>
      <c r="L2286" s="114"/>
      <c r="M2286" s="114">
        <f>tblAquisições[[#This Row],[VALOR UNITARIO COMPRADO]]*tblAquisições[[#This Row],[QUANTIDADE COMPRADA]]</f>
        <v>0</v>
      </c>
      <c r="N2286" s="110">
        <f>K2286-tblAquisições[[#This Row],[QUANTIDADE PLANEJADA]]</f>
        <v>-10</v>
      </c>
      <c r="O2286" s="106" t="str">
        <f t="shared" si="71"/>
        <v>Faltando Comprar</v>
      </c>
    </row>
    <row r="2287" spans="1:15" ht="31.5">
      <c r="A2287" s="16" t="s">
        <v>17</v>
      </c>
      <c r="B2287" s="16" t="s">
        <v>26</v>
      </c>
      <c r="C2287" s="17" t="s">
        <v>19</v>
      </c>
      <c r="D2287" s="18" t="s">
        <v>1318</v>
      </c>
      <c r="E2287" s="18">
        <v>5</v>
      </c>
      <c r="F2287" s="18" t="s">
        <v>30</v>
      </c>
      <c r="G2287" s="18" t="s">
        <v>22</v>
      </c>
      <c r="H2287" s="18" t="s">
        <v>23</v>
      </c>
      <c r="I2287" s="19">
        <v>88.5</v>
      </c>
      <c r="J2287" s="20">
        <f t="shared" si="70"/>
        <v>442.5</v>
      </c>
      <c r="K2287" s="106"/>
      <c r="L2287" s="114"/>
      <c r="M2287" s="114">
        <f>tblAquisições[[#This Row],[VALOR UNITARIO COMPRADO]]*tblAquisições[[#This Row],[QUANTIDADE COMPRADA]]</f>
        <v>0</v>
      </c>
      <c r="N2287" s="110">
        <f>K2287-tblAquisições[[#This Row],[QUANTIDADE PLANEJADA]]</f>
        <v>-5</v>
      </c>
      <c r="O2287" s="106" t="str">
        <f t="shared" si="71"/>
        <v>Faltando Comprar</v>
      </c>
    </row>
    <row r="2288" spans="1:15" ht="47.25">
      <c r="A2288" s="16" t="s">
        <v>17</v>
      </c>
      <c r="B2288" s="16" t="s">
        <v>18</v>
      </c>
      <c r="C2288" s="17" t="s">
        <v>19</v>
      </c>
      <c r="D2288" s="18" t="s">
        <v>1319</v>
      </c>
      <c r="E2288" s="18">
        <v>11</v>
      </c>
      <c r="F2288" s="18" t="s">
        <v>214</v>
      </c>
      <c r="G2288" s="18" t="s">
        <v>127</v>
      </c>
      <c r="H2288" s="18" t="s">
        <v>23</v>
      </c>
      <c r="I2288" s="19">
        <v>313.62</v>
      </c>
      <c r="J2288" s="20">
        <f t="shared" si="70"/>
        <v>3449.82</v>
      </c>
      <c r="K2288" s="106"/>
      <c r="L2288" s="114"/>
      <c r="M2288" s="114">
        <f>tblAquisições[[#This Row],[VALOR UNITARIO COMPRADO]]*tblAquisições[[#This Row],[QUANTIDADE COMPRADA]]</f>
        <v>0</v>
      </c>
      <c r="N2288" s="110">
        <f>K2288-tblAquisições[[#This Row],[QUANTIDADE PLANEJADA]]</f>
        <v>-11</v>
      </c>
      <c r="O2288" s="106" t="str">
        <f t="shared" si="71"/>
        <v>Faltando Comprar</v>
      </c>
    </row>
    <row r="2289" spans="1:15" ht="47.25">
      <c r="A2289" s="16" t="s">
        <v>17</v>
      </c>
      <c r="B2289" s="16" t="s">
        <v>24</v>
      </c>
      <c r="C2289" s="17" t="s">
        <v>19</v>
      </c>
      <c r="D2289" s="18" t="s">
        <v>1319</v>
      </c>
      <c r="E2289" s="18">
        <v>11</v>
      </c>
      <c r="F2289" s="18" t="s">
        <v>214</v>
      </c>
      <c r="G2289" s="18" t="s">
        <v>127</v>
      </c>
      <c r="H2289" s="18" t="s">
        <v>23</v>
      </c>
      <c r="I2289" s="19">
        <v>313.62</v>
      </c>
      <c r="J2289" s="20">
        <f t="shared" si="70"/>
        <v>3449.82</v>
      </c>
      <c r="K2289" s="106"/>
      <c r="L2289" s="114"/>
      <c r="M2289" s="114">
        <f>tblAquisições[[#This Row],[VALOR UNITARIO COMPRADO]]*tblAquisições[[#This Row],[QUANTIDADE COMPRADA]]</f>
        <v>0</v>
      </c>
      <c r="N2289" s="110">
        <f>K2289-tblAquisições[[#This Row],[QUANTIDADE PLANEJADA]]</f>
        <v>-11</v>
      </c>
      <c r="O2289" s="106" t="str">
        <f t="shared" si="71"/>
        <v>Faltando Comprar</v>
      </c>
    </row>
    <row r="2290" spans="1:15" ht="47.25">
      <c r="A2290" s="16" t="s">
        <v>17</v>
      </c>
      <c r="B2290" s="16" t="s">
        <v>25</v>
      </c>
      <c r="C2290" s="17" t="s">
        <v>19</v>
      </c>
      <c r="D2290" s="18" t="s">
        <v>1319</v>
      </c>
      <c r="E2290" s="18">
        <v>11</v>
      </c>
      <c r="F2290" s="18" t="s">
        <v>214</v>
      </c>
      <c r="G2290" s="18" t="s">
        <v>127</v>
      </c>
      <c r="H2290" s="18" t="s">
        <v>23</v>
      </c>
      <c r="I2290" s="19">
        <v>313.62</v>
      </c>
      <c r="J2290" s="20">
        <f t="shared" si="70"/>
        <v>3449.82</v>
      </c>
      <c r="K2290" s="106"/>
      <c r="L2290" s="114"/>
      <c r="M2290" s="114">
        <f>tblAquisições[[#This Row],[VALOR UNITARIO COMPRADO]]*tblAquisições[[#This Row],[QUANTIDADE COMPRADA]]</f>
        <v>0</v>
      </c>
      <c r="N2290" s="110">
        <f>K2290-tblAquisições[[#This Row],[QUANTIDADE PLANEJADA]]</f>
        <v>-11</v>
      </c>
      <c r="O2290" s="106" t="str">
        <f t="shared" si="71"/>
        <v>Faltando Comprar</v>
      </c>
    </row>
    <row r="2291" spans="1:15" ht="47.25">
      <c r="A2291" s="16" t="s">
        <v>17</v>
      </c>
      <c r="B2291" s="16" t="s">
        <v>28</v>
      </c>
      <c r="C2291" s="17" t="s">
        <v>19</v>
      </c>
      <c r="D2291" s="18" t="s">
        <v>1319</v>
      </c>
      <c r="E2291" s="18">
        <v>2</v>
      </c>
      <c r="F2291" s="18" t="s">
        <v>214</v>
      </c>
      <c r="G2291" s="18" t="s">
        <v>127</v>
      </c>
      <c r="H2291" s="18" t="s">
        <v>23</v>
      </c>
      <c r="I2291" s="19">
        <v>313.62</v>
      </c>
      <c r="J2291" s="20">
        <f t="shared" si="70"/>
        <v>627.24</v>
      </c>
      <c r="K2291" s="106"/>
      <c r="L2291" s="114"/>
      <c r="M2291" s="114">
        <f>tblAquisições[[#This Row],[VALOR UNITARIO COMPRADO]]*tblAquisições[[#This Row],[QUANTIDADE COMPRADA]]</f>
        <v>0</v>
      </c>
      <c r="N2291" s="110">
        <f>K2291-tblAquisições[[#This Row],[QUANTIDADE PLANEJADA]]</f>
        <v>-2</v>
      </c>
      <c r="O2291" s="106" t="str">
        <f t="shared" si="71"/>
        <v>Faltando Comprar</v>
      </c>
    </row>
    <row r="2292" spans="1:15" ht="47.25">
      <c r="A2292" s="16" t="s">
        <v>17</v>
      </c>
      <c r="B2292" s="16" t="s">
        <v>28</v>
      </c>
      <c r="C2292" s="17" t="s">
        <v>19</v>
      </c>
      <c r="D2292" s="18" t="s">
        <v>1320</v>
      </c>
      <c r="E2292" s="18">
        <v>5</v>
      </c>
      <c r="F2292" s="18" t="s">
        <v>214</v>
      </c>
      <c r="G2292" s="18" t="s">
        <v>127</v>
      </c>
      <c r="H2292" s="18" t="s">
        <v>23</v>
      </c>
      <c r="I2292" s="19">
        <v>1575</v>
      </c>
      <c r="J2292" s="20">
        <f t="shared" si="70"/>
        <v>7875</v>
      </c>
      <c r="K2292" s="106"/>
      <c r="L2292" s="114"/>
      <c r="M2292" s="114">
        <f>tblAquisições[[#This Row],[VALOR UNITARIO COMPRADO]]*tblAquisições[[#This Row],[QUANTIDADE COMPRADA]]</f>
        <v>0</v>
      </c>
      <c r="N2292" s="110">
        <f>K2292-tblAquisições[[#This Row],[QUANTIDADE PLANEJADA]]</f>
        <v>-5</v>
      </c>
      <c r="O2292" s="106" t="str">
        <f t="shared" si="71"/>
        <v>Faltando Comprar</v>
      </c>
    </row>
    <row r="2293" spans="1:15" ht="31.5">
      <c r="A2293" s="16" t="s">
        <v>17</v>
      </c>
      <c r="B2293" s="16" t="s">
        <v>25</v>
      </c>
      <c r="C2293" s="17" t="s">
        <v>19</v>
      </c>
      <c r="D2293" s="18" t="s">
        <v>1321</v>
      </c>
      <c r="E2293" s="23">
        <v>150000</v>
      </c>
      <c r="F2293" s="18" t="s">
        <v>52</v>
      </c>
      <c r="G2293" s="18" t="s">
        <v>22</v>
      </c>
      <c r="H2293" s="18" t="s">
        <v>100</v>
      </c>
      <c r="I2293" s="19">
        <v>2.4700000000000002</v>
      </c>
      <c r="J2293" s="20">
        <f t="shared" si="70"/>
        <v>370500.00000000006</v>
      </c>
      <c r="K2293" s="106"/>
      <c r="L2293" s="114"/>
      <c r="M2293" s="114">
        <f>tblAquisições[[#This Row],[VALOR UNITARIO COMPRADO]]*tblAquisições[[#This Row],[QUANTIDADE COMPRADA]]</f>
        <v>0</v>
      </c>
      <c r="N2293" s="110">
        <f>K2293-tblAquisições[[#This Row],[QUANTIDADE PLANEJADA]]</f>
        <v>-150000</v>
      </c>
      <c r="O2293" s="106" t="str">
        <f t="shared" si="71"/>
        <v>Faltando Comprar</v>
      </c>
    </row>
    <row r="2294" spans="1:15" ht="31.5">
      <c r="A2294" s="16" t="s">
        <v>17</v>
      </c>
      <c r="B2294" s="16" t="s">
        <v>26</v>
      </c>
      <c r="C2294" s="17" t="s">
        <v>19</v>
      </c>
      <c r="D2294" s="18" t="s">
        <v>1322</v>
      </c>
      <c r="E2294" s="18">
        <v>5</v>
      </c>
      <c r="F2294" s="18" t="s">
        <v>30</v>
      </c>
      <c r="G2294" s="18" t="s">
        <v>22</v>
      </c>
      <c r="H2294" s="18" t="s">
        <v>23</v>
      </c>
      <c r="I2294" s="19">
        <v>160</v>
      </c>
      <c r="J2294" s="20">
        <f t="shared" si="70"/>
        <v>800</v>
      </c>
      <c r="K2294" s="106"/>
      <c r="L2294" s="114"/>
      <c r="M2294" s="114">
        <f>tblAquisições[[#This Row],[VALOR UNITARIO COMPRADO]]*tblAquisições[[#This Row],[QUANTIDADE COMPRADA]]</f>
        <v>0</v>
      </c>
      <c r="N2294" s="110">
        <f>K2294-tblAquisições[[#This Row],[QUANTIDADE PLANEJADA]]</f>
        <v>-5</v>
      </c>
      <c r="O2294" s="106" t="str">
        <f t="shared" si="71"/>
        <v>Faltando Comprar</v>
      </c>
    </row>
    <row r="2295" spans="1:15" ht="31.5">
      <c r="A2295" s="16" t="s">
        <v>17</v>
      </c>
      <c r="B2295" s="16" t="s">
        <v>28</v>
      </c>
      <c r="C2295" s="17" t="s">
        <v>19</v>
      </c>
      <c r="D2295" s="18" t="s">
        <v>1323</v>
      </c>
      <c r="E2295" s="18">
        <v>8</v>
      </c>
      <c r="F2295" s="18" t="s">
        <v>170</v>
      </c>
      <c r="G2295" s="18" t="s">
        <v>22</v>
      </c>
      <c r="H2295" s="18" t="s">
        <v>23</v>
      </c>
      <c r="I2295" s="19">
        <v>50.54</v>
      </c>
      <c r="J2295" s="20">
        <f t="shared" si="70"/>
        <v>404.32</v>
      </c>
      <c r="K2295" s="106"/>
      <c r="L2295" s="114"/>
      <c r="M2295" s="114">
        <f>tblAquisições[[#This Row],[VALOR UNITARIO COMPRADO]]*tblAquisições[[#This Row],[QUANTIDADE COMPRADA]]</f>
        <v>0</v>
      </c>
      <c r="N2295" s="110">
        <f>K2295-tblAquisições[[#This Row],[QUANTIDADE PLANEJADA]]</f>
        <v>-8</v>
      </c>
      <c r="O2295" s="106" t="str">
        <f t="shared" si="71"/>
        <v>Faltando Comprar</v>
      </c>
    </row>
    <row r="2296" spans="1:15" ht="47.25">
      <c r="A2296" s="16" t="s">
        <v>17</v>
      </c>
      <c r="B2296" s="16" t="s">
        <v>34</v>
      </c>
      <c r="C2296" s="17" t="s">
        <v>19</v>
      </c>
      <c r="D2296" s="18" t="s">
        <v>1324</v>
      </c>
      <c r="E2296" s="18">
        <v>2</v>
      </c>
      <c r="F2296" s="18" t="s">
        <v>21</v>
      </c>
      <c r="G2296" s="18" t="s">
        <v>22</v>
      </c>
      <c r="H2296" s="18" t="s">
        <v>23</v>
      </c>
      <c r="I2296" s="19">
        <v>1300</v>
      </c>
      <c r="J2296" s="20">
        <f t="shared" si="70"/>
        <v>2600</v>
      </c>
      <c r="K2296" s="106"/>
      <c r="L2296" s="114"/>
      <c r="M2296" s="114">
        <f>tblAquisições[[#This Row],[VALOR UNITARIO COMPRADO]]*tblAquisições[[#This Row],[QUANTIDADE COMPRADA]]</f>
        <v>0</v>
      </c>
      <c r="N2296" s="110">
        <f>K2296-tblAquisições[[#This Row],[QUANTIDADE PLANEJADA]]</f>
        <v>-2</v>
      </c>
      <c r="O2296" s="106" t="str">
        <f t="shared" si="71"/>
        <v>Faltando Comprar</v>
      </c>
    </row>
    <row r="2297" spans="1:15" ht="47.25">
      <c r="A2297" s="16" t="s">
        <v>17</v>
      </c>
      <c r="B2297" s="16" t="s">
        <v>34</v>
      </c>
      <c r="C2297" s="17" t="s">
        <v>19</v>
      </c>
      <c r="D2297" s="18" t="s">
        <v>1325</v>
      </c>
      <c r="E2297" s="18">
        <v>4</v>
      </c>
      <c r="F2297" s="18" t="s">
        <v>21</v>
      </c>
      <c r="G2297" s="18" t="s">
        <v>22</v>
      </c>
      <c r="H2297" s="18" t="s">
        <v>23</v>
      </c>
      <c r="I2297" s="19">
        <v>875</v>
      </c>
      <c r="J2297" s="20">
        <f t="shared" si="70"/>
        <v>3500</v>
      </c>
      <c r="K2297" s="106"/>
      <c r="L2297" s="114"/>
      <c r="M2297" s="114">
        <f>tblAquisições[[#This Row],[VALOR UNITARIO COMPRADO]]*tblAquisições[[#This Row],[QUANTIDADE COMPRADA]]</f>
        <v>0</v>
      </c>
      <c r="N2297" s="110">
        <f>K2297-tblAquisições[[#This Row],[QUANTIDADE PLANEJADA]]</f>
        <v>-4</v>
      </c>
      <c r="O2297" s="106" t="str">
        <f t="shared" si="71"/>
        <v>Faltando Comprar</v>
      </c>
    </row>
    <row r="2298" spans="1:15" ht="31.5">
      <c r="A2298" s="16" t="s">
        <v>17</v>
      </c>
      <c r="B2298" s="16" t="s">
        <v>18</v>
      </c>
      <c r="C2298" s="17" t="s">
        <v>19</v>
      </c>
      <c r="D2298" s="18" t="s">
        <v>1326</v>
      </c>
      <c r="E2298" s="18">
        <v>5</v>
      </c>
      <c r="F2298" s="18" t="s">
        <v>21</v>
      </c>
      <c r="G2298" s="18" t="s">
        <v>22</v>
      </c>
      <c r="H2298" s="18" t="s">
        <v>23</v>
      </c>
      <c r="I2298" s="19">
        <v>29.05</v>
      </c>
      <c r="J2298" s="20">
        <f t="shared" si="70"/>
        <v>145.25</v>
      </c>
      <c r="K2298" s="106"/>
      <c r="L2298" s="114"/>
      <c r="M2298" s="114">
        <f>tblAquisições[[#This Row],[VALOR UNITARIO COMPRADO]]*tblAquisições[[#This Row],[QUANTIDADE COMPRADA]]</f>
        <v>0</v>
      </c>
      <c r="N2298" s="110">
        <f>K2298-tblAquisições[[#This Row],[QUANTIDADE PLANEJADA]]</f>
        <v>-5</v>
      </c>
      <c r="O2298" s="106" t="str">
        <f t="shared" si="71"/>
        <v>Faltando Comprar</v>
      </c>
    </row>
    <row r="2299" spans="1:15" ht="31.5">
      <c r="A2299" s="16" t="s">
        <v>17</v>
      </c>
      <c r="B2299" s="16" t="s">
        <v>24</v>
      </c>
      <c r="C2299" s="17" t="s">
        <v>19</v>
      </c>
      <c r="D2299" s="18" t="s">
        <v>1326</v>
      </c>
      <c r="E2299" s="18">
        <v>5</v>
      </c>
      <c r="F2299" s="18" t="s">
        <v>21</v>
      </c>
      <c r="G2299" s="18" t="s">
        <v>22</v>
      </c>
      <c r="H2299" s="18" t="s">
        <v>23</v>
      </c>
      <c r="I2299" s="19">
        <v>29.05</v>
      </c>
      <c r="J2299" s="20">
        <f t="shared" si="70"/>
        <v>145.25</v>
      </c>
      <c r="K2299" s="106"/>
      <c r="L2299" s="114"/>
      <c r="M2299" s="114">
        <f>tblAquisições[[#This Row],[VALOR UNITARIO COMPRADO]]*tblAquisições[[#This Row],[QUANTIDADE COMPRADA]]</f>
        <v>0</v>
      </c>
      <c r="N2299" s="110">
        <f>K2299-tblAquisições[[#This Row],[QUANTIDADE PLANEJADA]]</f>
        <v>-5</v>
      </c>
      <c r="O2299" s="106" t="str">
        <f t="shared" si="71"/>
        <v>Faltando Comprar</v>
      </c>
    </row>
    <row r="2300" spans="1:15" ht="31.5">
      <c r="A2300" s="16" t="s">
        <v>17</v>
      </c>
      <c r="B2300" s="16" t="s">
        <v>25</v>
      </c>
      <c r="C2300" s="17" t="s">
        <v>19</v>
      </c>
      <c r="D2300" s="18" t="s">
        <v>1326</v>
      </c>
      <c r="E2300" s="18">
        <v>5</v>
      </c>
      <c r="F2300" s="18" t="s">
        <v>21</v>
      </c>
      <c r="G2300" s="18" t="s">
        <v>22</v>
      </c>
      <c r="H2300" s="18" t="s">
        <v>23</v>
      </c>
      <c r="I2300" s="19">
        <v>29.05</v>
      </c>
      <c r="J2300" s="20">
        <f t="shared" si="70"/>
        <v>145.25</v>
      </c>
      <c r="K2300" s="106"/>
      <c r="L2300" s="114"/>
      <c r="M2300" s="114">
        <f>tblAquisições[[#This Row],[VALOR UNITARIO COMPRADO]]*tblAquisições[[#This Row],[QUANTIDADE COMPRADA]]</f>
        <v>0</v>
      </c>
      <c r="N2300" s="110">
        <f>K2300-tblAquisições[[#This Row],[QUANTIDADE PLANEJADA]]</f>
        <v>-5</v>
      </c>
      <c r="O2300" s="106" t="str">
        <f t="shared" si="71"/>
        <v>Faltando Comprar</v>
      </c>
    </row>
    <row r="2301" spans="1:15" ht="31.5">
      <c r="A2301" s="16" t="s">
        <v>17</v>
      </c>
      <c r="B2301" s="16" t="s">
        <v>27</v>
      </c>
      <c r="C2301" s="17" t="s">
        <v>19</v>
      </c>
      <c r="D2301" s="18" t="s">
        <v>1326</v>
      </c>
      <c r="E2301" s="18">
        <v>2</v>
      </c>
      <c r="F2301" s="18" t="s">
        <v>21</v>
      </c>
      <c r="G2301" s="18" t="s">
        <v>22</v>
      </c>
      <c r="H2301" s="18" t="s">
        <v>23</v>
      </c>
      <c r="I2301" s="19">
        <v>29.05</v>
      </c>
      <c r="J2301" s="20">
        <f t="shared" si="70"/>
        <v>58.1</v>
      </c>
      <c r="K2301" s="106"/>
      <c r="L2301" s="114"/>
      <c r="M2301" s="114">
        <f>tblAquisições[[#This Row],[VALOR UNITARIO COMPRADO]]*tblAquisições[[#This Row],[QUANTIDADE COMPRADA]]</f>
        <v>0</v>
      </c>
      <c r="N2301" s="110">
        <f>K2301-tblAquisições[[#This Row],[QUANTIDADE PLANEJADA]]</f>
        <v>-2</v>
      </c>
      <c r="O2301" s="106" t="str">
        <f t="shared" si="71"/>
        <v>Faltando Comprar</v>
      </c>
    </row>
    <row r="2302" spans="1:15" ht="31.5">
      <c r="A2302" s="16" t="s">
        <v>17</v>
      </c>
      <c r="B2302" s="16" t="s">
        <v>28</v>
      </c>
      <c r="C2302" s="17" t="s">
        <v>19</v>
      </c>
      <c r="D2302" s="18" t="s">
        <v>1326</v>
      </c>
      <c r="E2302" s="18">
        <v>6</v>
      </c>
      <c r="F2302" s="18" t="s">
        <v>21</v>
      </c>
      <c r="G2302" s="18" t="s">
        <v>22</v>
      </c>
      <c r="H2302" s="18" t="s">
        <v>23</v>
      </c>
      <c r="I2302" s="19">
        <v>29.05</v>
      </c>
      <c r="J2302" s="20">
        <f t="shared" si="70"/>
        <v>174.3</v>
      </c>
      <c r="K2302" s="106"/>
      <c r="L2302" s="114"/>
      <c r="M2302" s="114">
        <f>tblAquisições[[#This Row],[VALOR UNITARIO COMPRADO]]*tblAquisições[[#This Row],[QUANTIDADE COMPRADA]]</f>
        <v>0</v>
      </c>
      <c r="N2302" s="110">
        <f>K2302-tblAquisições[[#This Row],[QUANTIDADE PLANEJADA]]</f>
        <v>-6</v>
      </c>
      <c r="O2302" s="106" t="str">
        <f t="shared" si="71"/>
        <v>Faltando Comprar</v>
      </c>
    </row>
    <row r="2303" spans="1:15" ht="31.5">
      <c r="A2303" s="16" t="s">
        <v>17</v>
      </c>
      <c r="B2303" s="16" t="s">
        <v>28</v>
      </c>
      <c r="C2303" s="17" t="s">
        <v>19</v>
      </c>
      <c r="D2303" s="18" t="s">
        <v>1327</v>
      </c>
      <c r="E2303" s="18">
        <v>25</v>
      </c>
      <c r="F2303" s="18" t="s">
        <v>21</v>
      </c>
      <c r="G2303" s="18" t="s">
        <v>22</v>
      </c>
      <c r="H2303" s="18" t="s">
        <v>53</v>
      </c>
      <c r="I2303" s="19">
        <v>61.43</v>
      </c>
      <c r="J2303" s="20">
        <f t="shared" si="70"/>
        <v>1535.75</v>
      </c>
      <c r="K2303" s="106"/>
      <c r="L2303" s="114"/>
      <c r="M2303" s="114">
        <f>tblAquisições[[#This Row],[VALOR UNITARIO COMPRADO]]*tblAquisições[[#This Row],[QUANTIDADE COMPRADA]]</f>
        <v>0</v>
      </c>
      <c r="N2303" s="110">
        <f>K2303-tblAquisições[[#This Row],[QUANTIDADE PLANEJADA]]</f>
        <v>-25</v>
      </c>
      <c r="O2303" s="106" t="str">
        <f t="shared" si="71"/>
        <v>Faltando Comprar</v>
      </c>
    </row>
    <row r="2304" spans="1:15" ht="47.25">
      <c r="A2304" s="16" t="s">
        <v>17</v>
      </c>
      <c r="B2304" s="16" t="s">
        <v>18</v>
      </c>
      <c r="C2304" s="17" t="s">
        <v>19</v>
      </c>
      <c r="D2304" s="18" t="s">
        <v>1328</v>
      </c>
      <c r="E2304" s="18">
        <v>3</v>
      </c>
      <c r="F2304" s="18" t="s">
        <v>126</v>
      </c>
      <c r="G2304" s="18" t="s">
        <v>127</v>
      </c>
      <c r="H2304" s="18" t="s">
        <v>23</v>
      </c>
      <c r="I2304" s="19">
        <v>1328.79</v>
      </c>
      <c r="J2304" s="20">
        <f t="shared" si="70"/>
        <v>3986.37</v>
      </c>
      <c r="K2304" s="106"/>
      <c r="L2304" s="114"/>
      <c r="M2304" s="114">
        <f>tblAquisições[[#This Row],[VALOR UNITARIO COMPRADO]]*tblAquisições[[#This Row],[QUANTIDADE COMPRADA]]</f>
        <v>0</v>
      </c>
      <c r="N2304" s="110">
        <f>K2304-tblAquisições[[#This Row],[QUANTIDADE PLANEJADA]]</f>
        <v>-3</v>
      </c>
      <c r="O2304" s="106" t="str">
        <f t="shared" si="71"/>
        <v>Faltando Comprar</v>
      </c>
    </row>
    <row r="2305" spans="1:15" ht="47.25">
      <c r="A2305" s="16" t="s">
        <v>17</v>
      </c>
      <c r="B2305" s="16" t="s">
        <v>24</v>
      </c>
      <c r="C2305" s="17" t="s">
        <v>19</v>
      </c>
      <c r="D2305" s="18" t="s">
        <v>1328</v>
      </c>
      <c r="E2305" s="18">
        <v>3</v>
      </c>
      <c r="F2305" s="18" t="s">
        <v>126</v>
      </c>
      <c r="G2305" s="18" t="s">
        <v>127</v>
      </c>
      <c r="H2305" s="18" t="s">
        <v>23</v>
      </c>
      <c r="I2305" s="19">
        <v>1328.79</v>
      </c>
      <c r="J2305" s="20">
        <f t="shared" si="70"/>
        <v>3986.37</v>
      </c>
      <c r="K2305" s="106"/>
      <c r="L2305" s="114"/>
      <c r="M2305" s="114">
        <f>tblAquisições[[#This Row],[VALOR UNITARIO COMPRADO]]*tblAquisições[[#This Row],[QUANTIDADE COMPRADA]]</f>
        <v>0</v>
      </c>
      <c r="N2305" s="110">
        <f>K2305-tblAquisições[[#This Row],[QUANTIDADE PLANEJADA]]</f>
        <v>-3</v>
      </c>
      <c r="O2305" s="106" t="str">
        <f t="shared" si="71"/>
        <v>Faltando Comprar</v>
      </c>
    </row>
    <row r="2306" spans="1:15" ht="31.5">
      <c r="A2306" s="16" t="s">
        <v>17</v>
      </c>
      <c r="B2306" s="16" t="s">
        <v>31</v>
      </c>
      <c r="C2306" s="17" t="s">
        <v>19</v>
      </c>
      <c r="D2306" s="18" t="s">
        <v>1329</v>
      </c>
      <c r="E2306" s="18">
        <v>6</v>
      </c>
      <c r="F2306" s="18" t="s">
        <v>170</v>
      </c>
      <c r="G2306" s="18" t="s">
        <v>22</v>
      </c>
      <c r="H2306" s="18" t="s">
        <v>23</v>
      </c>
      <c r="I2306" s="19">
        <v>767</v>
      </c>
      <c r="J2306" s="20">
        <f t="shared" ref="J2306:J2369" si="72">E2306*I2306</f>
        <v>4602</v>
      </c>
      <c r="K2306" s="106"/>
      <c r="L2306" s="114"/>
      <c r="M2306" s="114">
        <f>tblAquisições[[#This Row],[VALOR UNITARIO COMPRADO]]*tblAquisições[[#This Row],[QUANTIDADE COMPRADA]]</f>
        <v>0</v>
      </c>
      <c r="N2306" s="110">
        <f>K2306-tblAquisições[[#This Row],[QUANTIDADE PLANEJADA]]</f>
        <v>-6</v>
      </c>
      <c r="O2306" s="106" t="str">
        <f t="shared" ref="O2306:O2369" si="73">IF(K2306=E2306,"OK",IF(K2306&lt;E2306,"Faltando Comprar","Excedente"))</f>
        <v>Faltando Comprar</v>
      </c>
    </row>
    <row r="2307" spans="1:15" ht="31.5">
      <c r="A2307" s="16" t="s">
        <v>17</v>
      </c>
      <c r="B2307" s="16" t="s">
        <v>26</v>
      </c>
      <c r="C2307" s="17" t="s">
        <v>19</v>
      </c>
      <c r="D2307" s="18" t="s">
        <v>1330</v>
      </c>
      <c r="E2307" s="18">
        <v>5</v>
      </c>
      <c r="F2307" s="18" t="s">
        <v>328</v>
      </c>
      <c r="G2307" s="18" t="s">
        <v>22</v>
      </c>
      <c r="H2307" s="18" t="s">
        <v>23</v>
      </c>
      <c r="I2307" s="19">
        <v>19.61</v>
      </c>
      <c r="J2307" s="20">
        <f t="shared" si="72"/>
        <v>98.05</v>
      </c>
      <c r="K2307" s="106"/>
      <c r="L2307" s="114"/>
      <c r="M2307" s="114">
        <f>tblAquisições[[#This Row],[VALOR UNITARIO COMPRADO]]*tblAquisições[[#This Row],[QUANTIDADE COMPRADA]]</f>
        <v>0</v>
      </c>
      <c r="N2307" s="110">
        <f>K2307-tblAquisições[[#This Row],[QUANTIDADE PLANEJADA]]</f>
        <v>-5</v>
      </c>
      <c r="O2307" s="106" t="str">
        <f t="shared" si="73"/>
        <v>Faltando Comprar</v>
      </c>
    </row>
    <row r="2308" spans="1:15" ht="47.25">
      <c r="A2308" s="16" t="s">
        <v>17</v>
      </c>
      <c r="B2308" s="16" t="s">
        <v>80</v>
      </c>
      <c r="C2308" s="17" t="s">
        <v>19</v>
      </c>
      <c r="D2308" s="18" t="s">
        <v>1331</v>
      </c>
      <c r="E2308" s="18">
        <v>1</v>
      </c>
      <c r="F2308" s="18" t="s">
        <v>147</v>
      </c>
      <c r="G2308" s="18" t="s">
        <v>39</v>
      </c>
      <c r="H2308" s="21"/>
      <c r="I2308" s="19">
        <v>246.64</v>
      </c>
      <c r="J2308" s="20">
        <f t="shared" si="72"/>
        <v>246.64</v>
      </c>
      <c r="K2308" s="106"/>
      <c r="L2308" s="114"/>
      <c r="M2308" s="114">
        <f>tblAquisições[[#This Row],[VALOR UNITARIO COMPRADO]]*tblAquisições[[#This Row],[QUANTIDADE COMPRADA]]</f>
        <v>0</v>
      </c>
      <c r="N2308" s="110">
        <f>K2308-tblAquisições[[#This Row],[QUANTIDADE PLANEJADA]]</f>
        <v>-1</v>
      </c>
      <c r="O2308" s="106" t="str">
        <f t="shared" si="73"/>
        <v>Faltando Comprar</v>
      </c>
    </row>
    <row r="2309" spans="1:15" ht="47.25">
      <c r="A2309" s="16" t="s">
        <v>17</v>
      </c>
      <c r="B2309" s="16" t="s">
        <v>27</v>
      </c>
      <c r="C2309" s="17" t="s">
        <v>19</v>
      </c>
      <c r="D2309" s="18" t="s">
        <v>1332</v>
      </c>
      <c r="E2309" s="18">
        <v>50</v>
      </c>
      <c r="F2309" s="18" t="s">
        <v>78</v>
      </c>
      <c r="G2309" s="18" t="s">
        <v>22</v>
      </c>
      <c r="H2309" s="18" t="s">
        <v>83</v>
      </c>
      <c r="I2309" s="19">
        <v>124.27</v>
      </c>
      <c r="J2309" s="20">
        <f t="shared" si="72"/>
        <v>6213.5</v>
      </c>
      <c r="K2309" s="106"/>
      <c r="L2309" s="114"/>
      <c r="M2309" s="114">
        <f>tblAquisições[[#This Row],[VALOR UNITARIO COMPRADO]]*tblAquisições[[#This Row],[QUANTIDADE COMPRADA]]</f>
        <v>0</v>
      </c>
      <c r="N2309" s="110">
        <f>K2309-tblAquisições[[#This Row],[QUANTIDADE PLANEJADA]]</f>
        <v>-50</v>
      </c>
      <c r="O2309" s="106" t="str">
        <f t="shared" si="73"/>
        <v>Faltando Comprar</v>
      </c>
    </row>
    <row r="2310" spans="1:15" ht="31.5">
      <c r="A2310" s="16" t="s">
        <v>17</v>
      </c>
      <c r="B2310" s="16" t="s">
        <v>26</v>
      </c>
      <c r="C2310" s="17" t="s">
        <v>19</v>
      </c>
      <c r="D2310" s="18" t="s">
        <v>1333</v>
      </c>
      <c r="E2310" s="18">
        <v>20</v>
      </c>
      <c r="F2310" s="18" t="s">
        <v>30</v>
      </c>
      <c r="G2310" s="18" t="s">
        <v>22</v>
      </c>
      <c r="H2310" s="18" t="s">
        <v>23</v>
      </c>
      <c r="I2310" s="19">
        <v>7.26</v>
      </c>
      <c r="J2310" s="20">
        <f t="shared" si="72"/>
        <v>145.19999999999999</v>
      </c>
      <c r="K2310" s="106"/>
      <c r="L2310" s="114"/>
      <c r="M2310" s="114">
        <f>tblAquisições[[#This Row],[VALOR UNITARIO COMPRADO]]*tblAquisições[[#This Row],[QUANTIDADE COMPRADA]]</f>
        <v>0</v>
      </c>
      <c r="N2310" s="110">
        <f>K2310-tblAquisições[[#This Row],[QUANTIDADE PLANEJADA]]</f>
        <v>-20</v>
      </c>
      <c r="O2310" s="106" t="str">
        <f t="shared" si="73"/>
        <v>Faltando Comprar</v>
      </c>
    </row>
    <row r="2311" spans="1:15" ht="63">
      <c r="A2311" s="16" t="s">
        <v>17</v>
      </c>
      <c r="B2311" s="16" t="s">
        <v>28</v>
      </c>
      <c r="C2311" s="17" t="s">
        <v>19</v>
      </c>
      <c r="D2311" s="18" t="s">
        <v>1334</v>
      </c>
      <c r="E2311" s="18">
        <v>1</v>
      </c>
      <c r="F2311" s="18" t="s">
        <v>1335</v>
      </c>
      <c r="G2311" s="18" t="s">
        <v>22</v>
      </c>
      <c r="H2311" s="18" t="s">
        <v>23</v>
      </c>
      <c r="I2311" s="19">
        <v>191.73</v>
      </c>
      <c r="J2311" s="20">
        <f t="shared" si="72"/>
        <v>191.73</v>
      </c>
      <c r="K2311" s="106"/>
      <c r="L2311" s="114"/>
      <c r="M2311" s="114">
        <f>tblAquisições[[#This Row],[VALOR UNITARIO COMPRADO]]*tblAquisições[[#This Row],[QUANTIDADE COMPRADA]]</f>
        <v>0</v>
      </c>
      <c r="N2311" s="110">
        <f>K2311-tblAquisições[[#This Row],[QUANTIDADE PLANEJADA]]</f>
        <v>-1</v>
      </c>
      <c r="O2311" s="106" t="str">
        <f t="shared" si="73"/>
        <v>Faltando Comprar</v>
      </c>
    </row>
    <row r="2312" spans="1:15" ht="47.25">
      <c r="A2312" s="16" t="s">
        <v>17</v>
      </c>
      <c r="B2312" s="16" t="s">
        <v>28</v>
      </c>
      <c r="C2312" s="17" t="s">
        <v>19</v>
      </c>
      <c r="D2312" s="18" t="s">
        <v>1336</v>
      </c>
      <c r="E2312" s="18">
        <v>1</v>
      </c>
      <c r="F2312" s="18" t="s">
        <v>78</v>
      </c>
      <c r="G2312" s="18" t="s">
        <v>22</v>
      </c>
      <c r="H2312" s="18" t="s">
        <v>65</v>
      </c>
      <c r="I2312" s="19">
        <v>2.78</v>
      </c>
      <c r="J2312" s="20">
        <f t="shared" si="72"/>
        <v>2.78</v>
      </c>
      <c r="K2312" s="106"/>
      <c r="L2312" s="114"/>
      <c r="M2312" s="114">
        <f>tblAquisições[[#This Row],[VALOR UNITARIO COMPRADO]]*tblAquisições[[#This Row],[QUANTIDADE COMPRADA]]</f>
        <v>0</v>
      </c>
      <c r="N2312" s="110">
        <f>K2312-tblAquisições[[#This Row],[QUANTIDADE PLANEJADA]]</f>
        <v>-1</v>
      </c>
      <c r="O2312" s="106" t="str">
        <f t="shared" si="73"/>
        <v>Faltando Comprar</v>
      </c>
    </row>
    <row r="2313" spans="1:15" ht="47.25">
      <c r="A2313" s="16" t="s">
        <v>17</v>
      </c>
      <c r="B2313" s="16" t="s">
        <v>18</v>
      </c>
      <c r="C2313" s="17" t="s">
        <v>19</v>
      </c>
      <c r="D2313" s="18" t="s">
        <v>1337</v>
      </c>
      <c r="E2313" s="18">
        <v>2</v>
      </c>
      <c r="F2313" s="18" t="s">
        <v>78</v>
      </c>
      <c r="G2313" s="18" t="s">
        <v>22</v>
      </c>
      <c r="H2313" s="18" t="s">
        <v>23</v>
      </c>
      <c r="I2313" s="19">
        <v>24</v>
      </c>
      <c r="J2313" s="20">
        <f t="shared" si="72"/>
        <v>48</v>
      </c>
      <c r="K2313" s="106"/>
      <c r="L2313" s="114"/>
      <c r="M2313" s="114">
        <f>tblAquisições[[#This Row],[VALOR UNITARIO COMPRADO]]*tblAquisições[[#This Row],[QUANTIDADE COMPRADA]]</f>
        <v>0</v>
      </c>
      <c r="N2313" s="110">
        <f>K2313-tblAquisições[[#This Row],[QUANTIDADE PLANEJADA]]</f>
        <v>-2</v>
      </c>
      <c r="O2313" s="106" t="str">
        <f t="shared" si="73"/>
        <v>Faltando Comprar</v>
      </c>
    </row>
    <row r="2314" spans="1:15" ht="47.25">
      <c r="A2314" s="16" t="s">
        <v>17</v>
      </c>
      <c r="B2314" s="16" t="s">
        <v>24</v>
      </c>
      <c r="C2314" s="17" t="s">
        <v>19</v>
      </c>
      <c r="D2314" s="18" t="s">
        <v>1337</v>
      </c>
      <c r="E2314" s="18">
        <v>2</v>
      </c>
      <c r="F2314" s="18" t="s">
        <v>78</v>
      </c>
      <c r="G2314" s="18" t="s">
        <v>22</v>
      </c>
      <c r="H2314" s="18" t="s">
        <v>23</v>
      </c>
      <c r="I2314" s="19">
        <v>24</v>
      </c>
      <c r="J2314" s="20">
        <f t="shared" si="72"/>
        <v>48</v>
      </c>
      <c r="K2314" s="106"/>
      <c r="L2314" s="114"/>
      <c r="M2314" s="114">
        <f>tblAquisições[[#This Row],[VALOR UNITARIO COMPRADO]]*tblAquisições[[#This Row],[QUANTIDADE COMPRADA]]</f>
        <v>0</v>
      </c>
      <c r="N2314" s="110">
        <f>K2314-tblAquisições[[#This Row],[QUANTIDADE PLANEJADA]]</f>
        <v>-2</v>
      </c>
      <c r="O2314" s="106" t="str">
        <f t="shared" si="73"/>
        <v>Faltando Comprar</v>
      </c>
    </row>
    <row r="2315" spans="1:15" ht="47.25">
      <c r="A2315" s="16" t="s">
        <v>17</v>
      </c>
      <c r="B2315" s="16" t="s">
        <v>25</v>
      </c>
      <c r="C2315" s="17" t="s">
        <v>19</v>
      </c>
      <c r="D2315" s="18" t="s">
        <v>1337</v>
      </c>
      <c r="E2315" s="18">
        <v>2</v>
      </c>
      <c r="F2315" s="18" t="s">
        <v>78</v>
      </c>
      <c r="G2315" s="18" t="s">
        <v>22</v>
      </c>
      <c r="H2315" s="18" t="s">
        <v>23</v>
      </c>
      <c r="I2315" s="19">
        <v>24</v>
      </c>
      <c r="J2315" s="20">
        <f t="shared" si="72"/>
        <v>48</v>
      </c>
      <c r="K2315" s="106"/>
      <c r="L2315" s="114"/>
      <c r="M2315" s="114">
        <f>tblAquisições[[#This Row],[VALOR UNITARIO COMPRADO]]*tblAquisições[[#This Row],[QUANTIDADE COMPRADA]]</f>
        <v>0</v>
      </c>
      <c r="N2315" s="110">
        <f>K2315-tblAquisições[[#This Row],[QUANTIDADE PLANEJADA]]</f>
        <v>-2</v>
      </c>
      <c r="O2315" s="106" t="str">
        <f t="shared" si="73"/>
        <v>Faltando Comprar</v>
      </c>
    </row>
    <row r="2316" spans="1:15" ht="47.25">
      <c r="A2316" s="16" t="s">
        <v>17</v>
      </c>
      <c r="B2316" s="16" t="s">
        <v>31</v>
      </c>
      <c r="C2316" s="17" t="s">
        <v>19</v>
      </c>
      <c r="D2316" s="18" t="s">
        <v>1338</v>
      </c>
      <c r="E2316" s="18">
        <v>10</v>
      </c>
      <c r="F2316" s="18" t="s">
        <v>78</v>
      </c>
      <c r="G2316" s="18" t="s">
        <v>22</v>
      </c>
      <c r="H2316" s="18" t="s">
        <v>23</v>
      </c>
      <c r="I2316" s="19">
        <v>104.37</v>
      </c>
      <c r="J2316" s="20">
        <f t="shared" si="72"/>
        <v>1043.7</v>
      </c>
      <c r="K2316" s="106"/>
      <c r="L2316" s="114"/>
      <c r="M2316" s="114">
        <f>tblAquisições[[#This Row],[VALOR UNITARIO COMPRADO]]*tblAquisições[[#This Row],[QUANTIDADE COMPRADA]]</f>
        <v>0</v>
      </c>
      <c r="N2316" s="110">
        <f>K2316-tblAquisições[[#This Row],[QUANTIDADE PLANEJADA]]</f>
        <v>-10</v>
      </c>
      <c r="O2316" s="106" t="str">
        <f t="shared" si="73"/>
        <v>Faltando Comprar</v>
      </c>
    </row>
    <row r="2317" spans="1:15" ht="47.25">
      <c r="A2317" s="16" t="s">
        <v>17</v>
      </c>
      <c r="B2317" s="16" t="s">
        <v>18</v>
      </c>
      <c r="C2317" s="17" t="s">
        <v>19</v>
      </c>
      <c r="D2317" s="18" t="s">
        <v>1338</v>
      </c>
      <c r="E2317" s="18">
        <v>10</v>
      </c>
      <c r="F2317" s="18" t="s">
        <v>78</v>
      </c>
      <c r="G2317" s="18" t="s">
        <v>22</v>
      </c>
      <c r="H2317" s="18" t="s">
        <v>23</v>
      </c>
      <c r="I2317" s="19">
        <v>104.37</v>
      </c>
      <c r="J2317" s="20">
        <f t="shared" si="72"/>
        <v>1043.7</v>
      </c>
      <c r="K2317" s="106"/>
      <c r="L2317" s="114"/>
      <c r="M2317" s="114">
        <f>tblAquisições[[#This Row],[VALOR UNITARIO COMPRADO]]*tblAquisições[[#This Row],[QUANTIDADE COMPRADA]]</f>
        <v>0</v>
      </c>
      <c r="N2317" s="110">
        <f>K2317-tblAquisições[[#This Row],[QUANTIDADE PLANEJADA]]</f>
        <v>-10</v>
      </c>
      <c r="O2317" s="106" t="str">
        <f t="shared" si="73"/>
        <v>Faltando Comprar</v>
      </c>
    </row>
    <row r="2318" spans="1:15" ht="47.25">
      <c r="A2318" s="16" t="s">
        <v>17</v>
      </c>
      <c r="B2318" s="16" t="s">
        <v>24</v>
      </c>
      <c r="C2318" s="17" t="s">
        <v>19</v>
      </c>
      <c r="D2318" s="18" t="s">
        <v>1338</v>
      </c>
      <c r="E2318" s="18">
        <v>10</v>
      </c>
      <c r="F2318" s="18" t="s">
        <v>78</v>
      </c>
      <c r="G2318" s="18" t="s">
        <v>22</v>
      </c>
      <c r="H2318" s="18" t="s">
        <v>23</v>
      </c>
      <c r="I2318" s="19">
        <v>104.37</v>
      </c>
      <c r="J2318" s="20">
        <f t="shared" si="72"/>
        <v>1043.7</v>
      </c>
      <c r="K2318" s="106"/>
      <c r="L2318" s="114"/>
      <c r="M2318" s="114">
        <f>tblAquisições[[#This Row],[VALOR UNITARIO COMPRADO]]*tblAquisições[[#This Row],[QUANTIDADE COMPRADA]]</f>
        <v>0</v>
      </c>
      <c r="N2318" s="110">
        <f>K2318-tblAquisições[[#This Row],[QUANTIDADE PLANEJADA]]</f>
        <v>-10</v>
      </c>
      <c r="O2318" s="106" t="str">
        <f t="shared" si="73"/>
        <v>Faltando Comprar</v>
      </c>
    </row>
    <row r="2319" spans="1:15" ht="47.25">
      <c r="A2319" s="16" t="s">
        <v>17</v>
      </c>
      <c r="B2319" s="16" t="s">
        <v>25</v>
      </c>
      <c r="C2319" s="17" t="s">
        <v>19</v>
      </c>
      <c r="D2319" s="18" t="s">
        <v>1338</v>
      </c>
      <c r="E2319" s="18">
        <v>10</v>
      </c>
      <c r="F2319" s="18" t="s">
        <v>78</v>
      </c>
      <c r="G2319" s="18" t="s">
        <v>22</v>
      </c>
      <c r="H2319" s="18" t="s">
        <v>23</v>
      </c>
      <c r="I2319" s="19">
        <v>104.37</v>
      </c>
      <c r="J2319" s="20">
        <f t="shared" si="72"/>
        <v>1043.7</v>
      </c>
      <c r="K2319" s="106"/>
      <c r="L2319" s="114"/>
      <c r="M2319" s="114">
        <f>tblAquisições[[#This Row],[VALOR UNITARIO COMPRADO]]*tblAquisições[[#This Row],[QUANTIDADE COMPRADA]]</f>
        <v>0</v>
      </c>
      <c r="N2319" s="110">
        <f>K2319-tblAquisições[[#This Row],[QUANTIDADE PLANEJADA]]</f>
        <v>-10</v>
      </c>
      <c r="O2319" s="106" t="str">
        <f t="shared" si="73"/>
        <v>Faltando Comprar</v>
      </c>
    </row>
    <row r="2320" spans="1:15" ht="47.25">
      <c r="A2320" s="16" t="s">
        <v>17</v>
      </c>
      <c r="B2320" s="16" t="s">
        <v>41</v>
      </c>
      <c r="C2320" s="17" t="s">
        <v>19</v>
      </c>
      <c r="D2320" s="18" t="s">
        <v>1338</v>
      </c>
      <c r="E2320" s="18">
        <v>10</v>
      </c>
      <c r="F2320" s="18" t="s">
        <v>78</v>
      </c>
      <c r="G2320" s="18" t="s">
        <v>22</v>
      </c>
      <c r="H2320" s="18" t="s">
        <v>23</v>
      </c>
      <c r="I2320" s="19">
        <v>104.37</v>
      </c>
      <c r="J2320" s="20">
        <f t="shared" si="72"/>
        <v>1043.7</v>
      </c>
      <c r="K2320" s="106"/>
      <c r="L2320" s="114"/>
      <c r="M2320" s="114">
        <f>tblAquisições[[#This Row],[VALOR UNITARIO COMPRADO]]*tblAquisições[[#This Row],[QUANTIDADE COMPRADA]]</f>
        <v>0</v>
      </c>
      <c r="N2320" s="110">
        <f>K2320-tblAquisições[[#This Row],[QUANTIDADE PLANEJADA]]</f>
        <v>-10</v>
      </c>
      <c r="O2320" s="106" t="str">
        <f t="shared" si="73"/>
        <v>Faltando Comprar</v>
      </c>
    </row>
    <row r="2321" spans="1:15" ht="47.25">
      <c r="A2321" s="16" t="s">
        <v>17</v>
      </c>
      <c r="B2321" s="16" t="s">
        <v>27</v>
      </c>
      <c r="C2321" s="17" t="s">
        <v>19</v>
      </c>
      <c r="D2321" s="18" t="s">
        <v>1338</v>
      </c>
      <c r="E2321" s="18">
        <v>10</v>
      </c>
      <c r="F2321" s="18" t="s">
        <v>78</v>
      </c>
      <c r="G2321" s="18" t="s">
        <v>22</v>
      </c>
      <c r="H2321" s="18" t="s">
        <v>23</v>
      </c>
      <c r="I2321" s="19">
        <v>104.37</v>
      </c>
      <c r="J2321" s="20">
        <f t="shared" si="72"/>
        <v>1043.7</v>
      </c>
      <c r="K2321" s="106"/>
      <c r="L2321" s="114"/>
      <c r="M2321" s="114">
        <f>tblAquisições[[#This Row],[VALOR UNITARIO COMPRADO]]*tblAquisições[[#This Row],[QUANTIDADE COMPRADA]]</f>
        <v>0</v>
      </c>
      <c r="N2321" s="110">
        <f>K2321-tblAquisições[[#This Row],[QUANTIDADE PLANEJADA]]</f>
        <v>-10</v>
      </c>
      <c r="O2321" s="106" t="str">
        <f t="shared" si="73"/>
        <v>Faltando Comprar</v>
      </c>
    </row>
    <row r="2322" spans="1:15" ht="47.25">
      <c r="A2322" s="16" t="s">
        <v>17</v>
      </c>
      <c r="B2322" s="16" t="s">
        <v>28</v>
      </c>
      <c r="C2322" s="17" t="s">
        <v>19</v>
      </c>
      <c r="D2322" s="18" t="s">
        <v>1338</v>
      </c>
      <c r="E2322" s="18">
        <v>18</v>
      </c>
      <c r="F2322" s="18" t="s">
        <v>78</v>
      </c>
      <c r="G2322" s="18" t="s">
        <v>22</v>
      </c>
      <c r="H2322" s="18" t="s">
        <v>53</v>
      </c>
      <c r="I2322" s="19">
        <v>104.37</v>
      </c>
      <c r="J2322" s="20">
        <f t="shared" si="72"/>
        <v>1878.66</v>
      </c>
      <c r="K2322" s="106"/>
      <c r="L2322" s="114"/>
      <c r="M2322" s="114">
        <f>tblAquisições[[#This Row],[VALOR UNITARIO COMPRADO]]*tblAquisições[[#This Row],[QUANTIDADE COMPRADA]]</f>
        <v>0</v>
      </c>
      <c r="N2322" s="110">
        <f>K2322-tblAquisições[[#This Row],[QUANTIDADE PLANEJADA]]</f>
        <v>-18</v>
      </c>
      <c r="O2322" s="106" t="str">
        <f t="shared" si="73"/>
        <v>Faltando Comprar</v>
      </c>
    </row>
    <row r="2323" spans="1:15" ht="31.5">
      <c r="A2323" s="16" t="s">
        <v>17</v>
      </c>
      <c r="B2323" s="16" t="s">
        <v>31</v>
      </c>
      <c r="C2323" s="17" t="s">
        <v>19</v>
      </c>
      <c r="D2323" s="18" t="s">
        <v>1339</v>
      </c>
      <c r="E2323" s="18">
        <v>30</v>
      </c>
      <c r="F2323" s="18" t="s">
        <v>30</v>
      </c>
      <c r="G2323" s="18" t="s">
        <v>22</v>
      </c>
      <c r="H2323" s="18" t="s">
        <v>23</v>
      </c>
      <c r="I2323" s="19">
        <v>13.1</v>
      </c>
      <c r="J2323" s="20">
        <f t="shared" si="72"/>
        <v>393</v>
      </c>
      <c r="K2323" s="106"/>
      <c r="L2323" s="114"/>
      <c r="M2323" s="114">
        <f>tblAquisições[[#This Row],[VALOR UNITARIO COMPRADO]]*tblAquisições[[#This Row],[QUANTIDADE COMPRADA]]</f>
        <v>0</v>
      </c>
      <c r="N2323" s="110">
        <f>K2323-tblAquisições[[#This Row],[QUANTIDADE PLANEJADA]]</f>
        <v>-30</v>
      </c>
      <c r="O2323" s="106" t="str">
        <f t="shared" si="73"/>
        <v>Faltando Comprar</v>
      </c>
    </row>
    <row r="2324" spans="1:15" ht="31.5">
      <c r="A2324" s="16" t="s">
        <v>17</v>
      </c>
      <c r="B2324" s="16" t="s">
        <v>28</v>
      </c>
      <c r="C2324" s="17" t="s">
        <v>19</v>
      </c>
      <c r="D2324" s="18" t="s">
        <v>1339</v>
      </c>
      <c r="E2324" s="18">
        <v>24</v>
      </c>
      <c r="F2324" s="18" t="s">
        <v>30</v>
      </c>
      <c r="G2324" s="18" t="s">
        <v>22</v>
      </c>
      <c r="H2324" s="18" t="s">
        <v>53</v>
      </c>
      <c r="I2324" s="19">
        <v>13.1</v>
      </c>
      <c r="J2324" s="20">
        <f t="shared" si="72"/>
        <v>314.39999999999998</v>
      </c>
      <c r="K2324" s="106"/>
      <c r="L2324" s="114"/>
      <c r="M2324" s="114">
        <f>tblAquisições[[#This Row],[VALOR UNITARIO COMPRADO]]*tblAquisições[[#This Row],[QUANTIDADE COMPRADA]]</f>
        <v>0</v>
      </c>
      <c r="N2324" s="110">
        <f>K2324-tblAquisições[[#This Row],[QUANTIDADE PLANEJADA]]</f>
        <v>-24</v>
      </c>
      <c r="O2324" s="106" t="str">
        <f t="shared" si="73"/>
        <v>Faltando Comprar</v>
      </c>
    </row>
    <row r="2325" spans="1:15" ht="47.25">
      <c r="A2325" s="16" t="s">
        <v>17</v>
      </c>
      <c r="B2325" s="16" t="s">
        <v>750</v>
      </c>
      <c r="C2325" s="17" t="s">
        <v>19</v>
      </c>
      <c r="D2325" s="18" t="s">
        <v>1340</v>
      </c>
      <c r="E2325" s="18">
        <v>5</v>
      </c>
      <c r="F2325" s="18" t="s">
        <v>214</v>
      </c>
      <c r="G2325" s="18" t="s">
        <v>127</v>
      </c>
      <c r="H2325" s="18" t="s">
        <v>23</v>
      </c>
      <c r="I2325" s="19">
        <v>300.66000000000003</v>
      </c>
      <c r="J2325" s="20">
        <f t="shared" si="72"/>
        <v>1503.3000000000002</v>
      </c>
      <c r="K2325" s="106"/>
      <c r="L2325" s="114"/>
      <c r="M2325" s="114">
        <f>tblAquisições[[#This Row],[VALOR UNITARIO COMPRADO]]*tblAquisições[[#This Row],[QUANTIDADE COMPRADA]]</f>
        <v>0</v>
      </c>
      <c r="N2325" s="110">
        <f>K2325-tblAquisições[[#This Row],[QUANTIDADE PLANEJADA]]</f>
        <v>-5</v>
      </c>
      <c r="O2325" s="106" t="str">
        <f t="shared" si="73"/>
        <v>Faltando Comprar</v>
      </c>
    </row>
    <row r="2326" spans="1:15" ht="47.25">
      <c r="A2326" s="16" t="s">
        <v>17</v>
      </c>
      <c r="B2326" s="16" t="s">
        <v>18</v>
      </c>
      <c r="C2326" s="17" t="s">
        <v>19</v>
      </c>
      <c r="D2326" s="18" t="s">
        <v>1340</v>
      </c>
      <c r="E2326" s="18">
        <v>15</v>
      </c>
      <c r="F2326" s="18" t="s">
        <v>214</v>
      </c>
      <c r="G2326" s="18" t="s">
        <v>127</v>
      </c>
      <c r="H2326" s="18" t="s">
        <v>23</v>
      </c>
      <c r="I2326" s="19">
        <v>300.66000000000003</v>
      </c>
      <c r="J2326" s="20">
        <f t="shared" si="72"/>
        <v>4509.9000000000005</v>
      </c>
      <c r="K2326" s="106"/>
      <c r="L2326" s="114"/>
      <c r="M2326" s="114">
        <f>tblAquisições[[#This Row],[VALOR UNITARIO COMPRADO]]*tblAquisições[[#This Row],[QUANTIDADE COMPRADA]]</f>
        <v>0</v>
      </c>
      <c r="N2326" s="110">
        <f>K2326-tblAquisições[[#This Row],[QUANTIDADE PLANEJADA]]</f>
        <v>-15</v>
      </c>
      <c r="O2326" s="106" t="str">
        <f t="shared" si="73"/>
        <v>Faltando Comprar</v>
      </c>
    </row>
    <row r="2327" spans="1:15" ht="47.25">
      <c r="A2327" s="16" t="s">
        <v>17</v>
      </c>
      <c r="B2327" s="16" t="s">
        <v>24</v>
      </c>
      <c r="C2327" s="17" t="s">
        <v>19</v>
      </c>
      <c r="D2327" s="18" t="s">
        <v>1340</v>
      </c>
      <c r="E2327" s="18">
        <v>15</v>
      </c>
      <c r="F2327" s="18" t="s">
        <v>214</v>
      </c>
      <c r="G2327" s="18" t="s">
        <v>127</v>
      </c>
      <c r="H2327" s="18" t="s">
        <v>23</v>
      </c>
      <c r="I2327" s="19">
        <v>300.66000000000003</v>
      </c>
      <c r="J2327" s="20">
        <f t="shared" si="72"/>
        <v>4509.9000000000005</v>
      </c>
      <c r="K2327" s="106"/>
      <c r="L2327" s="114"/>
      <c r="M2327" s="114">
        <f>tblAquisições[[#This Row],[VALOR UNITARIO COMPRADO]]*tblAquisições[[#This Row],[QUANTIDADE COMPRADA]]</f>
        <v>0</v>
      </c>
      <c r="N2327" s="110">
        <f>K2327-tblAquisições[[#This Row],[QUANTIDADE PLANEJADA]]</f>
        <v>-15</v>
      </c>
      <c r="O2327" s="106" t="str">
        <f t="shared" si="73"/>
        <v>Faltando Comprar</v>
      </c>
    </row>
    <row r="2328" spans="1:15" ht="47.25">
      <c r="A2328" s="16" t="s">
        <v>17</v>
      </c>
      <c r="B2328" s="16" t="s">
        <v>25</v>
      </c>
      <c r="C2328" s="17" t="s">
        <v>19</v>
      </c>
      <c r="D2328" s="18" t="s">
        <v>1340</v>
      </c>
      <c r="E2328" s="18">
        <v>15</v>
      </c>
      <c r="F2328" s="18" t="s">
        <v>214</v>
      </c>
      <c r="G2328" s="18" t="s">
        <v>127</v>
      </c>
      <c r="H2328" s="18" t="s">
        <v>23</v>
      </c>
      <c r="I2328" s="19">
        <v>300.66000000000003</v>
      </c>
      <c r="J2328" s="20">
        <f t="shared" si="72"/>
        <v>4509.9000000000005</v>
      </c>
      <c r="K2328" s="106"/>
      <c r="L2328" s="114"/>
      <c r="M2328" s="114">
        <f>tblAquisições[[#This Row],[VALOR UNITARIO COMPRADO]]*tblAquisições[[#This Row],[QUANTIDADE COMPRADA]]</f>
        <v>0</v>
      </c>
      <c r="N2328" s="110">
        <f>K2328-tblAquisições[[#This Row],[QUANTIDADE PLANEJADA]]</f>
        <v>-15</v>
      </c>
      <c r="O2328" s="106" t="str">
        <f t="shared" si="73"/>
        <v>Faltando Comprar</v>
      </c>
    </row>
    <row r="2329" spans="1:15" ht="47.25">
      <c r="A2329" s="16" t="s">
        <v>17</v>
      </c>
      <c r="B2329" s="16" t="s">
        <v>26</v>
      </c>
      <c r="C2329" s="17" t="s">
        <v>19</v>
      </c>
      <c r="D2329" s="18" t="s">
        <v>1340</v>
      </c>
      <c r="E2329" s="18">
        <v>2</v>
      </c>
      <c r="F2329" s="18" t="s">
        <v>214</v>
      </c>
      <c r="G2329" s="18" t="s">
        <v>127</v>
      </c>
      <c r="H2329" s="18" t="s">
        <v>23</v>
      </c>
      <c r="I2329" s="19">
        <v>300.66000000000003</v>
      </c>
      <c r="J2329" s="20">
        <f t="shared" si="72"/>
        <v>601.32000000000005</v>
      </c>
      <c r="K2329" s="106"/>
      <c r="L2329" s="114"/>
      <c r="M2329" s="114">
        <f>tblAquisições[[#This Row],[VALOR UNITARIO COMPRADO]]*tblAquisições[[#This Row],[QUANTIDADE COMPRADA]]</f>
        <v>0</v>
      </c>
      <c r="N2329" s="110">
        <f>K2329-tblAquisições[[#This Row],[QUANTIDADE PLANEJADA]]</f>
        <v>-2</v>
      </c>
      <c r="O2329" s="106" t="str">
        <f t="shared" si="73"/>
        <v>Faltando Comprar</v>
      </c>
    </row>
    <row r="2330" spans="1:15" ht="47.25">
      <c r="A2330" s="16" t="s">
        <v>17</v>
      </c>
      <c r="B2330" s="16" t="s">
        <v>28</v>
      </c>
      <c r="C2330" s="17" t="s">
        <v>19</v>
      </c>
      <c r="D2330" s="18" t="s">
        <v>1340</v>
      </c>
      <c r="E2330" s="18">
        <v>30</v>
      </c>
      <c r="F2330" s="18" t="s">
        <v>214</v>
      </c>
      <c r="G2330" s="18" t="s">
        <v>127</v>
      </c>
      <c r="H2330" s="18" t="s">
        <v>23</v>
      </c>
      <c r="I2330" s="19">
        <v>300.66000000000003</v>
      </c>
      <c r="J2330" s="20">
        <f t="shared" si="72"/>
        <v>9019.8000000000011</v>
      </c>
      <c r="K2330" s="106"/>
      <c r="L2330" s="114"/>
      <c r="M2330" s="114">
        <f>tblAquisições[[#This Row],[VALOR UNITARIO COMPRADO]]*tblAquisições[[#This Row],[QUANTIDADE COMPRADA]]</f>
        <v>0</v>
      </c>
      <c r="N2330" s="110">
        <f>K2330-tblAquisições[[#This Row],[QUANTIDADE PLANEJADA]]</f>
        <v>-30</v>
      </c>
      <c r="O2330" s="106" t="str">
        <f t="shared" si="73"/>
        <v>Faltando Comprar</v>
      </c>
    </row>
    <row r="2331" spans="1:15" ht="47.25">
      <c r="A2331" s="16" t="s">
        <v>17</v>
      </c>
      <c r="B2331" s="16" t="s">
        <v>72</v>
      </c>
      <c r="C2331" s="17" t="s">
        <v>19</v>
      </c>
      <c r="D2331" s="18" t="s">
        <v>1340</v>
      </c>
      <c r="E2331" s="18">
        <v>20</v>
      </c>
      <c r="F2331" s="18" t="s">
        <v>214</v>
      </c>
      <c r="G2331" s="18" t="s">
        <v>127</v>
      </c>
      <c r="H2331" s="18" t="s">
        <v>23</v>
      </c>
      <c r="I2331" s="19">
        <v>300.66000000000003</v>
      </c>
      <c r="J2331" s="20">
        <f t="shared" si="72"/>
        <v>6013.2000000000007</v>
      </c>
      <c r="K2331" s="106"/>
      <c r="L2331" s="114"/>
      <c r="M2331" s="114">
        <f>tblAquisições[[#This Row],[VALOR UNITARIO COMPRADO]]*tblAquisições[[#This Row],[QUANTIDADE COMPRADA]]</f>
        <v>0</v>
      </c>
      <c r="N2331" s="110">
        <f>K2331-tblAquisições[[#This Row],[QUANTIDADE PLANEJADA]]</f>
        <v>-20</v>
      </c>
      <c r="O2331" s="106" t="str">
        <f t="shared" si="73"/>
        <v>Faltando Comprar</v>
      </c>
    </row>
    <row r="2332" spans="1:15" ht="47.25">
      <c r="A2332" s="16" t="s">
        <v>17</v>
      </c>
      <c r="B2332" s="16" t="s">
        <v>18</v>
      </c>
      <c r="C2332" s="17" t="s">
        <v>19</v>
      </c>
      <c r="D2332" s="18" t="s">
        <v>1341</v>
      </c>
      <c r="E2332" s="18">
        <v>2</v>
      </c>
      <c r="F2332" s="18" t="s">
        <v>214</v>
      </c>
      <c r="G2332" s="18" t="s">
        <v>127</v>
      </c>
      <c r="H2332" s="18" t="s">
        <v>23</v>
      </c>
      <c r="I2332" s="19">
        <v>2089.0100000000002</v>
      </c>
      <c r="J2332" s="20">
        <f t="shared" si="72"/>
        <v>4178.0200000000004</v>
      </c>
      <c r="K2332" s="106"/>
      <c r="L2332" s="114"/>
      <c r="M2332" s="114">
        <f>tblAquisições[[#This Row],[VALOR UNITARIO COMPRADO]]*tblAquisições[[#This Row],[QUANTIDADE COMPRADA]]</f>
        <v>0</v>
      </c>
      <c r="N2332" s="110">
        <f>K2332-tblAquisições[[#This Row],[QUANTIDADE PLANEJADA]]</f>
        <v>-2</v>
      </c>
      <c r="O2332" s="106" t="str">
        <f t="shared" si="73"/>
        <v>Faltando Comprar</v>
      </c>
    </row>
    <row r="2333" spans="1:15" ht="47.25">
      <c r="A2333" s="16" t="s">
        <v>17</v>
      </c>
      <c r="B2333" s="16" t="s">
        <v>24</v>
      </c>
      <c r="C2333" s="17" t="s">
        <v>19</v>
      </c>
      <c r="D2333" s="18" t="s">
        <v>1341</v>
      </c>
      <c r="E2333" s="18">
        <v>2</v>
      </c>
      <c r="F2333" s="18" t="s">
        <v>214</v>
      </c>
      <c r="G2333" s="18" t="s">
        <v>127</v>
      </c>
      <c r="H2333" s="18" t="s">
        <v>23</v>
      </c>
      <c r="I2333" s="19">
        <v>2089.0100000000002</v>
      </c>
      <c r="J2333" s="20">
        <f t="shared" si="72"/>
        <v>4178.0200000000004</v>
      </c>
      <c r="K2333" s="106"/>
      <c r="L2333" s="114"/>
      <c r="M2333" s="114">
        <f>tblAquisições[[#This Row],[VALOR UNITARIO COMPRADO]]*tblAquisições[[#This Row],[QUANTIDADE COMPRADA]]</f>
        <v>0</v>
      </c>
      <c r="N2333" s="110">
        <f>K2333-tblAquisições[[#This Row],[QUANTIDADE PLANEJADA]]</f>
        <v>-2</v>
      </c>
      <c r="O2333" s="106" t="str">
        <f t="shared" si="73"/>
        <v>Faltando Comprar</v>
      </c>
    </row>
    <row r="2334" spans="1:15" ht="47.25">
      <c r="A2334" s="16" t="s">
        <v>17</v>
      </c>
      <c r="B2334" s="16" t="s">
        <v>25</v>
      </c>
      <c r="C2334" s="17" t="s">
        <v>19</v>
      </c>
      <c r="D2334" s="18" t="s">
        <v>1341</v>
      </c>
      <c r="E2334" s="18">
        <v>2</v>
      </c>
      <c r="F2334" s="18" t="s">
        <v>214</v>
      </c>
      <c r="G2334" s="18" t="s">
        <v>127</v>
      </c>
      <c r="H2334" s="18" t="s">
        <v>23</v>
      </c>
      <c r="I2334" s="19">
        <v>2089.0100000000002</v>
      </c>
      <c r="J2334" s="20">
        <f t="shared" si="72"/>
        <v>4178.0200000000004</v>
      </c>
      <c r="K2334" s="106"/>
      <c r="L2334" s="114"/>
      <c r="M2334" s="114">
        <f>tblAquisições[[#This Row],[VALOR UNITARIO COMPRADO]]*tblAquisições[[#This Row],[QUANTIDADE COMPRADA]]</f>
        <v>0</v>
      </c>
      <c r="N2334" s="110">
        <f>K2334-tblAquisições[[#This Row],[QUANTIDADE PLANEJADA]]</f>
        <v>-2</v>
      </c>
      <c r="O2334" s="106" t="str">
        <f t="shared" si="73"/>
        <v>Faltando Comprar</v>
      </c>
    </row>
    <row r="2335" spans="1:15" ht="47.25">
      <c r="A2335" s="16" t="s">
        <v>17</v>
      </c>
      <c r="B2335" s="16" t="s">
        <v>72</v>
      </c>
      <c r="C2335" s="17" t="s">
        <v>19</v>
      </c>
      <c r="D2335" s="18" t="s">
        <v>1341</v>
      </c>
      <c r="E2335" s="18">
        <v>1</v>
      </c>
      <c r="F2335" s="18" t="s">
        <v>214</v>
      </c>
      <c r="G2335" s="18" t="s">
        <v>127</v>
      </c>
      <c r="H2335" s="18" t="s">
        <v>23</v>
      </c>
      <c r="I2335" s="19">
        <v>2089.0100000000002</v>
      </c>
      <c r="J2335" s="20">
        <f t="shared" si="72"/>
        <v>2089.0100000000002</v>
      </c>
      <c r="K2335" s="106"/>
      <c r="L2335" s="114"/>
      <c r="M2335" s="114">
        <f>tblAquisições[[#This Row],[VALOR UNITARIO COMPRADO]]*tblAquisições[[#This Row],[QUANTIDADE COMPRADA]]</f>
        <v>0</v>
      </c>
      <c r="N2335" s="110">
        <f>K2335-tblAquisições[[#This Row],[QUANTIDADE PLANEJADA]]</f>
        <v>-1</v>
      </c>
      <c r="O2335" s="106" t="str">
        <f t="shared" si="73"/>
        <v>Faltando Comprar</v>
      </c>
    </row>
    <row r="2336" spans="1:15" ht="47.25">
      <c r="A2336" s="16" t="s">
        <v>17</v>
      </c>
      <c r="B2336" s="16" t="s">
        <v>59</v>
      </c>
      <c r="C2336" s="17" t="s">
        <v>19</v>
      </c>
      <c r="D2336" s="18" t="s">
        <v>1341</v>
      </c>
      <c r="E2336" s="18">
        <v>1</v>
      </c>
      <c r="F2336" s="18" t="s">
        <v>214</v>
      </c>
      <c r="G2336" s="18" t="s">
        <v>127</v>
      </c>
      <c r="H2336" s="18" t="s">
        <v>23</v>
      </c>
      <c r="I2336" s="19">
        <v>2089.0100000000002</v>
      </c>
      <c r="J2336" s="20">
        <f t="shared" si="72"/>
        <v>2089.0100000000002</v>
      </c>
      <c r="K2336" s="106"/>
      <c r="L2336" s="114"/>
      <c r="M2336" s="114">
        <f>tblAquisições[[#This Row],[VALOR UNITARIO COMPRADO]]*tblAquisições[[#This Row],[QUANTIDADE COMPRADA]]</f>
        <v>0</v>
      </c>
      <c r="N2336" s="110">
        <f>K2336-tblAquisições[[#This Row],[QUANTIDADE PLANEJADA]]</f>
        <v>-1</v>
      </c>
      <c r="O2336" s="106" t="str">
        <f t="shared" si="73"/>
        <v>Faltando Comprar</v>
      </c>
    </row>
    <row r="2337" spans="1:15" ht="47.25">
      <c r="A2337" s="16" t="s">
        <v>17</v>
      </c>
      <c r="B2337" s="16" t="s">
        <v>31</v>
      </c>
      <c r="C2337" s="17" t="s">
        <v>19</v>
      </c>
      <c r="D2337" s="18" t="s">
        <v>1342</v>
      </c>
      <c r="E2337" s="18">
        <v>45</v>
      </c>
      <c r="F2337" s="18" t="s">
        <v>78</v>
      </c>
      <c r="G2337" s="18" t="s">
        <v>22</v>
      </c>
      <c r="H2337" s="18" t="s">
        <v>23</v>
      </c>
      <c r="I2337" s="19">
        <v>4.34</v>
      </c>
      <c r="J2337" s="20">
        <f t="shared" si="72"/>
        <v>195.29999999999998</v>
      </c>
      <c r="K2337" s="106"/>
      <c r="L2337" s="114"/>
      <c r="M2337" s="114">
        <f>tblAquisições[[#This Row],[VALOR UNITARIO COMPRADO]]*tblAquisições[[#This Row],[QUANTIDADE COMPRADA]]</f>
        <v>0</v>
      </c>
      <c r="N2337" s="110">
        <f>K2337-tblAquisições[[#This Row],[QUANTIDADE PLANEJADA]]</f>
        <v>-45</v>
      </c>
      <c r="O2337" s="106" t="str">
        <f t="shared" si="73"/>
        <v>Faltando Comprar</v>
      </c>
    </row>
    <row r="2338" spans="1:15" ht="47.25">
      <c r="A2338" s="16" t="s">
        <v>17</v>
      </c>
      <c r="B2338" s="16" t="s">
        <v>25</v>
      </c>
      <c r="C2338" s="17" t="s">
        <v>19</v>
      </c>
      <c r="D2338" s="18" t="s">
        <v>1342</v>
      </c>
      <c r="E2338" s="18">
        <v>200</v>
      </c>
      <c r="F2338" s="18" t="s">
        <v>78</v>
      </c>
      <c r="G2338" s="18" t="s">
        <v>22</v>
      </c>
      <c r="H2338" s="18" t="s">
        <v>23</v>
      </c>
      <c r="I2338" s="19">
        <v>4.34</v>
      </c>
      <c r="J2338" s="20">
        <f t="shared" si="72"/>
        <v>868</v>
      </c>
      <c r="K2338" s="106"/>
      <c r="L2338" s="114"/>
      <c r="M2338" s="114">
        <f>tblAquisições[[#This Row],[VALOR UNITARIO COMPRADO]]*tblAquisições[[#This Row],[QUANTIDADE COMPRADA]]</f>
        <v>0</v>
      </c>
      <c r="N2338" s="110">
        <f>K2338-tblAquisições[[#This Row],[QUANTIDADE PLANEJADA]]</f>
        <v>-200</v>
      </c>
      <c r="O2338" s="106" t="str">
        <f t="shared" si="73"/>
        <v>Faltando Comprar</v>
      </c>
    </row>
    <row r="2339" spans="1:15" ht="47.25">
      <c r="A2339" s="16" t="s">
        <v>17</v>
      </c>
      <c r="B2339" s="16" t="s">
        <v>28</v>
      </c>
      <c r="C2339" s="17" t="s">
        <v>19</v>
      </c>
      <c r="D2339" s="18" t="s">
        <v>1342</v>
      </c>
      <c r="E2339" s="18">
        <v>24</v>
      </c>
      <c r="F2339" s="18" t="s">
        <v>78</v>
      </c>
      <c r="G2339" s="18" t="s">
        <v>22</v>
      </c>
      <c r="H2339" s="18" t="s">
        <v>23</v>
      </c>
      <c r="I2339" s="19">
        <v>4.34</v>
      </c>
      <c r="J2339" s="20">
        <f t="shared" si="72"/>
        <v>104.16</v>
      </c>
      <c r="K2339" s="106"/>
      <c r="L2339" s="114"/>
      <c r="M2339" s="114">
        <f>tblAquisições[[#This Row],[VALOR UNITARIO COMPRADO]]*tblAquisições[[#This Row],[QUANTIDADE COMPRADA]]</f>
        <v>0</v>
      </c>
      <c r="N2339" s="110">
        <f>K2339-tblAquisições[[#This Row],[QUANTIDADE PLANEJADA]]</f>
        <v>-24</v>
      </c>
      <c r="O2339" s="106" t="str">
        <f t="shared" si="73"/>
        <v>Faltando Comprar</v>
      </c>
    </row>
    <row r="2340" spans="1:15" ht="47.25">
      <c r="A2340" s="16" t="s">
        <v>17</v>
      </c>
      <c r="B2340" s="16" t="s">
        <v>34</v>
      </c>
      <c r="C2340" s="17" t="s">
        <v>19</v>
      </c>
      <c r="D2340" s="18" t="s">
        <v>1343</v>
      </c>
      <c r="E2340" s="18">
        <v>1</v>
      </c>
      <c r="F2340" s="18" t="s">
        <v>78</v>
      </c>
      <c r="G2340" s="18" t="s">
        <v>22</v>
      </c>
      <c r="H2340" s="18" t="s">
        <v>23</v>
      </c>
      <c r="I2340" s="19">
        <v>56.3</v>
      </c>
      <c r="J2340" s="20">
        <f t="shared" si="72"/>
        <v>56.3</v>
      </c>
      <c r="K2340" s="106"/>
      <c r="L2340" s="114"/>
      <c r="M2340" s="114">
        <f>tblAquisições[[#This Row],[VALOR UNITARIO COMPRADO]]*tblAquisições[[#This Row],[QUANTIDADE COMPRADA]]</f>
        <v>0</v>
      </c>
      <c r="N2340" s="110">
        <f>K2340-tblAquisições[[#This Row],[QUANTIDADE PLANEJADA]]</f>
        <v>-1</v>
      </c>
      <c r="O2340" s="106" t="str">
        <f t="shared" si="73"/>
        <v>Faltando Comprar</v>
      </c>
    </row>
    <row r="2341" spans="1:15" ht="47.25">
      <c r="A2341" s="16" t="s">
        <v>17</v>
      </c>
      <c r="B2341" s="16" t="s">
        <v>28</v>
      </c>
      <c r="C2341" s="17" t="s">
        <v>19</v>
      </c>
      <c r="D2341" s="18" t="s">
        <v>1344</v>
      </c>
      <c r="E2341" s="18">
        <v>2</v>
      </c>
      <c r="F2341" s="18" t="s">
        <v>131</v>
      </c>
      <c r="G2341" s="18" t="s">
        <v>22</v>
      </c>
      <c r="H2341" s="18" t="s">
        <v>23</v>
      </c>
      <c r="I2341" s="19">
        <v>91.27</v>
      </c>
      <c r="J2341" s="20">
        <f t="shared" si="72"/>
        <v>182.54</v>
      </c>
      <c r="K2341" s="106"/>
      <c r="L2341" s="114"/>
      <c r="M2341" s="114">
        <f>tblAquisições[[#This Row],[VALOR UNITARIO COMPRADO]]*tblAquisições[[#This Row],[QUANTIDADE COMPRADA]]</f>
        <v>0</v>
      </c>
      <c r="N2341" s="110">
        <f>K2341-tblAquisições[[#This Row],[QUANTIDADE PLANEJADA]]</f>
        <v>-2</v>
      </c>
      <c r="O2341" s="106" t="str">
        <f t="shared" si="73"/>
        <v>Faltando Comprar</v>
      </c>
    </row>
    <row r="2342" spans="1:15" ht="47.25">
      <c r="A2342" s="16" t="s">
        <v>17</v>
      </c>
      <c r="B2342" s="16" t="s">
        <v>34</v>
      </c>
      <c r="C2342" s="17" t="s">
        <v>19</v>
      </c>
      <c r="D2342" s="18" t="s">
        <v>1345</v>
      </c>
      <c r="E2342" s="18">
        <v>6</v>
      </c>
      <c r="F2342" s="18" t="s">
        <v>391</v>
      </c>
      <c r="G2342" s="18" t="s">
        <v>22</v>
      </c>
      <c r="H2342" s="18" t="s">
        <v>23</v>
      </c>
      <c r="I2342" s="19">
        <v>29.08</v>
      </c>
      <c r="J2342" s="20">
        <f t="shared" si="72"/>
        <v>174.48</v>
      </c>
      <c r="K2342" s="106"/>
      <c r="L2342" s="114"/>
      <c r="M2342" s="114">
        <f>tblAquisições[[#This Row],[VALOR UNITARIO COMPRADO]]*tblAquisições[[#This Row],[QUANTIDADE COMPRADA]]</f>
        <v>0</v>
      </c>
      <c r="N2342" s="110">
        <f>K2342-tblAquisições[[#This Row],[QUANTIDADE PLANEJADA]]</f>
        <v>-6</v>
      </c>
      <c r="O2342" s="106" t="str">
        <f t="shared" si="73"/>
        <v>Faltando Comprar</v>
      </c>
    </row>
    <row r="2343" spans="1:15" ht="63">
      <c r="A2343" s="16" t="s">
        <v>17</v>
      </c>
      <c r="B2343" s="16" t="s">
        <v>34</v>
      </c>
      <c r="C2343" s="17" t="s">
        <v>19</v>
      </c>
      <c r="D2343" s="18" t="s">
        <v>1346</v>
      </c>
      <c r="E2343" s="18">
        <v>1</v>
      </c>
      <c r="F2343" s="18" t="s">
        <v>1347</v>
      </c>
      <c r="G2343" s="18" t="s">
        <v>22</v>
      </c>
      <c r="H2343" s="18" t="s">
        <v>23</v>
      </c>
      <c r="I2343" s="19">
        <v>207.67</v>
      </c>
      <c r="J2343" s="20">
        <f t="shared" si="72"/>
        <v>207.67</v>
      </c>
      <c r="K2343" s="106"/>
      <c r="L2343" s="114"/>
      <c r="M2343" s="114">
        <f>tblAquisições[[#This Row],[VALOR UNITARIO COMPRADO]]*tblAquisições[[#This Row],[QUANTIDADE COMPRADA]]</f>
        <v>0</v>
      </c>
      <c r="N2343" s="110">
        <f>K2343-tblAquisições[[#This Row],[QUANTIDADE PLANEJADA]]</f>
        <v>-1</v>
      </c>
      <c r="O2343" s="106" t="str">
        <f t="shared" si="73"/>
        <v>Faltando Comprar</v>
      </c>
    </row>
    <row r="2344" spans="1:15" ht="63">
      <c r="A2344" s="16" t="s">
        <v>17</v>
      </c>
      <c r="B2344" s="16" t="s">
        <v>18</v>
      </c>
      <c r="C2344" s="17" t="s">
        <v>19</v>
      </c>
      <c r="D2344" s="18" t="s">
        <v>1346</v>
      </c>
      <c r="E2344" s="18">
        <v>3</v>
      </c>
      <c r="F2344" s="18" t="s">
        <v>1347</v>
      </c>
      <c r="G2344" s="18" t="s">
        <v>22</v>
      </c>
      <c r="H2344" s="18" t="s">
        <v>23</v>
      </c>
      <c r="I2344" s="19">
        <v>207.67</v>
      </c>
      <c r="J2344" s="20">
        <f t="shared" si="72"/>
        <v>623.01</v>
      </c>
      <c r="K2344" s="106"/>
      <c r="L2344" s="114"/>
      <c r="M2344" s="114">
        <f>tblAquisições[[#This Row],[VALOR UNITARIO COMPRADO]]*tblAquisições[[#This Row],[QUANTIDADE COMPRADA]]</f>
        <v>0</v>
      </c>
      <c r="N2344" s="110">
        <f>K2344-tblAquisições[[#This Row],[QUANTIDADE PLANEJADA]]</f>
        <v>-3</v>
      </c>
      <c r="O2344" s="106" t="str">
        <f t="shared" si="73"/>
        <v>Faltando Comprar</v>
      </c>
    </row>
    <row r="2345" spans="1:15" ht="63">
      <c r="A2345" s="16" t="s">
        <v>17</v>
      </c>
      <c r="B2345" s="16" t="s">
        <v>24</v>
      </c>
      <c r="C2345" s="17" t="s">
        <v>19</v>
      </c>
      <c r="D2345" s="18" t="s">
        <v>1346</v>
      </c>
      <c r="E2345" s="18">
        <v>3</v>
      </c>
      <c r="F2345" s="18" t="s">
        <v>1347</v>
      </c>
      <c r="G2345" s="18" t="s">
        <v>22</v>
      </c>
      <c r="H2345" s="18" t="s">
        <v>23</v>
      </c>
      <c r="I2345" s="19">
        <v>207.67</v>
      </c>
      <c r="J2345" s="20">
        <f t="shared" si="72"/>
        <v>623.01</v>
      </c>
      <c r="K2345" s="106"/>
      <c r="L2345" s="114"/>
      <c r="M2345" s="114">
        <f>tblAquisições[[#This Row],[VALOR UNITARIO COMPRADO]]*tblAquisições[[#This Row],[QUANTIDADE COMPRADA]]</f>
        <v>0</v>
      </c>
      <c r="N2345" s="110">
        <f>K2345-tblAquisições[[#This Row],[QUANTIDADE PLANEJADA]]</f>
        <v>-3</v>
      </c>
      <c r="O2345" s="106" t="str">
        <f t="shared" si="73"/>
        <v>Faltando Comprar</v>
      </c>
    </row>
    <row r="2346" spans="1:15" ht="63">
      <c r="A2346" s="16" t="s">
        <v>17</v>
      </c>
      <c r="B2346" s="16" t="s">
        <v>25</v>
      </c>
      <c r="C2346" s="17" t="s">
        <v>19</v>
      </c>
      <c r="D2346" s="18" t="s">
        <v>1346</v>
      </c>
      <c r="E2346" s="18">
        <v>3</v>
      </c>
      <c r="F2346" s="18" t="s">
        <v>1347</v>
      </c>
      <c r="G2346" s="18" t="s">
        <v>22</v>
      </c>
      <c r="H2346" s="18" t="s">
        <v>23</v>
      </c>
      <c r="I2346" s="19">
        <v>207.67</v>
      </c>
      <c r="J2346" s="20">
        <f t="shared" si="72"/>
        <v>623.01</v>
      </c>
      <c r="K2346" s="106"/>
      <c r="L2346" s="114"/>
      <c r="M2346" s="114">
        <f>tblAquisições[[#This Row],[VALOR UNITARIO COMPRADO]]*tblAquisições[[#This Row],[QUANTIDADE COMPRADA]]</f>
        <v>0</v>
      </c>
      <c r="N2346" s="110">
        <f>K2346-tblAquisições[[#This Row],[QUANTIDADE PLANEJADA]]</f>
        <v>-3</v>
      </c>
      <c r="O2346" s="106" t="str">
        <f t="shared" si="73"/>
        <v>Faltando Comprar</v>
      </c>
    </row>
    <row r="2347" spans="1:15" ht="63">
      <c r="A2347" s="16" t="s">
        <v>17</v>
      </c>
      <c r="B2347" s="16" t="s">
        <v>27</v>
      </c>
      <c r="C2347" s="17" t="s">
        <v>19</v>
      </c>
      <c r="D2347" s="18" t="s">
        <v>1346</v>
      </c>
      <c r="E2347" s="18">
        <v>2</v>
      </c>
      <c r="F2347" s="18" t="s">
        <v>1347</v>
      </c>
      <c r="G2347" s="18" t="s">
        <v>22</v>
      </c>
      <c r="H2347" s="18" t="s">
        <v>23</v>
      </c>
      <c r="I2347" s="19">
        <v>207.67</v>
      </c>
      <c r="J2347" s="20">
        <f t="shared" si="72"/>
        <v>415.34</v>
      </c>
      <c r="K2347" s="106"/>
      <c r="L2347" s="114"/>
      <c r="M2347" s="114">
        <f>tblAquisições[[#This Row],[VALOR UNITARIO COMPRADO]]*tblAquisições[[#This Row],[QUANTIDADE COMPRADA]]</f>
        <v>0</v>
      </c>
      <c r="N2347" s="110">
        <f>K2347-tblAquisições[[#This Row],[QUANTIDADE PLANEJADA]]</f>
        <v>-2</v>
      </c>
      <c r="O2347" s="106" t="str">
        <f t="shared" si="73"/>
        <v>Faltando Comprar</v>
      </c>
    </row>
    <row r="2348" spans="1:15" ht="47.25">
      <c r="A2348" s="16" t="s">
        <v>17</v>
      </c>
      <c r="B2348" s="16" t="s">
        <v>26</v>
      </c>
      <c r="C2348" s="17" t="s">
        <v>19</v>
      </c>
      <c r="D2348" s="18" t="s">
        <v>1348</v>
      </c>
      <c r="E2348" s="18">
        <v>3</v>
      </c>
      <c r="F2348" s="18" t="s">
        <v>78</v>
      </c>
      <c r="G2348" s="18" t="s">
        <v>22</v>
      </c>
      <c r="H2348" s="18" t="s">
        <v>23</v>
      </c>
      <c r="I2348" s="19">
        <v>52.69</v>
      </c>
      <c r="J2348" s="20">
        <f t="shared" si="72"/>
        <v>158.07</v>
      </c>
      <c r="K2348" s="106"/>
      <c r="L2348" s="114"/>
      <c r="M2348" s="114">
        <f>tblAquisições[[#This Row],[VALOR UNITARIO COMPRADO]]*tblAquisições[[#This Row],[QUANTIDADE COMPRADA]]</f>
        <v>0</v>
      </c>
      <c r="N2348" s="110">
        <f>K2348-tblAquisições[[#This Row],[QUANTIDADE PLANEJADA]]</f>
        <v>-3</v>
      </c>
      <c r="O2348" s="106" t="str">
        <f t="shared" si="73"/>
        <v>Faltando Comprar</v>
      </c>
    </row>
    <row r="2349" spans="1:15" ht="47.25">
      <c r="A2349" s="16" t="s">
        <v>17</v>
      </c>
      <c r="B2349" s="16" t="s">
        <v>27</v>
      </c>
      <c r="C2349" s="17" t="s">
        <v>19</v>
      </c>
      <c r="D2349" s="18" t="s">
        <v>1349</v>
      </c>
      <c r="E2349" s="18">
        <v>4</v>
      </c>
      <c r="F2349" s="18" t="s">
        <v>391</v>
      </c>
      <c r="G2349" s="18" t="s">
        <v>22</v>
      </c>
      <c r="H2349" s="18" t="s">
        <v>23</v>
      </c>
      <c r="I2349" s="19">
        <v>2500</v>
      </c>
      <c r="J2349" s="20">
        <f t="shared" si="72"/>
        <v>10000</v>
      </c>
      <c r="K2349" s="106"/>
      <c r="L2349" s="114"/>
      <c r="M2349" s="114">
        <f>tblAquisições[[#This Row],[VALOR UNITARIO COMPRADO]]*tblAquisições[[#This Row],[QUANTIDADE COMPRADA]]</f>
        <v>0</v>
      </c>
      <c r="N2349" s="110">
        <f>K2349-tblAquisições[[#This Row],[QUANTIDADE PLANEJADA]]</f>
        <v>-4</v>
      </c>
      <c r="O2349" s="106" t="str">
        <f t="shared" si="73"/>
        <v>Faltando Comprar</v>
      </c>
    </row>
    <row r="2350" spans="1:15" ht="63">
      <c r="A2350" s="16" t="s">
        <v>17</v>
      </c>
      <c r="B2350" s="16" t="s">
        <v>34</v>
      </c>
      <c r="C2350" s="17" t="s">
        <v>19</v>
      </c>
      <c r="D2350" s="18" t="s">
        <v>1350</v>
      </c>
      <c r="E2350" s="18">
        <v>1</v>
      </c>
      <c r="F2350" s="18" t="s">
        <v>1347</v>
      </c>
      <c r="G2350" s="18" t="s">
        <v>22</v>
      </c>
      <c r="H2350" s="18" t="s">
        <v>23</v>
      </c>
      <c r="I2350" s="19">
        <v>841.62</v>
      </c>
      <c r="J2350" s="20">
        <f t="shared" si="72"/>
        <v>841.62</v>
      </c>
      <c r="K2350" s="106"/>
      <c r="L2350" s="114"/>
      <c r="M2350" s="114">
        <f>tblAquisições[[#This Row],[VALOR UNITARIO COMPRADO]]*tblAquisições[[#This Row],[QUANTIDADE COMPRADA]]</f>
        <v>0</v>
      </c>
      <c r="N2350" s="110">
        <f>K2350-tblAquisições[[#This Row],[QUANTIDADE PLANEJADA]]</f>
        <v>-1</v>
      </c>
      <c r="O2350" s="106" t="str">
        <f t="shared" si="73"/>
        <v>Faltando Comprar</v>
      </c>
    </row>
    <row r="2351" spans="1:15" ht="47.25">
      <c r="A2351" s="16" t="s">
        <v>17</v>
      </c>
      <c r="B2351" s="16" t="s">
        <v>28</v>
      </c>
      <c r="C2351" s="17" t="s">
        <v>19</v>
      </c>
      <c r="D2351" s="18" t="s">
        <v>1351</v>
      </c>
      <c r="E2351" s="18">
        <v>4</v>
      </c>
      <c r="F2351" s="18" t="s">
        <v>126</v>
      </c>
      <c r="G2351" s="18" t="s">
        <v>127</v>
      </c>
      <c r="H2351" s="18" t="s">
        <v>23</v>
      </c>
      <c r="I2351" s="19">
        <v>14771.4</v>
      </c>
      <c r="J2351" s="20">
        <f t="shared" si="72"/>
        <v>59085.599999999999</v>
      </c>
      <c r="K2351" s="106"/>
      <c r="L2351" s="114"/>
      <c r="M2351" s="114">
        <f>tblAquisições[[#This Row],[VALOR UNITARIO COMPRADO]]*tblAquisições[[#This Row],[QUANTIDADE COMPRADA]]</f>
        <v>0</v>
      </c>
      <c r="N2351" s="110">
        <f>K2351-tblAquisições[[#This Row],[QUANTIDADE PLANEJADA]]</f>
        <v>-4</v>
      </c>
      <c r="O2351" s="106" t="str">
        <f t="shared" si="73"/>
        <v>Faltando Comprar</v>
      </c>
    </row>
    <row r="2352" spans="1:15" ht="47.25">
      <c r="A2352" s="16" t="s">
        <v>17</v>
      </c>
      <c r="B2352" s="16" t="s">
        <v>28</v>
      </c>
      <c r="C2352" s="17" t="s">
        <v>19</v>
      </c>
      <c r="D2352" s="18" t="s">
        <v>1352</v>
      </c>
      <c r="E2352" s="18">
        <v>2</v>
      </c>
      <c r="F2352" s="18" t="s">
        <v>126</v>
      </c>
      <c r="G2352" s="18" t="s">
        <v>127</v>
      </c>
      <c r="H2352" s="18" t="s">
        <v>23</v>
      </c>
      <c r="I2352" s="19">
        <v>17891.84</v>
      </c>
      <c r="J2352" s="20">
        <f t="shared" si="72"/>
        <v>35783.68</v>
      </c>
      <c r="K2352" s="106"/>
      <c r="L2352" s="114"/>
      <c r="M2352" s="114">
        <f>tblAquisições[[#This Row],[VALOR UNITARIO COMPRADO]]*tblAquisições[[#This Row],[QUANTIDADE COMPRADA]]</f>
        <v>0</v>
      </c>
      <c r="N2352" s="110">
        <f>K2352-tblAquisições[[#This Row],[QUANTIDADE PLANEJADA]]</f>
        <v>-2</v>
      </c>
      <c r="O2352" s="106" t="str">
        <f t="shared" si="73"/>
        <v>Faltando Comprar</v>
      </c>
    </row>
    <row r="2353" spans="1:15" ht="47.25">
      <c r="A2353" s="16" t="s">
        <v>17</v>
      </c>
      <c r="B2353" s="16" t="s">
        <v>28</v>
      </c>
      <c r="C2353" s="17" t="s">
        <v>19</v>
      </c>
      <c r="D2353" s="18" t="s">
        <v>1353</v>
      </c>
      <c r="E2353" s="18">
        <v>2</v>
      </c>
      <c r="F2353" s="18" t="s">
        <v>126</v>
      </c>
      <c r="G2353" s="18" t="s">
        <v>127</v>
      </c>
      <c r="H2353" s="18" t="s">
        <v>23</v>
      </c>
      <c r="I2353" s="19">
        <v>19223.52</v>
      </c>
      <c r="J2353" s="20">
        <f t="shared" si="72"/>
        <v>38447.040000000001</v>
      </c>
      <c r="K2353" s="106"/>
      <c r="L2353" s="114"/>
      <c r="M2353" s="114">
        <f>tblAquisições[[#This Row],[VALOR UNITARIO COMPRADO]]*tblAquisições[[#This Row],[QUANTIDADE COMPRADA]]</f>
        <v>0</v>
      </c>
      <c r="N2353" s="110">
        <f>K2353-tblAquisições[[#This Row],[QUANTIDADE PLANEJADA]]</f>
        <v>-2</v>
      </c>
      <c r="O2353" s="106" t="str">
        <f t="shared" si="73"/>
        <v>Faltando Comprar</v>
      </c>
    </row>
    <row r="2354" spans="1:15" ht="47.25">
      <c r="A2354" s="16" t="s">
        <v>17</v>
      </c>
      <c r="B2354" s="16" t="s">
        <v>26</v>
      </c>
      <c r="C2354" s="17" t="s">
        <v>19</v>
      </c>
      <c r="D2354" s="18" t="s">
        <v>1354</v>
      </c>
      <c r="E2354" s="18">
        <v>1</v>
      </c>
      <c r="F2354" s="18" t="s">
        <v>126</v>
      </c>
      <c r="G2354" s="18" t="s">
        <v>127</v>
      </c>
      <c r="H2354" s="18" t="s">
        <v>23</v>
      </c>
      <c r="I2354" s="19">
        <v>25234.639999999999</v>
      </c>
      <c r="J2354" s="20">
        <f t="shared" si="72"/>
        <v>25234.639999999999</v>
      </c>
      <c r="K2354" s="106"/>
      <c r="L2354" s="114"/>
      <c r="M2354" s="114">
        <f>tblAquisições[[#This Row],[VALOR UNITARIO COMPRADO]]*tblAquisições[[#This Row],[QUANTIDADE COMPRADA]]</f>
        <v>0</v>
      </c>
      <c r="N2354" s="110">
        <f>K2354-tblAquisições[[#This Row],[QUANTIDADE PLANEJADA]]</f>
        <v>-1</v>
      </c>
      <c r="O2354" s="106" t="str">
        <f t="shared" si="73"/>
        <v>Faltando Comprar</v>
      </c>
    </row>
    <row r="2355" spans="1:15" ht="47.25">
      <c r="A2355" s="16" t="s">
        <v>17</v>
      </c>
      <c r="B2355" s="16" t="s">
        <v>26</v>
      </c>
      <c r="C2355" s="17" t="s">
        <v>19</v>
      </c>
      <c r="D2355" s="18" t="s">
        <v>1355</v>
      </c>
      <c r="E2355" s="18">
        <v>1</v>
      </c>
      <c r="F2355" s="18" t="s">
        <v>126</v>
      </c>
      <c r="G2355" s="18" t="s">
        <v>127</v>
      </c>
      <c r="H2355" s="18" t="s">
        <v>23</v>
      </c>
      <c r="I2355" s="19">
        <v>47996.160000000003</v>
      </c>
      <c r="J2355" s="20">
        <f t="shared" si="72"/>
        <v>47996.160000000003</v>
      </c>
      <c r="K2355" s="106"/>
      <c r="L2355" s="114"/>
      <c r="M2355" s="114">
        <f>tblAquisições[[#This Row],[VALOR UNITARIO COMPRADO]]*tblAquisições[[#This Row],[QUANTIDADE COMPRADA]]</f>
        <v>0</v>
      </c>
      <c r="N2355" s="110">
        <f>K2355-tblAquisições[[#This Row],[QUANTIDADE PLANEJADA]]</f>
        <v>-1</v>
      </c>
      <c r="O2355" s="106" t="str">
        <f t="shared" si="73"/>
        <v>Faltando Comprar</v>
      </c>
    </row>
    <row r="2356" spans="1:15" ht="47.25">
      <c r="A2356" s="16" t="s">
        <v>17</v>
      </c>
      <c r="B2356" s="16" t="s">
        <v>28</v>
      </c>
      <c r="C2356" s="17" t="s">
        <v>19</v>
      </c>
      <c r="D2356" s="18" t="s">
        <v>1355</v>
      </c>
      <c r="E2356" s="18">
        <v>3</v>
      </c>
      <c r="F2356" s="18" t="s">
        <v>126</v>
      </c>
      <c r="G2356" s="18" t="s">
        <v>127</v>
      </c>
      <c r="H2356" s="18" t="s">
        <v>23</v>
      </c>
      <c r="I2356" s="19">
        <v>47996.160000000003</v>
      </c>
      <c r="J2356" s="20">
        <f t="shared" si="72"/>
        <v>143988.48000000001</v>
      </c>
      <c r="K2356" s="106"/>
      <c r="L2356" s="114"/>
      <c r="M2356" s="114">
        <f>tblAquisições[[#This Row],[VALOR UNITARIO COMPRADO]]*tblAquisições[[#This Row],[QUANTIDADE COMPRADA]]</f>
        <v>0</v>
      </c>
      <c r="N2356" s="110">
        <f>K2356-tblAquisições[[#This Row],[QUANTIDADE PLANEJADA]]</f>
        <v>-3</v>
      </c>
      <c r="O2356" s="106" t="str">
        <f t="shared" si="73"/>
        <v>Faltando Comprar</v>
      </c>
    </row>
    <row r="2357" spans="1:15" ht="63">
      <c r="A2357" s="16" t="s">
        <v>17</v>
      </c>
      <c r="B2357" s="16" t="s">
        <v>27</v>
      </c>
      <c r="C2357" s="17" t="s">
        <v>19</v>
      </c>
      <c r="D2357" s="18" t="s">
        <v>1356</v>
      </c>
      <c r="E2357" s="18">
        <v>2</v>
      </c>
      <c r="F2357" s="18" t="s">
        <v>126</v>
      </c>
      <c r="G2357" s="18" t="s">
        <v>127</v>
      </c>
      <c r="H2357" s="18" t="s">
        <v>23</v>
      </c>
      <c r="I2357" s="19">
        <v>22877</v>
      </c>
      <c r="J2357" s="20">
        <f t="shared" si="72"/>
        <v>45754</v>
      </c>
      <c r="K2357" s="106"/>
      <c r="L2357" s="114"/>
      <c r="M2357" s="114">
        <f>tblAquisições[[#This Row],[VALOR UNITARIO COMPRADO]]*tblAquisições[[#This Row],[QUANTIDADE COMPRADA]]</f>
        <v>0</v>
      </c>
      <c r="N2357" s="110">
        <f>K2357-tblAquisições[[#This Row],[QUANTIDADE PLANEJADA]]</f>
        <v>-2</v>
      </c>
      <c r="O2357" s="106" t="str">
        <f t="shared" si="73"/>
        <v>Faltando Comprar</v>
      </c>
    </row>
    <row r="2358" spans="1:15" ht="47.25">
      <c r="A2358" s="16" t="s">
        <v>17</v>
      </c>
      <c r="B2358" s="16" t="s">
        <v>18</v>
      </c>
      <c r="C2358" s="17" t="s">
        <v>19</v>
      </c>
      <c r="D2358" s="18" t="s">
        <v>1357</v>
      </c>
      <c r="E2358" s="18">
        <v>2</v>
      </c>
      <c r="F2358" s="18" t="s">
        <v>126</v>
      </c>
      <c r="G2358" s="18" t="s">
        <v>127</v>
      </c>
      <c r="H2358" s="18" t="s">
        <v>23</v>
      </c>
      <c r="I2358" s="19">
        <v>12250</v>
      </c>
      <c r="J2358" s="20">
        <f t="shared" si="72"/>
        <v>24500</v>
      </c>
      <c r="K2358" s="106"/>
      <c r="L2358" s="114"/>
      <c r="M2358" s="114">
        <f>tblAquisições[[#This Row],[VALOR UNITARIO COMPRADO]]*tblAquisições[[#This Row],[QUANTIDADE COMPRADA]]</f>
        <v>0</v>
      </c>
      <c r="N2358" s="110">
        <f>K2358-tblAquisições[[#This Row],[QUANTIDADE PLANEJADA]]</f>
        <v>-2</v>
      </c>
      <c r="O2358" s="106" t="str">
        <f t="shared" si="73"/>
        <v>Faltando Comprar</v>
      </c>
    </row>
    <row r="2359" spans="1:15" ht="47.25">
      <c r="A2359" s="16" t="s">
        <v>17</v>
      </c>
      <c r="B2359" s="16" t="s">
        <v>24</v>
      </c>
      <c r="C2359" s="17" t="s">
        <v>19</v>
      </c>
      <c r="D2359" s="18" t="s">
        <v>1357</v>
      </c>
      <c r="E2359" s="18">
        <v>2</v>
      </c>
      <c r="F2359" s="18" t="s">
        <v>126</v>
      </c>
      <c r="G2359" s="18" t="s">
        <v>127</v>
      </c>
      <c r="H2359" s="18" t="s">
        <v>23</v>
      </c>
      <c r="I2359" s="19">
        <v>12250</v>
      </c>
      <c r="J2359" s="20">
        <f t="shared" si="72"/>
        <v>24500</v>
      </c>
      <c r="K2359" s="106"/>
      <c r="L2359" s="114"/>
      <c r="M2359" s="114">
        <f>tblAquisições[[#This Row],[VALOR UNITARIO COMPRADO]]*tblAquisições[[#This Row],[QUANTIDADE COMPRADA]]</f>
        <v>0</v>
      </c>
      <c r="N2359" s="110">
        <f>K2359-tblAquisições[[#This Row],[QUANTIDADE PLANEJADA]]</f>
        <v>-2</v>
      </c>
      <c r="O2359" s="106" t="str">
        <f t="shared" si="73"/>
        <v>Faltando Comprar</v>
      </c>
    </row>
    <row r="2360" spans="1:15" ht="47.25">
      <c r="A2360" s="16" t="s">
        <v>17</v>
      </c>
      <c r="B2360" s="16" t="s">
        <v>25</v>
      </c>
      <c r="C2360" s="17" t="s">
        <v>19</v>
      </c>
      <c r="D2360" s="18" t="s">
        <v>1357</v>
      </c>
      <c r="E2360" s="18">
        <v>2</v>
      </c>
      <c r="F2360" s="18" t="s">
        <v>126</v>
      </c>
      <c r="G2360" s="18" t="s">
        <v>127</v>
      </c>
      <c r="H2360" s="18" t="s">
        <v>23</v>
      </c>
      <c r="I2360" s="19">
        <v>12250</v>
      </c>
      <c r="J2360" s="20">
        <f t="shared" si="72"/>
        <v>24500</v>
      </c>
      <c r="K2360" s="106"/>
      <c r="L2360" s="114"/>
      <c r="M2360" s="114">
        <f>tblAquisições[[#This Row],[VALOR UNITARIO COMPRADO]]*tblAquisições[[#This Row],[QUANTIDADE COMPRADA]]</f>
        <v>0</v>
      </c>
      <c r="N2360" s="110">
        <f>K2360-tblAquisições[[#This Row],[QUANTIDADE PLANEJADA]]</f>
        <v>-2</v>
      </c>
      <c r="O2360" s="106" t="str">
        <f t="shared" si="73"/>
        <v>Faltando Comprar</v>
      </c>
    </row>
    <row r="2361" spans="1:15" ht="47.25">
      <c r="A2361" s="16" t="s">
        <v>17</v>
      </c>
      <c r="B2361" s="16" t="s">
        <v>28</v>
      </c>
      <c r="C2361" s="17" t="s">
        <v>19</v>
      </c>
      <c r="D2361" s="18" t="s">
        <v>1358</v>
      </c>
      <c r="E2361" s="18">
        <v>2</v>
      </c>
      <c r="F2361" s="18" t="s">
        <v>126</v>
      </c>
      <c r="G2361" s="18" t="s">
        <v>127</v>
      </c>
      <c r="H2361" s="18" t="s">
        <v>23</v>
      </c>
      <c r="I2361" s="19">
        <v>15500</v>
      </c>
      <c r="J2361" s="20">
        <f t="shared" si="72"/>
        <v>31000</v>
      </c>
      <c r="K2361" s="106"/>
      <c r="L2361" s="114"/>
      <c r="M2361" s="114">
        <f>tblAquisições[[#This Row],[VALOR UNITARIO COMPRADO]]*tblAquisições[[#This Row],[QUANTIDADE COMPRADA]]</f>
        <v>0</v>
      </c>
      <c r="N2361" s="110">
        <f>K2361-tblAquisições[[#This Row],[QUANTIDADE PLANEJADA]]</f>
        <v>-2</v>
      </c>
      <c r="O2361" s="106" t="str">
        <f t="shared" si="73"/>
        <v>Faltando Comprar</v>
      </c>
    </row>
    <row r="2362" spans="1:15" ht="63">
      <c r="A2362" s="16" t="s">
        <v>17</v>
      </c>
      <c r="B2362" s="16" t="s">
        <v>80</v>
      </c>
      <c r="C2362" s="17" t="s">
        <v>19</v>
      </c>
      <c r="D2362" s="18" t="s">
        <v>1359</v>
      </c>
      <c r="E2362" s="18">
        <v>1</v>
      </c>
      <c r="F2362" s="18" t="s">
        <v>1158</v>
      </c>
      <c r="G2362" s="18" t="s">
        <v>775</v>
      </c>
      <c r="H2362" s="18" t="s">
        <v>23</v>
      </c>
      <c r="I2362" s="19">
        <v>5000</v>
      </c>
      <c r="J2362" s="20">
        <f t="shared" si="72"/>
        <v>5000</v>
      </c>
      <c r="K2362" s="106"/>
      <c r="L2362" s="114"/>
      <c r="M2362" s="114">
        <f>tblAquisições[[#This Row],[VALOR UNITARIO COMPRADO]]*tblAquisições[[#This Row],[QUANTIDADE COMPRADA]]</f>
        <v>0</v>
      </c>
      <c r="N2362" s="110">
        <f>K2362-tblAquisições[[#This Row],[QUANTIDADE PLANEJADA]]</f>
        <v>-1</v>
      </c>
      <c r="O2362" s="106" t="str">
        <f t="shared" si="73"/>
        <v>Faltando Comprar</v>
      </c>
    </row>
    <row r="2363" spans="1:15" ht="47.25">
      <c r="A2363" s="16" t="s">
        <v>17</v>
      </c>
      <c r="B2363" s="16" t="s">
        <v>28</v>
      </c>
      <c r="C2363" s="17" t="s">
        <v>19</v>
      </c>
      <c r="D2363" s="18" t="s">
        <v>1360</v>
      </c>
      <c r="E2363" s="18">
        <v>3</v>
      </c>
      <c r="F2363" s="18" t="s">
        <v>126</v>
      </c>
      <c r="G2363" s="18" t="s">
        <v>127</v>
      </c>
      <c r="H2363" s="18" t="s">
        <v>23</v>
      </c>
      <c r="I2363" s="19">
        <v>9330</v>
      </c>
      <c r="J2363" s="20">
        <f t="shared" si="72"/>
        <v>27990</v>
      </c>
      <c r="K2363" s="106"/>
      <c r="L2363" s="114"/>
      <c r="M2363" s="114">
        <f>tblAquisições[[#This Row],[VALOR UNITARIO COMPRADO]]*tblAquisições[[#This Row],[QUANTIDADE COMPRADA]]</f>
        <v>0</v>
      </c>
      <c r="N2363" s="110">
        <f>K2363-tblAquisições[[#This Row],[QUANTIDADE PLANEJADA]]</f>
        <v>-3</v>
      </c>
      <c r="O2363" s="106" t="str">
        <f t="shared" si="73"/>
        <v>Faltando Comprar</v>
      </c>
    </row>
    <row r="2364" spans="1:15" ht="47.25">
      <c r="A2364" s="16" t="s">
        <v>17</v>
      </c>
      <c r="B2364" s="16" t="s">
        <v>18</v>
      </c>
      <c r="C2364" s="17" t="s">
        <v>19</v>
      </c>
      <c r="D2364" s="18" t="s">
        <v>1361</v>
      </c>
      <c r="E2364" s="18">
        <v>2</v>
      </c>
      <c r="F2364" s="18" t="s">
        <v>126</v>
      </c>
      <c r="G2364" s="18" t="s">
        <v>127</v>
      </c>
      <c r="H2364" s="18" t="s">
        <v>23</v>
      </c>
      <c r="I2364" s="19">
        <v>11830</v>
      </c>
      <c r="J2364" s="20">
        <f t="shared" si="72"/>
        <v>23660</v>
      </c>
      <c r="K2364" s="106"/>
      <c r="L2364" s="114"/>
      <c r="M2364" s="114">
        <f>tblAquisições[[#This Row],[VALOR UNITARIO COMPRADO]]*tblAquisições[[#This Row],[QUANTIDADE COMPRADA]]</f>
        <v>0</v>
      </c>
      <c r="N2364" s="110">
        <f>K2364-tblAquisições[[#This Row],[QUANTIDADE PLANEJADA]]</f>
        <v>-2</v>
      </c>
      <c r="O2364" s="106" t="str">
        <f t="shared" si="73"/>
        <v>Faltando Comprar</v>
      </c>
    </row>
    <row r="2365" spans="1:15" ht="47.25">
      <c r="A2365" s="16" t="s">
        <v>17</v>
      </c>
      <c r="B2365" s="16" t="s">
        <v>24</v>
      </c>
      <c r="C2365" s="17" t="s">
        <v>19</v>
      </c>
      <c r="D2365" s="18" t="s">
        <v>1361</v>
      </c>
      <c r="E2365" s="18">
        <v>2</v>
      </c>
      <c r="F2365" s="18" t="s">
        <v>126</v>
      </c>
      <c r="G2365" s="18" t="s">
        <v>127</v>
      </c>
      <c r="H2365" s="18" t="s">
        <v>23</v>
      </c>
      <c r="I2365" s="19">
        <v>11830</v>
      </c>
      <c r="J2365" s="20">
        <f t="shared" si="72"/>
        <v>23660</v>
      </c>
      <c r="K2365" s="106"/>
      <c r="L2365" s="114"/>
      <c r="M2365" s="114">
        <f>tblAquisições[[#This Row],[VALOR UNITARIO COMPRADO]]*tblAquisições[[#This Row],[QUANTIDADE COMPRADA]]</f>
        <v>0</v>
      </c>
      <c r="N2365" s="110">
        <f>K2365-tblAquisições[[#This Row],[QUANTIDADE PLANEJADA]]</f>
        <v>-2</v>
      </c>
      <c r="O2365" s="106" t="str">
        <f t="shared" si="73"/>
        <v>Faltando Comprar</v>
      </c>
    </row>
    <row r="2366" spans="1:15" ht="47.25">
      <c r="A2366" s="16" t="s">
        <v>17</v>
      </c>
      <c r="B2366" s="16" t="s">
        <v>28</v>
      </c>
      <c r="C2366" s="17" t="s">
        <v>19</v>
      </c>
      <c r="D2366" s="18" t="s">
        <v>1362</v>
      </c>
      <c r="E2366" s="18">
        <v>10</v>
      </c>
      <c r="F2366" s="18" t="s">
        <v>78</v>
      </c>
      <c r="G2366" s="18" t="s">
        <v>22</v>
      </c>
      <c r="H2366" s="22"/>
      <c r="I2366" s="19">
        <v>10.85</v>
      </c>
      <c r="J2366" s="20">
        <f t="shared" si="72"/>
        <v>108.5</v>
      </c>
      <c r="K2366" s="106"/>
      <c r="L2366" s="114"/>
      <c r="M2366" s="114">
        <f>tblAquisições[[#This Row],[VALOR UNITARIO COMPRADO]]*tblAquisições[[#This Row],[QUANTIDADE COMPRADA]]</f>
        <v>0</v>
      </c>
      <c r="N2366" s="110">
        <f>K2366-tblAquisições[[#This Row],[QUANTIDADE PLANEJADA]]</f>
        <v>-10</v>
      </c>
      <c r="O2366" s="106" t="str">
        <f t="shared" si="73"/>
        <v>Faltando Comprar</v>
      </c>
    </row>
    <row r="2367" spans="1:15" ht="31.5">
      <c r="A2367" s="16" t="s">
        <v>17</v>
      </c>
      <c r="B2367" s="16" t="s">
        <v>28</v>
      </c>
      <c r="C2367" s="17" t="s">
        <v>19</v>
      </c>
      <c r="D2367" s="18" t="s">
        <v>1363</v>
      </c>
      <c r="E2367" s="18">
        <v>2</v>
      </c>
      <c r="F2367" s="18" t="s">
        <v>324</v>
      </c>
      <c r="G2367" s="18" t="s">
        <v>22</v>
      </c>
      <c r="H2367" s="18" t="s">
        <v>53</v>
      </c>
      <c r="I2367" s="19">
        <v>487.42</v>
      </c>
      <c r="J2367" s="20">
        <f t="shared" si="72"/>
        <v>974.84</v>
      </c>
      <c r="K2367" s="106"/>
      <c r="L2367" s="114"/>
      <c r="M2367" s="114">
        <f>tblAquisições[[#This Row],[VALOR UNITARIO COMPRADO]]*tblAquisições[[#This Row],[QUANTIDADE COMPRADA]]</f>
        <v>0</v>
      </c>
      <c r="N2367" s="110">
        <f>K2367-tblAquisições[[#This Row],[QUANTIDADE PLANEJADA]]</f>
        <v>-2</v>
      </c>
      <c r="O2367" s="106" t="str">
        <f t="shared" si="73"/>
        <v>Faltando Comprar</v>
      </c>
    </row>
    <row r="2368" spans="1:15" ht="31.5">
      <c r="A2368" s="16" t="s">
        <v>17</v>
      </c>
      <c r="B2368" s="16" t="s">
        <v>18</v>
      </c>
      <c r="C2368" s="17" t="s">
        <v>19</v>
      </c>
      <c r="D2368" s="18" t="s">
        <v>1364</v>
      </c>
      <c r="E2368" s="18">
        <v>50</v>
      </c>
      <c r="F2368" s="18" t="s">
        <v>21</v>
      </c>
      <c r="G2368" s="18" t="s">
        <v>22</v>
      </c>
      <c r="H2368" s="18" t="s">
        <v>23</v>
      </c>
      <c r="I2368" s="19">
        <v>366.6</v>
      </c>
      <c r="J2368" s="20">
        <f t="shared" si="72"/>
        <v>18330</v>
      </c>
      <c r="K2368" s="106"/>
      <c r="L2368" s="114"/>
      <c r="M2368" s="114">
        <f>tblAquisições[[#This Row],[VALOR UNITARIO COMPRADO]]*tblAquisições[[#This Row],[QUANTIDADE COMPRADA]]</f>
        <v>0</v>
      </c>
      <c r="N2368" s="110">
        <f>K2368-tblAquisições[[#This Row],[QUANTIDADE PLANEJADA]]</f>
        <v>-50</v>
      </c>
      <c r="O2368" s="106" t="str">
        <f t="shared" si="73"/>
        <v>Faltando Comprar</v>
      </c>
    </row>
    <row r="2369" spans="1:15" ht="31.5">
      <c r="A2369" s="16" t="s">
        <v>17</v>
      </c>
      <c r="B2369" s="16" t="s">
        <v>24</v>
      </c>
      <c r="C2369" s="17" t="s">
        <v>19</v>
      </c>
      <c r="D2369" s="18" t="s">
        <v>1364</v>
      </c>
      <c r="E2369" s="18">
        <v>50</v>
      </c>
      <c r="F2369" s="18" t="s">
        <v>21</v>
      </c>
      <c r="G2369" s="18" t="s">
        <v>22</v>
      </c>
      <c r="H2369" s="18" t="s">
        <v>23</v>
      </c>
      <c r="I2369" s="19">
        <v>366.6</v>
      </c>
      <c r="J2369" s="20">
        <f t="shared" si="72"/>
        <v>18330</v>
      </c>
      <c r="K2369" s="106"/>
      <c r="L2369" s="114"/>
      <c r="M2369" s="114">
        <f>tblAquisições[[#This Row],[VALOR UNITARIO COMPRADO]]*tblAquisições[[#This Row],[QUANTIDADE COMPRADA]]</f>
        <v>0</v>
      </c>
      <c r="N2369" s="110">
        <f>K2369-tblAquisições[[#This Row],[QUANTIDADE PLANEJADA]]</f>
        <v>-50</v>
      </c>
      <c r="O2369" s="106" t="str">
        <f t="shared" si="73"/>
        <v>Faltando Comprar</v>
      </c>
    </row>
    <row r="2370" spans="1:15" ht="31.5">
      <c r="A2370" s="16" t="s">
        <v>17</v>
      </c>
      <c r="B2370" s="16" t="s">
        <v>25</v>
      </c>
      <c r="C2370" s="17" t="s">
        <v>19</v>
      </c>
      <c r="D2370" s="18" t="s">
        <v>1364</v>
      </c>
      <c r="E2370" s="18">
        <v>50</v>
      </c>
      <c r="F2370" s="18" t="s">
        <v>21</v>
      </c>
      <c r="G2370" s="18" t="s">
        <v>22</v>
      </c>
      <c r="H2370" s="18" t="s">
        <v>23</v>
      </c>
      <c r="I2370" s="19">
        <v>366.6</v>
      </c>
      <c r="J2370" s="20">
        <f t="shared" ref="J2370:J2433" si="74">E2370*I2370</f>
        <v>18330</v>
      </c>
      <c r="K2370" s="106"/>
      <c r="L2370" s="114"/>
      <c r="M2370" s="114">
        <f>tblAquisições[[#This Row],[VALOR UNITARIO COMPRADO]]*tblAquisições[[#This Row],[QUANTIDADE COMPRADA]]</f>
        <v>0</v>
      </c>
      <c r="N2370" s="110">
        <f>K2370-tblAquisições[[#This Row],[QUANTIDADE PLANEJADA]]</f>
        <v>-50</v>
      </c>
      <c r="O2370" s="106" t="str">
        <f t="shared" ref="O2370:O2433" si="75">IF(K2370=E2370,"OK",IF(K2370&lt;E2370,"Faltando Comprar","Excedente"))</f>
        <v>Faltando Comprar</v>
      </c>
    </row>
    <row r="2371" spans="1:15" ht="47.25">
      <c r="A2371" s="16" t="s">
        <v>17</v>
      </c>
      <c r="B2371" s="16" t="s">
        <v>18</v>
      </c>
      <c r="C2371" s="17" t="s">
        <v>19</v>
      </c>
      <c r="D2371" s="18" t="s">
        <v>1365</v>
      </c>
      <c r="E2371" s="18">
        <v>20</v>
      </c>
      <c r="F2371" s="18" t="s">
        <v>21</v>
      </c>
      <c r="G2371" s="18" t="s">
        <v>22</v>
      </c>
      <c r="H2371" s="18" t="s">
        <v>23</v>
      </c>
      <c r="I2371" s="19">
        <v>275</v>
      </c>
      <c r="J2371" s="20">
        <f t="shared" si="74"/>
        <v>5500</v>
      </c>
      <c r="K2371" s="106"/>
      <c r="L2371" s="114"/>
      <c r="M2371" s="114">
        <f>tblAquisições[[#This Row],[VALOR UNITARIO COMPRADO]]*tblAquisições[[#This Row],[QUANTIDADE COMPRADA]]</f>
        <v>0</v>
      </c>
      <c r="N2371" s="110">
        <f>K2371-tblAquisições[[#This Row],[QUANTIDADE PLANEJADA]]</f>
        <v>-20</v>
      </c>
      <c r="O2371" s="106" t="str">
        <f t="shared" si="75"/>
        <v>Faltando Comprar</v>
      </c>
    </row>
    <row r="2372" spans="1:15" ht="47.25">
      <c r="A2372" s="16" t="s">
        <v>17</v>
      </c>
      <c r="B2372" s="16" t="s">
        <v>24</v>
      </c>
      <c r="C2372" s="17" t="s">
        <v>19</v>
      </c>
      <c r="D2372" s="18" t="s">
        <v>1365</v>
      </c>
      <c r="E2372" s="18">
        <v>20</v>
      </c>
      <c r="F2372" s="18" t="s">
        <v>21</v>
      </c>
      <c r="G2372" s="18" t="s">
        <v>22</v>
      </c>
      <c r="H2372" s="18" t="s">
        <v>23</v>
      </c>
      <c r="I2372" s="19">
        <v>275</v>
      </c>
      <c r="J2372" s="20">
        <f t="shared" si="74"/>
        <v>5500</v>
      </c>
      <c r="K2372" s="106"/>
      <c r="L2372" s="114"/>
      <c r="M2372" s="114">
        <f>tblAquisições[[#This Row],[VALOR UNITARIO COMPRADO]]*tblAquisições[[#This Row],[QUANTIDADE COMPRADA]]</f>
        <v>0</v>
      </c>
      <c r="N2372" s="110">
        <f>K2372-tblAquisições[[#This Row],[QUANTIDADE PLANEJADA]]</f>
        <v>-20</v>
      </c>
      <c r="O2372" s="106" t="str">
        <f t="shared" si="75"/>
        <v>Faltando Comprar</v>
      </c>
    </row>
    <row r="2373" spans="1:15" ht="47.25">
      <c r="A2373" s="16" t="s">
        <v>17</v>
      </c>
      <c r="B2373" s="16" t="s">
        <v>25</v>
      </c>
      <c r="C2373" s="17" t="s">
        <v>19</v>
      </c>
      <c r="D2373" s="18" t="s">
        <v>1365</v>
      </c>
      <c r="E2373" s="18">
        <v>20</v>
      </c>
      <c r="F2373" s="18" t="s">
        <v>21</v>
      </c>
      <c r="G2373" s="18" t="s">
        <v>22</v>
      </c>
      <c r="H2373" s="18" t="s">
        <v>23</v>
      </c>
      <c r="I2373" s="19">
        <v>275</v>
      </c>
      <c r="J2373" s="20">
        <f t="shared" si="74"/>
        <v>5500</v>
      </c>
      <c r="K2373" s="106"/>
      <c r="L2373" s="114"/>
      <c r="M2373" s="114">
        <f>tblAquisições[[#This Row],[VALOR UNITARIO COMPRADO]]*tblAquisições[[#This Row],[QUANTIDADE COMPRADA]]</f>
        <v>0</v>
      </c>
      <c r="N2373" s="110">
        <f>K2373-tblAquisições[[#This Row],[QUANTIDADE PLANEJADA]]</f>
        <v>-20</v>
      </c>
      <c r="O2373" s="106" t="str">
        <f t="shared" si="75"/>
        <v>Faltando Comprar</v>
      </c>
    </row>
    <row r="2374" spans="1:15" ht="47.25">
      <c r="A2374" s="16" t="s">
        <v>17</v>
      </c>
      <c r="B2374" s="16" t="s">
        <v>26</v>
      </c>
      <c r="C2374" s="17" t="s">
        <v>19</v>
      </c>
      <c r="D2374" s="18" t="s">
        <v>1365</v>
      </c>
      <c r="E2374" s="18">
        <v>40</v>
      </c>
      <c r="F2374" s="18" t="s">
        <v>21</v>
      </c>
      <c r="G2374" s="18" t="s">
        <v>22</v>
      </c>
      <c r="H2374" s="18" t="s">
        <v>23</v>
      </c>
      <c r="I2374" s="19">
        <v>275</v>
      </c>
      <c r="J2374" s="20">
        <f t="shared" si="74"/>
        <v>11000</v>
      </c>
      <c r="K2374" s="106"/>
      <c r="L2374" s="114"/>
      <c r="M2374" s="114">
        <f>tblAquisições[[#This Row],[VALOR UNITARIO COMPRADO]]*tblAquisições[[#This Row],[QUANTIDADE COMPRADA]]</f>
        <v>0</v>
      </c>
      <c r="N2374" s="110">
        <f>K2374-tblAquisições[[#This Row],[QUANTIDADE PLANEJADA]]</f>
        <v>-40</v>
      </c>
      <c r="O2374" s="106" t="str">
        <f t="shared" si="75"/>
        <v>Faltando Comprar</v>
      </c>
    </row>
    <row r="2375" spans="1:15" ht="31.5">
      <c r="A2375" s="16" t="s">
        <v>17</v>
      </c>
      <c r="B2375" s="16" t="s">
        <v>28</v>
      </c>
      <c r="C2375" s="17" t="s">
        <v>19</v>
      </c>
      <c r="D2375" s="18" t="s">
        <v>1366</v>
      </c>
      <c r="E2375" s="18">
        <v>22</v>
      </c>
      <c r="F2375" s="18" t="s">
        <v>21</v>
      </c>
      <c r="G2375" s="18" t="s">
        <v>22</v>
      </c>
      <c r="H2375" s="18" t="s">
        <v>23</v>
      </c>
      <c r="I2375" s="19">
        <v>1000</v>
      </c>
      <c r="J2375" s="20">
        <f t="shared" si="74"/>
        <v>22000</v>
      </c>
      <c r="K2375" s="106"/>
      <c r="L2375" s="114"/>
      <c r="M2375" s="114">
        <f>tblAquisições[[#This Row],[VALOR UNITARIO COMPRADO]]*tblAquisições[[#This Row],[QUANTIDADE COMPRADA]]</f>
        <v>0</v>
      </c>
      <c r="N2375" s="110">
        <f>K2375-tblAquisições[[#This Row],[QUANTIDADE PLANEJADA]]</f>
        <v>-22</v>
      </c>
      <c r="O2375" s="106" t="str">
        <f t="shared" si="75"/>
        <v>Faltando Comprar</v>
      </c>
    </row>
    <row r="2376" spans="1:15" ht="47.25">
      <c r="A2376" s="16" t="s">
        <v>17</v>
      </c>
      <c r="B2376" s="16" t="s">
        <v>72</v>
      </c>
      <c r="C2376" s="17" t="s">
        <v>19</v>
      </c>
      <c r="D2376" s="18" t="s">
        <v>1367</v>
      </c>
      <c r="E2376" s="18">
        <v>6</v>
      </c>
      <c r="F2376" s="18" t="s">
        <v>58</v>
      </c>
      <c r="G2376" s="18" t="s">
        <v>22</v>
      </c>
      <c r="H2376" s="18" t="s">
        <v>23</v>
      </c>
      <c r="I2376" s="19">
        <v>33.700000000000003</v>
      </c>
      <c r="J2376" s="20">
        <f t="shared" si="74"/>
        <v>202.20000000000002</v>
      </c>
      <c r="K2376" s="106"/>
      <c r="L2376" s="114"/>
      <c r="M2376" s="114">
        <f>tblAquisições[[#This Row],[VALOR UNITARIO COMPRADO]]*tblAquisições[[#This Row],[QUANTIDADE COMPRADA]]</f>
        <v>0</v>
      </c>
      <c r="N2376" s="110">
        <f>K2376-tblAquisições[[#This Row],[QUANTIDADE PLANEJADA]]</f>
        <v>-6</v>
      </c>
      <c r="O2376" s="106" t="str">
        <f t="shared" si="75"/>
        <v>Faltando Comprar</v>
      </c>
    </row>
    <row r="2377" spans="1:15" ht="31.5">
      <c r="A2377" s="16" t="s">
        <v>17</v>
      </c>
      <c r="B2377" s="16" t="s">
        <v>34</v>
      </c>
      <c r="C2377" s="17" t="s">
        <v>19</v>
      </c>
      <c r="D2377" s="18" t="s">
        <v>1368</v>
      </c>
      <c r="E2377" s="18">
        <v>2</v>
      </c>
      <c r="F2377" s="18" t="s">
        <v>1369</v>
      </c>
      <c r="G2377" s="18" t="s">
        <v>22</v>
      </c>
      <c r="H2377" s="18" t="s">
        <v>23</v>
      </c>
      <c r="I2377" s="19">
        <v>790.86</v>
      </c>
      <c r="J2377" s="20">
        <f t="shared" si="74"/>
        <v>1581.72</v>
      </c>
      <c r="K2377" s="106"/>
      <c r="L2377" s="114"/>
      <c r="M2377" s="114">
        <f>tblAquisições[[#This Row],[VALOR UNITARIO COMPRADO]]*tblAquisições[[#This Row],[QUANTIDADE COMPRADA]]</f>
        <v>0</v>
      </c>
      <c r="N2377" s="110">
        <f>K2377-tblAquisições[[#This Row],[QUANTIDADE PLANEJADA]]</f>
        <v>-2</v>
      </c>
      <c r="O2377" s="106" t="str">
        <f t="shared" si="75"/>
        <v>Faltando Comprar</v>
      </c>
    </row>
    <row r="2378" spans="1:15" ht="31.5">
      <c r="A2378" s="16" t="s">
        <v>17</v>
      </c>
      <c r="B2378" s="16" t="s">
        <v>28</v>
      </c>
      <c r="C2378" s="17" t="s">
        <v>19</v>
      </c>
      <c r="D2378" s="18" t="s">
        <v>1368</v>
      </c>
      <c r="E2378" s="18">
        <v>5</v>
      </c>
      <c r="F2378" s="18" t="s">
        <v>1369</v>
      </c>
      <c r="G2378" s="18" t="s">
        <v>22</v>
      </c>
      <c r="H2378" s="18" t="s">
        <v>23</v>
      </c>
      <c r="I2378" s="19">
        <v>790.86</v>
      </c>
      <c r="J2378" s="20">
        <f t="shared" si="74"/>
        <v>3954.3</v>
      </c>
      <c r="K2378" s="106"/>
      <c r="L2378" s="114"/>
      <c r="M2378" s="114">
        <f>tblAquisições[[#This Row],[VALOR UNITARIO COMPRADO]]*tblAquisições[[#This Row],[QUANTIDADE COMPRADA]]</f>
        <v>0</v>
      </c>
      <c r="N2378" s="110">
        <f>K2378-tblAquisições[[#This Row],[QUANTIDADE PLANEJADA]]</f>
        <v>-5</v>
      </c>
      <c r="O2378" s="106" t="str">
        <f t="shared" si="75"/>
        <v>Faltando Comprar</v>
      </c>
    </row>
    <row r="2379" spans="1:15" ht="63">
      <c r="A2379" s="16" t="s">
        <v>17</v>
      </c>
      <c r="B2379" s="16" t="s">
        <v>18</v>
      </c>
      <c r="C2379" s="17" t="s">
        <v>19</v>
      </c>
      <c r="D2379" s="18" t="s">
        <v>1370</v>
      </c>
      <c r="E2379" s="18">
        <v>6</v>
      </c>
      <c r="F2379" s="18" t="s">
        <v>1371</v>
      </c>
      <c r="G2379" s="18" t="s">
        <v>127</v>
      </c>
      <c r="H2379" s="18" t="s">
        <v>23</v>
      </c>
      <c r="I2379" s="19">
        <v>14000</v>
      </c>
      <c r="J2379" s="20">
        <f t="shared" si="74"/>
        <v>84000</v>
      </c>
      <c r="K2379" s="106"/>
      <c r="L2379" s="114"/>
      <c r="M2379" s="114">
        <f>tblAquisições[[#This Row],[VALOR UNITARIO COMPRADO]]*tblAquisições[[#This Row],[QUANTIDADE COMPRADA]]</f>
        <v>0</v>
      </c>
      <c r="N2379" s="110">
        <f>K2379-tblAquisições[[#This Row],[QUANTIDADE PLANEJADA]]</f>
        <v>-6</v>
      </c>
      <c r="O2379" s="106" t="str">
        <f t="shared" si="75"/>
        <v>Faltando Comprar</v>
      </c>
    </row>
    <row r="2380" spans="1:15" ht="63">
      <c r="A2380" s="16" t="s">
        <v>17</v>
      </c>
      <c r="B2380" s="16" t="s">
        <v>24</v>
      </c>
      <c r="C2380" s="17" t="s">
        <v>19</v>
      </c>
      <c r="D2380" s="18" t="s">
        <v>1370</v>
      </c>
      <c r="E2380" s="18">
        <v>6</v>
      </c>
      <c r="F2380" s="18" t="s">
        <v>1371</v>
      </c>
      <c r="G2380" s="18" t="s">
        <v>127</v>
      </c>
      <c r="H2380" s="18" t="s">
        <v>23</v>
      </c>
      <c r="I2380" s="19">
        <v>14000</v>
      </c>
      <c r="J2380" s="20">
        <f t="shared" si="74"/>
        <v>84000</v>
      </c>
      <c r="K2380" s="106"/>
      <c r="L2380" s="114"/>
      <c r="M2380" s="114">
        <f>tblAquisições[[#This Row],[VALOR UNITARIO COMPRADO]]*tblAquisições[[#This Row],[QUANTIDADE COMPRADA]]</f>
        <v>0</v>
      </c>
      <c r="N2380" s="110">
        <f>K2380-tblAquisições[[#This Row],[QUANTIDADE PLANEJADA]]</f>
        <v>-6</v>
      </c>
      <c r="O2380" s="106" t="str">
        <f t="shared" si="75"/>
        <v>Faltando Comprar</v>
      </c>
    </row>
    <row r="2381" spans="1:15" ht="63">
      <c r="A2381" s="16" t="s">
        <v>17</v>
      </c>
      <c r="B2381" s="16" t="s">
        <v>25</v>
      </c>
      <c r="C2381" s="17" t="s">
        <v>19</v>
      </c>
      <c r="D2381" s="18" t="s">
        <v>1370</v>
      </c>
      <c r="E2381" s="18">
        <v>6</v>
      </c>
      <c r="F2381" s="18" t="s">
        <v>1371</v>
      </c>
      <c r="G2381" s="18" t="s">
        <v>127</v>
      </c>
      <c r="H2381" s="18" t="s">
        <v>23</v>
      </c>
      <c r="I2381" s="19">
        <v>14000</v>
      </c>
      <c r="J2381" s="20">
        <f t="shared" si="74"/>
        <v>84000</v>
      </c>
      <c r="K2381" s="106"/>
      <c r="L2381" s="114"/>
      <c r="M2381" s="114">
        <f>tblAquisições[[#This Row],[VALOR UNITARIO COMPRADO]]*tblAquisições[[#This Row],[QUANTIDADE COMPRADA]]</f>
        <v>0</v>
      </c>
      <c r="N2381" s="110">
        <f>K2381-tblAquisições[[#This Row],[QUANTIDADE PLANEJADA]]</f>
        <v>-6</v>
      </c>
      <c r="O2381" s="106" t="str">
        <f t="shared" si="75"/>
        <v>Faltando Comprar</v>
      </c>
    </row>
    <row r="2382" spans="1:15" ht="63">
      <c r="A2382" s="16" t="s">
        <v>17</v>
      </c>
      <c r="B2382" s="16" t="s">
        <v>18</v>
      </c>
      <c r="C2382" s="17" t="s">
        <v>19</v>
      </c>
      <c r="D2382" s="18" t="s">
        <v>1372</v>
      </c>
      <c r="E2382" s="18">
        <v>6</v>
      </c>
      <c r="F2382" s="18" t="s">
        <v>1371</v>
      </c>
      <c r="G2382" s="18" t="s">
        <v>127</v>
      </c>
      <c r="H2382" s="18" t="s">
        <v>23</v>
      </c>
      <c r="I2382" s="19">
        <v>9000</v>
      </c>
      <c r="J2382" s="20">
        <f t="shared" si="74"/>
        <v>54000</v>
      </c>
      <c r="K2382" s="106"/>
      <c r="L2382" s="114"/>
      <c r="M2382" s="114">
        <f>tblAquisições[[#This Row],[VALOR UNITARIO COMPRADO]]*tblAquisições[[#This Row],[QUANTIDADE COMPRADA]]</f>
        <v>0</v>
      </c>
      <c r="N2382" s="110">
        <f>K2382-tblAquisições[[#This Row],[QUANTIDADE PLANEJADA]]</f>
        <v>-6</v>
      </c>
      <c r="O2382" s="106" t="str">
        <f t="shared" si="75"/>
        <v>Faltando Comprar</v>
      </c>
    </row>
    <row r="2383" spans="1:15" ht="63">
      <c r="A2383" s="16" t="s">
        <v>17</v>
      </c>
      <c r="B2383" s="16" t="s">
        <v>24</v>
      </c>
      <c r="C2383" s="17" t="s">
        <v>19</v>
      </c>
      <c r="D2383" s="18" t="s">
        <v>1372</v>
      </c>
      <c r="E2383" s="18">
        <v>6</v>
      </c>
      <c r="F2383" s="18" t="s">
        <v>1371</v>
      </c>
      <c r="G2383" s="18" t="s">
        <v>127</v>
      </c>
      <c r="H2383" s="18" t="s">
        <v>23</v>
      </c>
      <c r="I2383" s="19">
        <v>9000</v>
      </c>
      <c r="J2383" s="20">
        <f t="shared" si="74"/>
        <v>54000</v>
      </c>
      <c r="K2383" s="106"/>
      <c r="L2383" s="114"/>
      <c r="M2383" s="114">
        <f>tblAquisições[[#This Row],[VALOR UNITARIO COMPRADO]]*tblAquisições[[#This Row],[QUANTIDADE COMPRADA]]</f>
        <v>0</v>
      </c>
      <c r="N2383" s="110">
        <f>K2383-tblAquisições[[#This Row],[QUANTIDADE PLANEJADA]]</f>
        <v>-6</v>
      </c>
      <c r="O2383" s="106" t="str">
        <f t="shared" si="75"/>
        <v>Faltando Comprar</v>
      </c>
    </row>
    <row r="2384" spans="1:15" ht="63">
      <c r="A2384" s="16" t="s">
        <v>17</v>
      </c>
      <c r="B2384" s="16" t="s">
        <v>25</v>
      </c>
      <c r="C2384" s="17" t="s">
        <v>19</v>
      </c>
      <c r="D2384" s="18" t="s">
        <v>1372</v>
      </c>
      <c r="E2384" s="18">
        <v>6</v>
      </c>
      <c r="F2384" s="18" t="s">
        <v>1371</v>
      </c>
      <c r="G2384" s="18" t="s">
        <v>127</v>
      </c>
      <c r="H2384" s="18" t="s">
        <v>23</v>
      </c>
      <c r="I2384" s="19">
        <v>9000</v>
      </c>
      <c r="J2384" s="20">
        <f t="shared" si="74"/>
        <v>54000</v>
      </c>
      <c r="K2384" s="106"/>
      <c r="L2384" s="114"/>
      <c r="M2384" s="114">
        <f>tblAquisições[[#This Row],[VALOR UNITARIO COMPRADO]]*tblAquisições[[#This Row],[QUANTIDADE COMPRADA]]</f>
        <v>0</v>
      </c>
      <c r="N2384" s="110">
        <f>K2384-tblAquisições[[#This Row],[QUANTIDADE PLANEJADA]]</f>
        <v>-6</v>
      </c>
      <c r="O2384" s="106" t="str">
        <f t="shared" si="75"/>
        <v>Faltando Comprar</v>
      </c>
    </row>
    <row r="2385" spans="1:15" ht="63">
      <c r="A2385" s="16" t="s">
        <v>17</v>
      </c>
      <c r="B2385" s="16" t="s">
        <v>18</v>
      </c>
      <c r="C2385" s="17" t="s">
        <v>19</v>
      </c>
      <c r="D2385" s="18" t="s">
        <v>1373</v>
      </c>
      <c r="E2385" s="18">
        <v>6</v>
      </c>
      <c r="F2385" s="18" t="s">
        <v>1371</v>
      </c>
      <c r="G2385" s="18" t="s">
        <v>127</v>
      </c>
      <c r="H2385" s="18" t="s">
        <v>23</v>
      </c>
      <c r="I2385" s="19">
        <v>9000</v>
      </c>
      <c r="J2385" s="20">
        <f t="shared" si="74"/>
        <v>54000</v>
      </c>
      <c r="K2385" s="106"/>
      <c r="L2385" s="114"/>
      <c r="M2385" s="114">
        <f>tblAquisições[[#This Row],[VALOR UNITARIO COMPRADO]]*tblAquisições[[#This Row],[QUANTIDADE COMPRADA]]</f>
        <v>0</v>
      </c>
      <c r="N2385" s="110">
        <f>K2385-tblAquisições[[#This Row],[QUANTIDADE PLANEJADA]]</f>
        <v>-6</v>
      </c>
      <c r="O2385" s="106" t="str">
        <f t="shared" si="75"/>
        <v>Faltando Comprar</v>
      </c>
    </row>
    <row r="2386" spans="1:15" ht="63">
      <c r="A2386" s="16" t="s">
        <v>17</v>
      </c>
      <c r="B2386" s="16" t="s">
        <v>24</v>
      </c>
      <c r="C2386" s="17" t="s">
        <v>19</v>
      </c>
      <c r="D2386" s="18" t="s">
        <v>1373</v>
      </c>
      <c r="E2386" s="18">
        <v>6</v>
      </c>
      <c r="F2386" s="18" t="s">
        <v>1371</v>
      </c>
      <c r="G2386" s="18" t="s">
        <v>127</v>
      </c>
      <c r="H2386" s="18" t="s">
        <v>23</v>
      </c>
      <c r="I2386" s="19">
        <v>9000</v>
      </c>
      <c r="J2386" s="20">
        <f t="shared" si="74"/>
        <v>54000</v>
      </c>
      <c r="K2386" s="106"/>
      <c r="L2386" s="114"/>
      <c r="M2386" s="114">
        <f>tblAquisições[[#This Row],[VALOR UNITARIO COMPRADO]]*tblAquisições[[#This Row],[QUANTIDADE COMPRADA]]</f>
        <v>0</v>
      </c>
      <c r="N2386" s="110">
        <f>K2386-tblAquisições[[#This Row],[QUANTIDADE PLANEJADA]]</f>
        <v>-6</v>
      </c>
      <c r="O2386" s="106" t="str">
        <f t="shared" si="75"/>
        <v>Faltando Comprar</v>
      </c>
    </row>
    <row r="2387" spans="1:15" ht="63">
      <c r="A2387" s="16" t="s">
        <v>17</v>
      </c>
      <c r="B2387" s="16" t="s">
        <v>25</v>
      </c>
      <c r="C2387" s="17" t="s">
        <v>19</v>
      </c>
      <c r="D2387" s="18" t="s">
        <v>1373</v>
      </c>
      <c r="E2387" s="18">
        <v>6</v>
      </c>
      <c r="F2387" s="18" t="s">
        <v>1371</v>
      </c>
      <c r="G2387" s="18" t="s">
        <v>127</v>
      </c>
      <c r="H2387" s="18" t="s">
        <v>23</v>
      </c>
      <c r="I2387" s="19">
        <v>9000</v>
      </c>
      <c r="J2387" s="20">
        <f t="shared" si="74"/>
        <v>54000</v>
      </c>
      <c r="K2387" s="106"/>
      <c r="L2387" s="114"/>
      <c r="M2387" s="114">
        <f>tblAquisições[[#This Row],[VALOR UNITARIO COMPRADO]]*tblAquisições[[#This Row],[QUANTIDADE COMPRADA]]</f>
        <v>0</v>
      </c>
      <c r="N2387" s="110">
        <f>K2387-tblAquisições[[#This Row],[QUANTIDADE PLANEJADA]]</f>
        <v>-6</v>
      </c>
      <c r="O2387" s="106" t="str">
        <f t="shared" si="75"/>
        <v>Faltando Comprar</v>
      </c>
    </row>
    <row r="2388" spans="1:15" ht="31.5">
      <c r="A2388" s="16" t="s">
        <v>17</v>
      </c>
      <c r="B2388" s="16" t="s">
        <v>31</v>
      </c>
      <c r="C2388" s="17" t="s">
        <v>19</v>
      </c>
      <c r="D2388" s="18" t="s">
        <v>1374</v>
      </c>
      <c r="E2388" s="18">
        <v>5</v>
      </c>
      <c r="F2388" s="18" t="s">
        <v>21</v>
      </c>
      <c r="G2388" s="18" t="s">
        <v>22</v>
      </c>
      <c r="H2388" s="18" t="s">
        <v>23</v>
      </c>
      <c r="I2388" s="19">
        <v>6300</v>
      </c>
      <c r="J2388" s="20">
        <f t="shared" si="74"/>
        <v>31500</v>
      </c>
      <c r="K2388" s="106"/>
      <c r="L2388" s="114"/>
      <c r="M2388" s="114">
        <f>tblAquisições[[#This Row],[VALOR UNITARIO COMPRADO]]*tblAquisições[[#This Row],[QUANTIDADE COMPRADA]]</f>
        <v>0</v>
      </c>
      <c r="N2388" s="110">
        <f>K2388-tblAquisições[[#This Row],[QUANTIDADE PLANEJADA]]</f>
        <v>-5</v>
      </c>
      <c r="O2388" s="106" t="str">
        <f t="shared" si="75"/>
        <v>Faltando Comprar</v>
      </c>
    </row>
    <row r="2389" spans="1:15" ht="47.25">
      <c r="A2389" s="16" t="s">
        <v>17</v>
      </c>
      <c r="B2389" s="16" t="s">
        <v>41</v>
      </c>
      <c r="C2389" s="17" t="s">
        <v>19</v>
      </c>
      <c r="D2389" s="18" t="s">
        <v>1375</v>
      </c>
      <c r="E2389" s="18">
        <v>3</v>
      </c>
      <c r="F2389" s="18" t="s">
        <v>78</v>
      </c>
      <c r="G2389" s="18" t="s">
        <v>22</v>
      </c>
      <c r="H2389" s="18" t="s">
        <v>23</v>
      </c>
      <c r="I2389" s="19">
        <v>118.28</v>
      </c>
      <c r="J2389" s="20">
        <f t="shared" si="74"/>
        <v>354.84000000000003</v>
      </c>
      <c r="K2389" s="106"/>
      <c r="L2389" s="114"/>
      <c r="M2389" s="114">
        <f>tblAquisições[[#This Row],[VALOR UNITARIO COMPRADO]]*tblAquisições[[#This Row],[QUANTIDADE COMPRADA]]</f>
        <v>0</v>
      </c>
      <c r="N2389" s="110">
        <f>K2389-tblAquisições[[#This Row],[QUANTIDADE PLANEJADA]]</f>
        <v>-3</v>
      </c>
      <c r="O2389" s="106" t="str">
        <f t="shared" si="75"/>
        <v>Faltando Comprar</v>
      </c>
    </row>
    <row r="2390" spans="1:15" ht="47.25">
      <c r="A2390" s="16" t="s">
        <v>17</v>
      </c>
      <c r="B2390" s="16" t="s">
        <v>28</v>
      </c>
      <c r="C2390" s="17" t="s">
        <v>19</v>
      </c>
      <c r="D2390" s="18" t="s">
        <v>1375</v>
      </c>
      <c r="E2390" s="18">
        <v>3</v>
      </c>
      <c r="F2390" s="18" t="s">
        <v>78</v>
      </c>
      <c r="G2390" s="18" t="s">
        <v>22</v>
      </c>
      <c r="H2390" s="18" t="s">
        <v>53</v>
      </c>
      <c r="I2390" s="19">
        <v>118.28</v>
      </c>
      <c r="J2390" s="20">
        <f t="shared" si="74"/>
        <v>354.84000000000003</v>
      </c>
      <c r="K2390" s="106"/>
      <c r="L2390" s="114"/>
      <c r="M2390" s="114">
        <f>tblAquisições[[#This Row],[VALOR UNITARIO COMPRADO]]*tblAquisições[[#This Row],[QUANTIDADE COMPRADA]]</f>
        <v>0</v>
      </c>
      <c r="N2390" s="110">
        <f>K2390-tblAquisições[[#This Row],[QUANTIDADE PLANEJADA]]</f>
        <v>-3</v>
      </c>
      <c r="O2390" s="106" t="str">
        <f t="shared" si="75"/>
        <v>Faltando Comprar</v>
      </c>
    </row>
    <row r="2391" spans="1:15" ht="47.25">
      <c r="A2391" s="16" t="s">
        <v>17</v>
      </c>
      <c r="B2391" s="16" t="s">
        <v>18</v>
      </c>
      <c r="C2391" s="17" t="s">
        <v>19</v>
      </c>
      <c r="D2391" s="18" t="s">
        <v>1376</v>
      </c>
      <c r="E2391" s="18">
        <v>20</v>
      </c>
      <c r="F2391" s="18" t="s">
        <v>21</v>
      </c>
      <c r="G2391" s="18" t="s">
        <v>22</v>
      </c>
      <c r="H2391" s="18" t="s">
        <v>23</v>
      </c>
      <c r="I2391" s="19">
        <v>5.0030000000000001</v>
      </c>
      <c r="J2391" s="20">
        <f t="shared" si="74"/>
        <v>100.06</v>
      </c>
      <c r="K2391" s="106"/>
      <c r="L2391" s="114"/>
      <c r="M2391" s="114">
        <f>tblAquisições[[#This Row],[VALOR UNITARIO COMPRADO]]*tblAquisições[[#This Row],[QUANTIDADE COMPRADA]]</f>
        <v>0</v>
      </c>
      <c r="N2391" s="110">
        <f>K2391-tblAquisições[[#This Row],[QUANTIDADE PLANEJADA]]</f>
        <v>-20</v>
      </c>
      <c r="O2391" s="106" t="str">
        <f t="shared" si="75"/>
        <v>Faltando Comprar</v>
      </c>
    </row>
    <row r="2392" spans="1:15" ht="47.25">
      <c r="A2392" s="16" t="s">
        <v>17</v>
      </c>
      <c r="B2392" s="16" t="s">
        <v>24</v>
      </c>
      <c r="C2392" s="17" t="s">
        <v>19</v>
      </c>
      <c r="D2392" s="18" t="s">
        <v>1376</v>
      </c>
      <c r="E2392" s="18">
        <v>20</v>
      </c>
      <c r="F2392" s="18" t="s">
        <v>21</v>
      </c>
      <c r="G2392" s="18" t="s">
        <v>22</v>
      </c>
      <c r="H2392" s="18" t="s">
        <v>23</v>
      </c>
      <c r="I2392" s="19">
        <v>5.0030000000000001</v>
      </c>
      <c r="J2392" s="20">
        <f t="shared" si="74"/>
        <v>100.06</v>
      </c>
      <c r="K2392" s="106"/>
      <c r="L2392" s="114"/>
      <c r="M2392" s="114">
        <f>tblAquisições[[#This Row],[VALOR UNITARIO COMPRADO]]*tblAquisições[[#This Row],[QUANTIDADE COMPRADA]]</f>
        <v>0</v>
      </c>
      <c r="N2392" s="110">
        <f>K2392-tblAquisições[[#This Row],[QUANTIDADE PLANEJADA]]</f>
        <v>-20</v>
      </c>
      <c r="O2392" s="106" t="str">
        <f t="shared" si="75"/>
        <v>Faltando Comprar</v>
      </c>
    </row>
    <row r="2393" spans="1:15" ht="47.25">
      <c r="A2393" s="16" t="s">
        <v>17</v>
      </c>
      <c r="B2393" s="16" t="s">
        <v>25</v>
      </c>
      <c r="C2393" s="17" t="s">
        <v>19</v>
      </c>
      <c r="D2393" s="18" t="s">
        <v>1376</v>
      </c>
      <c r="E2393" s="18">
        <v>20</v>
      </c>
      <c r="F2393" s="18" t="s">
        <v>21</v>
      </c>
      <c r="G2393" s="18" t="s">
        <v>22</v>
      </c>
      <c r="H2393" s="18" t="s">
        <v>23</v>
      </c>
      <c r="I2393" s="19">
        <v>5.0030000000000001</v>
      </c>
      <c r="J2393" s="20">
        <f t="shared" si="74"/>
        <v>100.06</v>
      </c>
      <c r="K2393" s="106"/>
      <c r="L2393" s="114"/>
      <c r="M2393" s="114">
        <f>tblAquisições[[#This Row],[VALOR UNITARIO COMPRADO]]*tblAquisições[[#This Row],[QUANTIDADE COMPRADA]]</f>
        <v>0</v>
      </c>
      <c r="N2393" s="110">
        <f>K2393-tblAquisições[[#This Row],[QUANTIDADE PLANEJADA]]</f>
        <v>-20</v>
      </c>
      <c r="O2393" s="106" t="str">
        <f t="shared" si="75"/>
        <v>Faltando Comprar</v>
      </c>
    </row>
    <row r="2394" spans="1:15" ht="47.25">
      <c r="A2394" s="16" t="s">
        <v>17</v>
      </c>
      <c r="B2394" s="16" t="s">
        <v>41</v>
      </c>
      <c r="C2394" s="17" t="s">
        <v>19</v>
      </c>
      <c r="D2394" s="18" t="s">
        <v>1376</v>
      </c>
      <c r="E2394" s="18">
        <v>50</v>
      </c>
      <c r="F2394" s="18" t="s">
        <v>21</v>
      </c>
      <c r="G2394" s="18" t="s">
        <v>22</v>
      </c>
      <c r="H2394" s="18" t="s">
        <v>23</v>
      </c>
      <c r="I2394" s="19">
        <v>5.0030000000000001</v>
      </c>
      <c r="J2394" s="20">
        <f t="shared" si="74"/>
        <v>250.15</v>
      </c>
      <c r="K2394" s="106"/>
      <c r="L2394" s="114"/>
      <c r="M2394" s="114">
        <f>tblAquisições[[#This Row],[VALOR UNITARIO COMPRADO]]*tblAquisições[[#This Row],[QUANTIDADE COMPRADA]]</f>
        <v>0</v>
      </c>
      <c r="N2394" s="110">
        <f>K2394-tblAquisições[[#This Row],[QUANTIDADE PLANEJADA]]</f>
        <v>-50</v>
      </c>
      <c r="O2394" s="106" t="str">
        <f t="shared" si="75"/>
        <v>Faltando Comprar</v>
      </c>
    </row>
    <row r="2395" spans="1:15" ht="47.25">
      <c r="A2395" s="16" t="s">
        <v>17</v>
      </c>
      <c r="B2395" s="16" t="s">
        <v>28</v>
      </c>
      <c r="C2395" s="17" t="s">
        <v>19</v>
      </c>
      <c r="D2395" s="18" t="s">
        <v>1376</v>
      </c>
      <c r="E2395" s="18">
        <v>24</v>
      </c>
      <c r="F2395" s="18" t="s">
        <v>21</v>
      </c>
      <c r="G2395" s="18" t="s">
        <v>22</v>
      </c>
      <c r="H2395" s="18" t="s">
        <v>23</v>
      </c>
      <c r="I2395" s="19">
        <v>5.0030000000000001</v>
      </c>
      <c r="J2395" s="20">
        <f t="shared" si="74"/>
        <v>120.072</v>
      </c>
      <c r="K2395" s="106"/>
      <c r="L2395" s="114"/>
      <c r="M2395" s="114">
        <f>tblAquisições[[#This Row],[VALOR UNITARIO COMPRADO]]*tblAquisições[[#This Row],[QUANTIDADE COMPRADA]]</f>
        <v>0</v>
      </c>
      <c r="N2395" s="110">
        <f>K2395-tblAquisições[[#This Row],[QUANTIDADE PLANEJADA]]</f>
        <v>-24</v>
      </c>
      <c r="O2395" s="106" t="str">
        <f t="shared" si="75"/>
        <v>Faltando Comprar</v>
      </c>
    </row>
    <row r="2396" spans="1:15" ht="47.25">
      <c r="A2396" s="16" t="s">
        <v>17</v>
      </c>
      <c r="B2396" s="16" t="s">
        <v>41</v>
      </c>
      <c r="C2396" s="17" t="s">
        <v>19</v>
      </c>
      <c r="D2396" s="18" t="s">
        <v>1377</v>
      </c>
      <c r="E2396" s="18">
        <v>50</v>
      </c>
      <c r="F2396" s="18" t="s">
        <v>21</v>
      </c>
      <c r="G2396" s="18" t="s">
        <v>22</v>
      </c>
      <c r="H2396" s="18" t="s">
        <v>23</v>
      </c>
      <c r="I2396" s="19">
        <v>33.277000000000001</v>
      </c>
      <c r="J2396" s="20">
        <f t="shared" si="74"/>
        <v>1663.8500000000001</v>
      </c>
      <c r="K2396" s="106"/>
      <c r="L2396" s="114"/>
      <c r="M2396" s="114">
        <f>tblAquisições[[#This Row],[VALOR UNITARIO COMPRADO]]*tblAquisições[[#This Row],[QUANTIDADE COMPRADA]]</f>
        <v>0</v>
      </c>
      <c r="N2396" s="110">
        <f>K2396-tblAquisições[[#This Row],[QUANTIDADE PLANEJADA]]</f>
        <v>-50</v>
      </c>
      <c r="O2396" s="106" t="str">
        <f t="shared" si="75"/>
        <v>Faltando Comprar</v>
      </c>
    </row>
    <row r="2397" spans="1:15" ht="31.5">
      <c r="A2397" s="16" t="s">
        <v>17</v>
      </c>
      <c r="B2397" s="16" t="s">
        <v>41</v>
      </c>
      <c r="C2397" s="17" t="s">
        <v>19</v>
      </c>
      <c r="D2397" s="18" t="s">
        <v>1378</v>
      </c>
      <c r="E2397" s="18">
        <v>10</v>
      </c>
      <c r="F2397" s="18" t="s">
        <v>21</v>
      </c>
      <c r="G2397" s="18" t="s">
        <v>22</v>
      </c>
      <c r="H2397" s="18" t="s">
        <v>23</v>
      </c>
      <c r="I2397" s="19">
        <v>250</v>
      </c>
      <c r="J2397" s="20">
        <f t="shared" si="74"/>
        <v>2500</v>
      </c>
      <c r="K2397" s="106"/>
      <c r="L2397" s="114"/>
      <c r="M2397" s="114">
        <f>tblAquisições[[#This Row],[VALOR UNITARIO COMPRADO]]*tblAquisições[[#This Row],[QUANTIDADE COMPRADA]]</f>
        <v>0</v>
      </c>
      <c r="N2397" s="110">
        <f>K2397-tblAquisições[[#This Row],[QUANTIDADE PLANEJADA]]</f>
        <v>-10</v>
      </c>
      <c r="O2397" s="106" t="str">
        <f t="shared" si="75"/>
        <v>Faltando Comprar</v>
      </c>
    </row>
    <row r="2398" spans="1:15" ht="47.25">
      <c r="A2398" s="16" t="s">
        <v>17</v>
      </c>
      <c r="B2398" s="16" t="s">
        <v>28</v>
      </c>
      <c r="C2398" s="17" t="s">
        <v>19</v>
      </c>
      <c r="D2398" s="18" t="s">
        <v>1379</v>
      </c>
      <c r="E2398" s="18">
        <v>10</v>
      </c>
      <c r="F2398" s="18" t="s">
        <v>78</v>
      </c>
      <c r="G2398" s="18" t="s">
        <v>22</v>
      </c>
      <c r="H2398" s="18" t="s">
        <v>23</v>
      </c>
      <c r="I2398" s="19">
        <v>1466.23</v>
      </c>
      <c r="J2398" s="20">
        <f t="shared" si="74"/>
        <v>14662.3</v>
      </c>
      <c r="K2398" s="106"/>
      <c r="L2398" s="114"/>
      <c r="M2398" s="114">
        <f>tblAquisições[[#This Row],[VALOR UNITARIO COMPRADO]]*tblAquisições[[#This Row],[QUANTIDADE COMPRADA]]</f>
        <v>0</v>
      </c>
      <c r="N2398" s="110">
        <f>K2398-tblAquisições[[#This Row],[QUANTIDADE PLANEJADA]]</f>
        <v>-10</v>
      </c>
      <c r="O2398" s="106" t="str">
        <f t="shared" si="75"/>
        <v>Faltando Comprar</v>
      </c>
    </row>
    <row r="2399" spans="1:15" ht="63">
      <c r="A2399" s="16" t="s">
        <v>17</v>
      </c>
      <c r="B2399" s="16" t="s">
        <v>26</v>
      </c>
      <c r="C2399" s="17" t="s">
        <v>19</v>
      </c>
      <c r="D2399" s="18" t="s">
        <v>1380</v>
      </c>
      <c r="E2399" s="18">
        <v>5</v>
      </c>
      <c r="F2399" s="18" t="s">
        <v>126</v>
      </c>
      <c r="G2399" s="18" t="s">
        <v>127</v>
      </c>
      <c r="H2399" s="18" t="s">
        <v>23</v>
      </c>
      <c r="I2399" s="19">
        <v>8043.7</v>
      </c>
      <c r="J2399" s="20">
        <f t="shared" si="74"/>
        <v>40218.5</v>
      </c>
      <c r="K2399" s="106"/>
      <c r="L2399" s="114"/>
      <c r="M2399" s="114">
        <f>tblAquisições[[#This Row],[VALOR UNITARIO COMPRADO]]*tblAquisições[[#This Row],[QUANTIDADE COMPRADA]]</f>
        <v>0</v>
      </c>
      <c r="N2399" s="110">
        <f>K2399-tblAquisições[[#This Row],[QUANTIDADE PLANEJADA]]</f>
        <v>-5</v>
      </c>
      <c r="O2399" s="106" t="str">
        <f t="shared" si="75"/>
        <v>Faltando Comprar</v>
      </c>
    </row>
    <row r="2400" spans="1:15" ht="63">
      <c r="A2400" s="16" t="s">
        <v>17</v>
      </c>
      <c r="B2400" s="16" t="s">
        <v>26</v>
      </c>
      <c r="C2400" s="17" t="s">
        <v>19</v>
      </c>
      <c r="D2400" s="18" t="s">
        <v>1381</v>
      </c>
      <c r="E2400" s="18">
        <v>3</v>
      </c>
      <c r="F2400" s="18" t="s">
        <v>126</v>
      </c>
      <c r="G2400" s="18" t="s">
        <v>127</v>
      </c>
      <c r="H2400" s="18" t="s">
        <v>23</v>
      </c>
      <c r="I2400" s="19">
        <v>11133.44</v>
      </c>
      <c r="J2400" s="20">
        <f t="shared" si="74"/>
        <v>33400.32</v>
      </c>
      <c r="K2400" s="106"/>
      <c r="L2400" s="114"/>
      <c r="M2400" s="114">
        <f>tblAquisições[[#This Row],[VALOR UNITARIO COMPRADO]]*tblAquisições[[#This Row],[QUANTIDADE COMPRADA]]</f>
        <v>0</v>
      </c>
      <c r="N2400" s="110">
        <f>K2400-tblAquisições[[#This Row],[QUANTIDADE PLANEJADA]]</f>
        <v>-3</v>
      </c>
      <c r="O2400" s="106" t="str">
        <f t="shared" si="75"/>
        <v>Faltando Comprar</v>
      </c>
    </row>
    <row r="2401" spans="1:15" ht="63">
      <c r="A2401" s="16" t="s">
        <v>17</v>
      </c>
      <c r="B2401" s="16" t="s">
        <v>28</v>
      </c>
      <c r="C2401" s="17" t="s">
        <v>19</v>
      </c>
      <c r="D2401" s="18" t="s">
        <v>1381</v>
      </c>
      <c r="E2401" s="18">
        <v>3</v>
      </c>
      <c r="F2401" s="18" t="s">
        <v>126</v>
      </c>
      <c r="G2401" s="18" t="s">
        <v>127</v>
      </c>
      <c r="H2401" s="18" t="s">
        <v>23</v>
      </c>
      <c r="I2401" s="19">
        <v>11133.44</v>
      </c>
      <c r="J2401" s="20">
        <f t="shared" si="74"/>
        <v>33400.32</v>
      </c>
      <c r="K2401" s="106"/>
      <c r="L2401" s="114"/>
      <c r="M2401" s="114">
        <f>tblAquisições[[#This Row],[VALOR UNITARIO COMPRADO]]*tblAquisições[[#This Row],[QUANTIDADE COMPRADA]]</f>
        <v>0</v>
      </c>
      <c r="N2401" s="110">
        <f>K2401-tblAquisições[[#This Row],[QUANTIDADE PLANEJADA]]</f>
        <v>-3</v>
      </c>
      <c r="O2401" s="106" t="str">
        <f t="shared" si="75"/>
        <v>Faltando Comprar</v>
      </c>
    </row>
    <row r="2402" spans="1:15" ht="63">
      <c r="A2402" s="16" t="s">
        <v>17</v>
      </c>
      <c r="B2402" s="16" t="s">
        <v>26</v>
      </c>
      <c r="C2402" s="17" t="s">
        <v>19</v>
      </c>
      <c r="D2402" s="18" t="s">
        <v>1382</v>
      </c>
      <c r="E2402" s="18">
        <v>5</v>
      </c>
      <c r="F2402" s="18" t="s">
        <v>126</v>
      </c>
      <c r="G2402" s="18" t="s">
        <v>127</v>
      </c>
      <c r="H2402" s="18" t="s">
        <v>23</v>
      </c>
      <c r="I2402" s="19">
        <v>14799.78</v>
      </c>
      <c r="J2402" s="20">
        <f t="shared" si="74"/>
        <v>73998.900000000009</v>
      </c>
      <c r="K2402" s="106"/>
      <c r="L2402" s="114"/>
      <c r="M2402" s="114">
        <f>tblAquisições[[#This Row],[VALOR UNITARIO COMPRADO]]*tblAquisições[[#This Row],[QUANTIDADE COMPRADA]]</f>
        <v>0</v>
      </c>
      <c r="N2402" s="110">
        <f>K2402-tblAquisições[[#This Row],[QUANTIDADE PLANEJADA]]</f>
        <v>-5</v>
      </c>
      <c r="O2402" s="106" t="str">
        <f t="shared" si="75"/>
        <v>Faltando Comprar</v>
      </c>
    </row>
    <row r="2403" spans="1:15" ht="63">
      <c r="A2403" s="16" t="s">
        <v>17</v>
      </c>
      <c r="B2403" s="16" t="s">
        <v>27</v>
      </c>
      <c r="C2403" s="17" t="s">
        <v>19</v>
      </c>
      <c r="D2403" s="18" t="s">
        <v>1383</v>
      </c>
      <c r="E2403" s="18">
        <v>2</v>
      </c>
      <c r="F2403" s="18" t="s">
        <v>126</v>
      </c>
      <c r="G2403" s="18" t="s">
        <v>127</v>
      </c>
      <c r="H2403" s="18" t="s">
        <v>23</v>
      </c>
      <c r="I2403" s="19">
        <v>39752.199999999997</v>
      </c>
      <c r="J2403" s="20">
        <f t="shared" si="74"/>
        <v>79504.399999999994</v>
      </c>
      <c r="K2403" s="106"/>
      <c r="L2403" s="114"/>
      <c r="M2403" s="114">
        <f>tblAquisições[[#This Row],[VALOR UNITARIO COMPRADO]]*tblAquisições[[#This Row],[QUANTIDADE COMPRADA]]</f>
        <v>0</v>
      </c>
      <c r="N2403" s="110">
        <f>K2403-tblAquisições[[#This Row],[QUANTIDADE PLANEJADA]]</f>
        <v>-2</v>
      </c>
      <c r="O2403" s="106" t="str">
        <f t="shared" si="75"/>
        <v>Faltando Comprar</v>
      </c>
    </row>
    <row r="2404" spans="1:15" ht="63">
      <c r="A2404" s="16" t="s">
        <v>17</v>
      </c>
      <c r="B2404" s="16" t="s">
        <v>26</v>
      </c>
      <c r="C2404" s="17" t="s">
        <v>19</v>
      </c>
      <c r="D2404" s="18" t="s">
        <v>1384</v>
      </c>
      <c r="E2404" s="18">
        <v>1</v>
      </c>
      <c r="F2404" s="18" t="s">
        <v>126</v>
      </c>
      <c r="G2404" s="18" t="s">
        <v>127</v>
      </c>
      <c r="H2404" s="18" t="s">
        <v>23</v>
      </c>
      <c r="I2404" s="19">
        <v>40000</v>
      </c>
      <c r="J2404" s="20">
        <f t="shared" si="74"/>
        <v>40000</v>
      </c>
      <c r="K2404" s="106"/>
      <c r="L2404" s="114"/>
      <c r="M2404" s="114">
        <f>tblAquisições[[#This Row],[VALOR UNITARIO COMPRADO]]*tblAquisições[[#This Row],[QUANTIDADE COMPRADA]]</f>
        <v>0</v>
      </c>
      <c r="N2404" s="110">
        <f>K2404-tblAquisições[[#This Row],[QUANTIDADE PLANEJADA]]</f>
        <v>-1</v>
      </c>
      <c r="O2404" s="106" t="str">
        <f t="shared" si="75"/>
        <v>Faltando Comprar</v>
      </c>
    </row>
    <row r="2405" spans="1:15" ht="31.5">
      <c r="A2405" s="16" t="s">
        <v>17</v>
      </c>
      <c r="B2405" s="16" t="s">
        <v>25</v>
      </c>
      <c r="C2405" s="17" t="s">
        <v>19</v>
      </c>
      <c r="D2405" s="18" t="s">
        <v>1385</v>
      </c>
      <c r="E2405" s="18">
        <v>10</v>
      </c>
      <c r="F2405" s="18" t="s">
        <v>30</v>
      </c>
      <c r="G2405" s="18" t="s">
        <v>22</v>
      </c>
      <c r="H2405" s="18" t="s">
        <v>100</v>
      </c>
      <c r="I2405" s="19">
        <v>78.13</v>
      </c>
      <c r="J2405" s="20">
        <f t="shared" si="74"/>
        <v>781.3</v>
      </c>
      <c r="K2405" s="106"/>
      <c r="L2405" s="114"/>
      <c r="M2405" s="114">
        <f>tblAquisições[[#This Row],[VALOR UNITARIO COMPRADO]]*tblAquisições[[#This Row],[QUANTIDADE COMPRADA]]</f>
        <v>0</v>
      </c>
      <c r="N2405" s="110">
        <f>K2405-tblAquisições[[#This Row],[QUANTIDADE PLANEJADA]]</f>
        <v>-10</v>
      </c>
      <c r="O2405" s="106" t="str">
        <f t="shared" si="75"/>
        <v>Faltando Comprar</v>
      </c>
    </row>
    <row r="2406" spans="1:15" ht="47.25">
      <c r="A2406" s="16" t="s">
        <v>17</v>
      </c>
      <c r="B2406" s="16" t="s">
        <v>80</v>
      </c>
      <c r="C2406" s="17" t="s">
        <v>19</v>
      </c>
      <c r="D2406" s="18" t="s">
        <v>1386</v>
      </c>
      <c r="E2406" s="18">
        <v>1</v>
      </c>
      <c r="F2406" s="18" t="s">
        <v>96</v>
      </c>
      <c r="G2406" s="18" t="s">
        <v>39</v>
      </c>
      <c r="H2406" s="18" t="s">
        <v>65</v>
      </c>
      <c r="I2406" s="19">
        <v>44.66</v>
      </c>
      <c r="J2406" s="20">
        <f t="shared" si="74"/>
        <v>44.66</v>
      </c>
      <c r="K2406" s="106"/>
      <c r="L2406" s="114"/>
      <c r="M2406" s="114">
        <f>tblAquisições[[#This Row],[VALOR UNITARIO COMPRADO]]*tblAquisições[[#This Row],[QUANTIDADE COMPRADA]]</f>
        <v>0</v>
      </c>
      <c r="N2406" s="110">
        <f>K2406-tblAquisições[[#This Row],[QUANTIDADE PLANEJADA]]</f>
        <v>-1</v>
      </c>
      <c r="O2406" s="106" t="str">
        <f t="shared" si="75"/>
        <v>Faltando Comprar</v>
      </c>
    </row>
    <row r="2407" spans="1:15" ht="63">
      <c r="A2407" s="16" t="s">
        <v>17</v>
      </c>
      <c r="B2407" s="16" t="s">
        <v>26</v>
      </c>
      <c r="C2407" s="17" t="s">
        <v>19</v>
      </c>
      <c r="D2407" s="18" t="s">
        <v>1387</v>
      </c>
      <c r="E2407" s="18">
        <v>20</v>
      </c>
      <c r="F2407" s="18" t="s">
        <v>229</v>
      </c>
      <c r="G2407" s="18" t="s">
        <v>22</v>
      </c>
      <c r="H2407" s="18" t="s">
        <v>23</v>
      </c>
      <c r="I2407" s="19">
        <v>61.16</v>
      </c>
      <c r="J2407" s="20">
        <f t="shared" si="74"/>
        <v>1223.1999999999998</v>
      </c>
      <c r="K2407" s="106"/>
      <c r="L2407" s="114"/>
      <c r="M2407" s="114">
        <f>tblAquisições[[#This Row],[VALOR UNITARIO COMPRADO]]*tblAquisições[[#This Row],[QUANTIDADE COMPRADA]]</f>
        <v>0</v>
      </c>
      <c r="N2407" s="110">
        <f>K2407-tblAquisições[[#This Row],[QUANTIDADE PLANEJADA]]</f>
        <v>-20</v>
      </c>
      <c r="O2407" s="106" t="str">
        <f t="shared" si="75"/>
        <v>Faltando Comprar</v>
      </c>
    </row>
    <row r="2408" spans="1:15" ht="63">
      <c r="A2408" s="16" t="s">
        <v>17</v>
      </c>
      <c r="B2408" s="16" t="s">
        <v>26</v>
      </c>
      <c r="C2408" s="17" t="s">
        <v>19</v>
      </c>
      <c r="D2408" s="18" t="s">
        <v>1388</v>
      </c>
      <c r="E2408" s="18">
        <v>60</v>
      </c>
      <c r="F2408" s="18" t="s">
        <v>229</v>
      </c>
      <c r="G2408" s="18" t="s">
        <v>22</v>
      </c>
      <c r="H2408" s="18" t="s">
        <v>23</v>
      </c>
      <c r="I2408" s="19">
        <v>97.43</v>
      </c>
      <c r="J2408" s="20">
        <f t="shared" si="74"/>
        <v>5845.8</v>
      </c>
      <c r="K2408" s="106"/>
      <c r="L2408" s="114"/>
      <c r="M2408" s="114">
        <f>tblAquisições[[#This Row],[VALOR UNITARIO COMPRADO]]*tblAquisições[[#This Row],[QUANTIDADE COMPRADA]]</f>
        <v>0</v>
      </c>
      <c r="N2408" s="110">
        <f>K2408-tblAquisições[[#This Row],[QUANTIDADE PLANEJADA]]</f>
        <v>-60</v>
      </c>
      <c r="O2408" s="106" t="str">
        <f t="shared" si="75"/>
        <v>Faltando Comprar</v>
      </c>
    </row>
    <row r="2409" spans="1:15" ht="63">
      <c r="A2409" s="16" t="s">
        <v>17</v>
      </c>
      <c r="B2409" s="16" t="s">
        <v>26</v>
      </c>
      <c r="C2409" s="17" t="s">
        <v>19</v>
      </c>
      <c r="D2409" s="18" t="s">
        <v>1389</v>
      </c>
      <c r="E2409" s="18">
        <v>20</v>
      </c>
      <c r="F2409" s="18" t="s">
        <v>229</v>
      </c>
      <c r="G2409" s="18" t="s">
        <v>22</v>
      </c>
      <c r="H2409" s="18" t="s">
        <v>23</v>
      </c>
      <c r="I2409" s="19">
        <v>151</v>
      </c>
      <c r="J2409" s="20">
        <f t="shared" si="74"/>
        <v>3020</v>
      </c>
      <c r="K2409" s="106"/>
      <c r="L2409" s="114"/>
      <c r="M2409" s="114">
        <f>tblAquisições[[#This Row],[VALOR UNITARIO COMPRADO]]*tblAquisições[[#This Row],[QUANTIDADE COMPRADA]]</f>
        <v>0</v>
      </c>
      <c r="N2409" s="110">
        <f>K2409-tblAquisições[[#This Row],[QUANTIDADE PLANEJADA]]</f>
        <v>-20</v>
      </c>
      <c r="O2409" s="106" t="str">
        <f t="shared" si="75"/>
        <v>Faltando Comprar</v>
      </c>
    </row>
    <row r="2410" spans="1:15" ht="63">
      <c r="A2410" s="16" t="s">
        <v>17</v>
      </c>
      <c r="B2410" s="16" t="s">
        <v>26</v>
      </c>
      <c r="C2410" s="17" t="s">
        <v>19</v>
      </c>
      <c r="D2410" s="18" t="s">
        <v>1390</v>
      </c>
      <c r="E2410" s="18">
        <v>20</v>
      </c>
      <c r="F2410" s="18" t="s">
        <v>229</v>
      </c>
      <c r="G2410" s="18" t="s">
        <v>22</v>
      </c>
      <c r="H2410" s="18" t="s">
        <v>23</v>
      </c>
      <c r="I2410" s="19">
        <v>111.57</v>
      </c>
      <c r="J2410" s="20">
        <f t="shared" si="74"/>
        <v>2231.3999999999996</v>
      </c>
      <c r="K2410" s="106"/>
      <c r="L2410" s="114"/>
      <c r="M2410" s="114">
        <f>tblAquisições[[#This Row],[VALOR UNITARIO COMPRADO]]*tblAquisições[[#This Row],[QUANTIDADE COMPRADA]]</f>
        <v>0</v>
      </c>
      <c r="N2410" s="110">
        <f>K2410-tblAquisições[[#This Row],[QUANTIDADE PLANEJADA]]</f>
        <v>-20</v>
      </c>
      <c r="O2410" s="106" t="str">
        <f t="shared" si="75"/>
        <v>Faltando Comprar</v>
      </c>
    </row>
    <row r="2411" spans="1:15" ht="31.5">
      <c r="A2411" s="16" t="s">
        <v>17</v>
      </c>
      <c r="B2411" s="16" t="s">
        <v>26</v>
      </c>
      <c r="C2411" s="17" t="s">
        <v>19</v>
      </c>
      <c r="D2411" s="18" t="s">
        <v>1391</v>
      </c>
      <c r="E2411" s="18">
        <v>4</v>
      </c>
      <c r="F2411" s="18" t="s">
        <v>229</v>
      </c>
      <c r="G2411" s="18" t="s">
        <v>22</v>
      </c>
      <c r="H2411" s="18" t="s">
        <v>23</v>
      </c>
      <c r="I2411" s="19">
        <v>55.87</v>
      </c>
      <c r="J2411" s="20">
        <f t="shared" si="74"/>
        <v>223.48</v>
      </c>
      <c r="K2411" s="106"/>
      <c r="L2411" s="114"/>
      <c r="M2411" s="114">
        <f>tblAquisições[[#This Row],[VALOR UNITARIO COMPRADO]]*tblAquisições[[#This Row],[QUANTIDADE COMPRADA]]</f>
        <v>0</v>
      </c>
      <c r="N2411" s="110">
        <f>K2411-tblAquisições[[#This Row],[QUANTIDADE PLANEJADA]]</f>
        <v>-4</v>
      </c>
      <c r="O2411" s="106" t="str">
        <f t="shared" si="75"/>
        <v>Faltando Comprar</v>
      </c>
    </row>
    <row r="2412" spans="1:15" ht="63">
      <c r="A2412" s="16" t="s">
        <v>17</v>
      </c>
      <c r="B2412" s="16" t="s">
        <v>26</v>
      </c>
      <c r="C2412" s="17" t="s">
        <v>19</v>
      </c>
      <c r="D2412" s="18" t="s">
        <v>1392</v>
      </c>
      <c r="E2412" s="18">
        <v>60</v>
      </c>
      <c r="F2412" s="18" t="s">
        <v>229</v>
      </c>
      <c r="G2412" s="18" t="s">
        <v>22</v>
      </c>
      <c r="H2412" s="18" t="s">
        <v>23</v>
      </c>
      <c r="I2412" s="19">
        <v>103.53</v>
      </c>
      <c r="J2412" s="20">
        <f t="shared" si="74"/>
        <v>6211.8</v>
      </c>
      <c r="K2412" s="106"/>
      <c r="L2412" s="114"/>
      <c r="M2412" s="114">
        <f>tblAquisições[[#This Row],[VALOR UNITARIO COMPRADO]]*tblAquisições[[#This Row],[QUANTIDADE COMPRADA]]</f>
        <v>0</v>
      </c>
      <c r="N2412" s="110">
        <f>K2412-tblAquisições[[#This Row],[QUANTIDADE PLANEJADA]]</f>
        <v>-60</v>
      </c>
      <c r="O2412" s="106" t="str">
        <f t="shared" si="75"/>
        <v>Faltando Comprar</v>
      </c>
    </row>
    <row r="2413" spans="1:15" ht="47.25">
      <c r="A2413" s="16" t="s">
        <v>17</v>
      </c>
      <c r="B2413" s="16" t="s">
        <v>28</v>
      </c>
      <c r="C2413" s="17" t="s">
        <v>19</v>
      </c>
      <c r="D2413" s="18" t="s">
        <v>1393</v>
      </c>
      <c r="E2413" s="18">
        <v>6</v>
      </c>
      <c r="F2413" s="18" t="s">
        <v>78</v>
      </c>
      <c r="G2413" s="18" t="s">
        <v>22</v>
      </c>
      <c r="H2413" s="18" t="s">
        <v>23</v>
      </c>
      <c r="I2413" s="19">
        <v>5.49</v>
      </c>
      <c r="J2413" s="20">
        <f t="shared" si="74"/>
        <v>32.94</v>
      </c>
      <c r="K2413" s="106"/>
      <c r="L2413" s="114"/>
      <c r="M2413" s="114">
        <f>tblAquisições[[#This Row],[VALOR UNITARIO COMPRADO]]*tblAquisições[[#This Row],[QUANTIDADE COMPRADA]]</f>
        <v>0</v>
      </c>
      <c r="N2413" s="110">
        <f>K2413-tblAquisições[[#This Row],[QUANTIDADE PLANEJADA]]</f>
        <v>-6</v>
      </c>
      <c r="O2413" s="106" t="str">
        <f t="shared" si="75"/>
        <v>Faltando Comprar</v>
      </c>
    </row>
    <row r="2414" spans="1:15" ht="47.25">
      <c r="A2414" s="16" t="s">
        <v>17</v>
      </c>
      <c r="B2414" s="16" t="s">
        <v>26</v>
      </c>
      <c r="C2414" s="17" t="s">
        <v>19</v>
      </c>
      <c r="D2414" s="18" t="s">
        <v>1394</v>
      </c>
      <c r="E2414" s="18">
        <v>1</v>
      </c>
      <c r="F2414" s="18" t="s">
        <v>126</v>
      </c>
      <c r="G2414" s="18" t="s">
        <v>127</v>
      </c>
      <c r="H2414" s="18" t="s">
        <v>23</v>
      </c>
      <c r="I2414" s="19">
        <v>540.92999999999995</v>
      </c>
      <c r="J2414" s="20">
        <f t="shared" si="74"/>
        <v>540.92999999999995</v>
      </c>
      <c r="K2414" s="106"/>
      <c r="L2414" s="114"/>
      <c r="M2414" s="114">
        <f>tblAquisições[[#This Row],[VALOR UNITARIO COMPRADO]]*tblAquisições[[#This Row],[QUANTIDADE COMPRADA]]</f>
        <v>0</v>
      </c>
      <c r="N2414" s="110">
        <f>K2414-tblAquisições[[#This Row],[QUANTIDADE PLANEJADA]]</f>
        <v>-1</v>
      </c>
      <c r="O2414" s="106" t="str">
        <f t="shared" si="75"/>
        <v>Faltando Comprar</v>
      </c>
    </row>
    <row r="2415" spans="1:15" ht="31.5">
      <c r="A2415" s="16" t="s">
        <v>17</v>
      </c>
      <c r="B2415" s="16" t="s">
        <v>26</v>
      </c>
      <c r="C2415" s="17" t="s">
        <v>19</v>
      </c>
      <c r="D2415" s="18" t="s">
        <v>1395</v>
      </c>
      <c r="E2415" s="18">
        <v>50</v>
      </c>
      <c r="F2415" s="18" t="s">
        <v>21</v>
      </c>
      <c r="G2415" s="18" t="s">
        <v>22</v>
      </c>
      <c r="H2415" s="18" t="s">
        <v>23</v>
      </c>
      <c r="I2415" s="19">
        <v>78.88</v>
      </c>
      <c r="J2415" s="20">
        <f t="shared" si="74"/>
        <v>3944</v>
      </c>
      <c r="K2415" s="106"/>
      <c r="L2415" s="114"/>
      <c r="M2415" s="114">
        <f>tblAquisições[[#This Row],[VALOR UNITARIO COMPRADO]]*tblAquisições[[#This Row],[QUANTIDADE COMPRADA]]</f>
        <v>0</v>
      </c>
      <c r="N2415" s="110">
        <f>K2415-tblAquisições[[#This Row],[QUANTIDADE PLANEJADA]]</f>
        <v>-50</v>
      </c>
      <c r="O2415" s="106" t="str">
        <f t="shared" si="75"/>
        <v>Faltando Comprar</v>
      </c>
    </row>
    <row r="2416" spans="1:15" ht="31.5">
      <c r="A2416" s="16" t="s">
        <v>17</v>
      </c>
      <c r="B2416" s="16" t="s">
        <v>28</v>
      </c>
      <c r="C2416" s="17" t="s">
        <v>19</v>
      </c>
      <c r="D2416" s="18" t="s">
        <v>1395</v>
      </c>
      <c r="E2416" s="18">
        <v>80</v>
      </c>
      <c r="F2416" s="18" t="s">
        <v>21</v>
      </c>
      <c r="G2416" s="18" t="s">
        <v>22</v>
      </c>
      <c r="H2416" s="18" t="s">
        <v>23</v>
      </c>
      <c r="I2416" s="19">
        <v>78.88</v>
      </c>
      <c r="J2416" s="20">
        <f t="shared" si="74"/>
        <v>6310.4</v>
      </c>
      <c r="K2416" s="106"/>
      <c r="L2416" s="114"/>
      <c r="M2416" s="114">
        <f>tblAquisições[[#This Row],[VALOR UNITARIO COMPRADO]]*tblAquisições[[#This Row],[QUANTIDADE COMPRADA]]</f>
        <v>0</v>
      </c>
      <c r="N2416" s="110">
        <f>K2416-tblAquisições[[#This Row],[QUANTIDADE PLANEJADA]]</f>
        <v>-80</v>
      </c>
      <c r="O2416" s="106" t="str">
        <f t="shared" si="75"/>
        <v>Faltando Comprar</v>
      </c>
    </row>
    <row r="2417" spans="1:15" ht="63">
      <c r="A2417" s="16" t="s">
        <v>17</v>
      </c>
      <c r="B2417" s="16" t="s">
        <v>18</v>
      </c>
      <c r="C2417" s="17" t="s">
        <v>19</v>
      </c>
      <c r="D2417" s="18" t="s">
        <v>1396</v>
      </c>
      <c r="E2417" s="18">
        <v>1</v>
      </c>
      <c r="F2417" s="18" t="s">
        <v>1135</v>
      </c>
      <c r="G2417" s="18" t="s">
        <v>127</v>
      </c>
      <c r="H2417" s="18" t="s">
        <v>23</v>
      </c>
      <c r="I2417" s="19">
        <v>300</v>
      </c>
      <c r="J2417" s="20">
        <f t="shared" si="74"/>
        <v>300</v>
      </c>
      <c r="K2417" s="106"/>
      <c r="L2417" s="114"/>
      <c r="M2417" s="114">
        <f>tblAquisições[[#This Row],[VALOR UNITARIO COMPRADO]]*tblAquisições[[#This Row],[QUANTIDADE COMPRADA]]</f>
        <v>0</v>
      </c>
      <c r="N2417" s="110">
        <f>K2417-tblAquisições[[#This Row],[QUANTIDADE PLANEJADA]]</f>
        <v>-1</v>
      </c>
      <c r="O2417" s="106" t="str">
        <f t="shared" si="75"/>
        <v>Faltando Comprar</v>
      </c>
    </row>
    <row r="2418" spans="1:15" ht="63">
      <c r="A2418" s="16" t="s">
        <v>17</v>
      </c>
      <c r="B2418" s="16" t="s">
        <v>24</v>
      </c>
      <c r="C2418" s="17" t="s">
        <v>19</v>
      </c>
      <c r="D2418" s="18" t="s">
        <v>1396</v>
      </c>
      <c r="E2418" s="18">
        <v>1</v>
      </c>
      <c r="F2418" s="18" t="s">
        <v>1135</v>
      </c>
      <c r="G2418" s="18" t="s">
        <v>127</v>
      </c>
      <c r="H2418" s="18" t="s">
        <v>23</v>
      </c>
      <c r="I2418" s="19">
        <v>300</v>
      </c>
      <c r="J2418" s="20">
        <f t="shared" si="74"/>
        <v>300</v>
      </c>
      <c r="K2418" s="106"/>
      <c r="L2418" s="114"/>
      <c r="M2418" s="114">
        <f>tblAquisições[[#This Row],[VALOR UNITARIO COMPRADO]]*tblAquisições[[#This Row],[QUANTIDADE COMPRADA]]</f>
        <v>0</v>
      </c>
      <c r="N2418" s="110">
        <f>K2418-tblAquisições[[#This Row],[QUANTIDADE PLANEJADA]]</f>
        <v>-1</v>
      </c>
      <c r="O2418" s="106" t="str">
        <f t="shared" si="75"/>
        <v>Faltando Comprar</v>
      </c>
    </row>
    <row r="2419" spans="1:15" ht="63">
      <c r="A2419" s="16" t="s">
        <v>17</v>
      </c>
      <c r="B2419" s="16" t="s">
        <v>18</v>
      </c>
      <c r="C2419" s="17" t="s">
        <v>19</v>
      </c>
      <c r="D2419" s="18" t="s">
        <v>1397</v>
      </c>
      <c r="E2419" s="18">
        <v>2</v>
      </c>
      <c r="F2419" s="18" t="s">
        <v>1135</v>
      </c>
      <c r="G2419" s="18" t="s">
        <v>127</v>
      </c>
      <c r="H2419" s="18" t="s">
        <v>23</v>
      </c>
      <c r="I2419" s="19">
        <v>783.33</v>
      </c>
      <c r="J2419" s="20">
        <f t="shared" si="74"/>
        <v>1566.66</v>
      </c>
      <c r="K2419" s="106"/>
      <c r="L2419" s="114"/>
      <c r="M2419" s="114">
        <f>tblAquisições[[#This Row],[VALOR UNITARIO COMPRADO]]*tblAquisições[[#This Row],[QUANTIDADE COMPRADA]]</f>
        <v>0</v>
      </c>
      <c r="N2419" s="110">
        <f>K2419-tblAquisições[[#This Row],[QUANTIDADE PLANEJADA]]</f>
        <v>-2</v>
      </c>
      <c r="O2419" s="106" t="str">
        <f t="shared" si="75"/>
        <v>Faltando Comprar</v>
      </c>
    </row>
    <row r="2420" spans="1:15" ht="63">
      <c r="A2420" s="16" t="s">
        <v>17</v>
      </c>
      <c r="B2420" s="16" t="s">
        <v>24</v>
      </c>
      <c r="C2420" s="17" t="s">
        <v>19</v>
      </c>
      <c r="D2420" s="18" t="s">
        <v>1397</v>
      </c>
      <c r="E2420" s="18">
        <v>2</v>
      </c>
      <c r="F2420" s="18" t="s">
        <v>1135</v>
      </c>
      <c r="G2420" s="18" t="s">
        <v>127</v>
      </c>
      <c r="H2420" s="18" t="s">
        <v>23</v>
      </c>
      <c r="I2420" s="19">
        <v>783.33</v>
      </c>
      <c r="J2420" s="20">
        <f t="shared" si="74"/>
        <v>1566.66</v>
      </c>
      <c r="K2420" s="106"/>
      <c r="L2420" s="114"/>
      <c r="M2420" s="114">
        <f>tblAquisições[[#This Row],[VALOR UNITARIO COMPRADO]]*tblAquisições[[#This Row],[QUANTIDADE COMPRADA]]</f>
        <v>0</v>
      </c>
      <c r="N2420" s="110">
        <f>K2420-tblAquisições[[#This Row],[QUANTIDADE PLANEJADA]]</f>
        <v>-2</v>
      </c>
      <c r="O2420" s="106" t="str">
        <f t="shared" si="75"/>
        <v>Faltando Comprar</v>
      </c>
    </row>
    <row r="2421" spans="1:15" ht="63">
      <c r="A2421" s="16" t="s">
        <v>17</v>
      </c>
      <c r="B2421" s="16" t="s">
        <v>34</v>
      </c>
      <c r="C2421" s="17" t="s">
        <v>19</v>
      </c>
      <c r="D2421" s="18" t="s">
        <v>1398</v>
      </c>
      <c r="E2421" s="18">
        <v>1</v>
      </c>
      <c r="F2421" s="18" t="s">
        <v>1347</v>
      </c>
      <c r="G2421" s="18" t="s">
        <v>22</v>
      </c>
      <c r="H2421" s="18" t="s">
        <v>23</v>
      </c>
      <c r="I2421" s="19">
        <v>420.96</v>
      </c>
      <c r="J2421" s="20">
        <f t="shared" si="74"/>
        <v>420.96</v>
      </c>
      <c r="K2421" s="106"/>
      <c r="L2421" s="114"/>
      <c r="M2421" s="114">
        <f>tblAquisições[[#This Row],[VALOR UNITARIO COMPRADO]]*tblAquisições[[#This Row],[QUANTIDADE COMPRADA]]</f>
        <v>0</v>
      </c>
      <c r="N2421" s="110">
        <f>K2421-tblAquisições[[#This Row],[QUANTIDADE PLANEJADA]]</f>
        <v>-1</v>
      </c>
      <c r="O2421" s="106" t="str">
        <f t="shared" si="75"/>
        <v>Faltando Comprar</v>
      </c>
    </row>
    <row r="2422" spans="1:15" ht="47.25">
      <c r="A2422" s="16" t="s">
        <v>17</v>
      </c>
      <c r="B2422" s="16" t="s">
        <v>18</v>
      </c>
      <c r="C2422" s="17" t="s">
        <v>19</v>
      </c>
      <c r="D2422" s="18" t="s">
        <v>1399</v>
      </c>
      <c r="E2422" s="18">
        <v>150</v>
      </c>
      <c r="F2422" s="18" t="s">
        <v>107</v>
      </c>
      <c r="G2422" s="18" t="s">
        <v>22</v>
      </c>
      <c r="H2422" s="18" t="s">
        <v>83</v>
      </c>
      <c r="I2422" s="19">
        <v>22.22</v>
      </c>
      <c r="J2422" s="20">
        <f t="shared" si="74"/>
        <v>3333</v>
      </c>
      <c r="K2422" s="106"/>
      <c r="L2422" s="114"/>
      <c r="M2422" s="114">
        <f>tblAquisições[[#This Row],[VALOR UNITARIO COMPRADO]]*tblAquisições[[#This Row],[QUANTIDADE COMPRADA]]</f>
        <v>0</v>
      </c>
      <c r="N2422" s="110">
        <f>K2422-tblAquisições[[#This Row],[QUANTIDADE PLANEJADA]]</f>
        <v>-150</v>
      </c>
      <c r="O2422" s="106" t="str">
        <f t="shared" si="75"/>
        <v>Faltando Comprar</v>
      </c>
    </row>
    <row r="2423" spans="1:15" ht="47.25">
      <c r="A2423" s="16" t="s">
        <v>17</v>
      </c>
      <c r="B2423" s="16" t="s">
        <v>24</v>
      </c>
      <c r="C2423" s="17" t="s">
        <v>19</v>
      </c>
      <c r="D2423" s="18" t="s">
        <v>1399</v>
      </c>
      <c r="E2423" s="18">
        <v>150</v>
      </c>
      <c r="F2423" s="18" t="s">
        <v>107</v>
      </c>
      <c r="G2423" s="18" t="s">
        <v>22</v>
      </c>
      <c r="H2423" s="18" t="s">
        <v>83</v>
      </c>
      <c r="I2423" s="19">
        <v>22.22</v>
      </c>
      <c r="J2423" s="20">
        <f t="shared" si="74"/>
        <v>3333</v>
      </c>
      <c r="K2423" s="106"/>
      <c r="L2423" s="114"/>
      <c r="M2423" s="114">
        <f>tblAquisições[[#This Row],[VALOR UNITARIO COMPRADO]]*tblAquisições[[#This Row],[QUANTIDADE COMPRADA]]</f>
        <v>0</v>
      </c>
      <c r="N2423" s="110">
        <f>K2423-tblAquisições[[#This Row],[QUANTIDADE PLANEJADA]]</f>
        <v>-150</v>
      </c>
      <c r="O2423" s="106" t="str">
        <f t="shared" si="75"/>
        <v>Faltando Comprar</v>
      </c>
    </row>
    <row r="2424" spans="1:15" ht="47.25">
      <c r="A2424" s="16" t="s">
        <v>17</v>
      </c>
      <c r="B2424" s="16" t="s">
        <v>25</v>
      </c>
      <c r="C2424" s="17" t="s">
        <v>19</v>
      </c>
      <c r="D2424" s="18" t="s">
        <v>1399</v>
      </c>
      <c r="E2424" s="18">
        <v>150</v>
      </c>
      <c r="F2424" s="18" t="s">
        <v>107</v>
      </c>
      <c r="G2424" s="18" t="s">
        <v>22</v>
      </c>
      <c r="H2424" s="18" t="s">
        <v>83</v>
      </c>
      <c r="I2424" s="19">
        <v>22.22</v>
      </c>
      <c r="J2424" s="20">
        <f t="shared" si="74"/>
        <v>3333</v>
      </c>
      <c r="K2424" s="106"/>
      <c r="L2424" s="114"/>
      <c r="M2424" s="114">
        <f>tblAquisições[[#This Row],[VALOR UNITARIO COMPRADO]]*tblAquisições[[#This Row],[QUANTIDADE COMPRADA]]</f>
        <v>0</v>
      </c>
      <c r="N2424" s="110">
        <f>K2424-tblAquisições[[#This Row],[QUANTIDADE PLANEJADA]]</f>
        <v>-150</v>
      </c>
      <c r="O2424" s="106" t="str">
        <f t="shared" si="75"/>
        <v>Faltando Comprar</v>
      </c>
    </row>
    <row r="2425" spans="1:15" ht="47.25">
      <c r="A2425" s="16" t="s">
        <v>17</v>
      </c>
      <c r="B2425" s="16" t="s">
        <v>27</v>
      </c>
      <c r="C2425" s="17" t="s">
        <v>19</v>
      </c>
      <c r="D2425" s="18" t="s">
        <v>1399</v>
      </c>
      <c r="E2425" s="18">
        <v>200</v>
      </c>
      <c r="F2425" s="18" t="s">
        <v>107</v>
      </c>
      <c r="G2425" s="18" t="s">
        <v>22</v>
      </c>
      <c r="H2425" s="18" t="s">
        <v>83</v>
      </c>
      <c r="I2425" s="19">
        <v>22.22</v>
      </c>
      <c r="J2425" s="20">
        <f t="shared" si="74"/>
        <v>4444</v>
      </c>
      <c r="K2425" s="106"/>
      <c r="L2425" s="114"/>
      <c r="M2425" s="114">
        <f>tblAquisições[[#This Row],[VALOR UNITARIO COMPRADO]]*tblAquisições[[#This Row],[QUANTIDADE COMPRADA]]</f>
        <v>0</v>
      </c>
      <c r="N2425" s="110">
        <f>K2425-tblAquisições[[#This Row],[QUANTIDADE PLANEJADA]]</f>
        <v>-200</v>
      </c>
      <c r="O2425" s="106" t="str">
        <f t="shared" si="75"/>
        <v>Faltando Comprar</v>
      </c>
    </row>
    <row r="2426" spans="1:15" ht="47.25">
      <c r="A2426" s="16" t="s">
        <v>17</v>
      </c>
      <c r="B2426" s="16" t="s">
        <v>18</v>
      </c>
      <c r="C2426" s="17" t="s">
        <v>19</v>
      </c>
      <c r="D2426" s="18" t="s">
        <v>1400</v>
      </c>
      <c r="E2426" s="18">
        <v>50</v>
      </c>
      <c r="F2426" s="18" t="s">
        <v>107</v>
      </c>
      <c r="G2426" s="18" t="s">
        <v>22</v>
      </c>
      <c r="H2426" s="18" t="s">
        <v>23</v>
      </c>
      <c r="I2426" s="19">
        <v>15.3</v>
      </c>
      <c r="J2426" s="20">
        <f t="shared" si="74"/>
        <v>765</v>
      </c>
      <c r="K2426" s="106"/>
      <c r="L2426" s="114"/>
      <c r="M2426" s="114">
        <f>tblAquisições[[#This Row],[VALOR UNITARIO COMPRADO]]*tblAquisições[[#This Row],[QUANTIDADE COMPRADA]]</f>
        <v>0</v>
      </c>
      <c r="N2426" s="110">
        <f>K2426-tblAquisições[[#This Row],[QUANTIDADE PLANEJADA]]</f>
        <v>-50</v>
      </c>
      <c r="O2426" s="106" t="str">
        <f t="shared" si="75"/>
        <v>Faltando Comprar</v>
      </c>
    </row>
    <row r="2427" spans="1:15" ht="47.25">
      <c r="A2427" s="16" t="s">
        <v>17</v>
      </c>
      <c r="B2427" s="16" t="s">
        <v>24</v>
      </c>
      <c r="C2427" s="17" t="s">
        <v>19</v>
      </c>
      <c r="D2427" s="18" t="s">
        <v>1400</v>
      </c>
      <c r="E2427" s="18">
        <v>50</v>
      </c>
      <c r="F2427" s="18" t="s">
        <v>107</v>
      </c>
      <c r="G2427" s="18" t="s">
        <v>22</v>
      </c>
      <c r="H2427" s="18" t="s">
        <v>23</v>
      </c>
      <c r="I2427" s="19">
        <v>15.3</v>
      </c>
      <c r="J2427" s="20">
        <f t="shared" si="74"/>
        <v>765</v>
      </c>
      <c r="K2427" s="106"/>
      <c r="L2427" s="114"/>
      <c r="M2427" s="114">
        <f>tblAquisições[[#This Row],[VALOR UNITARIO COMPRADO]]*tblAquisições[[#This Row],[QUANTIDADE COMPRADA]]</f>
        <v>0</v>
      </c>
      <c r="N2427" s="110">
        <f>K2427-tblAquisições[[#This Row],[QUANTIDADE PLANEJADA]]</f>
        <v>-50</v>
      </c>
      <c r="O2427" s="106" t="str">
        <f t="shared" si="75"/>
        <v>Faltando Comprar</v>
      </c>
    </row>
    <row r="2428" spans="1:15" ht="47.25">
      <c r="A2428" s="16" t="s">
        <v>17</v>
      </c>
      <c r="B2428" s="16" t="s">
        <v>25</v>
      </c>
      <c r="C2428" s="17" t="s">
        <v>19</v>
      </c>
      <c r="D2428" s="18" t="s">
        <v>1400</v>
      </c>
      <c r="E2428" s="18">
        <v>50</v>
      </c>
      <c r="F2428" s="18" t="s">
        <v>107</v>
      </c>
      <c r="G2428" s="18" t="s">
        <v>22</v>
      </c>
      <c r="H2428" s="18" t="s">
        <v>23</v>
      </c>
      <c r="I2428" s="19">
        <v>15.3</v>
      </c>
      <c r="J2428" s="20">
        <f t="shared" si="74"/>
        <v>765</v>
      </c>
      <c r="K2428" s="106"/>
      <c r="L2428" s="114"/>
      <c r="M2428" s="114">
        <f>tblAquisições[[#This Row],[VALOR UNITARIO COMPRADO]]*tblAquisições[[#This Row],[QUANTIDADE COMPRADA]]</f>
        <v>0</v>
      </c>
      <c r="N2428" s="110">
        <f>K2428-tblAquisições[[#This Row],[QUANTIDADE PLANEJADA]]</f>
        <v>-50</v>
      </c>
      <c r="O2428" s="106" t="str">
        <f t="shared" si="75"/>
        <v>Faltando Comprar</v>
      </c>
    </row>
    <row r="2429" spans="1:15" ht="47.25">
      <c r="A2429" s="16" t="s">
        <v>17</v>
      </c>
      <c r="B2429" s="16" t="s">
        <v>28</v>
      </c>
      <c r="C2429" s="17" t="s">
        <v>19</v>
      </c>
      <c r="D2429" s="18" t="s">
        <v>1400</v>
      </c>
      <c r="E2429" s="18">
        <v>48</v>
      </c>
      <c r="F2429" s="18" t="s">
        <v>107</v>
      </c>
      <c r="G2429" s="18" t="s">
        <v>22</v>
      </c>
      <c r="H2429" s="18" t="s">
        <v>23</v>
      </c>
      <c r="I2429" s="19">
        <v>15.3</v>
      </c>
      <c r="J2429" s="20">
        <f t="shared" si="74"/>
        <v>734.40000000000009</v>
      </c>
      <c r="K2429" s="106"/>
      <c r="L2429" s="114"/>
      <c r="M2429" s="114">
        <f>tblAquisições[[#This Row],[VALOR UNITARIO COMPRADO]]*tblAquisições[[#This Row],[QUANTIDADE COMPRADA]]</f>
        <v>0</v>
      </c>
      <c r="N2429" s="110">
        <f>K2429-tblAquisições[[#This Row],[QUANTIDADE PLANEJADA]]</f>
        <v>-48</v>
      </c>
      <c r="O2429" s="106" t="str">
        <f t="shared" si="75"/>
        <v>Faltando Comprar</v>
      </c>
    </row>
    <row r="2430" spans="1:15" ht="47.25">
      <c r="A2430" s="16" t="s">
        <v>17</v>
      </c>
      <c r="B2430" s="16" t="s">
        <v>18</v>
      </c>
      <c r="C2430" s="17" t="s">
        <v>19</v>
      </c>
      <c r="D2430" s="18" t="s">
        <v>1401</v>
      </c>
      <c r="E2430" s="18">
        <v>5</v>
      </c>
      <c r="F2430" s="18" t="s">
        <v>214</v>
      </c>
      <c r="G2430" s="18" t="s">
        <v>127</v>
      </c>
      <c r="H2430" s="18" t="s">
        <v>23</v>
      </c>
      <c r="I2430" s="19">
        <v>3069.71</v>
      </c>
      <c r="J2430" s="20">
        <f t="shared" si="74"/>
        <v>15348.55</v>
      </c>
      <c r="K2430" s="106"/>
      <c r="L2430" s="114"/>
      <c r="M2430" s="114">
        <f>tblAquisições[[#This Row],[VALOR UNITARIO COMPRADO]]*tblAquisições[[#This Row],[QUANTIDADE COMPRADA]]</f>
        <v>0</v>
      </c>
      <c r="N2430" s="110">
        <f>K2430-tblAquisições[[#This Row],[QUANTIDADE PLANEJADA]]</f>
        <v>-5</v>
      </c>
      <c r="O2430" s="106" t="str">
        <f t="shared" si="75"/>
        <v>Faltando Comprar</v>
      </c>
    </row>
    <row r="2431" spans="1:15" ht="47.25">
      <c r="A2431" s="16" t="s">
        <v>17</v>
      </c>
      <c r="B2431" s="16" t="s">
        <v>24</v>
      </c>
      <c r="C2431" s="17" t="s">
        <v>19</v>
      </c>
      <c r="D2431" s="18" t="s">
        <v>1401</v>
      </c>
      <c r="E2431" s="18">
        <v>5</v>
      </c>
      <c r="F2431" s="18" t="s">
        <v>214</v>
      </c>
      <c r="G2431" s="18" t="s">
        <v>127</v>
      </c>
      <c r="H2431" s="18" t="s">
        <v>23</v>
      </c>
      <c r="I2431" s="19">
        <v>3069.71</v>
      </c>
      <c r="J2431" s="20">
        <f t="shared" si="74"/>
        <v>15348.55</v>
      </c>
      <c r="K2431" s="106"/>
      <c r="L2431" s="114"/>
      <c r="M2431" s="114">
        <f>tblAquisições[[#This Row],[VALOR UNITARIO COMPRADO]]*tblAquisições[[#This Row],[QUANTIDADE COMPRADA]]</f>
        <v>0</v>
      </c>
      <c r="N2431" s="110">
        <f>K2431-tblAquisições[[#This Row],[QUANTIDADE PLANEJADA]]</f>
        <v>-5</v>
      </c>
      <c r="O2431" s="106" t="str">
        <f t="shared" si="75"/>
        <v>Faltando Comprar</v>
      </c>
    </row>
    <row r="2432" spans="1:15" ht="47.25">
      <c r="A2432" s="16" t="s">
        <v>17</v>
      </c>
      <c r="B2432" s="16" t="s">
        <v>25</v>
      </c>
      <c r="C2432" s="17" t="s">
        <v>19</v>
      </c>
      <c r="D2432" s="18" t="s">
        <v>1401</v>
      </c>
      <c r="E2432" s="18">
        <v>5</v>
      </c>
      <c r="F2432" s="18" t="s">
        <v>214</v>
      </c>
      <c r="G2432" s="18" t="s">
        <v>127</v>
      </c>
      <c r="H2432" s="18" t="s">
        <v>23</v>
      </c>
      <c r="I2432" s="19">
        <v>3069.71</v>
      </c>
      <c r="J2432" s="20">
        <f t="shared" si="74"/>
        <v>15348.55</v>
      </c>
      <c r="K2432" s="106"/>
      <c r="L2432" s="114"/>
      <c r="M2432" s="114">
        <f>tblAquisições[[#This Row],[VALOR UNITARIO COMPRADO]]*tblAquisições[[#This Row],[QUANTIDADE COMPRADA]]</f>
        <v>0</v>
      </c>
      <c r="N2432" s="110">
        <f>K2432-tblAquisições[[#This Row],[QUANTIDADE PLANEJADA]]</f>
        <v>-5</v>
      </c>
      <c r="O2432" s="106" t="str">
        <f t="shared" si="75"/>
        <v>Faltando Comprar</v>
      </c>
    </row>
    <row r="2433" spans="1:15" ht="47.25">
      <c r="A2433" s="16" t="s">
        <v>17</v>
      </c>
      <c r="B2433" s="16" t="s">
        <v>28</v>
      </c>
      <c r="C2433" s="17" t="s">
        <v>19</v>
      </c>
      <c r="D2433" s="18" t="s">
        <v>1401</v>
      </c>
      <c r="E2433" s="18">
        <v>20</v>
      </c>
      <c r="F2433" s="18" t="s">
        <v>214</v>
      </c>
      <c r="G2433" s="18" t="s">
        <v>127</v>
      </c>
      <c r="H2433" s="18" t="s">
        <v>23</v>
      </c>
      <c r="I2433" s="19">
        <v>3069.71</v>
      </c>
      <c r="J2433" s="20">
        <f t="shared" si="74"/>
        <v>61394.2</v>
      </c>
      <c r="K2433" s="106"/>
      <c r="L2433" s="114"/>
      <c r="M2433" s="114">
        <f>tblAquisições[[#This Row],[VALOR UNITARIO COMPRADO]]*tblAquisições[[#This Row],[QUANTIDADE COMPRADA]]</f>
        <v>0</v>
      </c>
      <c r="N2433" s="110">
        <f>K2433-tblAquisições[[#This Row],[QUANTIDADE PLANEJADA]]</f>
        <v>-20</v>
      </c>
      <c r="O2433" s="106" t="str">
        <f t="shared" si="75"/>
        <v>Faltando Comprar</v>
      </c>
    </row>
    <row r="2434" spans="1:15" ht="63">
      <c r="A2434" s="16" t="s">
        <v>17</v>
      </c>
      <c r="B2434" s="16" t="s">
        <v>34</v>
      </c>
      <c r="C2434" s="17" t="s">
        <v>19</v>
      </c>
      <c r="D2434" s="18" t="s">
        <v>1402</v>
      </c>
      <c r="E2434" s="18">
        <v>1</v>
      </c>
      <c r="F2434" s="18" t="s">
        <v>1347</v>
      </c>
      <c r="G2434" s="18" t="s">
        <v>22</v>
      </c>
      <c r="H2434" s="18" t="s">
        <v>23</v>
      </c>
      <c r="I2434" s="19">
        <v>312.94</v>
      </c>
      <c r="J2434" s="20">
        <f t="shared" ref="J2434:J2497" si="76">E2434*I2434</f>
        <v>312.94</v>
      </c>
      <c r="K2434" s="106"/>
      <c r="L2434" s="114"/>
      <c r="M2434" s="114">
        <f>tblAquisições[[#This Row],[VALOR UNITARIO COMPRADO]]*tblAquisições[[#This Row],[QUANTIDADE COMPRADA]]</f>
        <v>0</v>
      </c>
      <c r="N2434" s="110">
        <f>K2434-tblAquisições[[#This Row],[QUANTIDADE PLANEJADA]]</f>
        <v>-1</v>
      </c>
      <c r="O2434" s="106" t="str">
        <f t="shared" ref="O2434:O2497" si="77">IF(K2434=E2434,"OK",IF(K2434&lt;E2434,"Faltando Comprar","Excedente"))</f>
        <v>Faltando Comprar</v>
      </c>
    </row>
    <row r="2435" spans="1:15" ht="63">
      <c r="A2435" s="16" t="s">
        <v>17</v>
      </c>
      <c r="B2435" s="16" t="s">
        <v>18</v>
      </c>
      <c r="C2435" s="17" t="s">
        <v>19</v>
      </c>
      <c r="D2435" s="18" t="s">
        <v>1402</v>
      </c>
      <c r="E2435" s="18">
        <v>5</v>
      </c>
      <c r="F2435" s="18" t="s">
        <v>1347</v>
      </c>
      <c r="G2435" s="18" t="s">
        <v>22</v>
      </c>
      <c r="H2435" s="18" t="s">
        <v>23</v>
      </c>
      <c r="I2435" s="19">
        <v>312.94</v>
      </c>
      <c r="J2435" s="20">
        <f t="shared" si="76"/>
        <v>1564.7</v>
      </c>
      <c r="K2435" s="106"/>
      <c r="L2435" s="114"/>
      <c r="M2435" s="114">
        <f>tblAquisições[[#This Row],[VALOR UNITARIO COMPRADO]]*tblAquisições[[#This Row],[QUANTIDADE COMPRADA]]</f>
        <v>0</v>
      </c>
      <c r="N2435" s="110">
        <f>K2435-tblAquisições[[#This Row],[QUANTIDADE PLANEJADA]]</f>
        <v>-5</v>
      </c>
      <c r="O2435" s="106" t="str">
        <f t="shared" si="77"/>
        <v>Faltando Comprar</v>
      </c>
    </row>
    <row r="2436" spans="1:15" ht="63">
      <c r="A2436" s="16" t="s">
        <v>17</v>
      </c>
      <c r="B2436" s="16" t="s">
        <v>24</v>
      </c>
      <c r="C2436" s="17" t="s">
        <v>19</v>
      </c>
      <c r="D2436" s="18" t="s">
        <v>1402</v>
      </c>
      <c r="E2436" s="18">
        <v>5</v>
      </c>
      <c r="F2436" s="18" t="s">
        <v>1347</v>
      </c>
      <c r="G2436" s="18" t="s">
        <v>22</v>
      </c>
      <c r="H2436" s="18" t="s">
        <v>23</v>
      </c>
      <c r="I2436" s="19">
        <v>312.94</v>
      </c>
      <c r="J2436" s="20">
        <f t="shared" si="76"/>
        <v>1564.7</v>
      </c>
      <c r="K2436" s="106"/>
      <c r="L2436" s="114"/>
      <c r="M2436" s="114">
        <f>tblAquisições[[#This Row],[VALOR UNITARIO COMPRADO]]*tblAquisições[[#This Row],[QUANTIDADE COMPRADA]]</f>
        <v>0</v>
      </c>
      <c r="N2436" s="110">
        <f>K2436-tblAquisições[[#This Row],[QUANTIDADE PLANEJADA]]</f>
        <v>-5</v>
      </c>
      <c r="O2436" s="106" t="str">
        <f t="shared" si="77"/>
        <v>Faltando Comprar</v>
      </c>
    </row>
    <row r="2437" spans="1:15" ht="63">
      <c r="A2437" s="16" t="s">
        <v>17</v>
      </c>
      <c r="B2437" s="16" t="s">
        <v>25</v>
      </c>
      <c r="C2437" s="17" t="s">
        <v>19</v>
      </c>
      <c r="D2437" s="18" t="s">
        <v>1402</v>
      </c>
      <c r="E2437" s="18">
        <v>5</v>
      </c>
      <c r="F2437" s="18" t="s">
        <v>1347</v>
      </c>
      <c r="G2437" s="18" t="s">
        <v>22</v>
      </c>
      <c r="H2437" s="18" t="s">
        <v>23</v>
      </c>
      <c r="I2437" s="19">
        <v>312.94</v>
      </c>
      <c r="J2437" s="20">
        <f t="shared" si="76"/>
        <v>1564.7</v>
      </c>
      <c r="K2437" s="106"/>
      <c r="L2437" s="114"/>
      <c r="M2437" s="114">
        <f>tblAquisições[[#This Row],[VALOR UNITARIO COMPRADO]]*tblAquisições[[#This Row],[QUANTIDADE COMPRADA]]</f>
        <v>0</v>
      </c>
      <c r="N2437" s="110">
        <f>K2437-tblAquisições[[#This Row],[QUANTIDADE PLANEJADA]]</f>
        <v>-5</v>
      </c>
      <c r="O2437" s="106" t="str">
        <f t="shared" si="77"/>
        <v>Faltando Comprar</v>
      </c>
    </row>
    <row r="2438" spans="1:15" ht="63">
      <c r="A2438" s="16" t="s">
        <v>17</v>
      </c>
      <c r="B2438" s="16" t="s">
        <v>27</v>
      </c>
      <c r="C2438" s="17" t="s">
        <v>19</v>
      </c>
      <c r="D2438" s="18" t="s">
        <v>1402</v>
      </c>
      <c r="E2438" s="18">
        <v>2</v>
      </c>
      <c r="F2438" s="18" t="s">
        <v>1347</v>
      </c>
      <c r="G2438" s="18" t="s">
        <v>22</v>
      </c>
      <c r="H2438" s="18" t="s">
        <v>23</v>
      </c>
      <c r="I2438" s="19">
        <v>312.94</v>
      </c>
      <c r="J2438" s="20">
        <f t="shared" si="76"/>
        <v>625.88</v>
      </c>
      <c r="K2438" s="106"/>
      <c r="L2438" s="114"/>
      <c r="M2438" s="114">
        <f>tblAquisições[[#This Row],[VALOR UNITARIO COMPRADO]]*tblAquisições[[#This Row],[QUANTIDADE COMPRADA]]</f>
        <v>0</v>
      </c>
      <c r="N2438" s="110">
        <f>K2438-tblAquisições[[#This Row],[QUANTIDADE PLANEJADA]]</f>
        <v>-2</v>
      </c>
      <c r="O2438" s="106" t="str">
        <f t="shared" si="77"/>
        <v>Faltando Comprar</v>
      </c>
    </row>
    <row r="2439" spans="1:15" ht="31.5">
      <c r="A2439" s="16" t="s">
        <v>17</v>
      </c>
      <c r="B2439" s="16" t="s">
        <v>17</v>
      </c>
      <c r="C2439" s="17" t="s">
        <v>19</v>
      </c>
      <c r="D2439" s="18" t="s">
        <v>1403</v>
      </c>
      <c r="E2439" s="18">
        <v>300</v>
      </c>
      <c r="F2439" s="18" t="s">
        <v>38</v>
      </c>
      <c r="G2439" s="18" t="s">
        <v>39</v>
      </c>
      <c r="H2439" s="18" t="s">
        <v>23</v>
      </c>
      <c r="I2439" s="19">
        <v>1.2909999999999999</v>
      </c>
      <c r="J2439" s="20">
        <f t="shared" si="76"/>
        <v>387.29999999999995</v>
      </c>
      <c r="K2439" s="106"/>
      <c r="L2439" s="114"/>
      <c r="M2439" s="114">
        <f>tblAquisições[[#This Row],[VALOR UNITARIO COMPRADO]]*tblAquisições[[#This Row],[QUANTIDADE COMPRADA]]</f>
        <v>0</v>
      </c>
      <c r="N2439" s="110">
        <f>K2439-tblAquisições[[#This Row],[QUANTIDADE PLANEJADA]]</f>
        <v>-300</v>
      </c>
      <c r="O2439" s="106" t="str">
        <f t="shared" si="77"/>
        <v>Faltando Comprar</v>
      </c>
    </row>
    <row r="2440" spans="1:15" ht="31.5">
      <c r="A2440" s="16" t="s">
        <v>17</v>
      </c>
      <c r="B2440" s="16" t="s">
        <v>31</v>
      </c>
      <c r="C2440" s="17" t="s">
        <v>19</v>
      </c>
      <c r="D2440" s="18" t="s">
        <v>1404</v>
      </c>
      <c r="E2440" s="18">
        <v>58</v>
      </c>
      <c r="F2440" s="18" t="s">
        <v>21</v>
      </c>
      <c r="G2440" s="18" t="s">
        <v>22</v>
      </c>
      <c r="H2440" s="18" t="s">
        <v>23</v>
      </c>
      <c r="I2440" s="19">
        <v>1.2909999999999999</v>
      </c>
      <c r="J2440" s="20">
        <f t="shared" si="76"/>
        <v>74.878</v>
      </c>
      <c r="K2440" s="106"/>
      <c r="L2440" s="114"/>
      <c r="M2440" s="114">
        <f>tblAquisições[[#This Row],[VALOR UNITARIO COMPRADO]]*tblAquisições[[#This Row],[QUANTIDADE COMPRADA]]</f>
        <v>0</v>
      </c>
      <c r="N2440" s="110">
        <f>K2440-tblAquisições[[#This Row],[QUANTIDADE PLANEJADA]]</f>
        <v>-58</v>
      </c>
      <c r="O2440" s="106" t="str">
        <f t="shared" si="77"/>
        <v>Faltando Comprar</v>
      </c>
    </row>
    <row r="2441" spans="1:15" ht="31.5">
      <c r="A2441" s="16" t="s">
        <v>17</v>
      </c>
      <c r="B2441" s="16" t="s">
        <v>41</v>
      </c>
      <c r="C2441" s="17" t="s">
        <v>19</v>
      </c>
      <c r="D2441" s="18" t="s">
        <v>1404</v>
      </c>
      <c r="E2441" s="18">
        <v>300</v>
      </c>
      <c r="F2441" s="18" t="s">
        <v>21</v>
      </c>
      <c r="G2441" s="18" t="s">
        <v>22</v>
      </c>
      <c r="H2441" s="18" t="s">
        <v>23</v>
      </c>
      <c r="I2441" s="19">
        <v>1.2909999999999999</v>
      </c>
      <c r="J2441" s="20">
        <f t="shared" si="76"/>
        <v>387.29999999999995</v>
      </c>
      <c r="K2441" s="106"/>
      <c r="L2441" s="114"/>
      <c r="M2441" s="114">
        <f>tblAquisições[[#This Row],[VALOR UNITARIO COMPRADO]]*tblAquisições[[#This Row],[QUANTIDADE COMPRADA]]</f>
        <v>0</v>
      </c>
      <c r="N2441" s="110">
        <f>K2441-tblAquisições[[#This Row],[QUANTIDADE PLANEJADA]]</f>
        <v>-300</v>
      </c>
      <c r="O2441" s="106" t="str">
        <f t="shared" si="77"/>
        <v>Faltando Comprar</v>
      </c>
    </row>
    <row r="2442" spans="1:15" ht="31.5">
      <c r="A2442" s="16" t="s">
        <v>17</v>
      </c>
      <c r="B2442" s="16" t="s">
        <v>28</v>
      </c>
      <c r="C2442" s="17" t="s">
        <v>19</v>
      </c>
      <c r="D2442" s="18" t="s">
        <v>1404</v>
      </c>
      <c r="E2442" s="18">
        <v>300</v>
      </c>
      <c r="F2442" s="18" t="s">
        <v>21</v>
      </c>
      <c r="G2442" s="18" t="s">
        <v>22</v>
      </c>
      <c r="H2442" s="18" t="s">
        <v>23</v>
      </c>
      <c r="I2442" s="19">
        <v>1.2909999999999999</v>
      </c>
      <c r="J2442" s="20">
        <f t="shared" si="76"/>
        <v>387.29999999999995</v>
      </c>
      <c r="K2442" s="106"/>
      <c r="L2442" s="114"/>
      <c r="M2442" s="114">
        <f>tblAquisições[[#This Row],[VALOR UNITARIO COMPRADO]]*tblAquisições[[#This Row],[QUANTIDADE COMPRADA]]</f>
        <v>0</v>
      </c>
      <c r="N2442" s="110">
        <f>K2442-tblAquisições[[#This Row],[QUANTIDADE PLANEJADA]]</f>
        <v>-300</v>
      </c>
      <c r="O2442" s="106" t="str">
        <f t="shared" si="77"/>
        <v>Faltando Comprar</v>
      </c>
    </row>
    <row r="2443" spans="1:15" ht="47.25">
      <c r="A2443" s="16" t="s">
        <v>17</v>
      </c>
      <c r="B2443" s="16" t="s">
        <v>26</v>
      </c>
      <c r="C2443" s="17" t="s">
        <v>19</v>
      </c>
      <c r="D2443" s="18" t="s">
        <v>1405</v>
      </c>
      <c r="E2443" s="18">
        <v>75</v>
      </c>
      <c r="F2443" s="18" t="s">
        <v>131</v>
      </c>
      <c r="G2443" s="18" t="s">
        <v>22</v>
      </c>
      <c r="H2443" s="18" t="s">
        <v>23</v>
      </c>
      <c r="I2443" s="19">
        <v>71.849999999999994</v>
      </c>
      <c r="J2443" s="20">
        <f t="shared" si="76"/>
        <v>5388.75</v>
      </c>
      <c r="K2443" s="106"/>
      <c r="L2443" s="114"/>
      <c r="M2443" s="114">
        <f>tblAquisições[[#This Row],[VALOR UNITARIO COMPRADO]]*tblAquisições[[#This Row],[QUANTIDADE COMPRADA]]</f>
        <v>0</v>
      </c>
      <c r="N2443" s="110">
        <f>K2443-tblAquisições[[#This Row],[QUANTIDADE PLANEJADA]]</f>
        <v>-75</v>
      </c>
      <c r="O2443" s="106" t="str">
        <f t="shared" si="77"/>
        <v>Faltando Comprar</v>
      </c>
    </row>
    <row r="2444" spans="1:15" ht="47.25">
      <c r="A2444" s="16" t="s">
        <v>17</v>
      </c>
      <c r="B2444" s="16" t="s">
        <v>28</v>
      </c>
      <c r="C2444" s="17" t="s">
        <v>19</v>
      </c>
      <c r="D2444" s="18" t="s">
        <v>1405</v>
      </c>
      <c r="E2444" s="18">
        <v>25</v>
      </c>
      <c r="F2444" s="18" t="s">
        <v>131</v>
      </c>
      <c r="G2444" s="18" t="s">
        <v>22</v>
      </c>
      <c r="H2444" s="18" t="s">
        <v>65</v>
      </c>
      <c r="I2444" s="19">
        <v>71.849999999999994</v>
      </c>
      <c r="J2444" s="20">
        <f t="shared" si="76"/>
        <v>1796.2499999999998</v>
      </c>
      <c r="K2444" s="106"/>
      <c r="L2444" s="114"/>
      <c r="M2444" s="114">
        <f>tblAquisições[[#This Row],[VALOR UNITARIO COMPRADO]]*tblAquisições[[#This Row],[QUANTIDADE COMPRADA]]</f>
        <v>0</v>
      </c>
      <c r="N2444" s="110">
        <f>K2444-tblAquisições[[#This Row],[QUANTIDADE PLANEJADA]]</f>
        <v>-25</v>
      </c>
      <c r="O2444" s="106" t="str">
        <f t="shared" si="77"/>
        <v>Faltando Comprar</v>
      </c>
    </row>
    <row r="2445" spans="1:15" ht="31.5">
      <c r="A2445" s="16" t="s">
        <v>17</v>
      </c>
      <c r="B2445" s="16" t="s">
        <v>28</v>
      </c>
      <c r="C2445" s="17" t="s">
        <v>19</v>
      </c>
      <c r="D2445" s="18" t="s">
        <v>1406</v>
      </c>
      <c r="E2445" s="18">
        <v>6</v>
      </c>
      <c r="F2445" s="18" t="s">
        <v>21</v>
      </c>
      <c r="G2445" s="18" t="s">
        <v>22</v>
      </c>
      <c r="H2445" s="18" t="s">
        <v>23</v>
      </c>
      <c r="I2445" s="19">
        <v>6.48</v>
      </c>
      <c r="J2445" s="20">
        <f t="shared" si="76"/>
        <v>38.880000000000003</v>
      </c>
      <c r="K2445" s="106"/>
      <c r="L2445" s="114"/>
      <c r="M2445" s="114">
        <f>tblAquisições[[#This Row],[VALOR UNITARIO COMPRADO]]*tblAquisições[[#This Row],[QUANTIDADE COMPRADA]]</f>
        <v>0</v>
      </c>
      <c r="N2445" s="110">
        <f>K2445-tblAquisições[[#This Row],[QUANTIDADE PLANEJADA]]</f>
        <v>-6</v>
      </c>
      <c r="O2445" s="106" t="str">
        <f t="shared" si="77"/>
        <v>Faltando Comprar</v>
      </c>
    </row>
    <row r="2446" spans="1:15" ht="31.5">
      <c r="A2446" s="16" t="s">
        <v>17</v>
      </c>
      <c r="B2446" s="16" t="s">
        <v>31</v>
      </c>
      <c r="C2446" s="17" t="s">
        <v>19</v>
      </c>
      <c r="D2446" s="18" t="s">
        <v>1407</v>
      </c>
      <c r="E2446" s="18">
        <v>6</v>
      </c>
      <c r="F2446" s="18" t="s">
        <v>21</v>
      </c>
      <c r="G2446" s="18" t="s">
        <v>22</v>
      </c>
      <c r="H2446" s="18" t="s">
        <v>23</v>
      </c>
      <c r="I2446" s="19">
        <v>130.22</v>
      </c>
      <c r="J2446" s="20">
        <f t="shared" si="76"/>
        <v>781.31999999999994</v>
      </c>
      <c r="K2446" s="106"/>
      <c r="L2446" s="114"/>
      <c r="M2446" s="114">
        <f>tblAquisições[[#This Row],[VALOR UNITARIO COMPRADO]]*tblAquisições[[#This Row],[QUANTIDADE COMPRADA]]</f>
        <v>0</v>
      </c>
      <c r="N2446" s="110">
        <f>K2446-tblAquisições[[#This Row],[QUANTIDADE PLANEJADA]]</f>
        <v>-6</v>
      </c>
      <c r="O2446" s="106" t="str">
        <f t="shared" si="77"/>
        <v>Faltando Comprar</v>
      </c>
    </row>
    <row r="2447" spans="1:15" ht="31.5">
      <c r="A2447" s="16" t="s">
        <v>17</v>
      </c>
      <c r="B2447" s="16" t="s">
        <v>41</v>
      </c>
      <c r="C2447" s="17" t="s">
        <v>19</v>
      </c>
      <c r="D2447" s="18" t="s">
        <v>1407</v>
      </c>
      <c r="E2447" s="18">
        <v>10</v>
      </c>
      <c r="F2447" s="18" t="s">
        <v>21</v>
      </c>
      <c r="G2447" s="18" t="s">
        <v>22</v>
      </c>
      <c r="H2447" s="18" t="s">
        <v>23</v>
      </c>
      <c r="I2447" s="19">
        <v>130.22</v>
      </c>
      <c r="J2447" s="20">
        <f t="shared" si="76"/>
        <v>1302.2</v>
      </c>
      <c r="K2447" s="106"/>
      <c r="L2447" s="114"/>
      <c r="M2447" s="114">
        <f>tblAquisições[[#This Row],[VALOR UNITARIO COMPRADO]]*tblAquisições[[#This Row],[QUANTIDADE COMPRADA]]</f>
        <v>0</v>
      </c>
      <c r="N2447" s="110">
        <f>K2447-tblAquisições[[#This Row],[QUANTIDADE PLANEJADA]]</f>
        <v>-10</v>
      </c>
      <c r="O2447" s="106" t="str">
        <f t="shared" si="77"/>
        <v>Faltando Comprar</v>
      </c>
    </row>
    <row r="2448" spans="1:15" ht="31.5">
      <c r="A2448" s="16" t="s">
        <v>17</v>
      </c>
      <c r="B2448" s="16" t="s">
        <v>31</v>
      </c>
      <c r="C2448" s="17" t="s">
        <v>19</v>
      </c>
      <c r="D2448" s="18" t="s">
        <v>1408</v>
      </c>
      <c r="E2448" s="18">
        <v>6</v>
      </c>
      <c r="F2448" s="18" t="s">
        <v>21</v>
      </c>
      <c r="G2448" s="18" t="s">
        <v>22</v>
      </c>
      <c r="H2448" s="18" t="s">
        <v>23</v>
      </c>
      <c r="I2448" s="19">
        <v>217.72</v>
      </c>
      <c r="J2448" s="20">
        <f t="shared" si="76"/>
        <v>1306.32</v>
      </c>
      <c r="K2448" s="106"/>
      <c r="L2448" s="114"/>
      <c r="M2448" s="114">
        <f>tblAquisições[[#This Row],[VALOR UNITARIO COMPRADO]]*tblAquisições[[#This Row],[QUANTIDADE COMPRADA]]</f>
        <v>0</v>
      </c>
      <c r="N2448" s="110">
        <f>K2448-tblAquisições[[#This Row],[QUANTIDADE PLANEJADA]]</f>
        <v>-6</v>
      </c>
      <c r="O2448" s="106" t="str">
        <f t="shared" si="77"/>
        <v>Faltando Comprar</v>
      </c>
    </row>
    <row r="2449" spans="1:15" ht="31.5">
      <c r="A2449" s="16" t="s">
        <v>17</v>
      </c>
      <c r="B2449" s="16" t="s">
        <v>18</v>
      </c>
      <c r="C2449" s="17" t="s">
        <v>19</v>
      </c>
      <c r="D2449" s="18" t="s">
        <v>1408</v>
      </c>
      <c r="E2449" s="18">
        <v>10</v>
      </c>
      <c r="F2449" s="18" t="s">
        <v>21</v>
      </c>
      <c r="G2449" s="18" t="s">
        <v>22</v>
      </c>
      <c r="H2449" s="18" t="s">
        <v>23</v>
      </c>
      <c r="I2449" s="19">
        <v>217.72</v>
      </c>
      <c r="J2449" s="20">
        <f t="shared" si="76"/>
        <v>2177.1999999999998</v>
      </c>
      <c r="K2449" s="106"/>
      <c r="L2449" s="114"/>
      <c r="M2449" s="114">
        <f>tblAquisições[[#This Row],[VALOR UNITARIO COMPRADO]]*tblAquisições[[#This Row],[QUANTIDADE COMPRADA]]</f>
        <v>0</v>
      </c>
      <c r="N2449" s="110">
        <f>K2449-tblAquisições[[#This Row],[QUANTIDADE PLANEJADA]]</f>
        <v>-10</v>
      </c>
      <c r="O2449" s="106" t="str">
        <f t="shared" si="77"/>
        <v>Faltando Comprar</v>
      </c>
    </row>
    <row r="2450" spans="1:15" ht="31.5">
      <c r="A2450" s="16" t="s">
        <v>17</v>
      </c>
      <c r="B2450" s="16" t="s">
        <v>24</v>
      </c>
      <c r="C2450" s="17" t="s">
        <v>19</v>
      </c>
      <c r="D2450" s="18" t="s">
        <v>1408</v>
      </c>
      <c r="E2450" s="18">
        <v>10</v>
      </c>
      <c r="F2450" s="18" t="s">
        <v>21</v>
      </c>
      <c r="G2450" s="18" t="s">
        <v>22</v>
      </c>
      <c r="H2450" s="18" t="s">
        <v>23</v>
      </c>
      <c r="I2450" s="19">
        <v>217.72</v>
      </c>
      <c r="J2450" s="20">
        <f t="shared" si="76"/>
        <v>2177.1999999999998</v>
      </c>
      <c r="K2450" s="106"/>
      <c r="L2450" s="114"/>
      <c r="M2450" s="114">
        <f>tblAquisições[[#This Row],[VALOR UNITARIO COMPRADO]]*tblAquisições[[#This Row],[QUANTIDADE COMPRADA]]</f>
        <v>0</v>
      </c>
      <c r="N2450" s="110">
        <f>K2450-tblAquisições[[#This Row],[QUANTIDADE PLANEJADA]]</f>
        <v>-10</v>
      </c>
      <c r="O2450" s="106" t="str">
        <f t="shared" si="77"/>
        <v>Faltando Comprar</v>
      </c>
    </row>
    <row r="2451" spans="1:15" ht="31.5">
      <c r="A2451" s="16" t="s">
        <v>17</v>
      </c>
      <c r="B2451" s="16" t="s">
        <v>25</v>
      </c>
      <c r="C2451" s="17" t="s">
        <v>19</v>
      </c>
      <c r="D2451" s="18" t="s">
        <v>1408</v>
      </c>
      <c r="E2451" s="18">
        <v>10</v>
      </c>
      <c r="F2451" s="18" t="s">
        <v>21</v>
      </c>
      <c r="G2451" s="18" t="s">
        <v>22</v>
      </c>
      <c r="H2451" s="18" t="s">
        <v>23</v>
      </c>
      <c r="I2451" s="19">
        <v>217.72</v>
      </c>
      <c r="J2451" s="20">
        <f t="shared" si="76"/>
        <v>2177.1999999999998</v>
      </c>
      <c r="K2451" s="106"/>
      <c r="L2451" s="114"/>
      <c r="M2451" s="114">
        <f>tblAquisições[[#This Row],[VALOR UNITARIO COMPRADO]]*tblAquisições[[#This Row],[QUANTIDADE COMPRADA]]</f>
        <v>0</v>
      </c>
      <c r="N2451" s="110">
        <f>K2451-tblAquisições[[#This Row],[QUANTIDADE PLANEJADA]]</f>
        <v>-10</v>
      </c>
      <c r="O2451" s="106" t="str">
        <f t="shared" si="77"/>
        <v>Faltando Comprar</v>
      </c>
    </row>
    <row r="2452" spans="1:15" ht="31.5">
      <c r="A2452" s="16" t="s">
        <v>17</v>
      </c>
      <c r="B2452" s="16" t="s">
        <v>41</v>
      </c>
      <c r="C2452" s="17" t="s">
        <v>19</v>
      </c>
      <c r="D2452" s="18" t="s">
        <v>1408</v>
      </c>
      <c r="E2452" s="18">
        <v>10</v>
      </c>
      <c r="F2452" s="18" t="s">
        <v>21</v>
      </c>
      <c r="G2452" s="18" t="s">
        <v>22</v>
      </c>
      <c r="H2452" s="18" t="s">
        <v>23</v>
      </c>
      <c r="I2452" s="19">
        <v>217.72</v>
      </c>
      <c r="J2452" s="20">
        <f t="shared" si="76"/>
        <v>2177.1999999999998</v>
      </c>
      <c r="K2452" s="106"/>
      <c r="L2452" s="114"/>
      <c r="M2452" s="114">
        <f>tblAquisições[[#This Row],[VALOR UNITARIO COMPRADO]]*tblAquisições[[#This Row],[QUANTIDADE COMPRADA]]</f>
        <v>0</v>
      </c>
      <c r="N2452" s="110">
        <f>K2452-tblAquisições[[#This Row],[QUANTIDADE PLANEJADA]]</f>
        <v>-10</v>
      </c>
      <c r="O2452" s="106" t="str">
        <f t="shared" si="77"/>
        <v>Faltando Comprar</v>
      </c>
    </row>
    <row r="2453" spans="1:15" ht="31.5">
      <c r="A2453" s="16" t="s">
        <v>17</v>
      </c>
      <c r="B2453" s="16" t="s">
        <v>27</v>
      </c>
      <c r="C2453" s="17" t="s">
        <v>19</v>
      </c>
      <c r="D2453" s="18" t="s">
        <v>1408</v>
      </c>
      <c r="E2453" s="18">
        <v>10</v>
      </c>
      <c r="F2453" s="18" t="s">
        <v>21</v>
      </c>
      <c r="G2453" s="18" t="s">
        <v>22</v>
      </c>
      <c r="H2453" s="18" t="s">
        <v>23</v>
      </c>
      <c r="I2453" s="19">
        <v>217.72</v>
      </c>
      <c r="J2453" s="20">
        <f t="shared" si="76"/>
        <v>2177.1999999999998</v>
      </c>
      <c r="K2453" s="106"/>
      <c r="L2453" s="114"/>
      <c r="M2453" s="114">
        <f>tblAquisições[[#This Row],[VALOR UNITARIO COMPRADO]]*tblAquisições[[#This Row],[QUANTIDADE COMPRADA]]</f>
        <v>0</v>
      </c>
      <c r="N2453" s="110">
        <f>K2453-tblAquisições[[#This Row],[QUANTIDADE PLANEJADA]]</f>
        <v>-10</v>
      </c>
      <c r="O2453" s="106" t="str">
        <f t="shared" si="77"/>
        <v>Faltando Comprar</v>
      </c>
    </row>
    <row r="2454" spans="1:15" ht="31.5">
      <c r="A2454" s="16" t="s">
        <v>17</v>
      </c>
      <c r="B2454" s="16" t="s">
        <v>18</v>
      </c>
      <c r="C2454" s="17" t="s">
        <v>19</v>
      </c>
      <c r="D2454" s="18" t="s">
        <v>1409</v>
      </c>
      <c r="E2454" s="18">
        <v>10</v>
      </c>
      <c r="F2454" s="18" t="s">
        <v>21</v>
      </c>
      <c r="G2454" s="18" t="s">
        <v>22</v>
      </c>
      <c r="H2454" s="18" t="s">
        <v>23</v>
      </c>
      <c r="I2454" s="19">
        <v>300</v>
      </c>
      <c r="J2454" s="20">
        <f t="shared" si="76"/>
        <v>3000</v>
      </c>
      <c r="K2454" s="106"/>
      <c r="L2454" s="114"/>
      <c r="M2454" s="114">
        <f>tblAquisições[[#This Row],[VALOR UNITARIO COMPRADO]]*tblAquisições[[#This Row],[QUANTIDADE COMPRADA]]</f>
        <v>0</v>
      </c>
      <c r="N2454" s="110">
        <f>K2454-tblAquisições[[#This Row],[QUANTIDADE PLANEJADA]]</f>
        <v>-10</v>
      </c>
      <c r="O2454" s="106" t="str">
        <f t="shared" si="77"/>
        <v>Faltando Comprar</v>
      </c>
    </row>
    <row r="2455" spans="1:15" ht="31.5">
      <c r="A2455" s="16" t="s">
        <v>17</v>
      </c>
      <c r="B2455" s="16" t="s">
        <v>24</v>
      </c>
      <c r="C2455" s="17" t="s">
        <v>19</v>
      </c>
      <c r="D2455" s="18" t="s">
        <v>1409</v>
      </c>
      <c r="E2455" s="18">
        <v>10</v>
      </c>
      <c r="F2455" s="18" t="s">
        <v>21</v>
      </c>
      <c r="G2455" s="18" t="s">
        <v>22</v>
      </c>
      <c r="H2455" s="18" t="s">
        <v>23</v>
      </c>
      <c r="I2455" s="19">
        <v>300</v>
      </c>
      <c r="J2455" s="20">
        <f t="shared" si="76"/>
        <v>3000</v>
      </c>
      <c r="K2455" s="106"/>
      <c r="L2455" s="114"/>
      <c r="M2455" s="114">
        <f>tblAquisições[[#This Row],[VALOR UNITARIO COMPRADO]]*tblAquisições[[#This Row],[QUANTIDADE COMPRADA]]</f>
        <v>0</v>
      </c>
      <c r="N2455" s="110">
        <f>K2455-tblAquisições[[#This Row],[QUANTIDADE PLANEJADA]]</f>
        <v>-10</v>
      </c>
      <c r="O2455" s="106" t="str">
        <f t="shared" si="77"/>
        <v>Faltando Comprar</v>
      </c>
    </row>
    <row r="2456" spans="1:15" ht="31.5">
      <c r="A2456" s="16" t="s">
        <v>17</v>
      </c>
      <c r="B2456" s="16" t="s">
        <v>25</v>
      </c>
      <c r="C2456" s="17" t="s">
        <v>19</v>
      </c>
      <c r="D2456" s="18" t="s">
        <v>1409</v>
      </c>
      <c r="E2456" s="18">
        <v>10</v>
      </c>
      <c r="F2456" s="18" t="s">
        <v>21</v>
      </c>
      <c r="G2456" s="18" t="s">
        <v>22</v>
      </c>
      <c r="H2456" s="18" t="s">
        <v>23</v>
      </c>
      <c r="I2456" s="19">
        <v>300</v>
      </c>
      <c r="J2456" s="20">
        <f t="shared" si="76"/>
        <v>3000</v>
      </c>
      <c r="K2456" s="106"/>
      <c r="L2456" s="114"/>
      <c r="M2456" s="114">
        <f>tblAquisições[[#This Row],[VALOR UNITARIO COMPRADO]]*tblAquisições[[#This Row],[QUANTIDADE COMPRADA]]</f>
        <v>0</v>
      </c>
      <c r="N2456" s="110">
        <f>K2456-tblAquisições[[#This Row],[QUANTIDADE PLANEJADA]]</f>
        <v>-10</v>
      </c>
      <c r="O2456" s="106" t="str">
        <f t="shared" si="77"/>
        <v>Faltando Comprar</v>
      </c>
    </row>
    <row r="2457" spans="1:15" ht="31.5">
      <c r="A2457" s="16" t="s">
        <v>17</v>
      </c>
      <c r="B2457" s="16" t="s">
        <v>41</v>
      </c>
      <c r="C2457" s="17" t="s">
        <v>19</v>
      </c>
      <c r="D2457" s="18" t="s">
        <v>1409</v>
      </c>
      <c r="E2457" s="18">
        <v>10</v>
      </c>
      <c r="F2457" s="18" t="s">
        <v>21</v>
      </c>
      <c r="G2457" s="18" t="s">
        <v>22</v>
      </c>
      <c r="H2457" s="18" t="s">
        <v>23</v>
      </c>
      <c r="I2457" s="19">
        <v>300</v>
      </c>
      <c r="J2457" s="20">
        <f t="shared" si="76"/>
        <v>3000</v>
      </c>
      <c r="K2457" s="106"/>
      <c r="L2457" s="114"/>
      <c r="M2457" s="114">
        <f>tblAquisições[[#This Row],[VALOR UNITARIO COMPRADO]]*tblAquisições[[#This Row],[QUANTIDADE COMPRADA]]</f>
        <v>0</v>
      </c>
      <c r="N2457" s="110">
        <f>K2457-tblAquisições[[#This Row],[QUANTIDADE PLANEJADA]]</f>
        <v>-10</v>
      </c>
      <c r="O2457" s="106" t="str">
        <f t="shared" si="77"/>
        <v>Faltando Comprar</v>
      </c>
    </row>
    <row r="2458" spans="1:15" ht="31.5">
      <c r="A2458" s="16" t="s">
        <v>17</v>
      </c>
      <c r="B2458" s="16" t="s">
        <v>80</v>
      </c>
      <c r="C2458" s="17" t="s">
        <v>19</v>
      </c>
      <c r="D2458" s="18" t="s">
        <v>1410</v>
      </c>
      <c r="E2458" s="18">
        <v>10</v>
      </c>
      <c r="F2458" s="18" t="s">
        <v>38</v>
      </c>
      <c r="G2458" s="18" t="s">
        <v>39</v>
      </c>
      <c r="H2458" s="18" t="s">
        <v>23</v>
      </c>
      <c r="I2458" s="19">
        <v>379.68</v>
      </c>
      <c r="J2458" s="20">
        <f t="shared" si="76"/>
        <v>3796.8</v>
      </c>
      <c r="K2458" s="106"/>
      <c r="L2458" s="114"/>
      <c r="M2458" s="114">
        <f>tblAquisições[[#This Row],[VALOR UNITARIO COMPRADO]]*tblAquisições[[#This Row],[QUANTIDADE COMPRADA]]</f>
        <v>0</v>
      </c>
      <c r="N2458" s="110">
        <f>K2458-tblAquisições[[#This Row],[QUANTIDADE PLANEJADA]]</f>
        <v>-10</v>
      </c>
      <c r="O2458" s="106" t="str">
        <f t="shared" si="77"/>
        <v>Faltando Comprar</v>
      </c>
    </row>
    <row r="2459" spans="1:15" ht="31.5">
      <c r="A2459" s="16" t="s">
        <v>17</v>
      </c>
      <c r="B2459" s="16" t="s">
        <v>18</v>
      </c>
      <c r="C2459" s="17" t="s">
        <v>19</v>
      </c>
      <c r="D2459" s="18" t="s">
        <v>1411</v>
      </c>
      <c r="E2459" s="18">
        <v>10</v>
      </c>
      <c r="F2459" s="18" t="s">
        <v>21</v>
      </c>
      <c r="G2459" s="18" t="s">
        <v>22</v>
      </c>
      <c r="H2459" s="18" t="s">
        <v>23</v>
      </c>
      <c r="I2459" s="19">
        <v>379.68</v>
      </c>
      <c r="J2459" s="20">
        <f t="shared" si="76"/>
        <v>3796.8</v>
      </c>
      <c r="K2459" s="106"/>
      <c r="L2459" s="114"/>
      <c r="M2459" s="114">
        <f>tblAquisições[[#This Row],[VALOR UNITARIO COMPRADO]]*tblAquisições[[#This Row],[QUANTIDADE COMPRADA]]</f>
        <v>0</v>
      </c>
      <c r="N2459" s="110">
        <f>K2459-tblAquisições[[#This Row],[QUANTIDADE PLANEJADA]]</f>
        <v>-10</v>
      </c>
      <c r="O2459" s="106" t="str">
        <f t="shared" si="77"/>
        <v>Faltando Comprar</v>
      </c>
    </row>
    <row r="2460" spans="1:15" ht="31.5">
      <c r="A2460" s="16" t="s">
        <v>17</v>
      </c>
      <c r="B2460" s="16" t="s">
        <v>24</v>
      </c>
      <c r="C2460" s="17" t="s">
        <v>19</v>
      </c>
      <c r="D2460" s="18" t="s">
        <v>1411</v>
      </c>
      <c r="E2460" s="18">
        <v>10</v>
      </c>
      <c r="F2460" s="18" t="s">
        <v>21</v>
      </c>
      <c r="G2460" s="18" t="s">
        <v>22</v>
      </c>
      <c r="H2460" s="18" t="s">
        <v>23</v>
      </c>
      <c r="I2460" s="19">
        <v>379.68</v>
      </c>
      <c r="J2460" s="20">
        <f t="shared" si="76"/>
        <v>3796.8</v>
      </c>
      <c r="K2460" s="106"/>
      <c r="L2460" s="114"/>
      <c r="M2460" s="114">
        <f>tblAquisições[[#This Row],[VALOR UNITARIO COMPRADO]]*tblAquisições[[#This Row],[QUANTIDADE COMPRADA]]</f>
        <v>0</v>
      </c>
      <c r="N2460" s="110">
        <f>K2460-tblAquisições[[#This Row],[QUANTIDADE PLANEJADA]]</f>
        <v>-10</v>
      </c>
      <c r="O2460" s="106" t="str">
        <f t="shared" si="77"/>
        <v>Faltando Comprar</v>
      </c>
    </row>
    <row r="2461" spans="1:15" ht="31.5">
      <c r="A2461" s="16" t="s">
        <v>17</v>
      </c>
      <c r="B2461" s="16" t="s">
        <v>25</v>
      </c>
      <c r="C2461" s="17" t="s">
        <v>19</v>
      </c>
      <c r="D2461" s="18" t="s">
        <v>1411</v>
      </c>
      <c r="E2461" s="18">
        <v>10</v>
      </c>
      <c r="F2461" s="18" t="s">
        <v>21</v>
      </c>
      <c r="G2461" s="18" t="s">
        <v>22</v>
      </c>
      <c r="H2461" s="18" t="s">
        <v>23</v>
      </c>
      <c r="I2461" s="19">
        <v>379.68</v>
      </c>
      <c r="J2461" s="20">
        <f t="shared" si="76"/>
        <v>3796.8</v>
      </c>
      <c r="K2461" s="106"/>
      <c r="L2461" s="114"/>
      <c r="M2461" s="114">
        <f>tblAquisições[[#This Row],[VALOR UNITARIO COMPRADO]]*tblAquisições[[#This Row],[QUANTIDADE COMPRADA]]</f>
        <v>0</v>
      </c>
      <c r="N2461" s="110">
        <f>K2461-tblAquisições[[#This Row],[QUANTIDADE PLANEJADA]]</f>
        <v>-10</v>
      </c>
      <c r="O2461" s="106" t="str">
        <f t="shared" si="77"/>
        <v>Faltando Comprar</v>
      </c>
    </row>
    <row r="2462" spans="1:15" ht="31.5">
      <c r="A2462" s="16" t="s">
        <v>17</v>
      </c>
      <c r="B2462" s="16" t="s">
        <v>41</v>
      </c>
      <c r="C2462" s="17" t="s">
        <v>19</v>
      </c>
      <c r="D2462" s="18" t="s">
        <v>1411</v>
      </c>
      <c r="E2462" s="18">
        <v>10</v>
      </c>
      <c r="F2462" s="18" t="s">
        <v>21</v>
      </c>
      <c r="G2462" s="18" t="s">
        <v>22</v>
      </c>
      <c r="H2462" s="18" t="s">
        <v>23</v>
      </c>
      <c r="I2462" s="19">
        <v>379.68</v>
      </c>
      <c r="J2462" s="20">
        <f t="shared" si="76"/>
        <v>3796.8</v>
      </c>
      <c r="K2462" s="106"/>
      <c r="L2462" s="114"/>
      <c r="M2462" s="114">
        <f>tblAquisições[[#This Row],[VALOR UNITARIO COMPRADO]]*tblAquisições[[#This Row],[QUANTIDADE COMPRADA]]</f>
        <v>0</v>
      </c>
      <c r="N2462" s="110">
        <f>K2462-tblAquisições[[#This Row],[QUANTIDADE PLANEJADA]]</f>
        <v>-10</v>
      </c>
      <c r="O2462" s="106" t="str">
        <f t="shared" si="77"/>
        <v>Faltando Comprar</v>
      </c>
    </row>
    <row r="2463" spans="1:15" ht="31.5">
      <c r="A2463" s="16" t="s">
        <v>17</v>
      </c>
      <c r="B2463" s="16" t="s">
        <v>18</v>
      </c>
      <c r="C2463" s="17" t="s">
        <v>19</v>
      </c>
      <c r="D2463" s="18" t="s">
        <v>1412</v>
      </c>
      <c r="E2463" s="18">
        <v>10</v>
      </c>
      <c r="F2463" s="18" t="s">
        <v>21</v>
      </c>
      <c r="G2463" s="18" t="s">
        <v>22</v>
      </c>
      <c r="H2463" s="18" t="s">
        <v>23</v>
      </c>
      <c r="I2463" s="19">
        <v>469.6</v>
      </c>
      <c r="J2463" s="20">
        <f t="shared" si="76"/>
        <v>4696</v>
      </c>
      <c r="K2463" s="106"/>
      <c r="L2463" s="114"/>
      <c r="M2463" s="114">
        <f>tblAquisições[[#This Row],[VALOR UNITARIO COMPRADO]]*tblAquisições[[#This Row],[QUANTIDADE COMPRADA]]</f>
        <v>0</v>
      </c>
      <c r="N2463" s="110">
        <f>K2463-tblAquisições[[#This Row],[QUANTIDADE PLANEJADA]]</f>
        <v>-10</v>
      </c>
      <c r="O2463" s="106" t="str">
        <f t="shared" si="77"/>
        <v>Faltando Comprar</v>
      </c>
    </row>
    <row r="2464" spans="1:15" ht="31.5">
      <c r="A2464" s="16" t="s">
        <v>17</v>
      </c>
      <c r="B2464" s="16" t="s">
        <v>24</v>
      </c>
      <c r="C2464" s="17" t="s">
        <v>19</v>
      </c>
      <c r="D2464" s="18" t="s">
        <v>1412</v>
      </c>
      <c r="E2464" s="18">
        <v>10</v>
      </c>
      <c r="F2464" s="18" t="s">
        <v>21</v>
      </c>
      <c r="G2464" s="18" t="s">
        <v>22</v>
      </c>
      <c r="H2464" s="18" t="s">
        <v>23</v>
      </c>
      <c r="I2464" s="19">
        <v>469.6</v>
      </c>
      <c r="J2464" s="20">
        <f t="shared" si="76"/>
        <v>4696</v>
      </c>
      <c r="K2464" s="106"/>
      <c r="L2464" s="114"/>
      <c r="M2464" s="114">
        <f>tblAquisições[[#This Row],[VALOR UNITARIO COMPRADO]]*tblAquisições[[#This Row],[QUANTIDADE COMPRADA]]</f>
        <v>0</v>
      </c>
      <c r="N2464" s="110">
        <f>K2464-tblAquisições[[#This Row],[QUANTIDADE PLANEJADA]]</f>
        <v>-10</v>
      </c>
      <c r="O2464" s="106" t="str">
        <f t="shared" si="77"/>
        <v>Faltando Comprar</v>
      </c>
    </row>
    <row r="2465" spans="1:15" ht="31.5">
      <c r="A2465" s="16" t="s">
        <v>17</v>
      </c>
      <c r="B2465" s="16" t="s">
        <v>25</v>
      </c>
      <c r="C2465" s="17" t="s">
        <v>19</v>
      </c>
      <c r="D2465" s="18" t="s">
        <v>1412</v>
      </c>
      <c r="E2465" s="18">
        <v>10</v>
      </c>
      <c r="F2465" s="18" t="s">
        <v>21</v>
      </c>
      <c r="G2465" s="18" t="s">
        <v>22</v>
      </c>
      <c r="H2465" s="18" t="s">
        <v>23</v>
      </c>
      <c r="I2465" s="19">
        <v>469.6</v>
      </c>
      <c r="J2465" s="20">
        <f t="shared" si="76"/>
        <v>4696</v>
      </c>
      <c r="K2465" s="106"/>
      <c r="L2465" s="114"/>
      <c r="M2465" s="114">
        <f>tblAquisições[[#This Row],[VALOR UNITARIO COMPRADO]]*tblAquisições[[#This Row],[QUANTIDADE COMPRADA]]</f>
        <v>0</v>
      </c>
      <c r="N2465" s="110">
        <f>K2465-tblAquisições[[#This Row],[QUANTIDADE PLANEJADA]]</f>
        <v>-10</v>
      </c>
      <c r="O2465" s="106" t="str">
        <f t="shared" si="77"/>
        <v>Faltando Comprar</v>
      </c>
    </row>
    <row r="2466" spans="1:15" ht="31.5">
      <c r="A2466" s="16" t="s">
        <v>17</v>
      </c>
      <c r="B2466" s="16" t="s">
        <v>41</v>
      </c>
      <c r="C2466" s="17" t="s">
        <v>19</v>
      </c>
      <c r="D2466" s="18" t="s">
        <v>1412</v>
      </c>
      <c r="E2466" s="18">
        <v>10</v>
      </c>
      <c r="F2466" s="18" t="s">
        <v>21</v>
      </c>
      <c r="G2466" s="18" t="s">
        <v>22</v>
      </c>
      <c r="H2466" s="18" t="s">
        <v>23</v>
      </c>
      <c r="I2466" s="19">
        <v>469.6</v>
      </c>
      <c r="J2466" s="20">
        <f t="shared" si="76"/>
        <v>4696</v>
      </c>
      <c r="K2466" s="106"/>
      <c r="L2466" s="114"/>
      <c r="M2466" s="114">
        <f>tblAquisições[[#This Row],[VALOR UNITARIO COMPRADO]]*tblAquisições[[#This Row],[QUANTIDADE COMPRADA]]</f>
        <v>0</v>
      </c>
      <c r="N2466" s="110">
        <f>K2466-tblAquisições[[#This Row],[QUANTIDADE PLANEJADA]]</f>
        <v>-10</v>
      </c>
      <c r="O2466" s="106" t="str">
        <f t="shared" si="77"/>
        <v>Faltando Comprar</v>
      </c>
    </row>
    <row r="2467" spans="1:15" ht="31.5">
      <c r="A2467" s="16" t="s">
        <v>17</v>
      </c>
      <c r="B2467" s="16" t="s">
        <v>18</v>
      </c>
      <c r="C2467" s="17" t="s">
        <v>19</v>
      </c>
      <c r="D2467" s="18" t="s">
        <v>1413</v>
      </c>
      <c r="E2467" s="18">
        <v>10</v>
      </c>
      <c r="F2467" s="18" t="s">
        <v>21</v>
      </c>
      <c r="G2467" s="18" t="s">
        <v>22</v>
      </c>
      <c r="H2467" s="18" t="s">
        <v>23</v>
      </c>
      <c r="I2467" s="19">
        <v>800</v>
      </c>
      <c r="J2467" s="20">
        <f t="shared" si="76"/>
        <v>8000</v>
      </c>
      <c r="K2467" s="106"/>
      <c r="L2467" s="114"/>
      <c r="M2467" s="114">
        <f>tblAquisições[[#This Row],[VALOR UNITARIO COMPRADO]]*tblAquisições[[#This Row],[QUANTIDADE COMPRADA]]</f>
        <v>0</v>
      </c>
      <c r="N2467" s="110">
        <f>K2467-tblAquisições[[#This Row],[QUANTIDADE PLANEJADA]]</f>
        <v>-10</v>
      </c>
      <c r="O2467" s="106" t="str">
        <f t="shared" si="77"/>
        <v>Faltando Comprar</v>
      </c>
    </row>
    <row r="2468" spans="1:15" ht="31.5">
      <c r="A2468" s="16" t="s">
        <v>17</v>
      </c>
      <c r="B2468" s="16" t="s">
        <v>24</v>
      </c>
      <c r="C2468" s="17" t="s">
        <v>19</v>
      </c>
      <c r="D2468" s="18" t="s">
        <v>1413</v>
      </c>
      <c r="E2468" s="18">
        <v>10</v>
      </c>
      <c r="F2468" s="18" t="s">
        <v>21</v>
      </c>
      <c r="G2468" s="18" t="s">
        <v>22</v>
      </c>
      <c r="H2468" s="18" t="s">
        <v>23</v>
      </c>
      <c r="I2468" s="19">
        <v>800</v>
      </c>
      <c r="J2468" s="20">
        <f t="shared" si="76"/>
        <v>8000</v>
      </c>
      <c r="K2468" s="106"/>
      <c r="L2468" s="114"/>
      <c r="M2468" s="114">
        <f>tblAquisições[[#This Row],[VALOR UNITARIO COMPRADO]]*tblAquisições[[#This Row],[QUANTIDADE COMPRADA]]</f>
        <v>0</v>
      </c>
      <c r="N2468" s="110">
        <f>K2468-tblAquisições[[#This Row],[QUANTIDADE PLANEJADA]]</f>
        <v>-10</v>
      </c>
      <c r="O2468" s="106" t="str">
        <f t="shared" si="77"/>
        <v>Faltando Comprar</v>
      </c>
    </row>
    <row r="2469" spans="1:15" ht="31.5">
      <c r="A2469" s="16" t="s">
        <v>17</v>
      </c>
      <c r="B2469" s="16" t="s">
        <v>25</v>
      </c>
      <c r="C2469" s="17" t="s">
        <v>19</v>
      </c>
      <c r="D2469" s="18" t="s">
        <v>1413</v>
      </c>
      <c r="E2469" s="18">
        <v>10</v>
      </c>
      <c r="F2469" s="18" t="s">
        <v>21</v>
      </c>
      <c r="G2469" s="18" t="s">
        <v>22</v>
      </c>
      <c r="H2469" s="18" t="s">
        <v>23</v>
      </c>
      <c r="I2469" s="19">
        <v>800</v>
      </c>
      <c r="J2469" s="20">
        <f t="shared" si="76"/>
        <v>8000</v>
      </c>
      <c r="K2469" s="106"/>
      <c r="L2469" s="114"/>
      <c r="M2469" s="114">
        <f>tblAquisições[[#This Row],[VALOR UNITARIO COMPRADO]]*tblAquisições[[#This Row],[QUANTIDADE COMPRADA]]</f>
        <v>0</v>
      </c>
      <c r="N2469" s="110">
        <f>K2469-tblAquisições[[#This Row],[QUANTIDADE PLANEJADA]]</f>
        <v>-10</v>
      </c>
      <c r="O2469" s="106" t="str">
        <f t="shared" si="77"/>
        <v>Faltando Comprar</v>
      </c>
    </row>
    <row r="2470" spans="1:15" ht="31.5">
      <c r="A2470" s="16" t="s">
        <v>17</v>
      </c>
      <c r="B2470" s="16" t="s">
        <v>41</v>
      </c>
      <c r="C2470" s="17" t="s">
        <v>19</v>
      </c>
      <c r="D2470" s="18" t="s">
        <v>1413</v>
      </c>
      <c r="E2470" s="18">
        <v>10</v>
      </c>
      <c r="F2470" s="18" t="s">
        <v>21</v>
      </c>
      <c r="G2470" s="18" t="s">
        <v>22</v>
      </c>
      <c r="H2470" s="18" t="s">
        <v>23</v>
      </c>
      <c r="I2470" s="19">
        <v>800</v>
      </c>
      <c r="J2470" s="20">
        <f t="shared" si="76"/>
        <v>8000</v>
      </c>
      <c r="K2470" s="106"/>
      <c r="L2470" s="114"/>
      <c r="M2470" s="114">
        <f>tblAquisições[[#This Row],[VALOR UNITARIO COMPRADO]]*tblAquisições[[#This Row],[QUANTIDADE COMPRADA]]</f>
        <v>0</v>
      </c>
      <c r="N2470" s="110">
        <f>K2470-tblAquisições[[#This Row],[QUANTIDADE PLANEJADA]]</f>
        <v>-10</v>
      </c>
      <c r="O2470" s="106" t="str">
        <f t="shared" si="77"/>
        <v>Faltando Comprar</v>
      </c>
    </row>
    <row r="2471" spans="1:15" ht="31.5">
      <c r="A2471" s="16" t="s">
        <v>17</v>
      </c>
      <c r="B2471" s="16" t="s">
        <v>31</v>
      </c>
      <c r="C2471" s="17" t="s">
        <v>19</v>
      </c>
      <c r="D2471" s="18" t="s">
        <v>1414</v>
      </c>
      <c r="E2471" s="18">
        <v>7</v>
      </c>
      <c r="F2471" s="18" t="s">
        <v>21</v>
      </c>
      <c r="G2471" s="18" t="s">
        <v>22</v>
      </c>
      <c r="H2471" s="18" t="s">
        <v>23</v>
      </c>
      <c r="I2471" s="19">
        <v>717.12</v>
      </c>
      <c r="J2471" s="20">
        <f t="shared" si="76"/>
        <v>5019.84</v>
      </c>
      <c r="K2471" s="106"/>
      <c r="L2471" s="114"/>
      <c r="M2471" s="114">
        <f>tblAquisições[[#This Row],[VALOR UNITARIO COMPRADO]]*tblAquisições[[#This Row],[QUANTIDADE COMPRADA]]</f>
        <v>0</v>
      </c>
      <c r="N2471" s="110">
        <f>K2471-tblAquisições[[#This Row],[QUANTIDADE PLANEJADA]]</f>
        <v>-7</v>
      </c>
      <c r="O2471" s="106" t="str">
        <f t="shared" si="77"/>
        <v>Faltando Comprar</v>
      </c>
    </row>
    <row r="2472" spans="1:15" ht="31.5">
      <c r="A2472" s="16" t="s">
        <v>17</v>
      </c>
      <c r="B2472" s="16" t="s">
        <v>18</v>
      </c>
      <c r="C2472" s="17" t="s">
        <v>19</v>
      </c>
      <c r="D2472" s="18" t="s">
        <v>1414</v>
      </c>
      <c r="E2472" s="18">
        <v>10</v>
      </c>
      <c r="F2472" s="18" t="s">
        <v>21</v>
      </c>
      <c r="G2472" s="18" t="s">
        <v>22</v>
      </c>
      <c r="H2472" s="18" t="s">
        <v>23</v>
      </c>
      <c r="I2472" s="19">
        <v>717.12</v>
      </c>
      <c r="J2472" s="20">
        <f t="shared" si="76"/>
        <v>7171.2</v>
      </c>
      <c r="K2472" s="106"/>
      <c r="L2472" s="114"/>
      <c r="M2472" s="114">
        <f>tblAquisições[[#This Row],[VALOR UNITARIO COMPRADO]]*tblAquisições[[#This Row],[QUANTIDADE COMPRADA]]</f>
        <v>0</v>
      </c>
      <c r="N2472" s="110">
        <f>K2472-tblAquisições[[#This Row],[QUANTIDADE PLANEJADA]]</f>
        <v>-10</v>
      </c>
      <c r="O2472" s="106" t="str">
        <f t="shared" si="77"/>
        <v>Faltando Comprar</v>
      </c>
    </row>
    <row r="2473" spans="1:15" ht="31.5">
      <c r="A2473" s="16" t="s">
        <v>17</v>
      </c>
      <c r="B2473" s="16" t="s">
        <v>24</v>
      </c>
      <c r="C2473" s="17" t="s">
        <v>19</v>
      </c>
      <c r="D2473" s="18" t="s">
        <v>1414</v>
      </c>
      <c r="E2473" s="18">
        <v>10</v>
      </c>
      <c r="F2473" s="18" t="s">
        <v>21</v>
      </c>
      <c r="G2473" s="18" t="s">
        <v>22</v>
      </c>
      <c r="H2473" s="18" t="s">
        <v>23</v>
      </c>
      <c r="I2473" s="19">
        <v>717.12</v>
      </c>
      <c r="J2473" s="20">
        <f t="shared" si="76"/>
        <v>7171.2</v>
      </c>
      <c r="K2473" s="106"/>
      <c r="L2473" s="114"/>
      <c r="M2473" s="114">
        <f>tblAquisições[[#This Row],[VALOR UNITARIO COMPRADO]]*tblAquisições[[#This Row],[QUANTIDADE COMPRADA]]</f>
        <v>0</v>
      </c>
      <c r="N2473" s="110">
        <f>K2473-tblAquisições[[#This Row],[QUANTIDADE PLANEJADA]]</f>
        <v>-10</v>
      </c>
      <c r="O2473" s="106" t="str">
        <f t="shared" si="77"/>
        <v>Faltando Comprar</v>
      </c>
    </row>
    <row r="2474" spans="1:15" ht="31.5">
      <c r="A2474" s="16" t="s">
        <v>17</v>
      </c>
      <c r="B2474" s="16" t="s">
        <v>25</v>
      </c>
      <c r="C2474" s="17" t="s">
        <v>19</v>
      </c>
      <c r="D2474" s="18" t="s">
        <v>1414</v>
      </c>
      <c r="E2474" s="18">
        <v>10</v>
      </c>
      <c r="F2474" s="18" t="s">
        <v>21</v>
      </c>
      <c r="G2474" s="18" t="s">
        <v>22</v>
      </c>
      <c r="H2474" s="18" t="s">
        <v>23</v>
      </c>
      <c r="I2474" s="19">
        <v>717.12</v>
      </c>
      <c r="J2474" s="20">
        <f t="shared" si="76"/>
        <v>7171.2</v>
      </c>
      <c r="K2474" s="106"/>
      <c r="L2474" s="114"/>
      <c r="M2474" s="114">
        <f>tblAquisições[[#This Row],[VALOR UNITARIO COMPRADO]]*tblAquisições[[#This Row],[QUANTIDADE COMPRADA]]</f>
        <v>0</v>
      </c>
      <c r="N2474" s="110">
        <f>K2474-tblAquisições[[#This Row],[QUANTIDADE PLANEJADA]]</f>
        <v>-10</v>
      </c>
      <c r="O2474" s="106" t="str">
        <f t="shared" si="77"/>
        <v>Faltando Comprar</v>
      </c>
    </row>
    <row r="2475" spans="1:15" ht="31.5">
      <c r="A2475" s="16" t="s">
        <v>17</v>
      </c>
      <c r="B2475" s="16" t="s">
        <v>41</v>
      </c>
      <c r="C2475" s="17" t="s">
        <v>19</v>
      </c>
      <c r="D2475" s="18" t="s">
        <v>1414</v>
      </c>
      <c r="E2475" s="18">
        <v>10</v>
      </c>
      <c r="F2475" s="18" t="s">
        <v>21</v>
      </c>
      <c r="G2475" s="18" t="s">
        <v>22</v>
      </c>
      <c r="H2475" s="18" t="s">
        <v>23</v>
      </c>
      <c r="I2475" s="19">
        <v>717.12</v>
      </c>
      <c r="J2475" s="20">
        <f t="shared" si="76"/>
        <v>7171.2</v>
      </c>
      <c r="K2475" s="106"/>
      <c r="L2475" s="114"/>
      <c r="M2475" s="114">
        <f>tblAquisições[[#This Row],[VALOR UNITARIO COMPRADO]]*tblAquisições[[#This Row],[QUANTIDADE COMPRADA]]</f>
        <v>0</v>
      </c>
      <c r="N2475" s="110">
        <f>K2475-tblAquisições[[#This Row],[QUANTIDADE PLANEJADA]]</f>
        <v>-10</v>
      </c>
      <c r="O2475" s="106" t="str">
        <f t="shared" si="77"/>
        <v>Faltando Comprar</v>
      </c>
    </row>
    <row r="2476" spans="1:15" ht="31.5">
      <c r="A2476" s="16" t="s">
        <v>17</v>
      </c>
      <c r="B2476" s="16" t="s">
        <v>27</v>
      </c>
      <c r="C2476" s="17" t="s">
        <v>19</v>
      </c>
      <c r="D2476" s="18" t="s">
        <v>1414</v>
      </c>
      <c r="E2476" s="18">
        <v>10</v>
      </c>
      <c r="F2476" s="18" t="s">
        <v>21</v>
      </c>
      <c r="G2476" s="18" t="s">
        <v>22</v>
      </c>
      <c r="H2476" s="18" t="s">
        <v>23</v>
      </c>
      <c r="I2476" s="19">
        <v>717.12</v>
      </c>
      <c r="J2476" s="20">
        <f t="shared" si="76"/>
        <v>7171.2</v>
      </c>
      <c r="K2476" s="106"/>
      <c r="L2476" s="114"/>
      <c r="M2476" s="114">
        <f>tblAquisições[[#This Row],[VALOR UNITARIO COMPRADO]]*tblAquisições[[#This Row],[QUANTIDADE COMPRADA]]</f>
        <v>0</v>
      </c>
      <c r="N2476" s="110">
        <f>K2476-tblAquisições[[#This Row],[QUANTIDADE PLANEJADA]]</f>
        <v>-10</v>
      </c>
      <c r="O2476" s="106" t="str">
        <f t="shared" si="77"/>
        <v>Faltando Comprar</v>
      </c>
    </row>
    <row r="2477" spans="1:15" ht="63">
      <c r="A2477" s="16" t="s">
        <v>17</v>
      </c>
      <c r="B2477" s="16" t="s">
        <v>80</v>
      </c>
      <c r="C2477" s="17" t="s">
        <v>19</v>
      </c>
      <c r="D2477" s="18" t="s">
        <v>1415</v>
      </c>
      <c r="E2477" s="18">
        <v>22500</v>
      </c>
      <c r="F2477" s="18" t="s">
        <v>1416</v>
      </c>
      <c r="G2477" s="18" t="s">
        <v>39</v>
      </c>
      <c r="H2477" s="18" t="s">
        <v>23</v>
      </c>
      <c r="I2477" s="19">
        <v>193.33</v>
      </c>
      <c r="J2477" s="20">
        <f t="shared" si="76"/>
        <v>4349925</v>
      </c>
      <c r="K2477" s="106"/>
      <c r="L2477" s="114"/>
      <c r="M2477" s="114">
        <f>tblAquisições[[#This Row],[VALOR UNITARIO COMPRADO]]*tblAquisições[[#This Row],[QUANTIDADE COMPRADA]]</f>
        <v>0</v>
      </c>
      <c r="N2477" s="110">
        <f>K2477-tblAquisições[[#This Row],[QUANTIDADE PLANEJADA]]</f>
        <v>-22500</v>
      </c>
      <c r="O2477" s="106" t="str">
        <f t="shared" si="77"/>
        <v>Faltando Comprar</v>
      </c>
    </row>
    <row r="2478" spans="1:15" ht="47.25">
      <c r="A2478" s="16" t="s">
        <v>17</v>
      </c>
      <c r="B2478" s="16" t="s">
        <v>18</v>
      </c>
      <c r="C2478" s="17" t="s">
        <v>19</v>
      </c>
      <c r="D2478" s="18" t="s">
        <v>1417</v>
      </c>
      <c r="E2478" s="18">
        <v>27312</v>
      </c>
      <c r="F2478" s="18" t="s">
        <v>118</v>
      </c>
      <c r="G2478" s="18" t="s">
        <v>22</v>
      </c>
      <c r="H2478" s="18" t="s">
        <v>23</v>
      </c>
      <c r="I2478" s="19">
        <v>193.33</v>
      </c>
      <c r="J2478" s="20">
        <f t="shared" si="76"/>
        <v>5280228.96</v>
      </c>
      <c r="K2478" s="106"/>
      <c r="L2478" s="114"/>
      <c r="M2478" s="114">
        <f>tblAquisições[[#This Row],[VALOR UNITARIO COMPRADO]]*tblAquisições[[#This Row],[QUANTIDADE COMPRADA]]</f>
        <v>0</v>
      </c>
      <c r="N2478" s="110">
        <f>K2478-tblAquisições[[#This Row],[QUANTIDADE PLANEJADA]]</f>
        <v>-27312</v>
      </c>
      <c r="O2478" s="106" t="str">
        <f t="shared" si="77"/>
        <v>Faltando Comprar</v>
      </c>
    </row>
    <row r="2479" spans="1:15" ht="47.25">
      <c r="A2479" s="16" t="s">
        <v>17</v>
      </c>
      <c r="B2479" s="16" t="s">
        <v>24</v>
      </c>
      <c r="C2479" s="17" t="s">
        <v>19</v>
      </c>
      <c r="D2479" s="18" t="s">
        <v>1417</v>
      </c>
      <c r="E2479" s="18">
        <v>27312</v>
      </c>
      <c r="F2479" s="18" t="s">
        <v>118</v>
      </c>
      <c r="G2479" s="18" t="s">
        <v>22</v>
      </c>
      <c r="H2479" s="18" t="s">
        <v>23</v>
      </c>
      <c r="I2479" s="19">
        <v>193.33</v>
      </c>
      <c r="J2479" s="20">
        <f t="shared" si="76"/>
        <v>5280228.96</v>
      </c>
      <c r="K2479" s="106"/>
      <c r="L2479" s="114"/>
      <c r="M2479" s="114">
        <f>tblAquisições[[#This Row],[VALOR UNITARIO COMPRADO]]*tblAquisições[[#This Row],[QUANTIDADE COMPRADA]]</f>
        <v>0</v>
      </c>
      <c r="N2479" s="110">
        <f>K2479-tblAquisições[[#This Row],[QUANTIDADE PLANEJADA]]</f>
        <v>-27312</v>
      </c>
      <c r="O2479" s="106" t="str">
        <f t="shared" si="77"/>
        <v>Faltando Comprar</v>
      </c>
    </row>
    <row r="2480" spans="1:15" ht="47.25">
      <c r="A2480" s="16" t="s">
        <v>17</v>
      </c>
      <c r="B2480" s="16" t="s">
        <v>41</v>
      </c>
      <c r="C2480" s="17" t="s">
        <v>19</v>
      </c>
      <c r="D2480" s="18" t="s">
        <v>1417</v>
      </c>
      <c r="E2480" s="18">
        <v>18000</v>
      </c>
      <c r="F2480" s="18" t="s">
        <v>118</v>
      </c>
      <c r="G2480" s="18" t="s">
        <v>22</v>
      </c>
      <c r="H2480" s="18" t="s">
        <v>23</v>
      </c>
      <c r="I2480" s="19">
        <v>193.33</v>
      </c>
      <c r="J2480" s="20">
        <f t="shared" si="76"/>
        <v>3479940</v>
      </c>
      <c r="K2480" s="106"/>
      <c r="L2480" s="114"/>
      <c r="M2480" s="114">
        <f>tblAquisições[[#This Row],[VALOR UNITARIO COMPRADO]]*tblAquisições[[#This Row],[QUANTIDADE COMPRADA]]</f>
        <v>0</v>
      </c>
      <c r="N2480" s="110">
        <f>K2480-tblAquisições[[#This Row],[QUANTIDADE PLANEJADA]]</f>
        <v>-18000</v>
      </c>
      <c r="O2480" s="106" t="str">
        <f t="shared" si="77"/>
        <v>Faltando Comprar</v>
      </c>
    </row>
    <row r="2481" spans="1:15" ht="47.25">
      <c r="A2481" s="16" t="s">
        <v>17</v>
      </c>
      <c r="B2481" s="16" t="s">
        <v>18</v>
      </c>
      <c r="C2481" s="17" t="s">
        <v>19</v>
      </c>
      <c r="D2481" s="18" t="s">
        <v>1418</v>
      </c>
      <c r="E2481" s="18">
        <v>12</v>
      </c>
      <c r="F2481" s="18" t="s">
        <v>391</v>
      </c>
      <c r="G2481" s="18" t="s">
        <v>22</v>
      </c>
      <c r="H2481" s="18" t="s">
        <v>23</v>
      </c>
      <c r="I2481" s="19">
        <v>236.27</v>
      </c>
      <c r="J2481" s="20">
        <f t="shared" si="76"/>
        <v>2835.2400000000002</v>
      </c>
      <c r="K2481" s="106"/>
      <c r="L2481" s="114"/>
      <c r="M2481" s="114">
        <f>tblAquisições[[#This Row],[VALOR UNITARIO COMPRADO]]*tblAquisições[[#This Row],[QUANTIDADE COMPRADA]]</f>
        <v>0</v>
      </c>
      <c r="N2481" s="110">
        <f>K2481-tblAquisições[[#This Row],[QUANTIDADE PLANEJADA]]</f>
        <v>-12</v>
      </c>
      <c r="O2481" s="106" t="str">
        <f t="shared" si="77"/>
        <v>Faltando Comprar</v>
      </c>
    </row>
    <row r="2482" spans="1:15" ht="47.25">
      <c r="A2482" s="16" t="s">
        <v>17</v>
      </c>
      <c r="B2482" s="16" t="s">
        <v>24</v>
      </c>
      <c r="C2482" s="17" t="s">
        <v>19</v>
      </c>
      <c r="D2482" s="18" t="s">
        <v>1418</v>
      </c>
      <c r="E2482" s="18">
        <v>12</v>
      </c>
      <c r="F2482" s="18" t="s">
        <v>391</v>
      </c>
      <c r="G2482" s="18" t="s">
        <v>22</v>
      </c>
      <c r="H2482" s="18" t="s">
        <v>23</v>
      </c>
      <c r="I2482" s="19">
        <v>236.27</v>
      </c>
      <c r="J2482" s="20">
        <f t="shared" si="76"/>
        <v>2835.2400000000002</v>
      </c>
      <c r="K2482" s="106"/>
      <c r="L2482" s="114"/>
      <c r="M2482" s="114">
        <f>tblAquisições[[#This Row],[VALOR UNITARIO COMPRADO]]*tblAquisições[[#This Row],[QUANTIDADE COMPRADA]]</f>
        <v>0</v>
      </c>
      <c r="N2482" s="110">
        <f>K2482-tblAquisições[[#This Row],[QUANTIDADE PLANEJADA]]</f>
        <v>-12</v>
      </c>
      <c r="O2482" s="106" t="str">
        <f t="shared" si="77"/>
        <v>Faltando Comprar</v>
      </c>
    </row>
    <row r="2483" spans="1:15" ht="47.25">
      <c r="A2483" s="16" t="s">
        <v>17</v>
      </c>
      <c r="B2483" s="16" t="s">
        <v>25</v>
      </c>
      <c r="C2483" s="17" t="s">
        <v>19</v>
      </c>
      <c r="D2483" s="18" t="s">
        <v>1418</v>
      </c>
      <c r="E2483" s="18">
        <v>12</v>
      </c>
      <c r="F2483" s="18" t="s">
        <v>391</v>
      </c>
      <c r="G2483" s="18" t="s">
        <v>22</v>
      </c>
      <c r="H2483" s="18" t="s">
        <v>23</v>
      </c>
      <c r="I2483" s="19">
        <v>236.27</v>
      </c>
      <c r="J2483" s="20">
        <f t="shared" si="76"/>
        <v>2835.2400000000002</v>
      </c>
      <c r="K2483" s="106"/>
      <c r="L2483" s="114"/>
      <c r="M2483" s="114">
        <f>tblAquisições[[#This Row],[VALOR UNITARIO COMPRADO]]*tblAquisições[[#This Row],[QUANTIDADE COMPRADA]]</f>
        <v>0</v>
      </c>
      <c r="N2483" s="110">
        <f>K2483-tblAquisições[[#This Row],[QUANTIDADE PLANEJADA]]</f>
        <v>-12</v>
      </c>
      <c r="O2483" s="106" t="str">
        <f t="shared" si="77"/>
        <v>Faltando Comprar</v>
      </c>
    </row>
    <row r="2484" spans="1:15" ht="47.25">
      <c r="A2484" s="16" t="s">
        <v>17</v>
      </c>
      <c r="B2484" s="16" t="s">
        <v>31</v>
      </c>
      <c r="C2484" s="17" t="s">
        <v>19</v>
      </c>
      <c r="D2484" s="18" t="s">
        <v>1419</v>
      </c>
      <c r="E2484" s="18">
        <v>2</v>
      </c>
      <c r="F2484" s="18" t="s">
        <v>391</v>
      </c>
      <c r="G2484" s="18" t="s">
        <v>22</v>
      </c>
      <c r="H2484" s="18" t="s">
        <v>23</v>
      </c>
      <c r="I2484" s="19">
        <v>600</v>
      </c>
      <c r="J2484" s="20">
        <f t="shared" si="76"/>
        <v>1200</v>
      </c>
      <c r="K2484" s="106"/>
      <c r="L2484" s="114"/>
      <c r="M2484" s="114">
        <f>tblAquisições[[#This Row],[VALOR UNITARIO COMPRADO]]*tblAquisições[[#This Row],[QUANTIDADE COMPRADA]]</f>
        <v>0</v>
      </c>
      <c r="N2484" s="110">
        <f>K2484-tblAquisições[[#This Row],[QUANTIDADE PLANEJADA]]</f>
        <v>-2</v>
      </c>
      <c r="O2484" s="106" t="str">
        <f t="shared" si="77"/>
        <v>Faltando Comprar</v>
      </c>
    </row>
    <row r="2485" spans="1:15" ht="47.25">
      <c r="A2485" s="16" t="s">
        <v>17</v>
      </c>
      <c r="B2485" s="16" t="s">
        <v>18</v>
      </c>
      <c r="C2485" s="17" t="s">
        <v>19</v>
      </c>
      <c r="D2485" s="18" t="s">
        <v>1420</v>
      </c>
      <c r="E2485" s="18">
        <v>15</v>
      </c>
      <c r="F2485" s="18" t="s">
        <v>391</v>
      </c>
      <c r="G2485" s="18" t="s">
        <v>22</v>
      </c>
      <c r="H2485" s="18" t="s">
        <v>23</v>
      </c>
      <c r="I2485" s="19">
        <v>175</v>
      </c>
      <c r="J2485" s="20">
        <f t="shared" si="76"/>
        <v>2625</v>
      </c>
      <c r="K2485" s="106"/>
      <c r="L2485" s="114"/>
      <c r="M2485" s="114">
        <f>tblAquisições[[#This Row],[VALOR UNITARIO COMPRADO]]*tblAquisições[[#This Row],[QUANTIDADE COMPRADA]]</f>
        <v>0</v>
      </c>
      <c r="N2485" s="110">
        <f>K2485-tblAquisições[[#This Row],[QUANTIDADE PLANEJADA]]</f>
        <v>-15</v>
      </c>
      <c r="O2485" s="106" t="str">
        <f t="shared" si="77"/>
        <v>Faltando Comprar</v>
      </c>
    </row>
    <row r="2486" spans="1:15" ht="47.25">
      <c r="A2486" s="16" t="s">
        <v>17</v>
      </c>
      <c r="B2486" s="16" t="s">
        <v>24</v>
      </c>
      <c r="C2486" s="17" t="s">
        <v>19</v>
      </c>
      <c r="D2486" s="18" t="s">
        <v>1420</v>
      </c>
      <c r="E2486" s="18">
        <v>15</v>
      </c>
      <c r="F2486" s="18" t="s">
        <v>391</v>
      </c>
      <c r="G2486" s="18" t="s">
        <v>22</v>
      </c>
      <c r="H2486" s="18" t="s">
        <v>23</v>
      </c>
      <c r="I2486" s="19">
        <v>175</v>
      </c>
      <c r="J2486" s="20">
        <f t="shared" si="76"/>
        <v>2625</v>
      </c>
      <c r="K2486" s="106"/>
      <c r="L2486" s="114"/>
      <c r="M2486" s="114">
        <f>tblAquisições[[#This Row],[VALOR UNITARIO COMPRADO]]*tblAquisições[[#This Row],[QUANTIDADE COMPRADA]]</f>
        <v>0</v>
      </c>
      <c r="N2486" s="110">
        <f>K2486-tblAquisições[[#This Row],[QUANTIDADE PLANEJADA]]</f>
        <v>-15</v>
      </c>
      <c r="O2486" s="106" t="str">
        <f t="shared" si="77"/>
        <v>Faltando Comprar</v>
      </c>
    </row>
    <row r="2487" spans="1:15" ht="47.25">
      <c r="A2487" s="16" t="s">
        <v>17</v>
      </c>
      <c r="B2487" s="16" t="s">
        <v>25</v>
      </c>
      <c r="C2487" s="17" t="s">
        <v>19</v>
      </c>
      <c r="D2487" s="18" t="s">
        <v>1420</v>
      </c>
      <c r="E2487" s="18">
        <v>15</v>
      </c>
      <c r="F2487" s="18" t="s">
        <v>391</v>
      </c>
      <c r="G2487" s="18" t="s">
        <v>22</v>
      </c>
      <c r="H2487" s="18" t="s">
        <v>23</v>
      </c>
      <c r="I2487" s="19">
        <v>175</v>
      </c>
      <c r="J2487" s="20">
        <f t="shared" si="76"/>
        <v>2625</v>
      </c>
      <c r="K2487" s="106"/>
      <c r="L2487" s="114"/>
      <c r="M2487" s="114">
        <f>tblAquisições[[#This Row],[VALOR UNITARIO COMPRADO]]*tblAquisições[[#This Row],[QUANTIDADE COMPRADA]]</f>
        <v>0</v>
      </c>
      <c r="N2487" s="110">
        <f>K2487-tblAquisições[[#This Row],[QUANTIDADE PLANEJADA]]</f>
        <v>-15</v>
      </c>
      <c r="O2487" s="106" t="str">
        <f t="shared" si="77"/>
        <v>Faltando Comprar</v>
      </c>
    </row>
    <row r="2488" spans="1:15" ht="47.25">
      <c r="A2488" s="16" t="s">
        <v>17</v>
      </c>
      <c r="B2488" s="16" t="s">
        <v>18</v>
      </c>
      <c r="C2488" s="17" t="s">
        <v>19</v>
      </c>
      <c r="D2488" s="18" t="s">
        <v>1421</v>
      </c>
      <c r="E2488" s="18">
        <v>5</v>
      </c>
      <c r="F2488" s="18" t="s">
        <v>391</v>
      </c>
      <c r="G2488" s="18" t="s">
        <v>22</v>
      </c>
      <c r="H2488" s="18" t="s">
        <v>23</v>
      </c>
      <c r="I2488" s="19">
        <v>400</v>
      </c>
      <c r="J2488" s="20">
        <f t="shared" si="76"/>
        <v>2000</v>
      </c>
      <c r="K2488" s="106"/>
      <c r="L2488" s="114"/>
      <c r="M2488" s="114">
        <f>tblAquisições[[#This Row],[VALOR UNITARIO COMPRADO]]*tblAquisições[[#This Row],[QUANTIDADE COMPRADA]]</f>
        <v>0</v>
      </c>
      <c r="N2488" s="110">
        <f>K2488-tblAquisições[[#This Row],[QUANTIDADE PLANEJADA]]</f>
        <v>-5</v>
      </c>
      <c r="O2488" s="106" t="str">
        <f t="shared" si="77"/>
        <v>Faltando Comprar</v>
      </c>
    </row>
    <row r="2489" spans="1:15" ht="47.25">
      <c r="A2489" s="16" t="s">
        <v>17</v>
      </c>
      <c r="B2489" s="16" t="s">
        <v>24</v>
      </c>
      <c r="C2489" s="17" t="s">
        <v>19</v>
      </c>
      <c r="D2489" s="18" t="s">
        <v>1421</v>
      </c>
      <c r="E2489" s="18">
        <v>5</v>
      </c>
      <c r="F2489" s="18" t="s">
        <v>391</v>
      </c>
      <c r="G2489" s="18" t="s">
        <v>22</v>
      </c>
      <c r="H2489" s="18" t="s">
        <v>23</v>
      </c>
      <c r="I2489" s="19">
        <v>400</v>
      </c>
      <c r="J2489" s="20">
        <f t="shared" si="76"/>
        <v>2000</v>
      </c>
      <c r="K2489" s="106"/>
      <c r="L2489" s="114"/>
      <c r="M2489" s="114">
        <f>tblAquisições[[#This Row],[VALOR UNITARIO COMPRADO]]*tblAquisições[[#This Row],[QUANTIDADE COMPRADA]]</f>
        <v>0</v>
      </c>
      <c r="N2489" s="110">
        <f>K2489-tblAquisições[[#This Row],[QUANTIDADE PLANEJADA]]</f>
        <v>-5</v>
      </c>
      <c r="O2489" s="106" t="str">
        <f t="shared" si="77"/>
        <v>Faltando Comprar</v>
      </c>
    </row>
    <row r="2490" spans="1:15" ht="47.25">
      <c r="A2490" s="16" t="s">
        <v>17</v>
      </c>
      <c r="B2490" s="16" t="s">
        <v>25</v>
      </c>
      <c r="C2490" s="17" t="s">
        <v>19</v>
      </c>
      <c r="D2490" s="18" t="s">
        <v>1421</v>
      </c>
      <c r="E2490" s="18">
        <v>5</v>
      </c>
      <c r="F2490" s="18" t="s">
        <v>391</v>
      </c>
      <c r="G2490" s="18" t="s">
        <v>22</v>
      </c>
      <c r="H2490" s="18" t="s">
        <v>23</v>
      </c>
      <c r="I2490" s="19">
        <v>400</v>
      </c>
      <c r="J2490" s="20">
        <f t="shared" si="76"/>
        <v>2000</v>
      </c>
      <c r="K2490" s="106"/>
      <c r="L2490" s="114"/>
      <c r="M2490" s="114">
        <f>tblAquisições[[#This Row],[VALOR UNITARIO COMPRADO]]*tblAquisições[[#This Row],[QUANTIDADE COMPRADA]]</f>
        <v>0</v>
      </c>
      <c r="N2490" s="110">
        <f>K2490-tblAquisições[[#This Row],[QUANTIDADE PLANEJADA]]</f>
        <v>-5</v>
      </c>
      <c r="O2490" s="106" t="str">
        <f t="shared" si="77"/>
        <v>Faltando Comprar</v>
      </c>
    </row>
    <row r="2491" spans="1:15" ht="47.25">
      <c r="A2491" s="16" t="s">
        <v>17</v>
      </c>
      <c r="B2491" s="16" t="s">
        <v>27</v>
      </c>
      <c r="C2491" s="17" t="s">
        <v>19</v>
      </c>
      <c r="D2491" s="18" t="s">
        <v>1421</v>
      </c>
      <c r="E2491" s="18">
        <v>4</v>
      </c>
      <c r="F2491" s="18" t="s">
        <v>391</v>
      </c>
      <c r="G2491" s="18" t="s">
        <v>22</v>
      </c>
      <c r="H2491" s="18" t="s">
        <v>23</v>
      </c>
      <c r="I2491" s="19">
        <v>400</v>
      </c>
      <c r="J2491" s="20">
        <f t="shared" si="76"/>
        <v>1600</v>
      </c>
      <c r="K2491" s="106"/>
      <c r="L2491" s="114"/>
      <c r="M2491" s="114">
        <f>tblAquisições[[#This Row],[VALOR UNITARIO COMPRADO]]*tblAquisições[[#This Row],[QUANTIDADE COMPRADA]]</f>
        <v>0</v>
      </c>
      <c r="N2491" s="110">
        <f>K2491-tblAquisições[[#This Row],[QUANTIDADE PLANEJADA]]</f>
        <v>-4</v>
      </c>
      <c r="O2491" s="106" t="str">
        <f t="shared" si="77"/>
        <v>Faltando Comprar</v>
      </c>
    </row>
    <row r="2492" spans="1:15" ht="47.25">
      <c r="A2492" s="16" t="s">
        <v>17</v>
      </c>
      <c r="B2492" s="16" t="s">
        <v>18</v>
      </c>
      <c r="C2492" s="17" t="s">
        <v>19</v>
      </c>
      <c r="D2492" s="18" t="s">
        <v>1422</v>
      </c>
      <c r="E2492" s="18">
        <v>20</v>
      </c>
      <c r="F2492" s="18" t="s">
        <v>391</v>
      </c>
      <c r="G2492" s="18" t="s">
        <v>22</v>
      </c>
      <c r="H2492" s="18" t="s">
        <v>23</v>
      </c>
      <c r="I2492" s="19">
        <v>105.4</v>
      </c>
      <c r="J2492" s="20">
        <f t="shared" si="76"/>
        <v>2108</v>
      </c>
      <c r="K2492" s="106"/>
      <c r="L2492" s="114"/>
      <c r="M2492" s="114">
        <f>tblAquisições[[#This Row],[VALOR UNITARIO COMPRADO]]*tblAquisições[[#This Row],[QUANTIDADE COMPRADA]]</f>
        <v>0</v>
      </c>
      <c r="N2492" s="110">
        <f>K2492-tblAquisições[[#This Row],[QUANTIDADE PLANEJADA]]</f>
        <v>-20</v>
      </c>
      <c r="O2492" s="106" t="str">
        <f t="shared" si="77"/>
        <v>Faltando Comprar</v>
      </c>
    </row>
    <row r="2493" spans="1:15" ht="47.25">
      <c r="A2493" s="16" t="s">
        <v>17</v>
      </c>
      <c r="B2493" s="16" t="s">
        <v>24</v>
      </c>
      <c r="C2493" s="17" t="s">
        <v>19</v>
      </c>
      <c r="D2493" s="18" t="s">
        <v>1422</v>
      </c>
      <c r="E2493" s="18">
        <v>20</v>
      </c>
      <c r="F2493" s="18" t="s">
        <v>391</v>
      </c>
      <c r="G2493" s="18" t="s">
        <v>22</v>
      </c>
      <c r="H2493" s="18" t="s">
        <v>23</v>
      </c>
      <c r="I2493" s="19">
        <v>105.4</v>
      </c>
      <c r="J2493" s="20">
        <f t="shared" si="76"/>
        <v>2108</v>
      </c>
      <c r="K2493" s="106"/>
      <c r="L2493" s="114"/>
      <c r="M2493" s="114">
        <f>tblAquisições[[#This Row],[VALOR UNITARIO COMPRADO]]*tblAquisições[[#This Row],[QUANTIDADE COMPRADA]]</f>
        <v>0</v>
      </c>
      <c r="N2493" s="110">
        <f>K2493-tblAquisições[[#This Row],[QUANTIDADE PLANEJADA]]</f>
        <v>-20</v>
      </c>
      <c r="O2493" s="106" t="str">
        <f t="shared" si="77"/>
        <v>Faltando Comprar</v>
      </c>
    </row>
    <row r="2494" spans="1:15" ht="47.25">
      <c r="A2494" s="16" t="s">
        <v>17</v>
      </c>
      <c r="B2494" s="16" t="s">
        <v>25</v>
      </c>
      <c r="C2494" s="17" t="s">
        <v>19</v>
      </c>
      <c r="D2494" s="18" t="s">
        <v>1422</v>
      </c>
      <c r="E2494" s="18">
        <v>20</v>
      </c>
      <c r="F2494" s="18" t="s">
        <v>391</v>
      </c>
      <c r="G2494" s="18" t="s">
        <v>22</v>
      </c>
      <c r="H2494" s="18" t="s">
        <v>23</v>
      </c>
      <c r="I2494" s="19">
        <v>105.4</v>
      </c>
      <c r="J2494" s="20">
        <f t="shared" si="76"/>
        <v>2108</v>
      </c>
      <c r="K2494" s="106"/>
      <c r="L2494" s="114"/>
      <c r="M2494" s="114">
        <f>tblAquisições[[#This Row],[VALOR UNITARIO COMPRADO]]*tblAquisições[[#This Row],[QUANTIDADE COMPRADA]]</f>
        <v>0</v>
      </c>
      <c r="N2494" s="110">
        <f>K2494-tblAquisições[[#This Row],[QUANTIDADE PLANEJADA]]</f>
        <v>-20</v>
      </c>
      <c r="O2494" s="106" t="str">
        <f t="shared" si="77"/>
        <v>Faltando Comprar</v>
      </c>
    </row>
    <row r="2495" spans="1:15" ht="47.25">
      <c r="A2495" s="16" t="s">
        <v>17</v>
      </c>
      <c r="B2495" s="16" t="s">
        <v>27</v>
      </c>
      <c r="C2495" s="17" t="s">
        <v>19</v>
      </c>
      <c r="D2495" s="18" t="s">
        <v>1422</v>
      </c>
      <c r="E2495" s="18">
        <v>20</v>
      </c>
      <c r="F2495" s="18" t="s">
        <v>391</v>
      </c>
      <c r="G2495" s="18" t="s">
        <v>22</v>
      </c>
      <c r="H2495" s="18" t="s">
        <v>23</v>
      </c>
      <c r="I2495" s="19">
        <v>105.4</v>
      </c>
      <c r="J2495" s="20">
        <f t="shared" si="76"/>
        <v>2108</v>
      </c>
      <c r="K2495" s="106"/>
      <c r="L2495" s="114"/>
      <c r="M2495" s="114">
        <f>tblAquisições[[#This Row],[VALOR UNITARIO COMPRADO]]*tblAquisições[[#This Row],[QUANTIDADE COMPRADA]]</f>
        <v>0</v>
      </c>
      <c r="N2495" s="110">
        <f>K2495-tblAquisições[[#This Row],[QUANTIDADE PLANEJADA]]</f>
        <v>-20</v>
      </c>
      <c r="O2495" s="106" t="str">
        <f t="shared" si="77"/>
        <v>Faltando Comprar</v>
      </c>
    </row>
    <row r="2496" spans="1:15" ht="47.25">
      <c r="A2496" s="16" t="s">
        <v>17</v>
      </c>
      <c r="B2496" s="16" t="s">
        <v>18</v>
      </c>
      <c r="C2496" s="17" t="s">
        <v>19</v>
      </c>
      <c r="D2496" s="18" t="s">
        <v>1423</v>
      </c>
      <c r="E2496" s="18">
        <v>20</v>
      </c>
      <c r="F2496" s="18" t="s">
        <v>391</v>
      </c>
      <c r="G2496" s="18" t="s">
        <v>22</v>
      </c>
      <c r="H2496" s="18" t="s">
        <v>23</v>
      </c>
      <c r="I2496" s="19">
        <v>62.99</v>
      </c>
      <c r="J2496" s="20">
        <f t="shared" si="76"/>
        <v>1259.8</v>
      </c>
      <c r="K2496" s="106"/>
      <c r="L2496" s="114"/>
      <c r="M2496" s="114">
        <f>tblAquisições[[#This Row],[VALOR UNITARIO COMPRADO]]*tblAquisições[[#This Row],[QUANTIDADE COMPRADA]]</f>
        <v>0</v>
      </c>
      <c r="N2496" s="110">
        <f>K2496-tblAquisições[[#This Row],[QUANTIDADE PLANEJADA]]</f>
        <v>-20</v>
      </c>
      <c r="O2496" s="106" t="str">
        <f t="shared" si="77"/>
        <v>Faltando Comprar</v>
      </c>
    </row>
    <row r="2497" spans="1:15" ht="47.25">
      <c r="A2497" s="16" t="s">
        <v>17</v>
      </c>
      <c r="B2497" s="16" t="s">
        <v>24</v>
      </c>
      <c r="C2497" s="17" t="s">
        <v>19</v>
      </c>
      <c r="D2497" s="18" t="s">
        <v>1423</v>
      </c>
      <c r="E2497" s="18">
        <v>20</v>
      </c>
      <c r="F2497" s="18" t="s">
        <v>391</v>
      </c>
      <c r="G2497" s="18" t="s">
        <v>22</v>
      </c>
      <c r="H2497" s="18" t="s">
        <v>23</v>
      </c>
      <c r="I2497" s="19">
        <v>62.99</v>
      </c>
      <c r="J2497" s="20">
        <f t="shared" si="76"/>
        <v>1259.8</v>
      </c>
      <c r="K2497" s="106"/>
      <c r="L2497" s="114"/>
      <c r="M2497" s="114">
        <f>tblAquisições[[#This Row],[VALOR UNITARIO COMPRADO]]*tblAquisições[[#This Row],[QUANTIDADE COMPRADA]]</f>
        <v>0</v>
      </c>
      <c r="N2497" s="110">
        <f>K2497-tblAquisições[[#This Row],[QUANTIDADE PLANEJADA]]</f>
        <v>-20</v>
      </c>
      <c r="O2497" s="106" t="str">
        <f t="shared" si="77"/>
        <v>Faltando Comprar</v>
      </c>
    </row>
    <row r="2498" spans="1:15" ht="47.25">
      <c r="A2498" s="16" t="s">
        <v>17</v>
      </c>
      <c r="B2498" s="16" t="s">
        <v>25</v>
      </c>
      <c r="C2498" s="17" t="s">
        <v>19</v>
      </c>
      <c r="D2498" s="18" t="s">
        <v>1423</v>
      </c>
      <c r="E2498" s="18">
        <v>20</v>
      </c>
      <c r="F2498" s="18" t="s">
        <v>391</v>
      </c>
      <c r="G2498" s="18" t="s">
        <v>22</v>
      </c>
      <c r="H2498" s="18" t="s">
        <v>23</v>
      </c>
      <c r="I2498" s="19">
        <v>62.99</v>
      </c>
      <c r="J2498" s="20">
        <f t="shared" ref="J2498:J2561" si="78">E2498*I2498</f>
        <v>1259.8</v>
      </c>
      <c r="K2498" s="106"/>
      <c r="L2498" s="114"/>
      <c r="M2498" s="114">
        <f>tblAquisições[[#This Row],[VALOR UNITARIO COMPRADO]]*tblAquisições[[#This Row],[QUANTIDADE COMPRADA]]</f>
        <v>0</v>
      </c>
      <c r="N2498" s="110">
        <f>K2498-tblAquisições[[#This Row],[QUANTIDADE PLANEJADA]]</f>
        <v>-20</v>
      </c>
      <c r="O2498" s="106" t="str">
        <f t="shared" ref="O2498:O2561" si="79">IF(K2498=E2498,"OK",IF(K2498&lt;E2498,"Faltando Comprar","Excedente"))</f>
        <v>Faltando Comprar</v>
      </c>
    </row>
    <row r="2499" spans="1:15" ht="47.25">
      <c r="A2499" s="16" t="s">
        <v>17</v>
      </c>
      <c r="B2499" s="16" t="s">
        <v>27</v>
      </c>
      <c r="C2499" s="17" t="s">
        <v>19</v>
      </c>
      <c r="D2499" s="18" t="s">
        <v>1423</v>
      </c>
      <c r="E2499" s="18">
        <v>20</v>
      </c>
      <c r="F2499" s="18" t="s">
        <v>391</v>
      </c>
      <c r="G2499" s="18" t="s">
        <v>22</v>
      </c>
      <c r="H2499" s="18" t="s">
        <v>23</v>
      </c>
      <c r="I2499" s="19">
        <v>62.99</v>
      </c>
      <c r="J2499" s="20">
        <f t="shared" si="78"/>
        <v>1259.8</v>
      </c>
      <c r="K2499" s="106"/>
      <c r="L2499" s="114"/>
      <c r="M2499" s="114">
        <f>tblAquisições[[#This Row],[VALOR UNITARIO COMPRADO]]*tblAquisições[[#This Row],[QUANTIDADE COMPRADA]]</f>
        <v>0</v>
      </c>
      <c r="N2499" s="110">
        <f>K2499-tblAquisições[[#This Row],[QUANTIDADE PLANEJADA]]</f>
        <v>-20</v>
      </c>
      <c r="O2499" s="106" t="str">
        <f t="shared" si="79"/>
        <v>Faltando Comprar</v>
      </c>
    </row>
    <row r="2500" spans="1:15" ht="47.25">
      <c r="A2500" s="16" t="s">
        <v>17</v>
      </c>
      <c r="B2500" s="16" t="s">
        <v>18</v>
      </c>
      <c r="C2500" s="17" t="s">
        <v>19</v>
      </c>
      <c r="D2500" s="18" t="s">
        <v>1424</v>
      </c>
      <c r="E2500" s="18">
        <v>5</v>
      </c>
      <c r="F2500" s="18" t="s">
        <v>391</v>
      </c>
      <c r="G2500" s="18" t="s">
        <v>22</v>
      </c>
      <c r="H2500" s="18" t="s">
        <v>23</v>
      </c>
      <c r="I2500" s="19">
        <v>1500</v>
      </c>
      <c r="J2500" s="20">
        <f t="shared" si="78"/>
        <v>7500</v>
      </c>
      <c r="K2500" s="106"/>
      <c r="L2500" s="114"/>
      <c r="M2500" s="114">
        <f>tblAquisições[[#This Row],[VALOR UNITARIO COMPRADO]]*tblAquisições[[#This Row],[QUANTIDADE COMPRADA]]</f>
        <v>0</v>
      </c>
      <c r="N2500" s="110">
        <f>K2500-tblAquisições[[#This Row],[QUANTIDADE PLANEJADA]]</f>
        <v>-5</v>
      </c>
      <c r="O2500" s="106" t="str">
        <f t="shared" si="79"/>
        <v>Faltando Comprar</v>
      </c>
    </row>
    <row r="2501" spans="1:15" ht="47.25">
      <c r="A2501" s="16" t="s">
        <v>17</v>
      </c>
      <c r="B2501" s="16" t="s">
        <v>24</v>
      </c>
      <c r="C2501" s="17" t="s">
        <v>19</v>
      </c>
      <c r="D2501" s="18" t="s">
        <v>1424</v>
      </c>
      <c r="E2501" s="18">
        <v>5</v>
      </c>
      <c r="F2501" s="18" t="s">
        <v>391</v>
      </c>
      <c r="G2501" s="18" t="s">
        <v>22</v>
      </c>
      <c r="H2501" s="18" t="s">
        <v>23</v>
      </c>
      <c r="I2501" s="19">
        <v>1500</v>
      </c>
      <c r="J2501" s="20">
        <f t="shared" si="78"/>
        <v>7500</v>
      </c>
      <c r="K2501" s="106"/>
      <c r="L2501" s="114"/>
      <c r="M2501" s="114">
        <f>tblAquisições[[#This Row],[VALOR UNITARIO COMPRADO]]*tblAquisições[[#This Row],[QUANTIDADE COMPRADA]]</f>
        <v>0</v>
      </c>
      <c r="N2501" s="110">
        <f>K2501-tblAquisições[[#This Row],[QUANTIDADE PLANEJADA]]</f>
        <v>-5</v>
      </c>
      <c r="O2501" s="106" t="str">
        <f t="shared" si="79"/>
        <v>Faltando Comprar</v>
      </c>
    </row>
    <row r="2502" spans="1:15" ht="47.25">
      <c r="A2502" s="16" t="s">
        <v>17</v>
      </c>
      <c r="B2502" s="16" t="s">
        <v>25</v>
      </c>
      <c r="C2502" s="17" t="s">
        <v>19</v>
      </c>
      <c r="D2502" s="18" t="s">
        <v>1424</v>
      </c>
      <c r="E2502" s="18">
        <v>5</v>
      </c>
      <c r="F2502" s="18" t="s">
        <v>391</v>
      </c>
      <c r="G2502" s="18" t="s">
        <v>22</v>
      </c>
      <c r="H2502" s="18" t="s">
        <v>23</v>
      </c>
      <c r="I2502" s="19">
        <v>1500</v>
      </c>
      <c r="J2502" s="20">
        <f t="shared" si="78"/>
        <v>7500</v>
      </c>
      <c r="K2502" s="106"/>
      <c r="L2502" s="114"/>
      <c r="M2502" s="114">
        <f>tblAquisições[[#This Row],[VALOR UNITARIO COMPRADO]]*tblAquisições[[#This Row],[QUANTIDADE COMPRADA]]</f>
        <v>0</v>
      </c>
      <c r="N2502" s="110">
        <f>K2502-tblAquisições[[#This Row],[QUANTIDADE PLANEJADA]]</f>
        <v>-5</v>
      </c>
      <c r="O2502" s="106" t="str">
        <f t="shared" si="79"/>
        <v>Faltando Comprar</v>
      </c>
    </row>
    <row r="2503" spans="1:15" ht="47.25">
      <c r="A2503" s="26" t="s">
        <v>17</v>
      </c>
      <c r="B2503" s="26" t="s">
        <v>31</v>
      </c>
      <c r="C2503" s="17" t="s">
        <v>19</v>
      </c>
      <c r="D2503" s="27" t="s">
        <v>1425</v>
      </c>
      <c r="E2503" s="27">
        <v>5</v>
      </c>
      <c r="F2503" s="27" t="s">
        <v>391</v>
      </c>
      <c r="G2503" s="27" t="s">
        <v>22</v>
      </c>
      <c r="H2503" s="27" t="s">
        <v>23</v>
      </c>
      <c r="I2503" s="29">
        <v>4323.5600000000004</v>
      </c>
      <c r="J2503" s="20">
        <f t="shared" si="78"/>
        <v>21617.800000000003</v>
      </c>
      <c r="K2503" s="106"/>
      <c r="L2503" s="114"/>
      <c r="M2503" s="114">
        <f>tblAquisições[[#This Row],[VALOR UNITARIO COMPRADO]]*tblAquisições[[#This Row],[QUANTIDADE COMPRADA]]</f>
        <v>0</v>
      </c>
      <c r="N2503" s="110">
        <f>K2503-tblAquisições[[#This Row],[QUANTIDADE PLANEJADA]]</f>
        <v>-5</v>
      </c>
      <c r="O2503" s="106" t="str">
        <f t="shared" si="79"/>
        <v>Faltando Comprar</v>
      </c>
    </row>
    <row r="2504" spans="1:15" ht="47.25">
      <c r="A2504" s="26" t="s">
        <v>17</v>
      </c>
      <c r="B2504" s="26" t="s">
        <v>27</v>
      </c>
      <c r="C2504" s="17" t="s">
        <v>19</v>
      </c>
      <c r="D2504" s="27" t="s">
        <v>1425</v>
      </c>
      <c r="E2504" s="27">
        <v>10</v>
      </c>
      <c r="F2504" s="27" t="s">
        <v>391</v>
      </c>
      <c r="G2504" s="27" t="s">
        <v>22</v>
      </c>
      <c r="H2504" s="27" t="s">
        <v>23</v>
      </c>
      <c r="I2504" s="29">
        <v>4323.5600000000004</v>
      </c>
      <c r="J2504" s="20">
        <f t="shared" si="78"/>
        <v>43235.600000000006</v>
      </c>
      <c r="K2504" s="106"/>
      <c r="L2504" s="114"/>
      <c r="M2504" s="114">
        <f>tblAquisições[[#This Row],[VALOR UNITARIO COMPRADO]]*tblAquisições[[#This Row],[QUANTIDADE COMPRADA]]</f>
        <v>0</v>
      </c>
      <c r="N2504" s="110">
        <f>K2504-tblAquisições[[#This Row],[QUANTIDADE PLANEJADA]]</f>
        <v>-10</v>
      </c>
      <c r="O2504" s="106" t="str">
        <f t="shared" si="79"/>
        <v>Faltando Comprar</v>
      </c>
    </row>
    <row r="2505" spans="1:15" ht="47.25">
      <c r="A2505" s="26" t="s">
        <v>17</v>
      </c>
      <c r="B2505" s="26" t="s">
        <v>31</v>
      </c>
      <c r="C2505" s="17" t="s">
        <v>19</v>
      </c>
      <c r="D2505" s="27" t="s">
        <v>1426</v>
      </c>
      <c r="E2505" s="27">
        <v>4</v>
      </c>
      <c r="F2505" s="27" t="s">
        <v>391</v>
      </c>
      <c r="G2505" s="27" t="s">
        <v>22</v>
      </c>
      <c r="H2505" s="27" t="s">
        <v>23</v>
      </c>
      <c r="I2505" s="28">
        <v>217.66</v>
      </c>
      <c r="J2505" s="20">
        <f t="shared" si="78"/>
        <v>870.64</v>
      </c>
      <c r="K2505" s="106"/>
      <c r="L2505" s="114"/>
      <c r="M2505" s="114">
        <f>tblAquisições[[#This Row],[VALOR UNITARIO COMPRADO]]*tblAquisições[[#This Row],[QUANTIDADE COMPRADA]]</f>
        <v>0</v>
      </c>
      <c r="N2505" s="110">
        <f>K2505-tblAquisições[[#This Row],[QUANTIDADE PLANEJADA]]</f>
        <v>-4</v>
      </c>
      <c r="O2505" s="106" t="str">
        <f t="shared" si="79"/>
        <v>Faltando Comprar</v>
      </c>
    </row>
    <row r="2506" spans="1:15" ht="47.25">
      <c r="A2506" s="26" t="s">
        <v>17</v>
      </c>
      <c r="B2506" s="26" t="s">
        <v>27</v>
      </c>
      <c r="C2506" s="17" t="s">
        <v>19</v>
      </c>
      <c r="D2506" s="27" t="s">
        <v>1426</v>
      </c>
      <c r="E2506" s="27">
        <v>10</v>
      </c>
      <c r="F2506" s="27" t="s">
        <v>391</v>
      </c>
      <c r="G2506" s="27" t="s">
        <v>22</v>
      </c>
      <c r="H2506" s="27" t="s">
        <v>23</v>
      </c>
      <c r="I2506" s="28">
        <v>217.66</v>
      </c>
      <c r="J2506" s="20">
        <f t="shared" si="78"/>
        <v>2176.6</v>
      </c>
      <c r="K2506" s="106"/>
      <c r="L2506" s="114"/>
      <c r="M2506" s="114">
        <f>tblAquisições[[#This Row],[VALOR UNITARIO COMPRADO]]*tblAquisições[[#This Row],[QUANTIDADE COMPRADA]]</f>
        <v>0</v>
      </c>
      <c r="N2506" s="110">
        <f>K2506-tblAquisições[[#This Row],[QUANTIDADE PLANEJADA]]</f>
        <v>-10</v>
      </c>
      <c r="O2506" s="106" t="str">
        <f t="shared" si="79"/>
        <v>Faltando Comprar</v>
      </c>
    </row>
    <row r="2507" spans="1:15" ht="47.25">
      <c r="A2507" s="26" t="s">
        <v>17</v>
      </c>
      <c r="B2507" s="26" t="s">
        <v>31</v>
      </c>
      <c r="C2507" s="17" t="s">
        <v>19</v>
      </c>
      <c r="D2507" s="27" t="s">
        <v>1427</v>
      </c>
      <c r="E2507" s="27">
        <v>4</v>
      </c>
      <c r="F2507" s="27" t="s">
        <v>391</v>
      </c>
      <c r="G2507" s="27" t="s">
        <v>22</v>
      </c>
      <c r="H2507" s="27" t="s">
        <v>23</v>
      </c>
      <c r="I2507" s="29">
        <v>10750</v>
      </c>
      <c r="J2507" s="20">
        <f t="shared" si="78"/>
        <v>43000</v>
      </c>
      <c r="K2507" s="106"/>
      <c r="L2507" s="114"/>
      <c r="M2507" s="114">
        <f>tblAquisições[[#This Row],[VALOR UNITARIO COMPRADO]]*tblAquisições[[#This Row],[QUANTIDADE COMPRADA]]</f>
        <v>0</v>
      </c>
      <c r="N2507" s="110">
        <f>K2507-tblAquisições[[#This Row],[QUANTIDADE PLANEJADA]]</f>
        <v>-4</v>
      </c>
      <c r="O2507" s="106" t="str">
        <f t="shared" si="79"/>
        <v>Faltando Comprar</v>
      </c>
    </row>
    <row r="2508" spans="1:15" ht="47.25">
      <c r="A2508" s="26" t="s">
        <v>17</v>
      </c>
      <c r="B2508" s="26" t="s">
        <v>27</v>
      </c>
      <c r="C2508" s="17" t="s">
        <v>19</v>
      </c>
      <c r="D2508" s="27" t="s">
        <v>1427</v>
      </c>
      <c r="E2508" s="27">
        <v>10</v>
      </c>
      <c r="F2508" s="27" t="s">
        <v>391</v>
      </c>
      <c r="G2508" s="27" t="s">
        <v>22</v>
      </c>
      <c r="H2508" s="27" t="s">
        <v>23</v>
      </c>
      <c r="I2508" s="29">
        <v>10750</v>
      </c>
      <c r="J2508" s="20">
        <f t="shared" si="78"/>
        <v>107500</v>
      </c>
      <c r="K2508" s="106"/>
      <c r="L2508" s="114"/>
      <c r="M2508" s="114">
        <f>tblAquisições[[#This Row],[VALOR UNITARIO COMPRADO]]*tblAquisições[[#This Row],[QUANTIDADE COMPRADA]]</f>
        <v>0</v>
      </c>
      <c r="N2508" s="110">
        <f>K2508-tblAquisições[[#This Row],[QUANTIDADE PLANEJADA]]</f>
        <v>-10</v>
      </c>
      <c r="O2508" s="106" t="str">
        <f t="shared" si="79"/>
        <v>Faltando Comprar</v>
      </c>
    </row>
    <row r="2509" spans="1:15" ht="47.25">
      <c r="A2509" s="16" t="s">
        <v>17</v>
      </c>
      <c r="B2509" s="16" t="s">
        <v>27</v>
      </c>
      <c r="C2509" s="17" t="s">
        <v>19</v>
      </c>
      <c r="D2509" s="18" t="s">
        <v>1428</v>
      </c>
      <c r="E2509" s="18">
        <v>15</v>
      </c>
      <c r="F2509" s="18" t="s">
        <v>391</v>
      </c>
      <c r="G2509" s="18" t="s">
        <v>22</v>
      </c>
      <c r="H2509" s="18" t="s">
        <v>23</v>
      </c>
      <c r="I2509" s="19">
        <v>351.81</v>
      </c>
      <c r="J2509" s="20">
        <f t="shared" si="78"/>
        <v>5277.15</v>
      </c>
      <c r="K2509" s="106"/>
      <c r="L2509" s="114"/>
      <c r="M2509" s="114">
        <f>tblAquisições[[#This Row],[VALOR UNITARIO COMPRADO]]*tblAquisições[[#This Row],[QUANTIDADE COMPRADA]]</f>
        <v>0</v>
      </c>
      <c r="N2509" s="110">
        <f>K2509-tblAquisições[[#This Row],[QUANTIDADE PLANEJADA]]</f>
        <v>-15</v>
      </c>
      <c r="O2509" s="106" t="str">
        <f t="shared" si="79"/>
        <v>Faltando Comprar</v>
      </c>
    </row>
    <row r="2510" spans="1:15" ht="47.25">
      <c r="A2510" s="26" t="s">
        <v>17</v>
      </c>
      <c r="B2510" s="26" t="s">
        <v>31</v>
      </c>
      <c r="C2510" s="17" t="s">
        <v>19</v>
      </c>
      <c r="D2510" s="27" t="s">
        <v>1429</v>
      </c>
      <c r="E2510" s="27">
        <v>5</v>
      </c>
      <c r="F2510" s="27" t="s">
        <v>391</v>
      </c>
      <c r="G2510" s="27" t="s">
        <v>22</v>
      </c>
      <c r="H2510" s="27" t="s">
        <v>23</v>
      </c>
      <c r="I2510" s="29">
        <v>4834.37</v>
      </c>
      <c r="J2510" s="20">
        <f t="shared" si="78"/>
        <v>24171.85</v>
      </c>
      <c r="K2510" s="106"/>
      <c r="L2510" s="114"/>
      <c r="M2510" s="114">
        <f>tblAquisições[[#This Row],[VALOR UNITARIO COMPRADO]]*tblAquisições[[#This Row],[QUANTIDADE COMPRADA]]</f>
        <v>0</v>
      </c>
      <c r="N2510" s="110">
        <f>K2510-tblAquisições[[#This Row],[QUANTIDADE PLANEJADA]]</f>
        <v>-5</v>
      </c>
      <c r="O2510" s="106" t="str">
        <f t="shared" si="79"/>
        <v>Faltando Comprar</v>
      </c>
    </row>
    <row r="2511" spans="1:15" ht="47.25">
      <c r="A2511" s="26" t="s">
        <v>17</v>
      </c>
      <c r="B2511" s="26" t="s">
        <v>31</v>
      </c>
      <c r="C2511" s="17" t="s">
        <v>19</v>
      </c>
      <c r="D2511" s="27" t="s">
        <v>1430</v>
      </c>
      <c r="E2511" s="27">
        <v>4</v>
      </c>
      <c r="F2511" s="27" t="s">
        <v>391</v>
      </c>
      <c r="G2511" s="27" t="s">
        <v>22</v>
      </c>
      <c r="H2511" s="27" t="s">
        <v>23</v>
      </c>
      <c r="I2511" s="30">
        <v>1850</v>
      </c>
      <c r="J2511" s="20">
        <f t="shared" si="78"/>
        <v>7400</v>
      </c>
      <c r="K2511" s="106"/>
      <c r="L2511" s="114"/>
      <c r="M2511" s="114">
        <f>tblAquisições[[#This Row],[VALOR UNITARIO COMPRADO]]*tblAquisições[[#This Row],[QUANTIDADE COMPRADA]]</f>
        <v>0</v>
      </c>
      <c r="N2511" s="110">
        <f>K2511-tblAquisições[[#This Row],[QUANTIDADE PLANEJADA]]</f>
        <v>-4</v>
      </c>
      <c r="O2511" s="106" t="str">
        <f t="shared" si="79"/>
        <v>Faltando Comprar</v>
      </c>
    </row>
    <row r="2512" spans="1:15" ht="47.25">
      <c r="A2512" s="26" t="s">
        <v>17</v>
      </c>
      <c r="B2512" s="26" t="s">
        <v>31</v>
      </c>
      <c r="C2512" s="17" t="s">
        <v>19</v>
      </c>
      <c r="D2512" s="27" t="s">
        <v>1431</v>
      </c>
      <c r="E2512" s="27">
        <v>4</v>
      </c>
      <c r="F2512" s="27" t="s">
        <v>391</v>
      </c>
      <c r="G2512" s="27" t="s">
        <v>22</v>
      </c>
      <c r="H2512" s="27" t="s">
        <v>23</v>
      </c>
      <c r="I2512" s="29">
        <v>14000</v>
      </c>
      <c r="J2512" s="20">
        <f t="shared" si="78"/>
        <v>56000</v>
      </c>
      <c r="K2512" s="106"/>
      <c r="L2512" s="114"/>
      <c r="M2512" s="114">
        <f>tblAquisições[[#This Row],[VALOR UNITARIO COMPRADO]]*tblAquisições[[#This Row],[QUANTIDADE COMPRADA]]</f>
        <v>0</v>
      </c>
      <c r="N2512" s="110">
        <f>K2512-tblAquisições[[#This Row],[QUANTIDADE PLANEJADA]]</f>
        <v>-4</v>
      </c>
      <c r="O2512" s="106" t="str">
        <f t="shared" si="79"/>
        <v>Faltando Comprar</v>
      </c>
    </row>
    <row r="2513" spans="1:15" ht="47.25">
      <c r="A2513" s="16" t="s">
        <v>17</v>
      </c>
      <c r="B2513" s="16" t="s">
        <v>31</v>
      </c>
      <c r="C2513" s="17" t="s">
        <v>19</v>
      </c>
      <c r="D2513" s="18" t="s">
        <v>1432</v>
      </c>
      <c r="E2513" s="18">
        <v>10</v>
      </c>
      <c r="F2513" s="18" t="s">
        <v>391</v>
      </c>
      <c r="G2513" s="18" t="s">
        <v>22</v>
      </c>
      <c r="H2513" s="18" t="s">
        <v>23</v>
      </c>
      <c r="I2513" s="19">
        <v>400</v>
      </c>
      <c r="J2513" s="20">
        <f t="shared" si="78"/>
        <v>4000</v>
      </c>
      <c r="K2513" s="106"/>
      <c r="L2513" s="114"/>
      <c r="M2513" s="114">
        <f>tblAquisições[[#This Row],[VALOR UNITARIO COMPRADO]]*tblAquisições[[#This Row],[QUANTIDADE COMPRADA]]</f>
        <v>0</v>
      </c>
      <c r="N2513" s="110">
        <f>K2513-tblAquisições[[#This Row],[QUANTIDADE PLANEJADA]]</f>
        <v>-10</v>
      </c>
      <c r="O2513" s="106" t="str">
        <f t="shared" si="79"/>
        <v>Faltando Comprar</v>
      </c>
    </row>
    <row r="2514" spans="1:15" ht="47.25">
      <c r="A2514" s="26" t="s">
        <v>17</v>
      </c>
      <c r="B2514" s="26" t="s">
        <v>31</v>
      </c>
      <c r="C2514" s="17" t="s">
        <v>19</v>
      </c>
      <c r="D2514" s="27" t="s">
        <v>1433</v>
      </c>
      <c r="E2514" s="27">
        <v>10</v>
      </c>
      <c r="F2514" s="27" t="s">
        <v>391</v>
      </c>
      <c r="G2514" s="27" t="s">
        <v>22</v>
      </c>
      <c r="H2514" s="27" t="s">
        <v>23</v>
      </c>
      <c r="I2514" s="29">
        <v>23.23</v>
      </c>
      <c r="J2514" s="20">
        <f t="shared" si="78"/>
        <v>232.3</v>
      </c>
      <c r="K2514" s="106"/>
      <c r="L2514" s="114"/>
      <c r="M2514" s="114">
        <f>tblAquisições[[#This Row],[VALOR UNITARIO COMPRADO]]*tblAquisições[[#This Row],[QUANTIDADE COMPRADA]]</f>
        <v>0</v>
      </c>
      <c r="N2514" s="110">
        <f>K2514-tblAquisições[[#This Row],[QUANTIDADE PLANEJADA]]</f>
        <v>-10</v>
      </c>
      <c r="O2514" s="106" t="str">
        <f t="shared" si="79"/>
        <v>Faltando Comprar</v>
      </c>
    </row>
    <row r="2515" spans="1:15" ht="47.25">
      <c r="A2515" s="26" t="s">
        <v>17</v>
      </c>
      <c r="B2515" s="26" t="s">
        <v>18</v>
      </c>
      <c r="C2515" s="17" t="s">
        <v>19</v>
      </c>
      <c r="D2515" s="27" t="s">
        <v>1434</v>
      </c>
      <c r="E2515" s="27">
        <v>2</v>
      </c>
      <c r="F2515" s="27" t="s">
        <v>391</v>
      </c>
      <c r="G2515" s="27" t="s">
        <v>22</v>
      </c>
      <c r="H2515" s="27" t="s">
        <v>23</v>
      </c>
      <c r="I2515" s="29">
        <v>1907.21</v>
      </c>
      <c r="J2515" s="20">
        <f t="shared" si="78"/>
        <v>3814.42</v>
      </c>
      <c r="K2515" s="106"/>
      <c r="L2515" s="114"/>
      <c r="M2515" s="114">
        <f>tblAquisições[[#This Row],[VALOR UNITARIO COMPRADO]]*tblAquisições[[#This Row],[QUANTIDADE COMPRADA]]</f>
        <v>0</v>
      </c>
      <c r="N2515" s="110">
        <f>K2515-tblAquisições[[#This Row],[QUANTIDADE PLANEJADA]]</f>
        <v>-2</v>
      </c>
      <c r="O2515" s="106" t="str">
        <f t="shared" si="79"/>
        <v>Faltando Comprar</v>
      </c>
    </row>
    <row r="2516" spans="1:15" ht="47.25">
      <c r="A2516" s="26" t="s">
        <v>17</v>
      </c>
      <c r="B2516" s="26" t="s">
        <v>24</v>
      </c>
      <c r="C2516" s="17" t="s">
        <v>19</v>
      </c>
      <c r="D2516" s="27" t="s">
        <v>1434</v>
      </c>
      <c r="E2516" s="27">
        <v>2</v>
      </c>
      <c r="F2516" s="27" t="s">
        <v>391</v>
      </c>
      <c r="G2516" s="27" t="s">
        <v>22</v>
      </c>
      <c r="H2516" s="27" t="s">
        <v>23</v>
      </c>
      <c r="I2516" s="29">
        <v>1907.21</v>
      </c>
      <c r="J2516" s="20">
        <f t="shared" si="78"/>
        <v>3814.42</v>
      </c>
      <c r="K2516" s="106"/>
      <c r="L2516" s="114"/>
      <c r="M2516" s="114">
        <f>tblAquisições[[#This Row],[VALOR UNITARIO COMPRADO]]*tblAquisições[[#This Row],[QUANTIDADE COMPRADA]]</f>
        <v>0</v>
      </c>
      <c r="N2516" s="110">
        <f>K2516-tblAquisições[[#This Row],[QUANTIDADE PLANEJADA]]</f>
        <v>-2</v>
      </c>
      <c r="O2516" s="106" t="str">
        <f t="shared" si="79"/>
        <v>Faltando Comprar</v>
      </c>
    </row>
    <row r="2517" spans="1:15" ht="47.25">
      <c r="A2517" s="26" t="s">
        <v>17</v>
      </c>
      <c r="B2517" s="26" t="s">
        <v>25</v>
      </c>
      <c r="C2517" s="17" t="s">
        <v>19</v>
      </c>
      <c r="D2517" s="27" t="s">
        <v>1434</v>
      </c>
      <c r="E2517" s="27">
        <v>2</v>
      </c>
      <c r="F2517" s="27" t="s">
        <v>391</v>
      </c>
      <c r="G2517" s="27" t="s">
        <v>22</v>
      </c>
      <c r="H2517" s="27" t="s">
        <v>23</v>
      </c>
      <c r="I2517" s="29">
        <v>1907.21</v>
      </c>
      <c r="J2517" s="20">
        <f t="shared" si="78"/>
        <v>3814.42</v>
      </c>
      <c r="K2517" s="106"/>
      <c r="L2517" s="114"/>
      <c r="M2517" s="114">
        <f>tblAquisições[[#This Row],[VALOR UNITARIO COMPRADO]]*tblAquisições[[#This Row],[QUANTIDADE COMPRADA]]</f>
        <v>0</v>
      </c>
      <c r="N2517" s="110">
        <f>K2517-tblAquisições[[#This Row],[QUANTIDADE PLANEJADA]]</f>
        <v>-2</v>
      </c>
      <c r="O2517" s="106" t="str">
        <f t="shared" si="79"/>
        <v>Faltando Comprar</v>
      </c>
    </row>
    <row r="2518" spans="1:15" ht="47.25">
      <c r="A2518" s="26" t="s">
        <v>17</v>
      </c>
      <c r="B2518" s="26" t="s">
        <v>18</v>
      </c>
      <c r="C2518" s="17" t="s">
        <v>19</v>
      </c>
      <c r="D2518" s="27" t="s">
        <v>1435</v>
      </c>
      <c r="E2518" s="27">
        <v>10</v>
      </c>
      <c r="F2518" s="27" t="s">
        <v>391</v>
      </c>
      <c r="G2518" s="27" t="s">
        <v>22</v>
      </c>
      <c r="H2518" s="27" t="s">
        <v>23</v>
      </c>
      <c r="I2518" s="31">
        <v>86.31</v>
      </c>
      <c r="J2518" s="20">
        <f t="shared" si="78"/>
        <v>863.1</v>
      </c>
      <c r="K2518" s="106"/>
      <c r="L2518" s="114"/>
      <c r="M2518" s="114">
        <f>tblAquisições[[#This Row],[VALOR UNITARIO COMPRADO]]*tblAquisições[[#This Row],[QUANTIDADE COMPRADA]]</f>
        <v>0</v>
      </c>
      <c r="N2518" s="110">
        <f>K2518-tblAquisições[[#This Row],[QUANTIDADE PLANEJADA]]</f>
        <v>-10</v>
      </c>
      <c r="O2518" s="106" t="str">
        <f t="shared" si="79"/>
        <v>Faltando Comprar</v>
      </c>
    </row>
    <row r="2519" spans="1:15" ht="47.25">
      <c r="A2519" s="26" t="s">
        <v>17</v>
      </c>
      <c r="B2519" s="26" t="s">
        <v>24</v>
      </c>
      <c r="C2519" s="17" t="s">
        <v>19</v>
      </c>
      <c r="D2519" s="27" t="s">
        <v>1435</v>
      </c>
      <c r="E2519" s="27">
        <v>10</v>
      </c>
      <c r="F2519" s="27" t="s">
        <v>391</v>
      </c>
      <c r="G2519" s="27" t="s">
        <v>22</v>
      </c>
      <c r="H2519" s="27" t="s">
        <v>23</v>
      </c>
      <c r="I2519" s="29">
        <v>86.31</v>
      </c>
      <c r="J2519" s="20">
        <f t="shared" si="78"/>
        <v>863.1</v>
      </c>
      <c r="K2519" s="106"/>
      <c r="L2519" s="114"/>
      <c r="M2519" s="114">
        <f>tblAquisições[[#This Row],[VALOR UNITARIO COMPRADO]]*tblAquisições[[#This Row],[QUANTIDADE COMPRADA]]</f>
        <v>0</v>
      </c>
      <c r="N2519" s="110">
        <f>K2519-tblAquisições[[#This Row],[QUANTIDADE PLANEJADA]]</f>
        <v>-10</v>
      </c>
      <c r="O2519" s="106" t="str">
        <f t="shared" si="79"/>
        <v>Faltando Comprar</v>
      </c>
    </row>
    <row r="2520" spans="1:15" ht="47.25">
      <c r="A2520" s="26" t="s">
        <v>17</v>
      </c>
      <c r="B2520" s="26" t="s">
        <v>25</v>
      </c>
      <c r="C2520" s="17" t="s">
        <v>19</v>
      </c>
      <c r="D2520" s="27" t="s">
        <v>1435</v>
      </c>
      <c r="E2520" s="27">
        <v>10</v>
      </c>
      <c r="F2520" s="27" t="s">
        <v>391</v>
      </c>
      <c r="G2520" s="27" t="s">
        <v>22</v>
      </c>
      <c r="H2520" s="27" t="s">
        <v>23</v>
      </c>
      <c r="I2520" s="29">
        <v>86.31</v>
      </c>
      <c r="J2520" s="20">
        <f t="shared" si="78"/>
        <v>863.1</v>
      </c>
      <c r="K2520" s="106"/>
      <c r="L2520" s="114"/>
      <c r="M2520" s="114">
        <f>tblAquisições[[#This Row],[VALOR UNITARIO COMPRADO]]*tblAquisições[[#This Row],[QUANTIDADE COMPRADA]]</f>
        <v>0</v>
      </c>
      <c r="N2520" s="110">
        <f>K2520-tblAquisições[[#This Row],[QUANTIDADE PLANEJADA]]</f>
        <v>-10</v>
      </c>
      <c r="O2520" s="106" t="str">
        <f t="shared" si="79"/>
        <v>Faltando Comprar</v>
      </c>
    </row>
    <row r="2521" spans="1:15" ht="47.25">
      <c r="A2521" s="16" t="s">
        <v>17</v>
      </c>
      <c r="B2521" s="16" t="s">
        <v>18</v>
      </c>
      <c r="C2521" s="17" t="s">
        <v>19</v>
      </c>
      <c r="D2521" s="18" t="s">
        <v>1436</v>
      </c>
      <c r="E2521" s="18">
        <v>10</v>
      </c>
      <c r="F2521" s="18" t="s">
        <v>391</v>
      </c>
      <c r="G2521" s="18" t="s">
        <v>22</v>
      </c>
      <c r="H2521" s="18" t="s">
        <v>23</v>
      </c>
      <c r="I2521" s="19">
        <v>86.31</v>
      </c>
      <c r="J2521" s="20">
        <f t="shared" si="78"/>
        <v>863.1</v>
      </c>
      <c r="K2521" s="106"/>
      <c r="L2521" s="114"/>
      <c r="M2521" s="114">
        <f>tblAquisições[[#This Row],[VALOR UNITARIO COMPRADO]]*tblAquisições[[#This Row],[QUANTIDADE COMPRADA]]</f>
        <v>0</v>
      </c>
      <c r="N2521" s="110">
        <f>K2521-tblAquisições[[#This Row],[QUANTIDADE PLANEJADA]]</f>
        <v>-10</v>
      </c>
      <c r="O2521" s="106" t="str">
        <f t="shared" si="79"/>
        <v>Faltando Comprar</v>
      </c>
    </row>
    <row r="2522" spans="1:15" ht="47.25">
      <c r="A2522" s="16" t="s">
        <v>17</v>
      </c>
      <c r="B2522" s="16" t="s">
        <v>24</v>
      </c>
      <c r="C2522" s="17" t="s">
        <v>19</v>
      </c>
      <c r="D2522" s="18" t="s">
        <v>1436</v>
      </c>
      <c r="E2522" s="18">
        <v>10</v>
      </c>
      <c r="F2522" s="18" t="s">
        <v>391</v>
      </c>
      <c r="G2522" s="18" t="s">
        <v>22</v>
      </c>
      <c r="H2522" s="18" t="s">
        <v>23</v>
      </c>
      <c r="I2522" s="19">
        <v>86.31</v>
      </c>
      <c r="J2522" s="20">
        <f t="shared" si="78"/>
        <v>863.1</v>
      </c>
      <c r="K2522" s="106"/>
      <c r="L2522" s="114"/>
      <c r="M2522" s="114">
        <f>tblAquisições[[#This Row],[VALOR UNITARIO COMPRADO]]*tblAquisições[[#This Row],[QUANTIDADE COMPRADA]]</f>
        <v>0</v>
      </c>
      <c r="N2522" s="110">
        <f>K2522-tblAquisições[[#This Row],[QUANTIDADE PLANEJADA]]</f>
        <v>-10</v>
      </c>
      <c r="O2522" s="106" t="str">
        <f t="shared" si="79"/>
        <v>Faltando Comprar</v>
      </c>
    </row>
    <row r="2523" spans="1:15" ht="47.25">
      <c r="A2523" s="16" t="s">
        <v>17</v>
      </c>
      <c r="B2523" s="16" t="s">
        <v>25</v>
      </c>
      <c r="C2523" s="17" t="s">
        <v>19</v>
      </c>
      <c r="D2523" s="18" t="s">
        <v>1436</v>
      </c>
      <c r="E2523" s="18">
        <v>10</v>
      </c>
      <c r="F2523" s="18" t="s">
        <v>391</v>
      </c>
      <c r="G2523" s="18" t="s">
        <v>22</v>
      </c>
      <c r="H2523" s="18" t="s">
        <v>23</v>
      </c>
      <c r="I2523" s="19">
        <v>86.31</v>
      </c>
      <c r="J2523" s="20">
        <f t="shared" si="78"/>
        <v>863.1</v>
      </c>
      <c r="K2523" s="106"/>
      <c r="L2523" s="114"/>
      <c r="M2523" s="114">
        <f>tblAquisições[[#This Row],[VALOR UNITARIO COMPRADO]]*tblAquisições[[#This Row],[QUANTIDADE COMPRADA]]</f>
        <v>0</v>
      </c>
      <c r="N2523" s="110">
        <f>K2523-tblAquisições[[#This Row],[QUANTIDADE PLANEJADA]]</f>
        <v>-10</v>
      </c>
      <c r="O2523" s="106" t="str">
        <f t="shared" si="79"/>
        <v>Faltando Comprar</v>
      </c>
    </row>
    <row r="2524" spans="1:15" ht="47.25">
      <c r="A2524" s="26" t="s">
        <v>17</v>
      </c>
      <c r="B2524" s="26" t="s">
        <v>27</v>
      </c>
      <c r="C2524" s="17" t="s">
        <v>19</v>
      </c>
      <c r="D2524" s="27" t="s">
        <v>1437</v>
      </c>
      <c r="E2524" s="27">
        <v>1</v>
      </c>
      <c r="F2524" s="27" t="s">
        <v>391</v>
      </c>
      <c r="G2524" s="27" t="s">
        <v>22</v>
      </c>
      <c r="H2524" s="27" t="s">
        <v>23</v>
      </c>
      <c r="I2524" s="29">
        <v>7247.69</v>
      </c>
      <c r="J2524" s="20">
        <f t="shared" si="78"/>
        <v>7247.69</v>
      </c>
      <c r="K2524" s="106"/>
      <c r="L2524" s="114"/>
      <c r="M2524" s="114">
        <f>tblAquisições[[#This Row],[VALOR UNITARIO COMPRADO]]*tblAquisições[[#This Row],[QUANTIDADE COMPRADA]]</f>
        <v>0</v>
      </c>
      <c r="N2524" s="110">
        <f>K2524-tblAquisições[[#This Row],[QUANTIDADE PLANEJADA]]</f>
        <v>-1</v>
      </c>
      <c r="O2524" s="106" t="str">
        <f t="shared" si="79"/>
        <v>Faltando Comprar</v>
      </c>
    </row>
    <row r="2525" spans="1:15" ht="47.25">
      <c r="A2525" s="16" t="s">
        <v>17</v>
      </c>
      <c r="B2525" s="16" t="s">
        <v>31</v>
      </c>
      <c r="C2525" s="17" t="s">
        <v>19</v>
      </c>
      <c r="D2525" s="18" t="s">
        <v>1438</v>
      </c>
      <c r="E2525" s="18">
        <v>4</v>
      </c>
      <c r="F2525" s="18" t="s">
        <v>391</v>
      </c>
      <c r="G2525" s="18" t="s">
        <v>22</v>
      </c>
      <c r="H2525" s="18" t="s">
        <v>23</v>
      </c>
      <c r="I2525" s="19">
        <v>4000</v>
      </c>
      <c r="J2525" s="20">
        <f t="shared" si="78"/>
        <v>16000</v>
      </c>
      <c r="K2525" s="106"/>
      <c r="L2525" s="114"/>
      <c r="M2525" s="114">
        <f>tblAquisições[[#This Row],[VALOR UNITARIO COMPRADO]]*tblAquisições[[#This Row],[QUANTIDADE COMPRADA]]</f>
        <v>0</v>
      </c>
      <c r="N2525" s="110">
        <f>K2525-tblAquisições[[#This Row],[QUANTIDADE PLANEJADA]]</f>
        <v>-4</v>
      </c>
      <c r="O2525" s="106" t="str">
        <f t="shared" si="79"/>
        <v>Faltando Comprar</v>
      </c>
    </row>
    <row r="2526" spans="1:15" ht="47.25">
      <c r="A2526" s="16" t="s">
        <v>17</v>
      </c>
      <c r="B2526" s="16" t="s">
        <v>31</v>
      </c>
      <c r="C2526" s="17" t="s">
        <v>19</v>
      </c>
      <c r="D2526" s="18" t="s">
        <v>1439</v>
      </c>
      <c r="E2526" s="18">
        <v>10</v>
      </c>
      <c r="F2526" s="18" t="s">
        <v>391</v>
      </c>
      <c r="G2526" s="18" t="s">
        <v>22</v>
      </c>
      <c r="H2526" s="18" t="s">
        <v>23</v>
      </c>
      <c r="I2526" s="19">
        <v>232.34</v>
      </c>
      <c r="J2526" s="20">
        <f t="shared" si="78"/>
        <v>2323.4</v>
      </c>
      <c r="K2526" s="106"/>
      <c r="L2526" s="114"/>
      <c r="M2526" s="114">
        <f>tblAquisições[[#This Row],[VALOR UNITARIO COMPRADO]]*tblAquisições[[#This Row],[QUANTIDADE COMPRADA]]</f>
        <v>0</v>
      </c>
      <c r="N2526" s="110">
        <f>K2526-tblAquisições[[#This Row],[QUANTIDADE PLANEJADA]]</f>
        <v>-10</v>
      </c>
      <c r="O2526" s="106" t="str">
        <f t="shared" si="79"/>
        <v>Faltando Comprar</v>
      </c>
    </row>
    <row r="2527" spans="1:15" ht="47.25">
      <c r="A2527" s="16" t="s">
        <v>17</v>
      </c>
      <c r="B2527" s="16" t="s">
        <v>18</v>
      </c>
      <c r="C2527" s="17" t="s">
        <v>19</v>
      </c>
      <c r="D2527" s="18" t="s">
        <v>1440</v>
      </c>
      <c r="E2527" s="18">
        <v>3</v>
      </c>
      <c r="F2527" s="18" t="s">
        <v>391</v>
      </c>
      <c r="G2527" s="18" t="s">
        <v>22</v>
      </c>
      <c r="H2527" s="18" t="s">
        <v>23</v>
      </c>
      <c r="I2527" s="19">
        <v>1996.67</v>
      </c>
      <c r="J2527" s="20">
        <f t="shared" si="78"/>
        <v>5990.01</v>
      </c>
      <c r="K2527" s="106"/>
      <c r="L2527" s="114"/>
      <c r="M2527" s="114">
        <f>tblAquisições[[#This Row],[VALOR UNITARIO COMPRADO]]*tblAquisições[[#This Row],[QUANTIDADE COMPRADA]]</f>
        <v>0</v>
      </c>
      <c r="N2527" s="110">
        <f>K2527-tblAquisições[[#This Row],[QUANTIDADE PLANEJADA]]</f>
        <v>-3</v>
      </c>
      <c r="O2527" s="106" t="str">
        <f t="shared" si="79"/>
        <v>Faltando Comprar</v>
      </c>
    </row>
    <row r="2528" spans="1:15" ht="47.25">
      <c r="A2528" s="16" t="s">
        <v>17</v>
      </c>
      <c r="B2528" s="16" t="s">
        <v>24</v>
      </c>
      <c r="C2528" s="17" t="s">
        <v>19</v>
      </c>
      <c r="D2528" s="18" t="s">
        <v>1440</v>
      </c>
      <c r="E2528" s="18">
        <v>3</v>
      </c>
      <c r="F2528" s="18" t="s">
        <v>391</v>
      </c>
      <c r="G2528" s="18" t="s">
        <v>22</v>
      </c>
      <c r="H2528" s="18" t="s">
        <v>23</v>
      </c>
      <c r="I2528" s="19">
        <v>1996.67</v>
      </c>
      <c r="J2528" s="20">
        <f t="shared" si="78"/>
        <v>5990.01</v>
      </c>
      <c r="K2528" s="106"/>
      <c r="L2528" s="114"/>
      <c r="M2528" s="114">
        <f>tblAquisições[[#This Row],[VALOR UNITARIO COMPRADO]]*tblAquisições[[#This Row],[QUANTIDADE COMPRADA]]</f>
        <v>0</v>
      </c>
      <c r="N2528" s="110">
        <f>K2528-tblAquisições[[#This Row],[QUANTIDADE PLANEJADA]]</f>
        <v>-3</v>
      </c>
      <c r="O2528" s="106" t="str">
        <f t="shared" si="79"/>
        <v>Faltando Comprar</v>
      </c>
    </row>
    <row r="2529" spans="1:15" ht="47.25">
      <c r="A2529" s="16" t="s">
        <v>17</v>
      </c>
      <c r="B2529" s="16" t="s">
        <v>25</v>
      </c>
      <c r="C2529" s="17" t="s">
        <v>19</v>
      </c>
      <c r="D2529" s="18" t="s">
        <v>1440</v>
      </c>
      <c r="E2529" s="18">
        <v>3</v>
      </c>
      <c r="F2529" s="18" t="s">
        <v>391</v>
      </c>
      <c r="G2529" s="18" t="s">
        <v>22</v>
      </c>
      <c r="H2529" s="18" t="s">
        <v>23</v>
      </c>
      <c r="I2529" s="19">
        <v>1996.67</v>
      </c>
      <c r="J2529" s="20">
        <f t="shared" si="78"/>
        <v>5990.01</v>
      </c>
      <c r="K2529" s="106"/>
      <c r="L2529" s="114"/>
      <c r="M2529" s="114">
        <f>tblAquisições[[#This Row],[VALOR UNITARIO COMPRADO]]*tblAquisições[[#This Row],[QUANTIDADE COMPRADA]]</f>
        <v>0</v>
      </c>
      <c r="N2529" s="110">
        <f>K2529-tblAquisições[[#This Row],[QUANTIDADE PLANEJADA]]</f>
        <v>-3</v>
      </c>
      <c r="O2529" s="106" t="str">
        <f t="shared" si="79"/>
        <v>Faltando Comprar</v>
      </c>
    </row>
    <row r="2530" spans="1:15" ht="47.25">
      <c r="A2530" s="16" t="s">
        <v>17</v>
      </c>
      <c r="B2530" s="16" t="s">
        <v>18</v>
      </c>
      <c r="C2530" s="17" t="s">
        <v>19</v>
      </c>
      <c r="D2530" s="18" t="s">
        <v>1441</v>
      </c>
      <c r="E2530" s="18">
        <v>5</v>
      </c>
      <c r="F2530" s="18" t="s">
        <v>391</v>
      </c>
      <c r="G2530" s="18" t="s">
        <v>22</v>
      </c>
      <c r="H2530" s="18" t="s">
        <v>23</v>
      </c>
      <c r="I2530" s="19">
        <v>1000</v>
      </c>
      <c r="J2530" s="20">
        <f t="shared" si="78"/>
        <v>5000</v>
      </c>
      <c r="K2530" s="106"/>
      <c r="L2530" s="114"/>
      <c r="M2530" s="114">
        <f>tblAquisições[[#This Row],[VALOR UNITARIO COMPRADO]]*tblAquisições[[#This Row],[QUANTIDADE COMPRADA]]</f>
        <v>0</v>
      </c>
      <c r="N2530" s="110">
        <f>K2530-tblAquisições[[#This Row],[QUANTIDADE PLANEJADA]]</f>
        <v>-5</v>
      </c>
      <c r="O2530" s="106" t="str">
        <f t="shared" si="79"/>
        <v>Faltando Comprar</v>
      </c>
    </row>
    <row r="2531" spans="1:15" ht="47.25">
      <c r="A2531" s="16" t="s">
        <v>17</v>
      </c>
      <c r="B2531" s="16" t="s">
        <v>24</v>
      </c>
      <c r="C2531" s="17" t="s">
        <v>19</v>
      </c>
      <c r="D2531" s="18" t="s">
        <v>1441</v>
      </c>
      <c r="E2531" s="18">
        <v>5</v>
      </c>
      <c r="F2531" s="18" t="s">
        <v>391</v>
      </c>
      <c r="G2531" s="18" t="s">
        <v>22</v>
      </c>
      <c r="H2531" s="18" t="s">
        <v>23</v>
      </c>
      <c r="I2531" s="19">
        <v>1000</v>
      </c>
      <c r="J2531" s="20">
        <f t="shared" si="78"/>
        <v>5000</v>
      </c>
      <c r="K2531" s="106"/>
      <c r="L2531" s="114"/>
      <c r="M2531" s="114">
        <f>tblAquisições[[#This Row],[VALOR UNITARIO COMPRADO]]*tblAquisições[[#This Row],[QUANTIDADE COMPRADA]]</f>
        <v>0</v>
      </c>
      <c r="N2531" s="110">
        <f>K2531-tblAquisições[[#This Row],[QUANTIDADE PLANEJADA]]</f>
        <v>-5</v>
      </c>
      <c r="O2531" s="106" t="str">
        <f t="shared" si="79"/>
        <v>Faltando Comprar</v>
      </c>
    </row>
    <row r="2532" spans="1:15" ht="47.25">
      <c r="A2532" s="16" t="s">
        <v>17</v>
      </c>
      <c r="B2532" s="16" t="s">
        <v>25</v>
      </c>
      <c r="C2532" s="17" t="s">
        <v>19</v>
      </c>
      <c r="D2532" s="18" t="s">
        <v>1441</v>
      </c>
      <c r="E2532" s="18">
        <v>5</v>
      </c>
      <c r="F2532" s="18" t="s">
        <v>391</v>
      </c>
      <c r="G2532" s="18" t="s">
        <v>22</v>
      </c>
      <c r="H2532" s="18" t="s">
        <v>23</v>
      </c>
      <c r="I2532" s="19">
        <v>1000</v>
      </c>
      <c r="J2532" s="20">
        <f t="shared" si="78"/>
        <v>5000</v>
      </c>
      <c r="K2532" s="106"/>
      <c r="L2532" s="114"/>
      <c r="M2532" s="114">
        <f>tblAquisições[[#This Row],[VALOR UNITARIO COMPRADO]]*tblAquisições[[#This Row],[QUANTIDADE COMPRADA]]</f>
        <v>0</v>
      </c>
      <c r="N2532" s="110">
        <f>K2532-tblAquisições[[#This Row],[QUANTIDADE PLANEJADA]]</f>
        <v>-5</v>
      </c>
      <c r="O2532" s="106" t="str">
        <f t="shared" si="79"/>
        <v>Faltando Comprar</v>
      </c>
    </row>
    <row r="2533" spans="1:15" ht="47.25">
      <c r="A2533" s="16" t="s">
        <v>17</v>
      </c>
      <c r="B2533" s="16" t="s">
        <v>18</v>
      </c>
      <c r="C2533" s="17" t="s">
        <v>19</v>
      </c>
      <c r="D2533" s="18" t="s">
        <v>1442</v>
      </c>
      <c r="E2533" s="18">
        <v>10</v>
      </c>
      <c r="F2533" s="18" t="s">
        <v>391</v>
      </c>
      <c r="G2533" s="18" t="s">
        <v>22</v>
      </c>
      <c r="H2533" s="18" t="s">
        <v>23</v>
      </c>
      <c r="I2533" s="19">
        <v>200</v>
      </c>
      <c r="J2533" s="20">
        <f t="shared" si="78"/>
        <v>2000</v>
      </c>
      <c r="K2533" s="106"/>
      <c r="L2533" s="114"/>
      <c r="M2533" s="114">
        <f>tblAquisições[[#This Row],[VALOR UNITARIO COMPRADO]]*tblAquisições[[#This Row],[QUANTIDADE COMPRADA]]</f>
        <v>0</v>
      </c>
      <c r="N2533" s="110">
        <f>K2533-tblAquisições[[#This Row],[QUANTIDADE PLANEJADA]]</f>
        <v>-10</v>
      </c>
      <c r="O2533" s="106" t="str">
        <f t="shared" si="79"/>
        <v>Faltando Comprar</v>
      </c>
    </row>
    <row r="2534" spans="1:15" ht="47.25">
      <c r="A2534" s="16" t="s">
        <v>17</v>
      </c>
      <c r="B2534" s="16" t="s">
        <v>24</v>
      </c>
      <c r="C2534" s="17" t="s">
        <v>19</v>
      </c>
      <c r="D2534" s="18" t="s">
        <v>1442</v>
      </c>
      <c r="E2534" s="18">
        <v>10</v>
      </c>
      <c r="F2534" s="18" t="s">
        <v>391</v>
      </c>
      <c r="G2534" s="18" t="s">
        <v>22</v>
      </c>
      <c r="H2534" s="18" t="s">
        <v>23</v>
      </c>
      <c r="I2534" s="19">
        <v>200</v>
      </c>
      <c r="J2534" s="20">
        <f t="shared" si="78"/>
        <v>2000</v>
      </c>
      <c r="K2534" s="106"/>
      <c r="L2534" s="114"/>
      <c r="M2534" s="114">
        <f>tblAquisições[[#This Row],[VALOR UNITARIO COMPRADO]]*tblAquisições[[#This Row],[QUANTIDADE COMPRADA]]</f>
        <v>0</v>
      </c>
      <c r="N2534" s="110">
        <f>K2534-tblAquisições[[#This Row],[QUANTIDADE PLANEJADA]]</f>
        <v>-10</v>
      </c>
      <c r="O2534" s="106" t="str">
        <f t="shared" si="79"/>
        <v>Faltando Comprar</v>
      </c>
    </row>
    <row r="2535" spans="1:15" ht="47.25">
      <c r="A2535" s="16" t="s">
        <v>17</v>
      </c>
      <c r="B2535" s="16" t="s">
        <v>25</v>
      </c>
      <c r="C2535" s="17" t="s">
        <v>19</v>
      </c>
      <c r="D2535" s="18" t="s">
        <v>1442</v>
      </c>
      <c r="E2535" s="18">
        <v>10</v>
      </c>
      <c r="F2535" s="18" t="s">
        <v>391</v>
      </c>
      <c r="G2535" s="18" t="s">
        <v>22</v>
      </c>
      <c r="H2535" s="18" t="s">
        <v>23</v>
      </c>
      <c r="I2535" s="19">
        <v>200</v>
      </c>
      <c r="J2535" s="20">
        <f t="shared" si="78"/>
        <v>2000</v>
      </c>
      <c r="K2535" s="106"/>
      <c r="L2535" s="114"/>
      <c r="M2535" s="114">
        <f>tblAquisições[[#This Row],[VALOR UNITARIO COMPRADO]]*tblAquisições[[#This Row],[QUANTIDADE COMPRADA]]</f>
        <v>0</v>
      </c>
      <c r="N2535" s="110">
        <f>K2535-tblAquisições[[#This Row],[QUANTIDADE PLANEJADA]]</f>
        <v>-10</v>
      </c>
      <c r="O2535" s="106" t="str">
        <f t="shared" si="79"/>
        <v>Faltando Comprar</v>
      </c>
    </row>
    <row r="2536" spans="1:15" ht="47.25">
      <c r="A2536" s="16" t="s">
        <v>17</v>
      </c>
      <c r="B2536" s="16" t="s">
        <v>18</v>
      </c>
      <c r="C2536" s="17" t="s">
        <v>19</v>
      </c>
      <c r="D2536" s="18" t="s">
        <v>1443</v>
      </c>
      <c r="E2536" s="18">
        <v>5</v>
      </c>
      <c r="F2536" s="18" t="s">
        <v>391</v>
      </c>
      <c r="G2536" s="18" t="s">
        <v>22</v>
      </c>
      <c r="H2536" s="18" t="s">
        <v>23</v>
      </c>
      <c r="I2536" s="19">
        <v>600</v>
      </c>
      <c r="J2536" s="20">
        <f t="shared" si="78"/>
        <v>3000</v>
      </c>
      <c r="K2536" s="106"/>
      <c r="L2536" s="114"/>
      <c r="M2536" s="114">
        <f>tblAquisições[[#This Row],[VALOR UNITARIO COMPRADO]]*tblAquisições[[#This Row],[QUANTIDADE COMPRADA]]</f>
        <v>0</v>
      </c>
      <c r="N2536" s="110">
        <f>K2536-tblAquisições[[#This Row],[QUANTIDADE PLANEJADA]]</f>
        <v>-5</v>
      </c>
      <c r="O2536" s="106" t="str">
        <f t="shared" si="79"/>
        <v>Faltando Comprar</v>
      </c>
    </row>
    <row r="2537" spans="1:15" ht="47.25">
      <c r="A2537" s="16" t="s">
        <v>17</v>
      </c>
      <c r="B2537" s="16" t="s">
        <v>24</v>
      </c>
      <c r="C2537" s="17" t="s">
        <v>19</v>
      </c>
      <c r="D2537" s="18" t="s">
        <v>1443</v>
      </c>
      <c r="E2537" s="18">
        <v>5</v>
      </c>
      <c r="F2537" s="18" t="s">
        <v>391</v>
      </c>
      <c r="G2537" s="18" t="s">
        <v>22</v>
      </c>
      <c r="H2537" s="18" t="s">
        <v>23</v>
      </c>
      <c r="I2537" s="19">
        <v>600</v>
      </c>
      <c r="J2537" s="20">
        <f t="shared" si="78"/>
        <v>3000</v>
      </c>
      <c r="K2537" s="106"/>
      <c r="L2537" s="114"/>
      <c r="M2537" s="114">
        <f>tblAquisições[[#This Row],[VALOR UNITARIO COMPRADO]]*tblAquisições[[#This Row],[QUANTIDADE COMPRADA]]</f>
        <v>0</v>
      </c>
      <c r="N2537" s="110">
        <f>K2537-tblAquisições[[#This Row],[QUANTIDADE PLANEJADA]]</f>
        <v>-5</v>
      </c>
      <c r="O2537" s="106" t="str">
        <f t="shared" si="79"/>
        <v>Faltando Comprar</v>
      </c>
    </row>
    <row r="2538" spans="1:15" ht="47.25">
      <c r="A2538" s="16" t="s">
        <v>17</v>
      </c>
      <c r="B2538" s="16" t="s">
        <v>25</v>
      </c>
      <c r="C2538" s="17" t="s">
        <v>19</v>
      </c>
      <c r="D2538" s="18" t="s">
        <v>1443</v>
      </c>
      <c r="E2538" s="18">
        <v>5</v>
      </c>
      <c r="F2538" s="18" t="s">
        <v>391</v>
      </c>
      <c r="G2538" s="18" t="s">
        <v>22</v>
      </c>
      <c r="H2538" s="18" t="s">
        <v>23</v>
      </c>
      <c r="I2538" s="19">
        <v>600</v>
      </c>
      <c r="J2538" s="20">
        <f t="shared" si="78"/>
        <v>3000</v>
      </c>
      <c r="K2538" s="106"/>
      <c r="L2538" s="114"/>
      <c r="M2538" s="114">
        <f>tblAquisições[[#This Row],[VALOR UNITARIO COMPRADO]]*tblAquisições[[#This Row],[QUANTIDADE COMPRADA]]</f>
        <v>0</v>
      </c>
      <c r="N2538" s="110">
        <f>K2538-tblAquisições[[#This Row],[QUANTIDADE PLANEJADA]]</f>
        <v>-5</v>
      </c>
      <c r="O2538" s="106" t="str">
        <f t="shared" si="79"/>
        <v>Faltando Comprar</v>
      </c>
    </row>
    <row r="2539" spans="1:15" ht="47.25">
      <c r="A2539" s="16" t="s">
        <v>17</v>
      </c>
      <c r="B2539" s="16" t="s">
        <v>31</v>
      </c>
      <c r="C2539" s="17" t="s">
        <v>19</v>
      </c>
      <c r="D2539" s="18" t="s">
        <v>1444</v>
      </c>
      <c r="E2539" s="18">
        <v>4</v>
      </c>
      <c r="F2539" s="18" t="s">
        <v>391</v>
      </c>
      <c r="G2539" s="18" t="s">
        <v>22</v>
      </c>
      <c r="H2539" s="18" t="s">
        <v>23</v>
      </c>
      <c r="I2539" s="19">
        <v>4000</v>
      </c>
      <c r="J2539" s="20">
        <f t="shared" si="78"/>
        <v>16000</v>
      </c>
      <c r="K2539" s="106"/>
      <c r="L2539" s="114"/>
      <c r="M2539" s="114">
        <f>tblAquisições[[#This Row],[VALOR UNITARIO COMPRADO]]*tblAquisições[[#This Row],[QUANTIDADE COMPRADA]]</f>
        <v>0</v>
      </c>
      <c r="N2539" s="110">
        <f>K2539-tblAquisições[[#This Row],[QUANTIDADE PLANEJADA]]</f>
        <v>-4</v>
      </c>
      <c r="O2539" s="106" t="str">
        <f t="shared" si="79"/>
        <v>Faltando Comprar</v>
      </c>
    </row>
    <row r="2540" spans="1:15" ht="47.25">
      <c r="A2540" s="16" t="s">
        <v>17</v>
      </c>
      <c r="B2540" s="16" t="s">
        <v>31</v>
      </c>
      <c r="C2540" s="17" t="s">
        <v>19</v>
      </c>
      <c r="D2540" s="18" t="s">
        <v>1445</v>
      </c>
      <c r="E2540" s="18">
        <v>4</v>
      </c>
      <c r="F2540" s="18" t="s">
        <v>391</v>
      </c>
      <c r="G2540" s="18" t="s">
        <v>22</v>
      </c>
      <c r="H2540" s="18" t="s">
        <v>23</v>
      </c>
      <c r="I2540" s="19">
        <v>3250</v>
      </c>
      <c r="J2540" s="20">
        <f t="shared" si="78"/>
        <v>13000</v>
      </c>
      <c r="K2540" s="106"/>
      <c r="L2540" s="114"/>
      <c r="M2540" s="114">
        <f>tblAquisições[[#This Row],[VALOR UNITARIO COMPRADO]]*tblAquisições[[#This Row],[QUANTIDADE COMPRADA]]</f>
        <v>0</v>
      </c>
      <c r="N2540" s="110">
        <f>K2540-tblAquisições[[#This Row],[QUANTIDADE PLANEJADA]]</f>
        <v>-4</v>
      </c>
      <c r="O2540" s="106" t="str">
        <f t="shared" si="79"/>
        <v>Faltando Comprar</v>
      </c>
    </row>
    <row r="2541" spans="1:15" ht="47.25">
      <c r="A2541" s="16" t="s">
        <v>17</v>
      </c>
      <c r="B2541" s="16" t="s">
        <v>31</v>
      </c>
      <c r="C2541" s="17" t="s">
        <v>19</v>
      </c>
      <c r="D2541" s="18" t="s">
        <v>1446</v>
      </c>
      <c r="E2541" s="18">
        <v>2</v>
      </c>
      <c r="F2541" s="18" t="s">
        <v>391</v>
      </c>
      <c r="G2541" s="18" t="s">
        <v>22</v>
      </c>
      <c r="H2541" s="18" t="s">
        <v>23</v>
      </c>
      <c r="I2541" s="19">
        <v>900</v>
      </c>
      <c r="J2541" s="20">
        <f t="shared" si="78"/>
        <v>1800</v>
      </c>
      <c r="K2541" s="106"/>
      <c r="L2541" s="114"/>
      <c r="M2541" s="114">
        <f>tblAquisições[[#This Row],[VALOR UNITARIO COMPRADO]]*tblAquisições[[#This Row],[QUANTIDADE COMPRADA]]</f>
        <v>0</v>
      </c>
      <c r="N2541" s="110">
        <f>K2541-tblAquisições[[#This Row],[QUANTIDADE PLANEJADA]]</f>
        <v>-2</v>
      </c>
      <c r="O2541" s="106" t="str">
        <f t="shared" si="79"/>
        <v>Faltando Comprar</v>
      </c>
    </row>
    <row r="2542" spans="1:15" ht="31.5">
      <c r="A2542" s="16" t="s">
        <v>17</v>
      </c>
      <c r="B2542" s="16" t="s">
        <v>26</v>
      </c>
      <c r="C2542" s="17" t="s">
        <v>19</v>
      </c>
      <c r="D2542" s="18" t="s">
        <v>1447</v>
      </c>
      <c r="E2542" s="18">
        <v>50</v>
      </c>
      <c r="F2542" s="18" t="s">
        <v>30</v>
      </c>
      <c r="G2542" s="18" t="s">
        <v>22</v>
      </c>
      <c r="H2542" s="18" t="s">
        <v>23</v>
      </c>
      <c r="I2542" s="19">
        <v>6.84</v>
      </c>
      <c r="J2542" s="20">
        <f t="shared" si="78"/>
        <v>342</v>
      </c>
      <c r="K2542" s="106"/>
      <c r="L2542" s="114"/>
      <c r="M2542" s="114">
        <f>tblAquisições[[#This Row],[VALOR UNITARIO COMPRADO]]*tblAquisições[[#This Row],[QUANTIDADE COMPRADA]]</f>
        <v>0</v>
      </c>
      <c r="N2542" s="110">
        <f>K2542-tblAquisições[[#This Row],[QUANTIDADE PLANEJADA]]</f>
        <v>-50</v>
      </c>
      <c r="O2542" s="106" t="str">
        <f t="shared" si="79"/>
        <v>Faltando Comprar</v>
      </c>
    </row>
    <row r="2543" spans="1:15" ht="31.5">
      <c r="A2543" s="16" t="s">
        <v>17</v>
      </c>
      <c r="B2543" s="16" t="s">
        <v>28</v>
      </c>
      <c r="C2543" s="17" t="s">
        <v>19</v>
      </c>
      <c r="D2543" s="18" t="s">
        <v>1448</v>
      </c>
      <c r="E2543" s="18">
        <v>2</v>
      </c>
      <c r="F2543" s="18" t="s">
        <v>838</v>
      </c>
      <c r="G2543" s="18" t="s">
        <v>22</v>
      </c>
      <c r="H2543" s="18" t="s">
        <v>23</v>
      </c>
      <c r="I2543" s="19">
        <v>583.33000000000004</v>
      </c>
      <c r="J2543" s="20">
        <f t="shared" si="78"/>
        <v>1166.6600000000001</v>
      </c>
      <c r="K2543" s="106"/>
      <c r="L2543" s="114"/>
      <c r="M2543" s="114">
        <f>tblAquisições[[#This Row],[VALOR UNITARIO COMPRADO]]*tblAquisições[[#This Row],[QUANTIDADE COMPRADA]]</f>
        <v>0</v>
      </c>
      <c r="N2543" s="110">
        <f>K2543-tblAquisições[[#This Row],[QUANTIDADE PLANEJADA]]</f>
        <v>-2</v>
      </c>
      <c r="O2543" s="106" t="str">
        <f t="shared" si="79"/>
        <v>Faltando Comprar</v>
      </c>
    </row>
    <row r="2544" spans="1:15" ht="31.5">
      <c r="A2544" s="16" t="s">
        <v>17</v>
      </c>
      <c r="B2544" s="16" t="s">
        <v>28</v>
      </c>
      <c r="C2544" s="17" t="s">
        <v>19</v>
      </c>
      <c r="D2544" s="18" t="s">
        <v>1449</v>
      </c>
      <c r="E2544" s="18">
        <v>40</v>
      </c>
      <c r="F2544" s="18" t="s">
        <v>21</v>
      </c>
      <c r="G2544" s="18" t="s">
        <v>22</v>
      </c>
      <c r="H2544" s="18" t="s">
        <v>23</v>
      </c>
      <c r="I2544" s="19">
        <v>1519.33</v>
      </c>
      <c r="J2544" s="20">
        <f t="shared" si="78"/>
        <v>60773.2</v>
      </c>
      <c r="K2544" s="106"/>
      <c r="L2544" s="114"/>
      <c r="M2544" s="114">
        <f>tblAquisições[[#This Row],[VALOR UNITARIO COMPRADO]]*tblAquisições[[#This Row],[QUANTIDADE COMPRADA]]</f>
        <v>0</v>
      </c>
      <c r="N2544" s="110">
        <f>K2544-tblAquisições[[#This Row],[QUANTIDADE PLANEJADA]]</f>
        <v>-40</v>
      </c>
      <c r="O2544" s="106" t="str">
        <f t="shared" si="79"/>
        <v>Faltando Comprar</v>
      </c>
    </row>
    <row r="2545" spans="1:15" ht="47.25">
      <c r="A2545" s="16" t="s">
        <v>17</v>
      </c>
      <c r="B2545" s="16" t="s">
        <v>34</v>
      </c>
      <c r="C2545" s="17" t="s">
        <v>19</v>
      </c>
      <c r="D2545" s="18" t="s">
        <v>1450</v>
      </c>
      <c r="E2545" s="18">
        <v>10</v>
      </c>
      <c r="F2545" s="18" t="s">
        <v>78</v>
      </c>
      <c r="G2545" s="18" t="s">
        <v>22</v>
      </c>
      <c r="H2545" s="18" t="s">
        <v>83</v>
      </c>
      <c r="I2545" s="19">
        <v>289.85000000000002</v>
      </c>
      <c r="J2545" s="20">
        <f t="shared" si="78"/>
        <v>2898.5</v>
      </c>
      <c r="K2545" s="106"/>
      <c r="L2545" s="114"/>
      <c r="M2545" s="114">
        <f>tblAquisições[[#This Row],[VALOR UNITARIO COMPRADO]]*tblAquisições[[#This Row],[QUANTIDADE COMPRADA]]</f>
        <v>0</v>
      </c>
      <c r="N2545" s="110">
        <f>K2545-tblAquisições[[#This Row],[QUANTIDADE PLANEJADA]]</f>
        <v>-10</v>
      </c>
      <c r="O2545" s="106" t="str">
        <f t="shared" si="79"/>
        <v>Faltando Comprar</v>
      </c>
    </row>
    <row r="2546" spans="1:15" ht="47.25">
      <c r="A2546" s="16" t="s">
        <v>17</v>
      </c>
      <c r="B2546" s="16" t="s">
        <v>41</v>
      </c>
      <c r="C2546" s="17" t="s">
        <v>19</v>
      </c>
      <c r="D2546" s="18" t="s">
        <v>1451</v>
      </c>
      <c r="E2546" s="18">
        <v>5</v>
      </c>
      <c r="F2546" s="18" t="s">
        <v>214</v>
      </c>
      <c r="G2546" s="18" t="s">
        <v>127</v>
      </c>
      <c r="H2546" s="18" t="s">
        <v>23</v>
      </c>
      <c r="I2546" s="19">
        <v>387.91</v>
      </c>
      <c r="J2546" s="20">
        <f t="shared" si="78"/>
        <v>1939.5500000000002</v>
      </c>
      <c r="K2546" s="106"/>
      <c r="L2546" s="114"/>
      <c r="M2546" s="114">
        <f>tblAquisições[[#This Row],[VALOR UNITARIO COMPRADO]]*tblAquisições[[#This Row],[QUANTIDADE COMPRADA]]</f>
        <v>0</v>
      </c>
      <c r="N2546" s="110">
        <f>K2546-tblAquisições[[#This Row],[QUANTIDADE PLANEJADA]]</f>
        <v>-5</v>
      </c>
      <c r="O2546" s="106" t="str">
        <f t="shared" si="79"/>
        <v>Faltando Comprar</v>
      </c>
    </row>
    <row r="2547" spans="1:15" ht="47.25">
      <c r="A2547" s="16" t="s">
        <v>17</v>
      </c>
      <c r="B2547" s="16" t="s">
        <v>26</v>
      </c>
      <c r="C2547" s="17" t="s">
        <v>19</v>
      </c>
      <c r="D2547" s="18" t="s">
        <v>1451</v>
      </c>
      <c r="E2547" s="18">
        <v>15</v>
      </c>
      <c r="F2547" s="18" t="s">
        <v>214</v>
      </c>
      <c r="G2547" s="18" t="s">
        <v>127</v>
      </c>
      <c r="H2547" s="18" t="s">
        <v>23</v>
      </c>
      <c r="I2547" s="19">
        <v>387.91</v>
      </c>
      <c r="J2547" s="20">
        <f t="shared" si="78"/>
        <v>5818.6500000000005</v>
      </c>
      <c r="K2547" s="106"/>
      <c r="L2547" s="114"/>
      <c r="M2547" s="114">
        <f>tblAquisições[[#This Row],[VALOR UNITARIO COMPRADO]]*tblAquisições[[#This Row],[QUANTIDADE COMPRADA]]</f>
        <v>0</v>
      </c>
      <c r="N2547" s="110">
        <f>K2547-tblAquisições[[#This Row],[QUANTIDADE PLANEJADA]]</f>
        <v>-15</v>
      </c>
      <c r="O2547" s="106" t="str">
        <f t="shared" si="79"/>
        <v>Faltando Comprar</v>
      </c>
    </row>
    <row r="2548" spans="1:15" ht="47.25">
      <c r="A2548" s="16" t="s">
        <v>17</v>
      </c>
      <c r="B2548" s="16" t="s">
        <v>28</v>
      </c>
      <c r="C2548" s="17" t="s">
        <v>19</v>
      </c>
      <c r="D2548" s="18" t="s">
        <v>1451</v>
      </c>
      <c r="E2548" s="18">
        <v>8</v>
      </c>
      <c r="F2548" s="18" t="s">
        <v>214</v>
      </c>
      <c r="G2548" s="18" t="s">
        <v>127</v>
      </c>
      <c r="H2548" s="18" t="s">
        <v>23</v>
      </c>
      <c r="I2548" s="19">
        <v>387.91</v>
      </c>
      <c r="J2548" s="20">
        <f t="shared" si="78"/>
        <v>3103.28</v>
      </c>
      <c r="K2548" s="106"/>
      <c r="L2548" s="114"/>
      <c r="M2548" s="114">
        <f>tblAquisições[[#This Row],[VALOR UNITARIO COMPRADO]]*tblAquisições[[#This Row],[QUANTIDADE COMPRADA]]</f>
        <v>0</v>
      </c>
      <c r="N2548" s="110">
        <f>K2548-tblAquisições[[#This Row],[QUANTIDADE PLANEJADA]]</f>
        <v>-8</v>
      </c>
      <c r="O2548" s="106" t="str">
        <f t="shared" si="79"/>
        <v>Faltando Comprar</v>
      </c>
    </row>
    <row r="2549" spans="1:15" ht="63">
      <c r="A2549" s="16" t="s">
        <v>17</v>
      </c>
      <c r="B2549" s="16" t="s">
        <v>26</v>
      </c>
      <c r="C2549" s="17" t="s">
        <v>19</v>
      </c>
      <c r="D2549" s="18" t="s">
        <v>1452</v>
      </c>
      <c r="E2549" s="18">
        <v>8</v>
      </c>
      <c r="F2549" s="18" t="s">
        <v>1453</v>
      </c>
      <c r="G2549" s="18" t="s">
        <v>22</v>
      </c>
      <c r="H2549" s="18" t="s">
        <v>23</v>
      </c>
      <c r="I2549" s="19">
        <v>1750</v>
      </c>
      <c r="J2549" s="20">
        <f t="shared" si="78"/>
        <v>14000</v>
      </c>
      <c r="K2549" s="106"/>
      <c r="L2549" s="114"/>
      <c r="M2549" s="114">
        <f>tblAquisições[[#This Row],[VALOR UNITARIO COMPRADO]]*tblAquisições[[#This Row],[QUANTIDADE COMPRADA]]</f>
        <v>0</v>
      </c>
      <c r="N2549" s="110">
        <f>K2549-tblAquisições[[#This Row],[QUANTIDADE PLANEJADA]]</f>
        <v>-8</v>
      </c>
      <c r="O2549" s="106" t="str">
        <f t="shared" si="79"/>
        <v>Faltando Comprar</v>
      </c>
    </row>
    <row r="2550" spans="1:15" ht="63">
      <c r="A2550" s="16" t="s">
        <v>17</v>
      </c>
      <c r="B2550" s="16" t="s">
        <v>18</v>
      </c>
      <c r="C2550" s="17" t="s">
        <v>19</v>
      </c>
      <c r="D2550" s="18" t="s">
        <v>1454</v>
      </c>
      <c r="E2550" s="18">
        <v>10</v>
      </c>
      <c r="F2550" s="18" t="s">
        <v>1455</v>
      </c>
      <c r="G2550" s="18" t="s">
        <v>127</v>
      </c>
      <c r="H2550" s="18" t="s">
        <v>23</v>
      </c>
      <c r="I2550" s="19">
        <v>3512.33</v>
      </c>
      <c r="J2550" s="20">
        <f t="shared" si="78"/>
        <v>35123.300000000003</v>
      </c>
      <c r="K2550" s="106"/>
      <c r="L2550" s="114"/>
      <c r="M2550" s="114">
        <f>tblAquisições[[#This Row],[VALOR UNITARIO COMPRADO]]*tblAquisições[[#This Row],[QUANTIDADE COMPRADA]]</f>
        <v>0</v>
      </c>
      <c r="N2550" s="110">
        <f>K2550-tblAquisições[[#This Row],[QUANTIDADE PLANEJADA]]</f>
        <v>-10</v>
      </c>
      <c r="O2550" s="106" t="str">
        <f t="shared" si="79"/>
        <v>Faltando Comprar</v>
      </c>
    </row>
    <row r="2551" spans="1:15" ht="63">
      <c r="A2551" s="16" t="s">
        <v>17</v>
      </c>
      <c r="B2551" s="16" t="s">
        <v>24</v>
      </c>
      <c r="C2551" s="17" t="s">
        <v>19</v>
      </c>
      <c r="D2551" s="18" t="s">
        <v>1454</v>
      </c>
      <c r="E2551" s="18">
        <v>10</v>
      </c>
      <c r="F2551" s="18" t="s">
        <v>1455</v>
      </c>
      <c r="G2551" s="18" t="s">
        <v>127</v>
      </c>
      <c r="H2551" s="18" t="s">
        <v>23</v>
      </c>
      <c r="I2551" s="19">
        <v>3512.33</v>
      </c>
      <c r="J2551" s="20">
        <f t="shared" si="78"/>
        <v>35123.300000000003</v>
      </c>
      <c r="K2551" s="106"/>
      <c r="L2551" s="114"/>
      <c r="M2551" s="114">
        <f>tblAquisições[[#This Row],[VALOR UNITARIO COMPRADO]]*tblAquisições[[#This Row],[QUANTIDADE COMPRADA]]</f>
        <v>0</v>
      </c>
      <c r="N2551" s="110">
        <f>K2551-tblAquisições[[#This Row],[QUANTIDADE PLANEJADA]]</f>
        <v>-10</v>
      </c>
      <c r="O2551" s="106" t="str">
        <f t="shared" si="79"/>
        <v>Faltando Comprar</v>
      </c>
    </row>
    <row r="2552" spans="1:15" ht="63">
      <c r="A2552" s="16" t="s">
        <v>17</v>
      </c>
      <c r="B2552" s="16" t="s">
        <v>27</v>
      </c>
      <c r="C2552" s="17" t="s">
        <v>19</v>
      </c>
      <c r="D2552" s="18" t="s">
        <v>1454</v>
      </c>
      <c r="E2552" s="18">
        <v>10</v>
      </c>
      <c r="F2552" s="18" t="s">
        <v>1455</v>
      </c>
      <c r="G2552" s="18" t="s">
        <v>127</v>
      </c>
      <c r="H2552" s="18" t="s">
        <v>23</v>
      </c>
      <c r="I2552" s="19">
        <v>3512.33</v>
      </c>
      <c r="J2552" s="20">
        <f t="shared" si="78"/>
        <v>35123.300000000003</v>
      </c>
      <c r="K2552" s="106"/>
      <c r="L2552" s="114"/>
      <c r="M2552" s="114">
        <f>tblAquisições[[#This Row],[VALOR UNITARIO COMPRADO]]*tblAquisições[[#This Row],[QUANTIDADE COMPRADA]]</f>
        <v>0</v>
      </c>
      <c r="N2552" s="110">
        <f>K2552-tblAquisições[[#This Row],[QUANTIDADE PLANEJADA]]</f>
        <v>-10</v>
      </c>
      <c r="O2552" s="106" t="str">
        <f t="shared" si="79"/>
        <v>Faltando Comprar</v>
      </c>
    </row>
    <row r="2553" spans="1:15" ht="63">
      <c r="A2553" s="16" t="s">
        <v>17</v>
      </c>
      <c r="B2553" s="16" t="s">
        <v>72</v>
      </c>
      <c r="C2553" s="17" t="s">
        <v>19</v>
      </c>
      <c r="D2553" s="18" t="s">
        <v>1454</v>
      </c>
      <c r="E2553" s="18">
        <v>3</v>
      </c>
      <c r="F2553" s="18" t="s">
        <v>1455</v>
      </c>
      <c r="G2553" s="18" t="s">
        <v>127</v>
      </c>
      <c r="H2553" s="18" t="s">
        <v>23</v>
      </c>
      <c r="I2553" s="19">
        <v>3512.33</v>
      </c>
      <c r="J2553" s="20">
        <f t="shared" si="78"/>
        <v>10536.99</v>
      </c>
      <c r="K2553" s="106"/>
      <c r="L2553" s="114"/>
      <c r="M2553" s="114">
        <f>tblAquisições[[#This Row],[VALOR UNITARIO COMPRADO]]*tblAquisições[[#This Row],[QUANTIDADE COMPRADA]]</f>
        <v>0</v>
      </c>
      <c r="N2553" s="110">
        <f>K2553-tblAquisições[[#This Row],[QUANTIDADE PLANEJADA]]</f>
        <v>-3</v>
      </c>
      <c r="O2553" s="106" t="str">
        <f t="shared" si="79"/>
        <v>Faltando Comprar</v>
      </c>
    </row>
    <row r="2554" spans="1:15" ht="63">
      <c r="A2554" s="16" t="s">
        <v>17</v>
      </c>
      <c r="B2554" s="16" t="s">
        <v>59</v>
      </c>
      <c r="C2554" s="17" t="s">
        <v>19</v>
      </c>
      <c r="D2554" s="18" t="s">
        <v>1454</v>
      </c>
      <c r="E2554" s="18">
        <v>1</v>
      </c>
      <c r="F2554" s="18" t="s">
        <v>1455</v>
      </c>
      <c r="G2554" s="18" t="s">
        <v>127</v>
      </c>
      <c r="H2554" s="18" t="s">
        <v>23</v>
      </c>
      <c r="I2554" s="19">
        <v>3512.33</v>
      </c>
      <c r="J2554" s="20">
        <f t="shared" si="78"/>
        <v>3512.33</v>
      </c>
      <c r="K2554" s="106"/>
      <c r="L2554" s="114"/>
      <c r="M2554" s="114">
        <f>tblAquisições[[#This Row],[VALOR UNITARIO COMPRADO]]*tblAquisições[[#This Row],[QUANTIDADE COMPRADA]]</f>
        <v>0</v>
      </c>
      <c r="N2554" s="110">
        <f>K2554-tblAquisições[[#This Row],[QUANTIDADE PLANEJADA]]</f>
        <v>-1</v>
      </c>
      <c r="O2554" s="106" t="str">
        <f t="shared" si="79"/>
        <v>Faltando Comprar</v>
      </c>
    </row>
    <row r="2555" spans="1:15" ht="63">
      <c r="A2555" s="16" t="s">
        <v>17</v>
      </c>
      <c r="B2555" s="16" t="s">
        <v>18</v>
      </c>
      <c r="C2555" s="17" t="s">
        <v>19</v>
      </c>
      <c r="D2555" s="18" t="s">
        <v>1456</v>
      </c>
      <c r="E2555" s="18">
        <v>2</v>
      </c>
      <c r="F2555" s="18" t="s">
        <v>222</v>
      </c>
      <c r="G2555" s="18" t="s">
        <v>127</v>
      </c>
      <c r="H2555" s="18" t="s">
        <v>23</v>
      </c>
      <c r="I2555" s="19">
        <v>1299.03</v>
      </c>
      <c r="J2555" s="20">
        <f t="shared" si="78"/>
        <v>2598.06</v>
      </c>
      <c r="K2555" s="106"/>
      <c r="L2555" s="114"/>
      <c r="M2555" s="114">
        <f>tblAquisições[[#This Row],[VALOR UNITARIO COMPRADO]]*tblAquisições[[#This Row],[QUANTIDADE COMPRADA]]</f>
        <v>0</v>
      </c>
      <c r="N2555" s="110">
        <f>K2555-tblAquisições[[#This Row],[QUANTIDADE PLANEJADA]]</f>
        <v>-2</v>
      </c>
      <c r="O2555" s="106" t="str">
        <f t="shared" si="79"/>
        <v>Faltando Comprar</v>
      </c>
    </row>
    <row r="2556" spans="1:15" ht="63">
      <c r="A2556" s="16" t="s">
        <v>17</v>
      </c>
      <c r="B2556" s="16" t="s">
        <v>24</v>
      </c>
      <c r="C2556" s="17" t="s">
        <v>19</v>
      </c>
      <c r="D2556" s="18" t="s">
        <v>1456</v>
      </c>
      <c r="E2556" s="18">
        <v>2</v>
      </c>
      <c r="F2556" s="18" t="s">
        <v>222</v>
      </c>
      <c r="G2556" s="18" t="s">
        <v>127</v>
      </c>
      <c r="H2556" s="18" t="s">
        <v>23</v>
      </c>
      <c r="I2556" s="19">
        <v>1299.03</v>
      </c>
      <c r="J2556" s="20">
        <f t="shared" si="78"/>
        <v>2598.06</v>
      </c>
      <c r="K2556" s="106"/>
      <c r="L2556" s="114"/>
      <c r="M2556" s="114">
        <f>tblAquisições[[#This Row],[VALOR UNITARIO COMPRADO]]*tblAquisições[[#This Row],[QUANTIDADE COMPRADA]]</f>
        <v>0</v>
      </c>
      <c r="N2556" s="110">
        <f>K2556-tblAquisições[[#This Row],[QUANTIDADE PLANEJADA]]</f>
        <v>-2</v>
      </c>
      <c r="O2556" s="106" t="str">
        <f t="shared" si="79"/>
        <v>Faltando Comprar</v>
      </c>
    </row>
    <row r="2557" spans="1:15" ht="63">
      <c r="A2557" s="16" t="s">
        <v>17</v>
      </c>
      <c r="B2557" s="16" t="s">
        <v>18</v>
      </c>
      <c r="C2557" s="17" t="s">
        <v>19</v>
      </c>
      <c r="D2557" s="18" t="s">
        <v>1457</v>
      </c>
      <c r="E2557" s="18">
        <v>2</v>
      </c>
      <c r="F2557" s="18" t="s">
        <v>222</v>
      </c>
      <c r="G2557" s="18" t="s">
        <v>127</v>
      </c>
      <c r="H2557" s="18" t="s">
        <v>23</v>
      </c>
      <c r="I2557" s="19">
        <v>1487.57</v>
      </c>
      <c r="J2557" s="20">
        <f t="shared" si="78"/>
        <v>2975.14</v>
      </c>
      <c r="K2557" s="106"/>
      <c r="L2557" s="114"/>
      <c r="M2557" s="114">
        <f>tblAquisições[[#This Row],[VALOR UNITARIO COMPRADO]]*tblAquisições[[#This Row],[QUANTIDADE COMPRADA]]</f>
        <v>0</v>
      </c>
      <c r="N2557" s="110">
        <f>K2557-tblAquisições[[#This Row],[QUANTIDADE PLANEJADA]]</f>
        <v>-2</v>
      </c>
      <c r="O2557" s="106" t="str">
        <f t="shared" si="79"/>
        <v>Faltando Comprar</v>
      </c>
    </row>
    <row r="2558" spans="1:15" ht="63">
      <c r="A2558" s="16" t="s">
        <v>17</v>
      </c>
      <c r="B2558" s="16" t="s">
        <v>24</v>
      </c>
      <c r="C2558" s="17" t="s">
        <v>19</v>
      </c>
      <c r="D2558" s="18" t="s">
        <v>1457</v>
      </c>
      <c r="E2558" s="18">
        <v>2</v>
      </c>
      <c r="F2558" s="18" t="s">
        <v>222</v>
      </c>
      <c r="G2558" s="18" t="s">
        <v>127</v>
      </c>
      <c r="H2558" s="18" t="s">
        <v>23</v>
      </c>
      <c r="I2558" s="19">
        <v>1487.57</v>
      </c>
      <c r="J2558" s="20">
        <f t="shared" si="78"/>
        <v>2975.14</v>
      </c>
      <c r="K2558" s="106"/>
      <c r="L2558" s="114"/>
      <c r="M2558" s="114">
        <f>tblAquisições[[#This Row],[VALOR UNITARIO COMPRADO]]*tblAquisições[[#This Row],[QUANTIDADE COMPRADA]]</f>
        <v>0</v>
      </c>
      <c r="N2558" s="110">
        <f>K2558-tblAquisições[[#This Row],[QUANTIDADE PLANEJADA]]</f>
        <v>-2</v>
      </c>
      <c r="O2558" s="106" t="str">
        <f t="shared" si="79"/>
        <v>Faltando Comprar</v>
      </c>
    </row>
    <row r="2559" spans="1:15" ht="63">
      <c r="A2559" s="16" t="s">
        <v>17</v>
      </c>
      <c r="B2559" s="16" t="s">
        <v>41</v>
      </c>
      <c r="C2559" s="17" t="s">
        <v>19</v>
      </c>
      <c r="D2559" s="18" t="s">
        <v>1457</v>
      </c>
      <c r="E2559" s="18">
        <v>3</v>
      </c>
      <c r="F2559" s="18" t="s">
        <v>222</v>
      </c>
      <c r="G2559" s="18" t="s">
        <v>127</v>
      </c>
      <c r="H2559" s="18" t="s">
        <v>23</v>
      </c>
      <c r="I2559" s="19">
        <v>1487.57</v>
      </c>
      <c r="J2559" s="20">
        <f t="shared" si="78"/>
        <v>4462.71</v>
      </c>
      <c r="K2559" s="106"/>
      <c r="L2559" s="114"/>
      <c r="M2559" s="114">
        <f>tblAquisições[[#This Row],[VALOR UNITARIO COMPRADO]]*tblAquisições[[#This Row],[QUANTIDADE COMPRADA]]</f>
        <v>0</v>
      </c>
      <c r="N2559" s="110">
        <f>K2559-tblAquisições[[#This Row],[QUANTIDADE PLANEJADA]]</f>
        <v>-3</v>
      </c>
      <c r="O2559" s="106" t="str">
        <f t="shared" si="79"/>
        <v>Faltando Comprar</v>
      </c>
    </row>
    <row r="2560" spans="1:15" ht="47.25">
      <c r="A2560" s="16" t="s">
        <v>17</v>
      </c>
      <c r="B2560" s="16" t="s">
        <v>18</v>
      </c>
      <c r="C2560" s="17" t="s">
        <v>19</v>
      </c>
      <c r="D2560" s="18" t="s">
        <v>1458</v>
      </c>
      <c r="E2560" s="18">
        <v>15</v>
      </c>
      <c r="F2560" s="18" t="s">
        <v>222</v>
      </c>
      <c r="G2560" s="18" t="s">
        <v>127</v>
      </c>
      <c r="H2560" s="18" t="s">
        <v>23</v>
      </c>
      <c r="I2560" s="19">
        <v>2000</v>
      </c>
      <c r="J2560" s="20">
        <f t="shared" si="78"/>
        <v>30000</v>
      </c>
      <c r="K2560" s="106"/>
      <c r="L2560" s="114"/>
      <c r="M2560" s="114">
        <f>tblAquisições[[#This Row],[VALOR UNITARIO COMPRADO]]*tblAquisições[[#This Row],[QUANTIDADE COMPRADA]]</f>
        <v>0</v>
      </c>
      <c r="N2560" s="110">
        <f>K2560-tblAquisições[[#This Row],[QUANTIDADE PLANEJADA]]</f>
        <v>-15</v>
      </c>
      <c r="O2560" s="106" t="str">
        <f t="shared" si="79"/>
        <v>Faltando Comprar</v>
      </c>
    </row>
    <row r="2561" spans="1:15" ht="47.25">
      <c r="A2561" s="16" t="s">
        <v>17</v>
      </c>
      <c r="B2561" s="16" t="s">
        <v>24</v>
      </c>
      <c r="C2561" s="17" t="s">
        <v>19</v>
      </c>
      <c r="D2561" s="18" t="s">
        <v>1458</v>
      </c>
      <c r="E2561" s="18">
        <v>15</v>
      </c>
      <c r="F2561" s="18" t="s">
        <v>222</v>
      </c>
      <c r="G2561" s="18" t="s">
        <v>127</v>
      </c>
      <c r="H2561" s="18" t="s">
        <v>23</v>
      </c>
      <c r="I2561" s="19">
        <v>2000</v>
      </c>
      <c r="J2561" s="20">
        <f t="shared" si="78"/>
        <v>30000</v>
      </c>
      <c r="K2561" s="106"/>
      <c r="L2561" s="114"/>
      <c r="M2561" s="114">
        <f>tblAquisições[[#This Row],[VALOR UNITARIO COMPRADO]]*tblAquisições[[#This Row],[QUANTIDADE COMPRADA]]</f>
        <v>0</v>
      </c>
      <c r="N2561" s="110">
        <f>K2561-tblAquisições[[#This Row],[QUANTIDADE PLANEJADA]]</f>
        <v>-15</v>
      </c>
      <c r="O2561" s="106" t="str">
        <f t="shared" si="79"/>
        <v>Faltando Comprar</v>
      </c>
    </row>
    <row r="2562" spans="1:15" ht="47.25">
      <c r="A2562" s="16" t="s">
        <v>17</v>
      </c>
      <c r="B2562" s="16" t="s">
        <v>41</v>
      </c>
      <c r="C2562" s="17" t="s">
        <v>19</v>
      </c>
      <c r="D2562" s="18" t="s">
        <v>1458</v>
      </c>
      <c r="E2562" s="18">
        <v>3</v>
      </c>
      <c r="F2562" s="18" t="s">
        <v>222</v>
      </c>
      <c r="G2562" s="18" t="s">
        <v>127</v>
      </c>
      <c r="H2562" s="18" t="s">
        <v>23</v>
      </c>
      <c r="I2562" s="19">
        <v>2000</v>
      </c>
      <c r="J2562" s="20">
        <f t="shared" ref="J2562:J2625" si="80">E2562*I2562</f>
        <v>6000</v>
      </c>
      <c r="K2562" s="106"/>
      <c r="L2562" s="114"/>
      <c r="M2562" s="114">
        <f>tblAquisições[[#This Row],[VALOR UNITARIO COMPRADO]]*tblAquisições[[#This Row],[QUANTIDADE COMPRADA]]</f>
        <v>0</v>
      </c>
      <c r="N2562" s="110">
        <f>K2562-tblAquisições[[#This Row],[QUANTIDADE PLANEJADA]]</f>
        <v>-3</v>
      </c>
      <c r="O2562" s="106" t="str">
        <f t="shared" ref="O2562:O2625" si="81">IF(K2562=E2562,"OK",IF(K2562&lt;E2562,"Faltando Comprar","Excedente"))</f>
        <v>Faltando Comprar</v>
      </c>
    </row>
    <row r="2563" spans="1:15" ht="63">
      <c r="A2563" s="16" t="s">
        <v>17</v>
      </c>
      <c r="B2563" s="16" t="s">
        <v>18</v>
      </c>
      <c r="C2563" s="17" t="s">
        <v>19</v>
      </c>
      <c r="D2563" s="18" t="s">
        <v>1459</v>
      </c>
      <c r="E2563" s="18">
        <v>10</v>
      </c>
      <c r="F2563" s="18" t="s">
        <v>222</v>
      </c>
      <c r="G2563" s="18" t="s">
        <v>127</v>
      </c>
      <c r="H2563" s="18" t="s">
        <v>23</v>
      </c>
      <c r="I2563" s="19">
        <v>4320</v>
      </c>
      <c r="J2563" s="20">
        <f t="shared" si="80"/>
        <v>43200</v>
      </c>
      <c r="K2563" s="106"/>
      <c r="L2563" s="114"/>
      <c r="M2563" s="114">
        <f>tblAquisições[[#This Row],[VALOR UNITARIO COMPRADO]]*tblAquisições[[#This Row],[QUANTIDADE COMPRADA]]</f>
        <v>0</v>
      </c>
      <c r="N2563" s="110">
        <f>K2563-tblAquisições[[#This Row],[QUANTIDADE PLANEJADA]]</f>
        <v>-10</v>
      </c>
      <c r="O2563" s="106" t="str">
        <f t="shared" si="81"/>
        <v>Faltando Comprar</v>
      </c>
    </row>
    <row r="2564" spans="1:15" ht="63">
      <c r="A2564" s="16" t="s">
        <v>17</v>
      </c>
      <c r="B2564" s="16" t="s">
        <v>24</v>
      </c>
      <c r="C2564" s="17" t="s">
        <v>19</v>
      </c>
      <c r="D2564" s="18" t="s">
        <v>1459</v>
      </c>
      <c r="E2564" s="18">
        <v>10</v>
      </c>
      <c r="F2564" s="18" t="s">
        <v>222</v>
      </c>
      <c r="G2564" s="18" t="s">
        <v>127</v>
      </c>
      <c r="H2564" s="18" t="s">
        <v>23</v>
      </c>
      <c r="I2564" s="19">
        <v>4320</v>
      </c>
      <c r="J2564" s="20">
        <f t="shared" si="80"/>
        <v>43200</v>
      </c>
      <c r="K2564" s="106"/>
      <c r="L2564" s="114"/>
      <c r="M2564" s="114">
        <f>tblAquisições[[#This Row],[VALOR UNITARIO COMPRADO]]*tblAquisições[[#This Row],[QUANTIDADE COMPRADA]]</f>
        <v>0</v>
      </c>
      <c r="N2564" s="110">
        <f>K2564-tblAquisições[[#This Row],[QUANTIDADE PLANEJADA]]</f>
        <v>-10</v>
      </c>
      <c r="O2564" s="106" t="str">
        <f t="shared" si="81"/>
        <v>Faltando Comprar</v>
      </c>
    </row>
    <row r="2565" spans="1:15" ht="63">
      <c r="A2565" s="16" t="s">
        <v>17</v>
      </c>
      <c r="B2565" s="16" t="s">
        <v>25</v>
      </c>
      <c r="C2565" s="17" t="s">
        <v>19</v>
      </c>
      <c r="D2565" s="18" t="s">
        <v>1459</v>
      </c>
      <c r="E2565" s="18">
        <v>10</v>
      </c>
      <c r="F2565" s="18" t="s">
        <v>222</v>
      </c>
      <c r="G2565" s="18" t="s">
        <v>127</v>
      </c>
      <c r="H2565" s="18" t="s">
        <v>23</v>
      </c>
      <c r="I2565" s="19">
        <v>4320</v>
      </c>
      <c r="J2565" s="20">
        <f t="shared" si="80"/>
        <v>43200</v>
      </c>
      <c r="K2565" s="106"/>
      <c r="L2565" s="114"/>
      <c r="M2565" s="114">
        <f>tblAquisições[[#This Row],[VALOR UNITARIO COMPRADO]]*tblAquisições[[#This Row],[QUANTIDADE COMPRADA]]</f>
        <v>0</v>
      </c>
      <c r="N2565" s="110">
        <f>K2565-tblAquisições[[#This Row],[QUANTIDADE PLANEJADA]]</f>
        <v>-10</v>
      </c>
      <c r="O2565" s="106" t="str">
        <f t="shared" si="81"/>
        <v>Faltando Comprar</v>
      </c>
    </row>
    <row r="2566" spans="1:15" ht="63">
      <c r="A2566" s="16" t="s">
        <v>17</v>
      </c>
      <c r="B2566" s="16" t="s">
        <v>18</v>
      </c>
      <c r="C2566" s="17" t="s">
        <v>19</v>
      </c>
      <c r="D2566" s="18" t="s">
        <v>1460</v>
      </c>
      <c r="E2566" s="18">
        <v>2</v>
      </c>
      <c r="F2566" s="18" t="s">
        <v>222</v>
      </c>
      <c r="G2566" s="18" t="s">
        <v>127</v>
      </c>
      <c r="H2566" s="18" t="s">
        <v>23</v>
      </c>
      <c r="I2566" s="19">
        <v>9459.84</v>
      </c>
      <c r="J2566" s="20">
        <f t="shared" si="80"/>
        <v>18919.68</v>
      </c>
      <c r="K2566" s="106"/>
      <c r="L2566" s="114"/>
      <c r="M2566" s="114">
        <f>tblAquisições[[#This Row],[VALOR UNITARIO COMPRADO]]*tblAquisições[[#This Row],[QUANTIDADE COMPRADA]]</f>
        <v>0</v>
      </c>
      <c r="N2566" s="110">
        <f>K2566-tblAquisições[[#This Row],[QUANTIDADE PLANEJADA]]</f>
        <v>-2</v>
      </c>
      <c r="O2566" s="106" t="str">
        <f t="shared" si="81"/>
        <v>Faltando Comprar</v>
      </c>
    </row>
    <row r="2567" spans="1:15" ht="63">
      <c r="A2567" s="16" t="s">
        <v>17</v>
      </c>
      <c r="B2567" s="16" t="s">
        <v>24</v>
      </c>
      <c r="C2567" s="17" t="s">
        <v>19</v>
      </c>
      <c r="D2567" s="18" t="s">
        <v>1460</v>
      </c>
      <c r="E2567" s="18">
        <v>2</v>
      </c>
      <c r="F2567" s="18" t="s">
        <v>222</v>
      </c>
      <c r="G2567" s="18" t="s">
        <v>127</v>
      </c>
      <c r="H2567" s="18" t="s">
        <v>23</v>
      </c>
      <c r="I2567" s="19">
        <v>9459.84</v>
      </c>
      <c r="J2567" s="20">
        <f t="shared" si="80"/>
        <v>18919.68</v>
      </c>
      <c r="K2567" s="106"/>
      <c r="L2567" s="114"/>
      <c r="M2567" s="114">
        <f>tblAquisições[[#This Row],[VALOR UNITARIO COMPRADO]]*tblAquisições[[#This Row],[QUANTIDADE COMPRADA]]</f>
        <v>0</v>
      </c>
      <c r="N2567" s="110">
        <f>K2567-tblAquisições[[#This Row],[QUANTIDADE PLANEJADA]]</f>
        <v>-2</v>
      </c>
      <c r="O2567" s="106" t="str">
        <f t="shared" si="81"/>
        <v>Faltando Comprar</v>
      </c>
    </row>
    <row r="2568" spans="1:15" ht="63">
      <c r="A2568" s="16" t="s">
        <v>17</v>
      </c>
      <c r="B2568" s="16" t="s">
        <v>41</v>
      </c>
      <c r="C2568" s="17" t="s">
        <v>19</v>
      </c>
      <c r="D2568" s="18" t="s">
        <v>1460</v>
      </c>
      <c r="E2568" s="18">
        <v>1</v>
      </c>
      <c r="F2568" s="18" t="s">
        <v>222</v>
      </c>
      <c r="G2568" s="18" t="s">
        <v>127</v>
      </c>
      <c r="H2568" s="18" t="s">
        <v>23</v>
      </c>
      <c r="I2568" s="19">
        <v>9459.84</v>
      </c>
      <c r="J2568" s="20">
        <f t="shared" si="80"/>
        <v>9459.84</v>
      </c>
      <c r="K2568" s="106"/>
      <c r="L2568" s="114"/>
      <c r="M2568" s="114">
        <f>tblAquisições[[#This Row],[VALOR UNITARIO COMPRADO]]*tblAquisições[[#This Row],[QUANTIDADE COMPRADA]]</f>
        <v>0</v>
      </c>
      <c r="N2568" s="110">
        <f>K2568-tblAquisições[[#This Row],[QUANTIDADE PLANEJADA]]</f>
        <v>-1</v>
      </c>
      <c r="O2568" s="106" t="str">
        <f t="shared" si="81"/>
        <v>Faltando Comprar</v>
      </c>
    </row>
    <row r="2569" spans="1:15" ht="63">
      <c r="A2569" s="16" t="s">
        <v>17</v>
      </c>
      <c r="B2569" s="16" t="s">
        <v>34</v>
      </c>
      <c r="C2569" s="17" t="s">
        <v>19</v>
      </c>
      <c r="D2569" s="18" t="s">
        <v>1461</v>
      </c>
      <c r="E2569" s="18">
        <v>1</v>
      </c>
      <c r="F2569" s="18" t="s">
        <v>1347</v>
      </c>
      <c r="G2569" s="18" t="s">
        <v>22</v>
      </c>
      <c r="H2569" s="18" t="s">
        <v>23</v>
      </c>
      <c r="I2569" s="19">
        <v>552.98</v>
      </c>
      <c r="J2569" s="20">
        <f t="shared" si="80"/>
        <v>552.98</v>
      </c>
      <c r="K2569" s="106"/>
      <c r="L2569" s="114"/>
      <c r="M2569" s="114">
        <f>tblAquisições[[#This Row],[VALOR UNITARIO COMPRADO]]*tblAquisições[[#This Row],[QUANTIDADE COMPRADA]]</f>
        <v>0</v>
      </c>
      <c r="N2569" s="110">
        <f>K2569-tblAquisições[[#This Row],[QUANTIDADE PLANEJADA]]</f>
        <v>-1</v>
      </c>
      <c r="O2569" s="106" t="str">
        <f t="shared" si="81"/>
        <v>Faltando Comprar</v>
      </c>
    </row>
    <row r="2570" spans="1:15" ht="63">
      <c r="A2570" s="16" t="s">
        <v>17</v>
      </c>
      <c r="B2570" s="16" t="s">
        <v>18</v>
      </c>
      <c r="C2570" s="17" t="s">
        <v>19</v>
      </c>
      <c r="D2570" s="18" t="s">
        <v>1461</v>
      </c>
      <c r="E2570" s="18">
        <v>2</v>
      </c>
      <c r="F2570" s="18" t="s">
        <v>1347</v>
      </c>
      <c r="G2570" s="18" t="s">
        <v>22</v>
      </c>
      <c r="H2570" s="18" t="s">
        <v>23</v>
      </c>
      <c r="I2570" s="19">
        <v>552.98</v>
      </c>
      <c r="J2570" s="20">
        <f t="shared" si="80"/>
        <v>1105.96</v>
      </c>
      <c r="K2570" s="106"/>
      <c r="L2570" s="114"/>
      <c r="M2570" s="114">
        <f>tblAquisições[[#This Row],[VALOR UNITARIO COMPRADO]]*tblAquisições[[#This Row],[QUANTIDADE COMPRADA]]</f>
        <v>0</v>
      </c>
      <c r="N2570" s="110">
        <f>K2570-tblAquisições[[#This Row],[QUANTIDADE PLANEJADA]]</f>
        <v>-2</v>
      </c>
      <c r="O2570" s="106" t="str">
        <f t="shared" si="81"/>
        <v>Faltando Comprar</v>
      </c>
    </row>
    <row r="2571" spans="1:15" ht="63">
      <c r="A2571" s="16" t="s">
        <v>17</v>
      </c>
      <c r="B2571" s="16" t="s">
        <v>24</v>
      </c>
      <c r="C2571" s="17" t="s">
        <v>19</v>
      </c>
      <c r="D2571" s="18" t="s">
        <v>1461</v>
      </c>
      <c r="E2571" s="18">
        <v>2</v>
      </c>
      <c r="F2571" s="18" t="s">
        <v>1347</v>
      </c>
      <c r="G2571" s="18" t="s">
        <v>22</v>
      </c>
      <c r="H2571" s="18" t="s">
        <v>23</v>
      </c>
      <c r="I2571" s="19">
        <v>552.98</v>
      </c>
      <c r="J2571" s="20">
        <f t="shared" si="80"/>
        <v>1105.96</v>
      </c>
      <c r="K2571" s="106"/>
      <c r="L2571" s="114"/>
      <c r="M2571" s="114">
        <f>tblAquisições[[#This Row],[VALOR UNITARIO COMPRADO]]*tblAquisições[[#This Row],[QUANTIDADE COMPRADA]]</f>
        <v>0</v>
      </c>
      <c r="N2571" s="110">
        <f>K2571-tblAquisições[[#This Row],[QUANTIDADE PLANEJADA]]</f>
        <v>-2</v>
      </c>
      <c r="O2571" s="106" t="str">
        <f t="shared" si="81"/>
        <v>Faltando Comprar</v>
      </c>
    </row>
    <row r="2572" spans="1:15" ht="63">
      <c r="A2572" s="16" t="s">
        <v>17</v>
      </c>
      <c r="B2572" s="16" t="s">
        <v>25</v>
      </c>
      <c r="C2572" s="17" t="s">
        <v>19</v>
      </c>
      <c r="D2572" s="18" t="s">
        <v>1461</v>
      </c>
      <c r="E2572" s="18">
        <v>2</v>
      </c>
      <c r="F2572" s="18" t="s">
        <v>1347</v>
      </c>
      <c r="G2572" s="18" t="s">
        <v>22</v>
      </c>
      <c r="H2572" s="18" t="s">
        <v>23</v>
      </c>
      <c r="I2572" s="19">
        <v>552.98</v>
      </c>
      <c r="J2572" s="20">
        <f t="shared" si="80"/>
        <v>1105.96</v>
      </c>
      <c r="K2572" s="106"/>
      <c r="L2572" s="114"/>
      <c r="M2572" s="114">
        <f>tblAquisições[[#This Row],[VALOR UNITARIO COMPRADO]]*tblAquisições[[#This Row],[QUANTIDADE COMPRADA]]</f>
        <v>0</v>
      </c>
      <c r="N2572" s="110">
        <f>K2572-tblAquisições[[#This Row],[QUANTIDADE PLANEJADA]]</f>
        <v>-2</v>
      </c>
      <c r="O2572" s="106" t="str">
        <f t="shared" si="81"/>
        <v>Faltando Comprar</v>
      </c>
    </row>
    <row r="2573" spans="1:15" ht="63">
      <c r="A2573" s="16" t="s">
        <v>17</v>
      </c>
      <c r="B2573" s="16" t="s">
        <v>26</v>
      </c>
      <c r="C2573" s="17" t="s">
        <v>19</v>
      </c>
      <c r="D2573" s="18" t="s">
        <v>1462</v>
      </c>
      <c r="E2573" s="18">
        <v>8</v>
      </c>
      <c r="F2573" s="18" t="s">
        <v>1371</v>
      </c>
      <c r="G2573" s="18" t="s">
        <v>127</v>
      </c>
      <c r="H2573" s="18" t="s">
        <v>23</v>
      </c>
      <c r="I2573" s="19">
        <v>4750</v>
      </c>
      <c r="J2573" s="20">
        <f t="shared" si="80"/>
        <v>38000</v>
      </c>
      <c r="K2573" s="106"/>
      <c r="L2573" s="114"/>
      <c r="M2573" s="114">
        <f>tblAquisições[[#This Row],[VALOR UNITARIO COMPRADO]]*tblAquisições[[#This Row],[QUANTIDADE COMPRADA]]</f>
        <v>0</v>
      </c>
      <c r="N2573" s="110">
        <f>K2573-tblAquisições[[#This Row],[QUANTIDADE PLANEJADA]]</f>
        <v>-8</v>
      </c>
      <c r="O2573" s="106" t="str">
        <f t="shared" si="81"/>
        <v>Faltando Comprar</v>
      </c>
    </row>
    <row r="2574" spans="1:15" ht="63">
      <c r="A2574" s="16" t="s">
        <v>17</v>
      </c>
      <c r="B2574" s="16" t="s">
        <v>28</v>
      </c>
      <c r="C2574" s="17" t="s">
        <v>19</v>
      </c>
      <c r="D2574" s="18" t="s">
        <v>1462</v>
      </c>
      <c r="E2574" s="18">
        <v>4</v>
      </c>
      <c r="F2574" s="18" t="s">
        <v>1371</v>
      </c>
      <c r="G2574" s="18" t="s">
        <v>127</v>
      </c>
      <c r="H2574" s="18" t="s">
        <v>23</v>
      </c>
      <c r="I2574" s="19">
        <v>4750</v>
      </c>
      <c r="J2574" s="20">
        <f t="shared" si="80"/>
        <v>19000</v>
      </c>
      <c r="K2574" s="106"/>
      <c r="L2574" s="114"/>
      <c r="M2574" s="114">
        <f>tblAquisições[[#This Row],[VALOR UNITARIO COMPRADO]]*tblAquisições[[#This Row],[QUANTIDADE COMPRADA]]</f>
        <v>0</v>
      </c>
      <c r="N2574" s="110">
        <f>K2574-tblAquisições[[#This Row],[QUANTIDADE PLANEJADA]]</f>
        <v>-4</v>
      </c>
      <c r="O2574" s="106" t="str">
        <f t="shared" si="81"/>
        <v>Faltando Comprar</v>
      </c>
    </row>
    <row r="2575" spans="1:15" ht="63">
      <c r="A2575" s="16" t="s">
        <v>17</v>
      </c>
      <c r="B2575" s="16" t="s">
        <v>26</v>
      </c>
      <c r="C2575" s="17" t="s">
        <v>19</v>
      </c>
      <c r="D2575" s="18" t="s">
        <v>1463</v>
      </c>
      <c r="E2575" s="18">
        <v>7</v>
      </c>
      <c r="F2575" s="18" t="s">
        <v>1371</v>
      </c>
      <c r="G2575" s="18" t="s">
        <v>127</v>
      </c>
      <c r="H2575" s="18" t="s">
        <v>23</v>
      </c>
      <c r="I2575" s="19">
        <v>5250</v>
      </c>
      <c r="J2575" s="20">
        <f t="shared" si="80"/>
        <v>36750</v>
      </c>
      <c r="K2575" s="106"/>
      <c r="L2575" s="114"/>
      <c r="M2575" s="114">
        <f>tblAquisições[[#This Row],[VALOR UNITARIO COMPRADO]]*tblAquisições[[#This Row],[QUANTIDADE COMPRADA]]</f>
        <v>0</v>
      </c>
      <c r="N2575" s="110">
        <f>K2575-tblAquisições[[#This Row],[QUANTIDADE PLANEJADA]]</f>
        <v>-7</v>
      </c>
      <c r="O2575" s="106" t="str">
        <f t="shared" si="81"/>
        <v>Faltando Comprar</v>
      </c>
    </row>
    <row r="2576" spans="1:15" ht="63">
      <c r="A2576" s="16" t="s">
        <v>17</v>
      </c>
      <c r="B2576" s="16" t="s">
        <v>28</v>
      </c>
      <c r="C2576" s="17" t="s">
        <v>19</v>
      </c>
      <c r="D2576" s="18" t="s">
        <v>1463</v>
      </c>
      <c r="E2576" s="18">
        <v>4</v>
      </c>
      <c r="F2576" s="18" t="s">
        <v>1371</v>
      </c>
      <c r="G2576" s="18" t="s">
        <v>127</v>
      </c>
      <c r="H2576" s="18" t="s">
        <v>23</v>
      </c>
      <c r="I2576" s="19">
        <v>5250</v>
      </c>
      <c r="J2576" s="20">
        <f t="shared" si="80"/>
        <v>21000</v>
      </c>
      <c r="K2576" s="106"/>
      <c r="L2576" s="114"/>
      <c r="M2576" s="114">
        <f>tblAquisições[[#This Row],[VALOR UNITARIO COMPRADO]]*tblAquisições[[#This Row],[QUANTIDADE COMPRADA]]</f>
        <v>0</v>
      </c>
      <c r="N2576" s="110">
        <f>K2576-tblAquisições[[#This Row],[QUANTIDADE PLANEJADA]]</f>
        <v>-4</v>
      </c>
      <c r="O2576" s="106" t="str">
        <f t="shared" si="81"/>
        <v>Faltando Comprar</v>
      </c>
    </row>
    <row r="2577" spans="1:15" ht="63">
      <c r="A2577" s="16" t="s">
        <v>17</v>
      </c>
      <c r="B2577" s="16" t="s">
        <v>18</v>
      </c>
      <c r="C2577" s="17" t="s">
        <v>19</v>
      </c>
      <c r="D2577" s="18" t="s">
        <v>1464</v>
      </c>
      <c r="E2577" s="18">
        <v>5</v>
      </c>
      <c r="F2577" s="18" t="s">
        <v>1371</v>
      </c>
      <c r="G2577" s="18" t="s">
        <v>127</v>
      </c>
      <c r="H2577" s="18" t="s">
        <v>23</v>
      </c>
      <c r="I2577" s="19">
        <v>6000</v>
      </c>
      <c r="J2577" s="20">
        <f t="shared" si="80"/>
        <v>30000</v>
      </c>
      <c r="K2577" s="106"/>
      <c r="L2577" s="114"/>
      <c r="M2577" s="114">
        <f>tblAquisições[[#This Row],[VALOR UNITARIO COMPRADO]]*tblAquisições[[#This Row],[QUANTIDADE COMPRADA]]</f>
        <v>0</v>
      </c>
      <c r="N2577" s="110">
        <f>K2577-tblAquisições[[#This Row],[QUANTIDADE PLANEJADA]]</f>
        <v>-5</v>
      </c>
      <c r="O2577" s="106" t="str">
        <f t="shared" si="81"/>
        <v>Faltando Comprar</v>
      </c>
    </row>
    <row r="2578" spans="1:15" ht="63">
      <c r="A2578" s="16" t="s">
        <v>17</v>
      </c>
      <c r="B2578" s="16" t="s">
        <v>24</v>
      </c>
      <c r="C2578" s="17" t="s">
        <v>19</v>
      </c>
      <c r="D2578" s="18" t="s">
        <v>1464</v>
      </c>
      <c r="E2578" s="18">
        <v>5</v>
      </c>
      <c r="F2578" s="18" t="s">
        <v>1371</v>
      </c>
      <c r="G2578" s="18" t="s">
        <v>127</v>
      </c>
      <c r="H2578" s="18" t="s">
        <v>23</v>
      </c>
      <c r="I2578" s="19">
        <v>6000</v>
      </c>
      <c r="J2578" s="20">
        <f t="shared" si="80"/>
        <v>30000</v>
      </c>
      <c r="K2578" s="106"/>
      <c r="L2578" s="114"/>
      <c r="M2578" s="114">
        <f>tblAquisições[[#This Row],[VALOR UNITARIO COMPRADO]]*tblAquisições[[#This Row],[QUANTIDADE COMPRADA]]</f>
        <v>0</v>
      </c>
      <c r="N2578" s="110">
        <f>K2578-tblAquisições[[#This Row],[QUANTIDADE PLANEJADA]]</f>
        <v>-5</v>
      </c>
      <c r="O2578" s="106" t="str">
        <f t="shared" si="81"/>
        <v>Faltando Comprar</v>
      </c>
    </row>
    <row r="2579" spans="1:15" ht="63">
      <c r="A2579" s="16" t="s">
        <v>17</v>
      </c>
      <c r="B2579" s="16" t="s">
        <v>25</v>
      </c>
      <c r="C2579" s="17" t="s">
        <v>19</v>
      </c>
      <c r="D2579" s="18" t="s">
        <v>1464</v>
      </c>
      <c r="E2579" s="18">
        <v>5</v>
      </c>
      <c r="F2579" s="18" t="s">
        <v>1371</v>
      </c>
      <c r="G2579" s="18" t="s">
        <v>127</v>
      </c>
      <c r="H2579" s="18" t="s">
        <v>23</v>
      </c>
      <c r="I2579" s="19">
        <v>6000</v>
      </c>
      <c r="J2579" s="20">
        <f t="shared" si="80"/>
        <v>30000</v>
      </c>
      <c r="K2579" s="106"/>
      <c r="L2579" s="114"/>
      <c r="M2579" s="114">
        <f>tblAquisições[[#This Row],[VALOR UNITARIO COMPRADO]]*tblAquisições[[#This Row],[QUANTIDADE COMPRADA]]</f>
        <v>0</v>
      </c>
      <c r="N2579" s="110">
        <f>K2579-tblAquisições[[#This Row],[QUANTIDADE PLANEJADA]]</f>
        <v>-5</v>
      </c>
      <c r="O2579" s="106" t="str">
        <f t="shared" si="81"/>
        <v>Faltando Comprar</v>
      </c>
    </row>
    <row r="2580" spans="1:15" ht="63">
      <c r="A2580" s="16" t="s">
        <v>17</v>
      </c>
      <c r="B2580" s="16" t="s">
        <v>26</v>
      </c>
      <c r="C2580" s="17" t="s">
        <v>19</v>
      </c>
      <c r="D2580" s="18" t="s">
        <v>1464</v>
      </c>
      <c r="E2580" s="18">
        <v>5</v>
      </c>
      <c r="F2580" s="18" t="s">
        <v>1371</v>
      </c>
      <c r="G2580" s="18" t="s">
        <v>127</v>
      </c>
      <c r="H2580" s="18" t="s">
        <v>23</v>
      </c>
      <c r="I2580" s="19">
        <v>6000</v>
      </c>
      <c r="J2580" s="20">
        <f t="shared" si="80"/>
        <v>30000</v>
      </c>
      <c r="K2580" s="106"/>
      <c r="L2580" s="114"/>
      <c r="M2580" s="114">
        <f>tblAquisições[[#This Row],[VALOR UNITARIO COMPRADO]]*tblAquisições[[#This Row],[QUANTIDADE COMPRADA]]</f>
        <v>0</v>
      </c>
      <c r="N2580" s="110">
        <f>K2580-tblAquisições[[#This Row],[QUANTIDADE PLANEJADA]]</f>
        <v>-5</v>
      </c>
      <c r="O2580" s="106" t="str">
        <f t="shared" si="81"/>
        <v>Faltando Comprar</v>
      </c>
    </row>
    <row r="2581" spans="1:15" ht="63">
      <c r="A2581" s="16" t="s">
        <v>17</v>
      </c>
      <c r="B2581" s="16" t="s">
        <v>28</v>
      </c>
      <c r="C2581" s="17" t="s">
        <v>19</v>
      </c>
      <c r="D2581" s="18" t="s">
        <v>1464</v>
      </c>
      <c r="E2581" s="18">
        <v>4</v>
      </c>
      <c r="F2581" s="18" t="s">
        <v>1371</v>
      </c>
      <c r="G2581" s="18" t="s">
        <v>127</v>
      </c>
      <c r="H2581" s="18" t="s">
        <v>23</v>
      </c>
      <c r="I2581" s="19">
        <v>6000</v>
      </c>
      <c r="J2581" s="20">
        <f t="shared" si="80"/>
        <v>24000</v>
      </c>
      <c r="K2581" s="106"/>
      <c r="L2581" s="114"/>
      <c r="M2581" s="114">
        <f>tblAquisições[[#This Row],[VALOR UNITARIO COMPRADO]]*tblAquisições[[#This Row],[QUANTIDADE COMPRADA]]</f>
        <v>0</v>
      </c>
      <c r="N2581" s="110">
        <f>K2581-tblAquisições[[#This Row],[QUANTIDADE PLANEJADA]]</f>
        <v>-4</v>
      </c>
      <c r="O2581" s="106" t="str">
        <f t="shared" si="81"/>
        <v>Faltando Comprar</v>
      </c>
    </row>
    <row r="2582" spans="1:15" ht="63">
      <c r="A2582" s="16" t="s">
        <v>17</v>
      </c>
      <c r="B2582" s="16" t="s">
        <v>18</v>
      </c>
      <c r="C2582" s="17" t="s">
        <v>19</v>
      </c>
      <c r="D2582" s="18" t="s">
        <v>1465</v>
      </c>
      <c r="E2582" s="18">
        <v>5</v>
      </c>
      <c r="F2582" s="18" t="s">
        <v>1371</v>
      </c>
      <c r="G2582" s="18" t="s">
        <v>127</v>
      </c>
      <c r="H2582" s="18" t="s">
        <v>23</v>
      </c>
      <c r="I2582" s="19">
        <v>7500</v>
      </c>
      <c r="J2582" s="20">
        <f t="shared" si="80"/>
        <v>37500</v>
      </c>
      <c r="K2582" s="106"/>
      <c r="L2582" s="114"/>
      <c r="M2582" s="114">
        <f>tblAquisições[[#This Row],[VALOR UNITARIO COMPRADO]]*tblAquisições[[#This Row],[QUANTIDADE COMPRADA]]</f>
        <v>0</v>
      </c>
      <c r="N2582" s="110">
        <f>K2582-tblAquisições[[#This Row],[QUANTIDADE PLANEJADA]]</f>
        <v>-5</v>
      </c>
      <c r="O2582" s="106" t="str">
        <f t="shared" si="81"/>
        <v>Faltando Comprar</v>
      </c>
    </row>
    <row r="2583" spans="1:15" ht="63">
      <c r="A2583" s="16" t="s">
        <v>17</v>
      </c>
      <c r="B2583" s="16" t="s">
        <v>24</v>
      </c>
      <c r="C2583" s="17" t="s">
        <v>19</v>
      </c>
      <c r="D2583" s="18" t="s">
        <v>1465</v>
      </c>
      <c r="E2583" s="18">
        <v>5</v>
      </c>
      <c r="F2583" s="18" t="s">
        <v>1371</v>
      </c>
      <c r="G2583" s="18" t="s">
        <v>127</v>
      </c>
      <c r="H2583" s="18" t="s">
        <v>23</v>
      </c>
      <c r="I2583" s="19">
        <v>7500</v>
      </c>
      <c r="J2583" s="20">
        <f t="shared" si="80"/>
        <v>37500</v>
      </c>
      <c r="K2583" s="106"/>
      <c r="L2583" s="114"/>
      <c r="M2583" s="114">
        <f>tblAquisições[[#This Row],[VALOR UNITARIO COMPRADO]]*tblAquisições[[#This Row],[QUANTIDADE COMPRADA]]</f>
        <v>0</v>
      </c>
      <c r="N2583" s="110">
        <f>K2583-tblAquisições[[#This Row],[QUANTIDADE PLANEJADA]]</f>
        <v>-5</v>
      </c>
      <c r="O2583" s="106" t="str">
        <f t="shared" si="81"/>
        <v>Faltando Comprar</v>
      </c>
    </row>
    <row r="2584" spans="1:15" ht="63">
      <c r="A2584" s="16" t="s">
        <v>17</v>
      </c>
      <c r="B2584" s="16" t="s">
        <v>25</v>
      </c>
      <c r="C2584" s="17" t="s">
        <v>19</v>
      </c>
      <c r="D2584" s="18" t="s">
        <v>1465</v>
      </c>
      <c r="E2584" s="18">
        <v>5</v>
      </c>
      <c r="F2584" s="18" t="s">
        <v>1371</v>
      </c>
      <c r="G2584" s="18" t="s">
        <v>127</v>
      </c>
      <c r="H2584" s="18" t="s">
        <v>23</v>
      </c>
      <c r="I2584" s="19">
        <v>7500</v>
      </c>
      <c r="J2584" s="20">
        <f t="shared" si="80"/>
        <v>37500</v>
      </c>
      <c r="K2584" s="106"/>
      <c r="L2584" s="114"/>
      <c r="M2584" s="114">
        <f>tblAquisições[[#This Row],[VALOR UNITARIO COMPRADO]]*tblAquisições[[#This Row],[QUANTIDADE COMPRADA]]</f>
        <v>0</v>
      </c>
      <c r="N2584" s="110">
        <f>K2584-tblAquisições[[#This Row],[QUANTIDADE PLANEJADA]]</f>
        <v>-5</v>
      </c>
      <c r="O2584" s="106" t="str">
        <f t="shared" si="81"/>
        <v>Faltando Comprar</v>
      </c>
    </row>
    <row r="2585" spans="1:15" ht="63">
      <c r="A2585" s="16" t="s">
        <v>17</v>
      </c>
      <c r="B2585" s="16" t="s">
        <v>26</v>
      </c>
      <c r="C2585" s="17" t="s">
        <v>19</v>
      </c>
      <c r="D2585" s="18" t="s">
        <v>1465</v>
      </c>
      <c r="E2585" s="18">
        <v>4</v>
      </c>
      <c r="F2585" s="18" t="s">
        <v>1371</v>
      </c>
      <c r="G2585" s="18" t="s">
        <v>127</v>
      </c>
      <c r="H2585" s="18" t="s">
        <v>23</v>
      </c>
      <c r="I2585" s="19">
        <v>7500</v>
      </c>
      <c r="J2585" s="20">
        <f t="shared" si="80"/>
        <v>30000</v>
      </c>
      <c r="K2585" s="106"/>
      <c r="L2585" s="114"/>
      <c r="M2585" s="114">
        <f>tblAquisições[[#This Row],[VALOR UNITARIO COMPRADO]]*tblAquisições[[#This Row],[QUANTIDADE COMPRADA]]</f>
        <v>0</v>
      </c>
      <c r="N2585" s="110">
        <f>K2585-tblAquisições[[#This Row],[QUANTIDADE PLANEJADA]]</f>
        <v>-4</v>
      </c>
      <c r="O2585" s="106" t="str">
        <f t="shared" si="81"/>
        <v>Faltando Comprar</v>
      </c>
    </row>
    <row r="2586" spans="1:15" ht="63">
      <c r="A2586" s="16" t="s">
        <v>17</v>
      </c>
      <c r="B2586" s="16" t="s">
        <v>28</v>
      </c>
      <c r="C2586" s="17" t="s">
        <v>19</v>
      </c>
      <c r="D2586" s="18" t="s">
        <v>1465</v>
      </c>
      <c r="E2586" s="18">
        <v>4</v>
      </c>
      <c r="F2586" s="18" t="s">
        <v>1371</v>
      </c>
      <c r="G2586" s="18" t="s">
        <v>127</v>
      </c>
      <c r="H2586" s="18" t="s">
        <v>23</v>
      </c>
      <c r="I2586" s="19">
        <v>7500</v>
      </c>
      <c r="J2586" s="20">
        <f t="shared" si="80"/>
        <v>30000</v>
      </c>
      <c r="K2586" s="106"/>
      <c r="L2586" s="114"/>
      <c r="M2586" s="114">
        <f>tblAquisições[[#This Row],[VALOR UNITARIO COMPRADO]]*tblAquisições[[#This Row],[QUANTIDADE COMPRADA]]</f>
        <v>0</v>
      </c>
      <c r="N2586" s="110">
        <f>K2586-tblAquisições[[#This Row],[QUANTIDADE PLANEJADA]]</f>
        <v>-4</v>
      </c>
      <c r="O2586" s="106" t="str">
        <f t="shared" si="81"/>
        <v>Faltando Comprar</v>
      </c>
    </row>
    <row r="2587" spans="1:15" ht="63">
      <c r="A2587" s="16" t="s">
        <v>17</v>
      </c>
      <c r="B2587" s="16" t="s">
        <v>18</v>
      </c>
      <c r="C2587" s="17" t="s">
        <v>19</v>
      </c>
      <c r="D2587" s="18" t="s">
        <v>1466</v>
      </c>
      <c r="E2587" s="18">
        <v>10</v>
      </c>
      <c r="F2587" s="18" t="s">
        <v>1371</v>
      </c>
      <c r="G2587" s="18" t="s">
        <v>127</v>
      </c>
      <c r="H2587" s="18" t="s">
        <v>23</v>
      </c>
      <c r="I2587" s="19">
        <v>11500</v>
      </c>
      <c r="J2587" s="20">
        <f t="shared" si="80"/>
        <v>115000</v>
      </c>
      <c r="K2587" s="106"/>
      <c r="L2587" s="114"/>
      <c r="M2587" s="114">
        <f>tblAquisições[[#This Row],[VALOR UNITARIO COMPRADO]]*tblAquisições[[#This Row],[QUANTIDADE COMPRADA]]</f>
        <v>0</v>
      </c>
      <c r="N2587" s="110">
        <f>K2587-tblAquisições[[#This Row],[QUANTIDADE PLANEJADA]]</f>
        <v>-10</v>
      </c>
      <c r="O2587" s="106" t="str">
        <f t="shared" si="81"/>
        <v>Faltando Comprar</v>
      </c>
    </row>
    <row r="2588" spans="1:15" ht="63">
      <c r="A2588" s="16" t="s">
        <v>17</v>
      </c>
      <c r="B2588" s="16" t="s">
        <v>24</v>
      </c>
      <c r="C2588" s="17" t="s">
        <v>19</v>
      </c>
      <c r="D2588" s="18" t="s">
        <v>1466</v>
      </c>
      <c r="E2588" s="18">
        <v>10</v>
      </c>
      <c r="F2588" s="18" t="s">
        <v>1371</v>
      </c>
      <c r="G2588" s="18" t="s">
        <v>127</v>
      </c>
      <c r="H2588" s="18" t="s">
        <v>23</v>
      </c>
      <c r="I2588" s="19">
        <v>11500</v>
      </c>
      <c r="J2588" s="20">
        <f t="shared" si="80"/>
        <v>115000</v>
      </c>
      <c r="K2588" s="106"/>
      <c r="L2588" s="114"/>
      <c r="M2588" s="114">
        <f>tblAquisições[[#This Row],[VALOR UNITARIO COMPRADO]]*tblAquisições[[#This Row],[QUANTIDADE COMPRADA]]</f>
        <v>0</v>
      </c>
      <c r="N2588" s="110">
        <f>K2588-tblAquisições[[#This Row],[QUANTIDADE PLANEJADA]]</f>
        <v>-10</v>
      </c>
      <c r="O2588" s="106" t="str">
        <f t="shared" si="81"/>
        <v>Faltando Comprar</v>
      </c>
    </row>
    <row r="2589" spans="1:15" ht="63">
      <c r="A2589" s="16" t="s">
        <v>17</v>
      </c>
      <c r="B2589" s="16" t="s">
        <v>25</v>
      </c>
      <c r="C2589" s="17" t="s">
        <v>19</v>
      </c>
      <c r="D2589" s="18" t="s">
        <v>1466</v>
      </c>
      <c r="E2589" s="18">
        <v>10</v>
      </c>
      <c r="F2589" s="18" t="s">
        <v>1371</v>
      </c>
      <c r="G2589" s="18" t="s">
        <v>127</v>
      </c>
      <c r="H2589" s="18" t="s">
        <v>23</v>
      </c>
      <c r="I2589" s="19">
        <v>11500</v>
      </c>
      <c r="J2589" s="20">
        <f t="shared" si="80"/>
        <v>115000</v>
      </c>
      <c r="K2589" s="106"/>
      <c r="L2589" s="114"/>
      <c r="M2589" s="114">
        <f>tblAquisições[[#This Row],[VALOR UNITARIO COMPRADO]]*tblAquisições[[#This Row],[QUANTIDADE COMPRADA]]</f>
        <v>0</v>
      </c>
      <c r="N2589" s="110">
        <f>K2589-tblAquisições[[#This Row],[QUANTIDADE PLANEJADA]]</f>
        <v>-10</v>
      </c>
      <c r="O2589" s="106" t="str">
        <f t="shared" si="81"/>
        <v>Faltando Comprar</v>
      </c>
    </row>
    <row r="2590" spans="1:15" ht="63">
      <c r="A2590" s="16" t="s">
        <v>17</v>
      </c>
      <c r="B2590" s="16" t="s">
        <v>41</v>
      </c>
      <c r="C2590" s="17" t="s">
        <v>19</v>
      </c>
      <c r="D2590" s="18" t="s">
        <v>1466</v>
      </c>
      <c r="E2590" s="18">
        <v>6</v>
      </c>
      <c r="F2590" s="18" t="s">
        <v>1371</v>
      </c>
      <c r="G2590" s="18" t="s">
        <v>127</v>
      </c>
      <c r="H2590" s="18" t="s">
        <v>23</v>
      </c>
      <c r="I2590" s="19">
        <v>11500</v>
      </c>
      <c r="J2590" s="20">
        <f t="shared" si="80"/>
        <v>69000</v>
      </c>
      <c r="K2590" s="106"/>
      <c r="L2590" s="114"/>
      <c r="M2590" s="114">
        <f>tblAquisições[[#This Row],[VALOR UNITARIO COMPRADO]]*tblAquisições[[#This Row],[QUANTIDADE COMPRADA]]</f>
        <v>0</v>
      </c>
      <c r="N2590" s="110">
        <f>K2590-tblAquisições[[#This Row],[QUANTIDADE PLANEJADA]]</f>
        <v>-6</v>
      </c>
      <c r="O2590" s="106" t="str">
        <f t="shared" si="81"/>
        <v>Faltando Comprar</v>
      </c>
    </row>
    <row r="2591" spans="1:15" ht="63">
      <c r="A2591" s="16" t="s">
        <v>17</v>
      </c>
      <c r="B2591" s="16" t="s">
        <v>26</v>
      </c>
      <c r="C2591" s="17" t="s">
        <v>19</v>
      </c>
      <c r="D2591" s="18" t="s">
        <v>1466</v>
      </c>
      <c r="E2591" s="18">
        <v>4</v>
      </c>
      <c r="F2591" s="18" t="s">
        <v>1371</v>
      </c>
      <c r="G2591" s="18" t="s">
        <v>127</v>
      </c>
      <c r="H2591" s="18" t="s">
        <v>23</v>
      </c>
      <c r="I2591" s="19">
        <v>11500</v>
      </c>
      <c r="J2591" s="20">
        <f t="shared" si="80"/>
        <v>46000</v>
      </c>
      <c r="K2591" s="106"/>
      <c r="L2591" s="114"/>
      <c r="M2591" s="114">
        <f>tblAquisições[[#This Row],[VALOR UNITARIO COMPRADO]]*tblAquisições[[#This Row],[QUANTIDADE COMPRADA]]</f>
        <v>0</v>
      </c>
      <c r="N2591" s="110">
        <f>K2591-tblAquisições[[#This Row],[QUANTIDADE PLANEJADA]]</f>
        <v>-4</v>
      </c>
      <c r="O2591" s="106" t="str">
        <f t="shared" si="81"/>
        <v>Faltando Comprar</v>
      </c>
    </row>
    <row r="2592" spans="1:15" ht="63">
      <c r="A2592" s="16" t="s">
        <v>17</v>
      </c>
      <c r="B2592" s="16" t="s">
        <v>28</v>
      </c>
      <c r="C2592" s="17" t="s">
        <v>19</v>
      </c>
      <c r="D2592" s="18" t="s">
        <v>1466</v>
      </c>
      <c r="E2592" s="18">
        <v>4</v>
      </c>
      <c r="F2592" s="18" t="s">
        <v>1371</v>
      </c>
      <c r="G2592" s="18" t="s">
        <v>127</v>
      </c>
      <c r="H2592" s="18" t="s">
        <v>23</v>
      </c>
      <c r="I2592" s="19">
        <v>11500</v>
      </c>
      <c r="J2592" s="20">
        <f t="shared" si="80"/>
        <v>46000</v>
      </c>
      <c r="K2592" s="106"/>
      <c r="L2592" s="114"/>
      <c r="M2592" s="114">
        <f>tblAquisições[[#This Row],[VALOR UNITARIO COMPRADO]]*tblAquisições[[#This Row],[QUANTIDADE COMPRADA]]</f>
        <v>0</v>
      </c>
      <c r="N2592" s="110">
        <f>K2592-tblAquisições[[#This Row],[QUANTIDADE PLANEJADA]]</f>
        <v>-4</v>
      </c>
      <c r="O2592" s="106" t="str">
        <f t="shared" si="81"/>
        <v>Faltando Comprar</v>
      </c>
    </row>
    <row r="2593" spans="1:15" ht="63">
      <c r="A2593" s="16" t="s">
        <v>17</v>
      </c>
      <c r="B2593" s="16" t="s">
        <v>80</v>
      </c>
      <c r="C2593" s="17" t="s">
        <v>19</v>
      </c>
      <c r="D2593" s="18" t="s">
        <v>1467</v>
      </c>
      <c r="E2593" s="18">
        <v>2</v>
      </c>
      <c r="F2593" s="18" t="s">
        <v>1468</v>
      </c>
      <c r="G2593" s="18" t="s">
        <v>775</v>
      </c>
      <c r="H2593" s="18" t="s">
        <v>23</v>
      </c>
      <c r="I2593" s="19">
        <v>13500</v>
      </c>
      <c r="J2593" s="20">
        <f t="shared" si="80"/>
        <v>27000</v>
      </c>
      <c r="K2593" s="106"/>
      <c r="L2593" s="114"/>
      <c r="M2593" s="114">
        <f>tblAquisições[[#This Row],[VALOR UNITARIO COMPRADO]]*tblAquisições[[#This Row],[QUANTIDADE COMPRADA]]</f>
        <v>0</v>
      </c>
      <c r="N2593" s="110">
        <f>K2593-tblAquisições[[#This Row],[QUANTIDADE PLANEJADA]]</f>
        <v>-2</v>
      </c>
      <c r="O2593" s="106" t="str">
        <f t="shared" si="81"/>
        <v>Faltando Comprar</v>
      </c>
    </row>
    <row r="2594" spans="1:15" ht="63">
      <c r="A2594" s="16" t="s">
        <v>17</v>
      </c>
      <c r="B2594" s="16" t="s">
        <v>18</v>
      </c>
      <c r="C2594" s="17" t="s">
        <v>19</v>
      </c>
      <c r="D2594" s="18" t="s">
        <v>1469</v>
      </c>
      <c r="E2594" s="18">
        <v>10</v>
      </c>
      <c r="F2594" s="18" t="s">
        <v>1371</v>
      </c>
      <c r="G2594" s="18" t="s">
        <v>127</v>
      </c>
      <c r="H2594" s="18" t="s">
        <v>23</v>
      </c>
      <c r="I2594" s="19">
        <v>13500</v>
      </c>
      <c r="J2594" s="20">
        <f t="shared" si="80"/>
        <v>135000</v>
      </c>
      <c r="K2594" s="106"/>
      <c r="L2594" s="114"/>
      <c r="M2594" s="114">
        <f>tblAquisições[[#This Row],[VALOR UNITARIO COMPRADO]]*tblAquisições[[#This Row],[QUANTIDADE COMPRADA]]</f>
        <v>0</v>
      </c>
      <c r="N2594" s="110">
        <f>K2594-tblAquisições[[#This Row],[QUANTIDADE PLANEJADA]]</f>
        <v>-10</v>
      </c>
      <c r="O2594" s="106" t="str">
        <f t="shared" si="81"/>
        <v>Faltando Comprar</v>
      </c>
    </row>
    <row r="2595" spans="1:15" ht="63">
      <c r="A2595" s="16" t="s">
        <v>17</v>
      </c>
      <c r="B2595" s="16" t="s">
        <v>24</v>
      </c>
      <c r="C2595" s="17" t="s">
        <v>19</v>
      </c>
      <c r="D2595" s="18" t="s">
        <v>1469</v>
      </c>
      <c r="E2595" s="18">
        <v>10</v>
      </c>
      <c r="F2595" s="18" t="s">
        <v>1371</v>
      </c>
      <c r="G2595" s="18" t="s">
        <v>127</v>
      </c>
      <c r="H2595" s="18" t="s">
        <v>23</v>
      </c>
      <c r="I2595" s="19">
        <v>13500</v>
      </c>
      <c r="J2595" s="20">
        <f t="shared" si="80"/>
        <v>135000</v>
      </c>
      <c r="K2595" s="106"/>
      <c r="L2595" s="114"/>
      <c r="M2595" s="114">
        <f>tblAquisições[[#This Row],[VALOR UNITARIO COMPRADO]]*tblAquisições[[#This Row],[QUANTIDADE COMPRADA]]</f>
        <v>0</v>
      </c>
      <c r="N2595" s="110">
        <f>K2595-tblAquisições[[#This Row],[QUANTIDADE PLANEJADA]]</f>
        <v>-10</v>
      </c>
      <c r="O2595" s="106" t="str">
        <f t="shared" si="81"/>
        <v>Faltando Comprar</v>
      </c>
    </row>
    <row r="2596" spans="1:15" ht="63">
      <c r="A2596" s="16" t="s">
        <v>17</v>
      </c>
      <c r="B2596" s="16" t="s">
        <v>25</v>
      </c>
      <c r="C2596" s="17" t="s">
        <v>19</v>
      </c>
      <c r="D2596" s="18" t="s">
        <v>1469</v>
      </c>
      <c r="E2596" s="18">
        <v>10</v>
      </c>
      <c r="F2596" s="18" t="s">
        <v>1371</v>
      </c>
      <c r="G2596" s="18" t="s">
        <v>127</v>
      </c>
      <c r="H2596" s="18" t="s">
        <v>23</v>
      </c>
      <c r="I2596" s="19">
        <v>13500</v>
      </c>
      <c r="J2596" s="20">
        <f t="shared" si="80"/>
        <v>135000</v>
      </c>
      <c r="K2596" s="106"/>
      <c r="L2596" s="114"/>
      <c r="M2596" s="114">
        <f>tblAquisições[[#This Row],[VALOR UNITARIO COMPRADO]]*tblAquisições[[#This Row],[QUANTIDADE COMPRADA]]</f>
        <v>0</v>
      </c>
      <c r="N2596" s="110">
        <f>K2596-tblAquisições[[#This Row],[QUANTIDADE PLANEJADA]]</f>
        <v>-10</v>
      </c>
      <c r="O2596" s="106" t="str">
        <f t="shared" si="81"/>
        <v>Faltando Comprar</v>
      </c>
    </row>
    <row r="2597" spans="1:15" ht="63">
      <c r="A2597" s="16" t="s">
        <v>17</v>
      </c>
      <c r="B2597" s="16" t="s">
        <v>41</v>
      </c>
      <c r="C2597" s="17" t="s">
        <v>19</v>
      </c>
      <c r="D2597" s="18" t="s">
        <v>1469</v>
      </c>
      <c r="E2597" s="18">
        <v>6</v>
      </c>
      <c r="F2597" s="18" t="s">
        <v>1371</v>
      </c>
      <c r="G2597" s="18" t="s">
        <v>127</v>
      </c>
      <c r="H2597" s="18" t="s">
        <v>23</v>
      </c>
      <c r="I2597" s="19">
        <v>13500</v>
      </c>
      <c r="J2597" s="20">
        <f t="shared" si="80"/>
        <v>81000</v>
      </c>
      <c r="K2597" s="106"/>
      <c r="L2597" s="114"/>
      <c r="M2597" s="114">
        <f>tblAquisições[[#This Row],[VALOR UNITARIO COMPRADO]]*tblAquisições[[#This Row],[QUANTIDADE COMPRADA]]</f>
        <v>0</v>
      </c>
      <c r="N2597" s="110">
        <f>K2597-tblAquisições[[#This Row],[QUANTIDADE PLANEJADA]]</f>
        <v>-6</v>
      </c>
      <c r="O2597" s="106" t="str">
        <f t="shared" si="81"/>
        <v>Faltando Comprar</v>
      </c>
    </row>
    <row r="2598" spans="1:15" ht="63">
      <c r="A2598" s="16" t="s">
        <v>17</v>
      </c>
      <c r="B2598" s="16" t="s">
        <v>26</v>
      </c>
      <c r="C2598" s="17" t="s">
        <v>19</v>
      </c>
      <c r="D2598" s="18" t="s">
        <v>1469</v>
      </c>
      <c r="E2598" s="18">
        <v>3</v>
      </c>
      <c r="F2598" s="18" t="s">
        <v>1371</v>
      </c>
      <c r="G2598" s="18" t="s">
        <v>127</v>
      </c>
      <c r="H2598" s="18" t="s">
        <v>23</v>
      </c>
      <c r="I2598" s="19">
        <v>13500</v>
      </c>
      <c r="J2598" s="20">
        <f t="shared" si="80"/>
        <v>40500</v>
      </c>
      <c r="K2598" s="106"/>
      <c r="L2598" s="114"/>
      <c r="M2598" s="114">
        <f>tblAquisições[[#This Row],[VALOR UNITARIO COMPRADO]]*tblAquisições[[#This Row],[QUANTIDADE COMPRADA]]</f>
        <v>0</v>
      </c>
      <c r="N2598" s="110">
        <f>K2598-tblAquisições[[#This Row],[QUANTIDADE PLANEJADA]]</f>
        <v>-3</v>
      </c>
      <c r="O2598" s="106" t="str">
        <f t="shared" si="81"/>
        <v>Faltando Comprar</v>
      </c>
    </row>
    <row r="2599" spans="1:15" ht="63">
      <c r="A2599" s="16" t="s">
        <v>17</v>
      </c>
      <c r="B2599" s="16" t="s">
        <v>28</v>
      </c>
      <c r="C2599" s="17" t="s">
        <v>19</v>
      </c>
      <c r="D2599" s="18" t="s">
        <v>1469</v>
      </c>
      <c r="E2599" s="18">
        <v>4</v>
      </c>
      <c r="F2599" s="18" t="s">
        <v>1371</v>
      </c>
      <c r="G2599" s="18" t="s">
        <v>127</v>
      </c>
      <c r="H2599" s="18" t="s">
        <v>23</v>
      </c>
      <c r="I2599" s="19">
        <v>13500</v>
      </c>
      <c r="J2599" s="20">
        <f t="shared" si="80"/>
        <v>54000</v>
      </c>
      <c r="K2599" s="106"/>
      <c r="L2599" s="114"/>
      <c r="M2599" s="114">
        <f>tblAquisições[[#This Row],[VALOR UNITARIO COMPRADO]]*tblAquisições[[#This Row],[QUANTIDADE COMPRADA]]</f>
        <v>0</v>
      </c>
      <c r="N2599" s="110">
        <f>K2599-tblAquisições[[#This Row],[QUANTIDADE PLANEJADA]]</f>
        <v>-4</v>
      </c>
      <c r="O2599" s="106" t="str">
        <f t="shared" si="81"/>
        <v>Faltando Comprar</v>
      </c>
    </row>
    <row r="2600" spans="1:15" ht="63">
      <c r="A2600" s="16" t="s">
        <v>17</v>
      </c>
      <c r="B2600" s="16" t="s">
        <v>80</v>
      </c>
      <c r="C2600" s="17" t="s">
        <v>19</v>
      </c>
      <c r="D2600" s="18" t="s">
        <v>1470</v>
      </c>
      <c r="E2600" s="18">
        <v>2</v>
      </c>
      <c r="F2600" s="18" t="s">
        <v>1468</v>
      </c>
      <c r="G2600" s="18" t="s">
        <v>775</v>
      </c>
      <c r="H2600" s="18" t="s">
        <v>23</v>
      </c>
      <c r="I2600" s="19">
        <v>16000</v>
      </c>
      <c r="J2600" s="20">
        <f t="shared" si="80"/>
        <v>32000</v>
      </c>
      <c r="K2600" s="106"/>
      <c r="L2600" s="114"/>
      <c r="M2600" s="114">
        <f>tblAquisições[[#This Row],[VALOR UNITARIO COMPRADO]]*tblAquisições[[#This Row],[QUANTIDADE COMPRADA]]</f>
        <v>0</v>
      </c>
      <c r="N2600" s="110">
        <f>K2600-tblAquisições[[#This Row],[QUANTIDADE PLANEJADA]]</f>
        <v>-2</v>
      </c>
      <c r="O2600" s="106" t="str">
        <f t="shared" si="81"/>
        <v>Faltando Comprar</v>
      </c>
    </row>
    <row r="2601" spans="1:15" ht="63">
      <c r="A2601" s="16" t="s">
        <v>17</v>
      </c>
      <c r="B2601" s="16" t="s">
        <v>18</v>
      </c>
      <c r="C2601" s="17" t="s">
        <v>19</v>
      </c>
      <c r="D2601" s="18" t="s">
        <v>1471</v>
      </c>
      <c r="E2601" s="18">
        <v>10</v>
      </c>
      <c r="F2601" s="18" t="s">
        <v>1371</v>
      </c>
      <c r="G2601" s="18" t="s">
        <v>127</v>
      </c>
      <c r="H2601" s="18" t="s">
        <v>23</v>
      </c>
      <c r="I2601" s="19">
        <v>16000</v>
      </c>
      <c r="J2601" s="20">
        <f t="shared" si="80"/>
        <v>160000</v>
      </c>
      <c r="K2601" s="106"/>
      <c r="L2601" s="114"/>
      <c r="M2601" s="114">
        <f>tblAquisições[[#This Row],[VALOR UNITARIO COMPRADO]]*tblAquisições[[#This Row],[QUANTIDADE COMPRADA]]</f>
        <v>0</v>
      </c>
      <c r="N2601" s="110">
        <f>K2601-tblAquisições[[#This Row],[QUANTIDADE PLANEJADA]]</f>
        <v>-10</v>
      </c>
      <c r="O2601" s="106" t="str">
        <f t="shared" si="81"/>
        <v>Faltando Comprar</v>
      </c>
    </row>
    <row r="2602" spans="1:15" ht="63">
      <c r="A2602" s="16" t="s">
        <v>17</v>
      </c>
      <c r="B2602" s="16" t="s">
        <v>24</v>
      </c>
      <c r="C2602" s="17" t="s">
        <v>19</v>
      </c>
      <c r="D2602" s="18" t="s">
        <v>1471</v>
      </c>
      <c r="E2602" s="18">
        <v>10</v>
      </c>
      <c r="F2602" s="18" t="s">
        <v>1371</v>
      </c>
      <c r="G2602" s="18" t="s">
        <v>127</v>
      </c>
      <c r="H2602" s="18" t="s">
        <v>23</v>
      </c>
      <c r="I2602" s="19">
        <v>16000</v>
      </c>
      <c r="J2602" s="20">
        <f t="shared" si="80"/>
        <v>160000</v>
      </c>
      <c r="K2602" s="106"/>
      <c r="L2602" s="114"/>
      <c r="M2602" s="114">
        <f>tblAquisições[[#This Row],[VALOR UNITARIO COMPRADO]]*tblAquisições[[#This Row],[QUANTIDADE COMPRADA]]</f>
        <v>0</v>
      </c>
      <c r="N2602" s="110">
        <f>K2602-tblAquisições[[#This Row],[QUANTIDADE PLANEJADA]]</f>
        <v>-10</v>
      </c>
      <c r="O2602" s="106" t="str">
        <f t="shared" si="81"/>
        <v>Faltando Comprar</v>
      </c>
    </row>
    <row r="2603" spans="1:15" ht="63">
      <c r="A2603" s="16" t="s">
        <v>17</v>
      </c>
      <c r="B2603" s="16" t="s">
        <v>25</v>
      </c>
      <c r="C2603" s="17" t="s">
        <v>19</v>
      </c>
      <c r="D2603" s="18" t="s">
        <v>1471</v>
      </c>
      <c r="E2603" s="18">
        <v>10</v>
      </c>
      <c r="F2603" s="18" t="s">
        <v>1371</v>
      </c>
      <c r="G2603" s="18" t="s">
        <v>127</v>
      </c>
      <c r="H2603" s="18" t="s">
        <v>23</v>
      </c>
      <c r="I2603" s="19">
        <v>16000</v>
      </c>
      <c r="J2603" s="20">
        <f t="shared" si="80"/>
        <v>160000</v>
      </c>
      <c r="K2603" s="106"/>
      <c r="L2603" s="114"/>
      <c r="M2603" s="114">
        <f>tblAquisições[[#This Row],[VALOR UNITARIO COMPRADO]]*tblAquisições[[#This Row],[QUANTIDADE COMPRADA]]</f>
        <v>0</v>
      </c>
      <c r="N2603" s="110">
        <f>K2603-tblAquisições[[#This Row],[QUANTIDADE PLANEJADA]]</f>
        <v>-10</v>
      </c>
      <c r="O2603" s="106" t="str">
        <f t="shared" si="81"/>
        <v>Faltando Comprar</v>
      </c>
    </row>
    <row r="2604" spans="1:15" ht="63">
      <c r="A2604" s="16" t="s">
        <v>17</v>
      </c>
      <c r="B2604" s="16" t="s">
        <v>41</v>
      </c>
      <c r="C2604" s="17" t="s">
        <v>19</v>
      </c>
      <c r="D2604" s="18" t="s">
        <v>1471</v>
      </c>
      <c r="E2604" s="18">
        <v>6</v>
      </c>
      <c r="F2604" s="18" t="s">
        <v>1371</v>
      </c>
      <c r="G2604" s="18" t="s">
        <v>127</v>
      </c>
      <c r="H2604" s="18" t="s">
        <v>23</v>
      </c>
      <c r="I2604" s="19">
        <v>16000</v>
      </c>
      <c r="J2604" s="20">
        <f t="shared" si="80"/>
        <v>96000</v>
      </c>
      <c r="K2604" s="106"/>
      <c r="L2604" s="114"/>
      <c r="M2604" s="114">
        <f>tblAquisições[[#This Row],[VALOR UNITARIO COMPRADO]]*tblAquisições[[#This Row],[QUANTIDADE COMPRADA]]</f>
        <v>0</v>
      </c>
      <c r="N2604" s="110">
        <f>K2604-tblAquisições[[#This Row],[QUANTIDADE PLANEJADA]]</f>
        <v>-6</v>
      </c>
      <c r="O2604" s="106" t="str">
        <f t="shared" si="81"/>
        <v>Faltando Comprar</v>
      </c>
    </row>
    <row r="2605" spans="1:15" ht="63">
      <c r="A2605" s="16" t="s">
        <v>17</v>
      </c>
      <c r="B2605" s="16" t="s">
        <v>26</v>
      </c>
      <c r="C2605" s="17" t="s">
        <v>19</v>
      </c>
      <c r="D2605" s="18" t="s">
        <v>1471</v>
      </c>
      <c r="E2605" s="18">
        <v>2</v>
      </c>
      <c r="F2605" s="18" t="s">
        <v>1371</v>
      </c>
      <c r="G2605" s="18" t="s">
        <v>127</v>
      </c>
      <c r="H2605" s="18" t="s">
        <v>23</v>
      </c>
      <c r="I2605" s="19">
        <v>16000</v>
      </c>
      <c r="J2605" s="20">
        <f t="shared" si="80"/>
        <v>32000</v>
      </c>
      <c r="K2605" s="106"/>
      <c r="L2605" s="114"/>
      <c r="M2605" s="114">
        <f>tblAquisições[[#This Row],[VALOR UNITARIO COMPRADO]]*tblAquisições[[#This Row],[QUANTIDADE COMPRADA]]</f>
        <v>0</v>
      </c>
      <c r="N2605" s="110">
        <f>K2605-tblAquisições[[#This Row],[QUANTIDADE PLANEJADA]]</f>
        <v>-2</v>
      </c>
      <c r="O2605" s="106" t="str">
        <f t="shared" si="81"/>
        <v>Faltando Comprar</v>
      </c>
    </row>
    <row r="2606" spans="1:15" ht="63">
      <c r="A2606" s="16" t="s">
        <v>17</v>
      </c>
      <c r="B2606" s="16" t="s">
        <v>28</v>
      </c>
      <c r="C2606" s="17" t="s">
        <v>19</v>
      </c>
      <c r="D2606" s="18" t="s">
        <v>1471</v>
      </c>
      <c r="E2606" s="18">
        <v>4</v>
      </c>
      <c r="F2606" s="18" t="s">
        <v>1371</v>
      </c>
      <c r="G2606" s="18" t="s">
        <v>127</v>
      </c>
      <c r="H2606" s="18" t="s">
        <v>23</v>
      </c>
      <c r="I2606" s="19">
        <v>16000</v>
      </c>
      <c r="J2606" s="20">
        <f t="shared" si="80"/>
        <v>64000</v>
      </c>
      <c r="K2606" s="106"/>
      <c r="L2606" s="114"/>
      <c r="M2606" s="114">
        <f>tblAquisições[[#This Row],[VALOR UNITARIO COMPRADO]]*tblAquisições[[#This Row],[QUANTIDADE COMPRADA]]</f>
        <v>0</v>
      </c>
      <c r="N2606" s="110">
        <f>K2606-tblAquisições[[#This Row],[QUANTIDADE PLANEJADA]]</f>
        <v>-4</v>
      </c>
      <c r="O2606" s="106" t="str">
        <f t="shared" si="81"/>
        <v>Faltando Comprar</v>
      </c>
    </row>
    <row r="2607" spans="1:15" ht="47.25">
      <c r="A2607" s="16" t="s">
        <v>17</v>
      </c>
      <c r="B2607" s="16" t="s">
        <v>28</v>
      </c>
      <c r="C2607" s="17" t="s">
        <v>19</v>
      </c>
      <c r="D2607" s="18" t="s">
        <v>1472</v>
      </c>
      <c r="E2607" s="18">
        <v>300</v>
      </c>
      <c r="F2607" s="18" t="s">
        <v>118</v>
      </c>
      <c r="G2607" s="18" t="s">
        <v>22</v>
      </c>
      <c r="H2607" s="18" t="s">
        <v>100</v>
      </c>
      <c r="I2607" s="19">
        <v>2.59</v>
      </c>
      <c r="J2607" s="20">
        <f t="shared" si="80"/>
        <v>777</v>
      </c>
      <c r="K2607" s="106"/>
      <c r="L2607" s="114"/>
      <c r="M2607" s="114">
        <f>tblAquisições[[#This Row],[VALOR UNITARIO COMPRADO]]*tblAquisições[[#This Row],[QUANTIDADE COMPRADA]]</f>
        <v>0</v>
      </c>
      <c r="N2607" s="110">
        <f>K2607-tblAquisições[[#This Row],[QUANTIDADE PLANEJADA]]</f>
        <v>-300</v>
      </c>
      <c r="O2607" s="106" t="str">
        <f t="shared" si="81"/>
        <v>Faltando Comprar</v>
      </c>
    </row>
    <row r="2608" spans="1:15" ht="47.25">
      <c r="A2608" s="16" t="s">
        <v>17</v>
      </c>
      <c r="B2608" s="16" t="s">
        <v>80</v>
      </c>
      <c r="C2608" s="17" t="s">
        <v>19</v>
      </c>
      <c r="D2608" s="18" t="s">
        <v>1473</v>
      </c>
      <c r="E2608" s="18">
        <v>20.5</v>
      </c>
      <c r="F2608" s="18" t="s">
        <v>1416</v>
      </c>
      <c r="G2608" s="18" t="s">
        <v>39</v>
      </c>
      <c r="H2608" s="18" t="s">
        <v>1474</v>
      </c>
      <c r="I2608" s="19">
        <v>137.47</v>
      </c>
      <c r="J2608" s="20">
        <f t="shared" si="80"/>
        <v>2818.1349999999998</v>
      </c>
      <c r="K2608" s="106"/>
      <c r="L2608" s="114"/>
      <c r="M2608" s="114">
        <f>tblAquisições[[#This Row],[VALOR UNITARIO COMPRADO]]*tblAquisições[[#This Row],[QUANTIDADE COMPRADA]]</f>
        <v>0</v>
      </c>
      <c r="N2608" s="110">
        <f>K2608-tblAquisições[[#This Row],[QUANTIDADE PLANEJADA]]</f>
        <v>-20.5</v>
      </c>
      <c r="O2608" s="106" t="str">
        <f t="shared" si="81"/>
        <v>Faltando Comprar</v>
      </c>
    </row>
    <row r="2609" spans="1:15" ht="47.25">
      <c r="A2609" s="16" t="s">
        <v>17</v>
      </c>
      <c r="B2609" s="16" t="s">
        <v>80</v>
      </c>
      <c r="C2609" s="17" t="s">
        <v>19</v>
      </c>
      <c r="D2609" s="18" t="s">
        <v>1475</v>
      </c>
      <c r="E2609" s="18">
        <v>8.5</v>
      </c>
      <c r="F2609" s="18" t="s">
        <v>1416</v>
      </c>
      <c r="G2609" s="18" t="s">
        <v>39</v>
      </c>
      <c r="H2609" s="18" t="s">
        <v>1474</v>
      </c>
      <c r="I2609" s="19">
        <v>806.25</v>
      </c>
      <c r="J2609" s="20">
        <f t="shared" si="80"/>
        <v>6853.125</v>
      </c>
      <c r="K2609" s="106"/>
      <c r="L2609" s="114"/>
      <c r="M2609" s="114">
        <f>tblAquisições[[#This Row],[VALOR UNITARIO COMPRADO]]*tblAquisições[[#This Row],[QUANTIDADE COMPRADA]]</f>
        <v>0</v>
      </c>
      <c r="N2609" s="110">
        <f>K2609-tblAquisições[[#This Row],[QUANTIDADE PLANEJADA]]</f>
        <v>-8.5</v>
      </c>
      <c r="O2609" s="106" t="str">
        <f t="shared" si="81"/>
        <v>Faltando Comprar</v>
      </c>
    </row>
    <row r="2610" spans="1:15" ht="47.25">
      <c r="A2610" s="16" t="s">
        <v>17</v>
      </c>
      <c r="B2610" s="16" t="s">
        <v>80</v>
      </c>
      <c r="C2610" s="17" t="s">
        <v>19</v>
      </c>
      <c r="D2610" s="18" t="s">
        <v>1476</v>
      </c>
      <c r="E2610" s="18">
        <v>4.5</v>
      </c>
      <c r="F2610" s="18" t="s">
        <v>1416</v>
      </c>
      <c r="G2610" s="18" t="s">
        <v>39</v>
      </c>
      <c r="H2610" s="18" t="s">
        <v>1474</v>
      </c>
      <c r="I2610" s="19">
        <v>34.93</v>
      </c>
      <c r="J2610" s="20">
        <f t="shared" si="80"/>
        <v>157.185</v>
      </c>
      <c r="K2610" s="106"/>
      <c r="L2610" s="114"/>
      <c r="M2610" s="114">
        <f>tblAquisições[[#This Row],[VALOR UNITARIO COMPRADO]]*tblAquisições[[#This Row],[QUANTIDADE COMPRADA]]</f>
        <v>0</v>
      </c>
      <c r="N2610" s="110">
        <f>K2610-tblAquisições[[#This Row],[QUANTIDADE PLANEJADA]]</f>
        <v>-4.5</v>
      </c>
      <c r="O2610" s="106" t="str">
        <f t="shared" si="81"/>
        <v>Faltando Comprar</v>
      </c>
    </row>
    <row r="2611" spans="1:15" ht="47.25">
      <c r="A2611" s="16" t="s">
        <v>17</v>
      </c>
      <c r="B2611" s="16" t="s">
        <v>28</v>
      </c>
      <c r="C2611" s="17" t="s">
        <v>19</v>
      </c>
      <c r="D2611" s="18" t="s">
        <v>1477</v>
      </c>
      <c r="E2611" s="18">
        <v>300</v>
      </c>
      <c r="F2611" s="18" t="s">
        <v>118</v>
      </c>
      <c r="G2611" s="18" t="s">
        <v>22</v>
      </c>
      <c r="H2611" s="18" t="s">
        <v>100</v>
      </c>
      <c r="I2611" s="19">
        <v>2.59</v>
      </c>
      <c r="J2611" s="20">
        <f t="shared" si="80"/>
        <v>777</v>
      </c>
      <c r="K2611" s="106"/>
      <c r="L2611" s="114"/>
      <c r="M2611" s="114">
        <f>tblAquisições[[#This Row],[VALOR UNITARIO COMPRADO]]*tblAquisições[[#This Row],[QUANTIDADE COMPRADA]]</f>
        <v>0</v>
      </c>
      <c r="N2611" s="110">
        <f>K2611-tblAquisições[[#This Row],[QUANTIDADE PLANEJADA]]</f>
        <v>-300</v>
      </c>
      <c r="O2611" s="106" t="str">
        <f t="shared" si="81"/>
        <v>Faltando Comprar</v>
      </c>
    </row>
    <row r="2612" spans="1:15" ht="47.25">
      <c r="A2612" s="16" t="s">
        <v>17</v>
      </c>
      <c r="B2612" s="16" t="s">
        <v>28</v>
      </c>
      <c r="C2612" s="17" t="s">
        <v>19</v>
      </c>
      <c r="D2612" s="18" t="s">
        <v>1478</v>
      </c>
      <c r="E2612" s="18">
        <v>300</v>
      </c>
      <c r="F2612" s="18" t="s">
        <v>118</v>
      </c>
      <c r="G2612" s="18" t="s">
        <v>22</v>
      </c>
      <c r="H2612" s="18" t="s">
        <v>100</v>
      </c>
      <c r="I2612" s="19">
        <v>3.15</v>
      </c>
      <c r="J2612" s="20">
        <f t="shared" si="80"/>
        <v>945</v>
      </c>
      <c r="K2612" s="106"/>
      <c r="L2612" s="114"/>
      <c r="M2612" s="114">
        <f>tblAquisições[[#This Row],[VALOR UNITARIO COMPRADO]]*tblAquisições[[#This Row],[QUANTIDADE COMPRADA]]</f>
        <v>0</v>
      </c>
      <c r="N2612" s="110">
        <f>K2612-tblAquisições[[#This Row],[QUANTIDADE PLANEJADA]]</f>
        <v>-300</v>
      </c>
      <c r="O2612" s="106" t="str">
        <f t="shared" si="81"/>
        <v>Faltando Comprar</v>
      </c>
    </row>
    <row r="2613" spans="1:15" ht="47.25">
      <c r="A2613" s="16" t="s">
        <v>17</v>
      </c>
      <c r="B2613" s="16" t="s">
        <v>80</v>
      </c>
      <c r="C2613" s="17" t="s">
        <v>19</v>
      </c>
      <c r="D2613" s="18" t="s">
        <v>1479</v>
      </c>
      <c r="E2613" s="18">
        <v>20.5</v>
      </c>
      <c r="F2613" s="18" t="s">
        <v>1416</v>
      </c>
      <c r="G2613" s="18" t="s">
        <v>39</v>
      </c>
      <c r="H2613" s="18" t="s">
        <v>1474</v>
      </c>
      <c r="I2613" s="19">
        <v>80.63</v>
      </c>
      <c r="J2613" s="20">
        <f t="shared" si="80"/>
        <v>1652.915</v>
      </c>
      <c r="K2613" s="106"/>
      <c r="L2613" s="114"/>
      <c r="M2613" s="114">
        <f>tblAquisições[[#This Row],[VALOR UNITARIO COMPRADO]]*tblAquisições[[#This Row],[QUANTIDADE COMPRADA]]</f>
        <v>0</v>
      </c>
      <c r="N2613" s="110">
        <f>K2613-tblAquisições[[#This Row],[QUANTIDADE PLANEJADA]]</f>
        <v>-20.5</v>
      </c>
      <c r="O2613" s="106" t="str">
        <f t="shared" si="81"/>
        <v>Faltando Comprar</v>
      </c>
    </row>
    <row r="2614" spans="1:15" ht="47.25">
      <c r="A2614" s="16" t="s">
        <v>17</v>
      </c>
      <c r="B2614" s="16" t="s">
        <v>25</v>
      </c>
      <c r="C2614" s="17" t="s">
        <v>19</v>
      </c>
      <c r="D2614" s="18" t="s">
        <v>1480</v>
      </c>
      <c r="E2614" s="23">
        <v>190660</v>
      </c>
      <c r="F2614" s="18" t="s">
        <v>118</v>
      </c>
      <c r="G2614" s="18" t="s">
        <v>22</v>
      </c>
      <c r="H2614" s="18" t="s">
        <v>100</v>
      </c>
      <c r="I2614" s="19">
        <v>80.63</v>
      </c>
      <c r="J2614" s="20">
        <f t="shared" si="80"/>
        <v>15372915.799999999</v>
      </c>
      <c r="K2614" s="106"/>
      <c r="L2614" s="114"/>
      <c r="M2614" s="114">
        <f>tblAquisições[[#This Row],[VALOR UNITARIO COMPRADO]]*tblAquisições[[#This Row],[QUANTIDADE COMPRADA]]</f>
        <v>0</v>
      </c>
      <c r="N2614" s="110">
        <f>K2614-tblAquisições[[#This Row],[QUANTIDADE PLANEJADA]]</f>
        <v>-190660</v>
      </c>
      <c r="O2614" s="106" t="str">
        <f t="shared" si="81"/>
        <v>Faltando Comprar</v>
      </c>
    </row>
    <row r="2615" spans="1:15" ht="47.25">
      <c r="A2615" s="16" t="s">
        <v>17</v>
      </c>
      <c r="B2615" s="16" t="s">
        <v>28</v>
      </c>
      <c r="C2615" s="17" t="s">
        <v>19</v>
      </c>
      <c r="D2615" s="18" t="s">
        <v>1480</v>
      </c>
      <c r="E2615" s="18">
        <v>33.6</v>
      </c>
      <c r="F2615" s="18" t="s">
        <v>118</v>
      </c>
      <c r="G2615" s="18" t="s">
        <v>22</v>
      </c>
      <c r="H2615" s="18" t="s">
        <v>83</v>
      </c>
      <c r="I2615" s="19">
        <v>80.63</v>
      </c>
      <c r="J2615" s="20">
        <f t="shared" si="80"/>
        <v>2709.1680000000001</v>
      </c>
      <c r="K2615" s="106"/>
      <c r="L2615" s="114"/>
      <c r="M2615" s="114">
        <f>tblAquisições[[#This Row],[VALOR UNITARIO COMPRADO]]*tblAquisições[[#This Row],[QUANTIDADE COMPRADA]]</f>
        <v>0</v>
      </c>
      <c r="N2615" s="110">
        <f>K2615-tblAquisições[[#This Row],[QUANTIDADE PLANEJADA]]</f>
        <v>-33.6</v>
      </c>
      <c r="O2615" s="106" t="str">
        <f t="shared" si="81"/>
        <v>Faltando Comprar</v>
      </c>
    </row>
    <row r="2616" spans="1:15" ht="47.25">
      <c r="A2616" s="16" t="s">
        <v>17</v>
      </c>
      <c r="B2616" s="16" t="s">
        <v>80</v>
      </c>
      <c r="C2616" s="17" t="s">
        <v>19</v>
      </c>
      <c r="D2616" s="18" t="s">
        <v>1481</v>
      </c>
      <c r="E2616" s="18">
        <v>12.65</v>
      </c>
      <c r="F2616" s="18" t="s">
        <v>1416</v>
      </c>
      <c r="G2616" s="18" t="s">
        <v>39</v>
      </c>
      <c r="H2616" s="18" t="s">
        <v>1474</v>
      </c>
      <c r="I2616" s="19">
        <v>125.91</v>
      </c>
      <c r="J2616" s="20">
        <f t="shared" si="80"/>
        <v>1592.7615000000001</v>
      </c>
      <c r="K2616" s="106"/>
      <c r="L2616" s="114"/>
      <c r="M2616" s="114">
        <f>tblAquisições[[#This Row],[VALOR UNITARIO COMPRADO]]*tblAquisições[[#This Row],[QUANTIDADE COMPRADA]]</f>
        <v>0</v>
      </c>
      <c r="N2616" s="110">
        <f>K2616-tblAquisições[[#This Row],[QUANTIDADE PLANEJADA]]</f>
        <v>-12.65</v>
      </c>
      <c r="O2616" s="106" t="str">
        <f t="shared" si="81"/>
        <v>Faltando Comprar</v>
      </c>
    </row>
    <row r="2617" spans="1:15" ht="47.25">
      <c r="A2617" s="16" t="s">
        <v>17</v>
      </c>
      <c r="B2617" s="16" t="s">
        <v>25</v>
      </c>
      <c r="C2617" s="17" t="s">
        <v>19</v>
      </c>
      <c r="D2617" s="18" t="s">
        <v>1482</v>
      </c>
      <c r="E2617" s="23">
        <v>24608</v>
      </c>
      <c r="F2617" s="18" t="s">
        <v>118</v>
      </c>
      <c r="G2617" s="18" t="s">
        <v>22</v>
      </c>
      <c r="H2617" s="18" t="s">
        <v>100</v>
      </c>
      <c r="I2617" s="19">
        <v>150.66999999999999</v>
      </c>
      <c r="J2617" s="20">
        <f t="shared" si="80"/>
        <v>3707687.36</v>
      </c>
      <c r="K2617" s="106"/>
      <c r="L2617" s="114"/>
      <c r="M2617" s="114">
        <f>tblAquisições[[#This Row],[VALOR UNITARIO COMPRADO]]*tblAquisições[[#This Row],[QUANTIDADE COMPRADA]]</f>
        <v>0</v>
      </c>
      <c r="N2617" s="110">
        <f>K2617-tblAquisições[[#This Row],[QUANTIDADE PLANEJADA]]</f>
        <v>-24608</v>
      </c>
      <c r="O2617" s="106" t="str">
        <f t="shared" si="81"/>
        <v>Faltando Comprar</v>
      </c>
    </row>
    <row r="2618" spans="1:15" ht="47.25">
      <c r="A2618" s="16" t="s">
        <v>17</v>
      </c>
      <c r="B2618" s="16" t="s">
        <v>80</v>
      </c>
      <c r="C2618" s="17" t="s">
        <v>19</v>
      </c>
      <c r="D2618" s="18" t="s">
        <v>1483</v>
      </c>
      <c r="E2618" s="18">
        <v>8</v>
      </c>
      <c r="F2618" s="18" t="s">
        <v>1416</v>
      </c>
      <c r="G2618" s="18" t="s">
        <v>39</v>
      </c>
      <c r="H2618" s="18" t="s">
        <v>1474</v>
      </c>
      <c r="I2618" s="19">
        <v>137.91</v>
      </c>
      <c r="J2618" s="20">
        <f t="shared" si="80"/>
        <v>1103.28</v>
      </c>
      <c r="K2618" s="106"/>
      <c r="L2618" s="114"/>
      <c r="M2618" s="114">
        <f>tblAquisições[[#This Row],[VALOR UNITARIO COMPRADO]]*tblAquisições[[#This Row],[QUANTIDADE COMPRADA]]</f>
        <v>0</v>
      </c>
      <c r="N2618" s="110">
        <f>K2618-tblAquisições[[#This Row],[QUANTIDADE PLANEJADA]]</f>
        <v>-8</v>
      </c>
      <c r="O2618" s="106" t="str">
        <f t="shared" si="81"/>
        <v>Faltando Comprar</v>
      </c>
    </row>
    <row r="2619" spans="1:15" ht="47.25">
      <c r="A2619" s="16" t="s">
        <v>17</v>
      </c>
      <c r="B2619" s="16" t="s">
        <v>25</v>
      </c>
      <c r="C2619" s="17" t="s">
        <v>19</v>
      </c>
      <c r="D2619" s="18" t="s">
        <v>1484</v>
      </c>
      <c r="E2619" s="23">
        <v>23070</v>
      </c>
      <c r="F2619" s="18" t="s">
        <v>118</v>
      </c>
      <c r="G2619" s="18" t="s">
        <v>22</v>
      </c>
      <c r="H2619" s="18" t="s">
        <v>100</v>
      </c>
      <c r="I2619" s="19">
        <v>137.91</v>
      </c>
      <c r="J2619" s="20">
        <f t="shared" si="80"/>
        <v>3181583.6999999997</v>
      </c>
      <c r="K2619" s="106"/>
      <c r="L2619" s="114"/>
      <c r="M2619" s="114">
        <f>tblAquisições[[#This Row],[VALOR UNITARIO COMPRADO]]*tblAquisições[[#This Row],[QUANTIDADE COMPRADA]]</f>
        <v>0</v>
      </c>
      <c r="N2619" s="110">
        <f>K2619-tblAquisições[[#This Row],[QUANTIDADE PLANEJADA]]</f>
        <v>-23070</v>
      </c>
      <c r="O2619" s="106" t="str">
        <f t="shared" si="81"/>
        <v>Faltando Comprar</v>
      </c>
    </row>
    <row r="2620" spans="1:15" ht="47.25">
      <c r="A2620" s="16" t="s">
        <v>17</v>
      </c>
      <c r="B2620" s="16" t="s">
        <v>80</v>
      </c>
      <c r="C2620" s="17" t="s">
        <v>19</v>
      </c>
      <c r="D2620" s="18" t="s">
        <v>1485</v>
      </c>
      <c r="E2620" s="18">
        <v>8</v>
      </c>
      <c r="F2620" s="18" t="s">
        <v>1416</v>
      </c>
      <c r="G2620" s="18" t="s">
        <v>39</v>
      </c>
      <c r="H2620" s="18" t="s">
        <v>1474</v>
      </c>
      <c r="I2620" s="19">
        <v>35.340000000000003</v>
      </c>
      <c r="J2620" s="20">
        <f t="shared" si="80"/>
        <v>282.72000000000003</v>
      </c>
      <c r="K2620" s="106"/>
      <c r="L2620" s="114"/>
      <c r="M2620" s="114">
        <f>tblAquisições[[#This Row],[VALOR UNITARIO COMPRADO]]*tblAquisições[[#This Row],[QUANTIDADE COMPRADA]]</f>
        <v>0</v>
      </c>
      <c r="N2620" s="110">
        <f>K2620-tblAquisições[[#This Row],[QUANTIDADE PLANEJADA]]</f>
        <v>-8</v>
      </c>
      <c r="O2620" s="106" t="str">
        <f t="shared" si="81"/>
        <v>Faltando Comprar</v>
      </c>
    </row>
    <row r="2621" spans="1:15" ht="47.25">
      <c r="A2621" s="16" t="s">
        <v>17</v>
      </c>
      <c r="B2621" s="16" t="s">
        <v>25</v>
      </c>
      <c r="C2621" s="17" t="s">
        <v>19</v>
      </c>
      <c r="D2621" s="18" t="s">
        <v>1486</v>
      </c>
      <c r="E2621" s="23">
        <v>53690</v>
      </c>
      <c r="F2621" s="18" t="s">
        <v>118</v>
      </c>
      <c r="G2621" s="18" t="s">
        <v>22</v>
      </c>
      <c r="H2621" s="18" t="s">
        <v>100</v>
      </c>
      <c r="I2621" s="19">
        <v>35.340000000000003</v>
      </c>
      <c r="J2621" s="20">
        <f t="shared" si="80"/>
        <v>1897404.6</v>
      </c>
      <c r="K2621" s="106"/>
      <c r="L2621" s="114"/>
      <c r="M2621" s="114">
        <f>tblAquisições[[#This Row],[VALOR UNITARIO COMPRADO]]*tblAquisições[[#This Row],[QUANTIDADE COMPRADA]]</f>
        <v>0</v>
      </c>
      <c r="N2621" s="110">
        <f>K2621-tblAquisições[[#This Row],[QUANTIDADE PLANEJADA]]</f>
        <v>-53690</v>
      </c>
      <c r="O2621" s="106" t="str">
        <f t="shared" si="81"/>
        <v>Faltando Comprar</v>
      </c>
    </row>
    <row r="2622" spans="1:15" ht="47.25">
      <c r="A2622" s="16" t="s">
        <v>17</v>
      </c>
      <c r="B2622" s="16" t="s">
        <v>28</v>
      </c>
      <c r="C2622" s="17" t="s">
        <v>19</v>
      </c>
      <c r="D2622" s="18" t="s">
        <v>1486</v>
      </c>
      <c r="E2622" s="18">
        <v>9</v>
      </c>
      <c r="F2622" s="18" t="s">
        <v>118</v>
      </c>
      <c r="G2622" s="18" t="s">
        <v>22</v>
      </c>
      <c r="H2622" s="18" t="s">
        <v>83</v>
      </c>
      <c r="I2622" s="19">
        <v>35.340000000000003</v>
      </c>
      <c r="J2622" s="20">
        <f t="shared" si="80"/>
        <v>318.06000000000006</v>
      </c>
      <c r="K2622" s="106"/>
      <c r="L2622" s="114"/>
      <c r="M2622" s="114">
        <f>tblAquisições[[#This Row],[VALOR UNITARIO COMPRADO]]*tblAquisições[[#This Row],[QUANTIDADE COMPRADA]]</f>
        <v>0</v>
      </c>
      <c r="N2622" s="110">
        <f>K2622-tblAquisições[[#This Row],[QUANTIDADE PLANEJADA]]</f>
        <v>-9</v>
      </c>
      <c r="O2622" s="106" t="str">
        <f t="shared" si="81"/>
        <v>Faltando Comprar</v>
      </c>
    </row>
    <row r="2623" spans="1:15" ht="47.25">
      <c r="A2623" s="16" t="s">
        <v>17</v>
      </c>
      <c r="B2623" s="16" t="s">
        <v>80</v>
      </c>
      <c r="C2623" s="17" t="s">
        <v>19</v>
      </c>
      <c r="D2623" s="18" t="s">
        <v>1487</v>
      </c>
      <c r="E2623" s="18">
        <v>6</v>
      </c>
      <c r="F2623" s="18" t="s">
        <v>1416</v>
      </c>
      <c r="G2623" s="18" t="s">
        <v>39</v>
      </c>
      <c r="H2623" s="18" t="s">
        <v>1474</v>
      </c>
      <c r="I2623" s="19">
        <v>47.97</v>
      </c>
      <c r="J2623" s="20">
        <f t="shared" si="80"/>
        <v>287.82</v>
      </c>
      <c r="K2623" s="106"/>
      <c r="L2623" s="114"/>
      <c r="M2623" s="114">
        <f>tblAquisições[[#This Row],[VALOR UNITARIO COMPRADO]]*tblAquisições[[#This Row],[QUANTIDADE COMPRADA]]</f>
        <v>0</v>
      </c>
      <c r="N2623" s="110">
        <f>K2623-tblAquisições[[#This Row],[QUANTIDADE PLANEJADA]]</f>
        <v>-6</v>
      </c>
      <c r="O2623" s="106" t="str">
        <f t="shared" si="81"/>
        <v>Faltando Comprar</v>
      </c>
    </row>
    <row r="2624" spans="1:15" ht="47.25">
      <c r="A2624" s="16" t="s">
        <v>17</v>
      </c>
      <c r="B2624" s="16" t="s">
        <v>25</v>
      </c>
      <c r="C2624" s="17" t="s">
        <v>19</v>
      </c>
      <c r="D2624" s="18" t="s">
        <v>1488</v>
      </c>
      <c r="E2624" s="23">
        <v>237500</v>
      </c>
      <c r="F2624" s="18" t="s">
        <v>118</v>
      </c>
      <c r="G2624" s="18" t="s">
        <v>22</v>
      </c>
      <c r="H2624" s="18" t="s">
        <v>100</v>
      </c>
      <c r="I2624" s="19">
        <v>47.97</v>
      </c>
      <c r="J2624" s="20">
        <f t="shared" si="80"/>
        <v>11392875</v>
      </c>
      <c r="K2624" s="106"/>
      <c r="L2624" s="114"/>
      <c r="M2624" s="114">
        <f>tblAquisições[[#This Row],[VALOR UNITARIO COMPRADO]]*tblAquisições[[#This Row],[QUANTIDADE COMPRADA]]</f>
        <v>0</v>
      </c>
      <c r="N2624" s="110">
        <f>K2624-tblAquisições[[#This Row],[QUANTIDADE PLANEJADA]]</f>
        <v>-237500</v>
      </c>
      <c r="O2624" s="106" t="str">
        <f t="shared" si="81"/>
        <v>Faltando Comprar</v>
      </c>
    </row>
    <row r="2625" spans="1:15" ht="47.25">
      <c r="A2625" s="16" t="s">
        <v>17</v>
      </c>
      <c r="B2625" s="16" t="s">
        <v>28</v>
      </c>
      <c r="C2625" s="17" t="s">
        <v>19</v>
      </c>
      <c r="D2625" s="18" t="s">
        <v>1488</v>
      </c>
      <c r="E2625" s="18">
        <v>20.25</v>
      </c>
      <c r="F2625" s="18" t="s">
        <v>118</v>
      </c>
      <c r="G2625" s="18" t="s">
        <v>22</v>
      </c>
      <c r="H2625" s="18" t="s">
        <v>100</v>
      </c>
      <c r="I2625" s="19">
        <v>47.97</v>
      </c>
      <c r="J2625" s="20">
        <f t="shared" si="80"/>
        <v>971.39249999999993</v>
      </c>
      <c r="K2625" s="106"/>
      <c r="L2625" s="114"/>
      <c r="M2625" s="114">
        <f>tblAquisições[[#This Row],[VALOR UNITARIO COMPRADO]]*tblAquisições[[#This Row],[QUANTIDADE COMPRADA]]</f>
        <v>0</v>
      </c>
      <c r="N2625" s="110">
        <f>K2625-tblAquisições[[#This Row],[QUANTIDADE PLANEJADA]]</f>
        <v>-20.25</v>
      </c>
      <c r="O2625" s="106" t="str">
        <f t="shared" si="81"/>
        <v>Faltando Comprar</v>
      </c>
    </row>
    <row r="2626" spans="1:15" ht="31.5">
      <c r="A2626" s="16" t="s">
        <v>17</v>
      </c>
      <c r="B2626" s="16" t="s">
        <v>18</v>
      </c>
      <c r="C2626" s="17" t="s">
        <v>19</v>
      </c>
      <c r="D2626" s="18" t="s">
        <v>1489</v>
      </c>
      <c r="E2626" s="18">
        <v>10</v>
      </c>
      <c r="F2626" s="18" t="s">
        <v>30</v>
      </c>
      <c r="G2626" s="18" t="s">
        <v>22</v>
      </c>
      <c r="H2626" s="18" t="s">
        <v>23</v>
      </c>
      <c r="I2626" s="19">
        <v>307.44</v>
      </c>
      <c r="J2626" s="20">
        <f t="shared" ref="J2626:J2689" si="82">E2626*I2626</f>
        <v>3074.4</v>
      </c>
      <c r="K2626" s="106"/>
      <c r="L2626" s="114"/>
      <c r="M2626" s="114">
        <f>tblAquisições[[#This Row],[VALOR UNITARIO COMPRADO]]*tblAquisições[[#This Row],[QUANTIDADE COMPRADA]]</f>
        <v>0</v>
      </c>
      <c r="N2626" s="110">
        <f>K2626-tblAquisições[[#This Row],[QUANTIDADE PLANEJADA]]</f>
        <v>-10</v>
      </c>
      <c r="O2626" s="106" t="str">
        <f t="shared" ref="O2626:O2689" si="83">IF(K2626=E2626,"OK",IF(K2626&lt;E2626,"Faltando Comprar","Excedente"))</f>
        <v>Faltando Comprar</v>
      </c>
    </row>
    <row r="2627" spans="1:15" ht="31.5">
      <c r="A2627" s="16" t="s">
        <v>17</v>
      </c>
      <c r="B2627" s="16" t="s">
        <v>24</v>
      </c>
      <c r="C2627" s="17" t="s">
        <v>19</v>
      </c>
      <c r="D2627" s="18" t="s">
        <v>1489</v>
      </c>
      <c r="E2627" s="18">
        <v>10</v>
      </c>
      <c r="F2627" s="18" t="s">
        <v>30</v>
      </c>
      <c r="G2627" s="18" t="s">
        <v>22</v>
      </c>
      <c r="H2627" s="18" t="s">
        <v>23</v>
      </c>
      <c r="I2627" s="19">
        <v>307.44</v>
      </c>
      <c r="J2627" s="20">
        <f t="shared" si="82"/>
        <v>3074.4</v>
      </c>
      <c r="K2627" s="106"/>
      <c r="L2627" s="114"/>
      <c r="M2627" s="114">
        <f>tblAquisições[[#This Row],[VALOR UNITARIO COMPRADO]]*tblAquisições[[#This Row],[QUANTIDADE COMPRADA]]</f>
        <v>0</v>
      </c>
      <c r="N2627" s="110">
        <f>K2627-tblAquisições[[#This Row],[QUANTIDADE PLANEJADA]]</f>
        <v>-10</v>
      </c>
      <c r="O2627" s="106" t="str">
        <f t="shared" si="83"/>
        <v>Faltando Comprar</v>
      </c>
    </row>
    <row r="2628" spans="1:15" ht="31.5">
      <c r="A2628" s="16" t="s">
        <v>17</v>
      </c>
      <c r="B2628" s="16" t="s">
        <v>25</v>
      </c>
      <c r="C2628" s="17" t="s">
        <v>19</v>
      </c>
      <c r="D2628" s="18" t="s">
        <v>1489</v>
      </c>
      <c r="E2628" s="18">
        <v>10</v>
      </c>
      <c r="F2628" s="18" t="s">
        <v>30</v>
      </c>
      <c r="G2628" s="18" t="s">
        <v>22</v>
      </c>
      <c r="H2628" s="18" t="s">
        <v>23</v>
      </c>
      <c r="I2628" s="19">
        <v>307.44</v>
      </c>
      <c r="J2628" s="20">
        <f t="shared" si="82"/>
        <v>3074.4</v>
      </c>
      <c r="K2628" s="106"/>
      <c r="L2628" s="114"/>
      <c r="M2628" s="114">
        <f>tblAquisições[[#This Row],[VALOR UNITARIO COMPRADO]]*tblAquisições[[#This Row],[QUANTIDADE COMPRADA]]</f>
        <v>0</v>
      </c>
      <c r="N2628" s="110">
        <f>K2628-tblAquisições[[#This Row],[QUANTIDADE PLANEJADA]]</f>
        <v>-10</v>
      </c>
      <c r="O2628" s="106" t="str">
        <f t="shared" si="83"/>
        <v>Faltando Comprar</v>
      </c>
    </row>
    <row r="2629" spans="1:15" ht="31.5">
      <c r="A2629" s="16" t="s">
        <v>17</v>
      </c>
      <c r="B2629" s="16" t="s">
        <v>27</v>
      </c>
      <c r="C2629" s="17" t="s">
        <v>19</v>
      </c>
      <c r="D2629" s="18" t="s">
        <v>1489</v>
      </c>
      <c r="E2629" s="18">
        <v>10</v>
      </c>
      <c r="F2629" s="18" t="s">
        <v>30</v>
      </c>
      <c r="G2629" s="18" t="s">
        <v>22</v>
      </c>
      <c r="H2629" s="18" t="s">
        <v>23</v>
      </c>
      <c r="I2629" s="19">
        <v>307.44</v>
      </c>
      <c r="J2629" s="20">
        <f t="shared" si="82"/>
        <v>3074.4</v>
      </c>
      <c r="K2629" s="106"/>
      <c r="L2629" s="114"/>
      <c r="M2629" s="114">
        <f>tblAquisições[[#This Row],[VALOR UNITARIO COMPRADO]]*tblAquisições[[#This Row],[QUANTIDADE COMPRADA]]</f>
        <v>0</v>
      </c>
      <c r="N2629" s="110">
        <f>K2629-tblAquisições[[#This Row],[QUANTIDADE PLANEJADA]]</f>
        <v>-10</v>
      </c>
      <c r="O2629" s="106" t="str">
        <f t="shared" si="83"/>
        <v>Faltando Comprar</v>
      </c>
    </row>
    <row r="2630" spans="1:15" ht="47.25">
      <c r="A2630" s="16" t="s">
        <v>17</v>
      </c>
      <c r="B2630" s="16" t="s">
        <v>34</v>
      </c>
      <c r="C2630" s="17" t="s">
        <v>19</v>
      </c>
      <c r="D2630" s="18" t="s">
        <v>1490</v>
      </c>
      <c r="E2630" s="18">
        <v>2</v>
      </c>
      <c r="F2630" s="18" t="s">
        <v>78</v>
      </c>
      <c r="G2630" s="18" t="s">
        <v>22</v>
      </c>
      <c r="H2630" s="18" t="s">
        <v>23</v>
      </c>
      <c r="I2630" s="19">
        <v>17.39</v>
      </c>
      <c r="J2630" s="20">
        <f t="shared" si="82"/>
        <v>34.78</v>
      </c>
      <c r="K2630" s="106"/>
      <c r="L2630" s="114"/>
      <c r="M2630" s="114">
        <f>tblAquisições[[#This Row],[VALOR UNITARIO COMPRADO]]*tblAquisições[[#This Row],[QUANTIDADE COMPRADA]]</f>
        <v>0</v>
      </c>
      <c r="N2630" s="110">
        <f>K2630-tblAquisições[[#This Row],[QUANTIDADE PLANEJADA]]</f>
        <v>-2</v>
      </c>
      <c r="O2630" s="106" t="str">
        <f t="shared" si="83"/>
        <v>Faltando Comprar</v>
      </c>
    </row>
    <row r="2631" spans="1:15" ht="47.25">
      <c r="A2631" s="16" t="s">
        <v>17</v>
      </c>
      <c r="B2631" s="16" t="s">
        <v>28</v>
      </c>
      <c r="C2631" s="17" t="s">
        <v>19</v>
      </c>
      <c r="D2631" s="18" t="s">
        <v>1490</v>
      </c>
      <c r="E2631" s="18">
        <v>10</v>
      </c>
      <c r="F2631" s="18" t="s">
        <v>78</v>
      </c>
      <c r="G2631" s="18" t="s">
        <v>22</v>
      </c>
      <c r="H2631" s="18" t="s">
        <v>23</v>
      </c>
      <c r="I2631" s="19">
        <v>17.39</v>
      </c>
      <c r="J2631" s="20">
        <f t="shared" si="82"/>
        <v>173.9</v>
      </c>
      <c r="K2631" s="106"/>
      <c r="L2631" s="114"/>
      <c r="M2631" s="114">
        <f>tblAquisições[[#This Row],[VALOR UNITARIO COMPRADO]]*tblAquisições[[#This Row],[QUANTIDADE COMPRADA]]</f>
        <v>0</v>
      </c>
      <c r="N2631" s="110">
        <f>K2631-tblAquisições[[#This Row],[QUANTIDADE PLANEJADA]]</f>
        <v>-10</v>
      </c>
      <c r="O2631" s="106" t="str">
        <f t="shared" si="83"/>
        <v>Faltando Comprar</v>
      </c>
    </row>
    <row r="2632" spans="1:15" ht="78.75">
      <c r="A2632" s="16" t="s">
        <v>17</v>
      </c>
      <c r="B2632" s="16" t="s">
        <v>26</v>
      </c>
      <c r="C2632" s="17" t="s">
        <v>19</v>
      </c>
      <c r="D2632" s="18" t="s">
        <v>1491</v>
      </c>
      <c r="E2632" s="18">
        <v>1</v>
      </c>
      <c r="F2632" s="18" t="s">
        <v>126</v>
      </c>
      <c r="G2632" s="18" t="s">
        <v>127</v>
      </c>
      <c r="H2632" s="18" t="s">
        <v>23</v>
      </c>
      <c r="I2632" s="19">
        <v>23126</v>
      </c>
      <c r="J2632" s="20">
        <f t="shared" si="82"/>
        <v>23126</v>
      </c>
      <c r="K2632" s="106"/>
      <c r="L2632" s="114"/>
      <c r="M2632" s="114">
        <f>tblAquisições[[#This Row],[VALOR UNITARIO COMPRADO]]*tblAquisições[[#This Row],[QUANTIDADE COMPRADA]]</f>
        <v>0</v>
      </c>
      <c r="N2632" s="110">
        <f>K2632-tblAquisições[[#This Row],[QUANTIDADE PLANEJADA]]</f>
        <v>-1</v>
      </c>
      <c r="O2632" s="106" t="str">
        <f t="shared" si="83"/>
        <v>Faltando Comprar</v>
      </c>
    </row>
    <row r="2633" spans="1:15" ht="78.75">
      <c r="A2633" s="16" t="s">
        <v>17</v>
      </c>
      <c r="B2633" s="16" t="s">
        <v>26</v>
      </c>
      <c r="C2633" s="17" t="s">
        <v>19</v>
      </c>
      <c r="D2633" s="18" t="s">
        <v>1492</v>
      </c>
      <c r="E2633" s="18">
        <v>3</v>
      </c>
      <c r="F2633" s="18" t="s">
        <v>126</v>
      </c>
      <c r="G2633" s="18" t="s">
        <v>127</v>
      </c>
      <c r="H2633" s="18" t="s">
        <v>23</v>
      </c>
      <c r="I2633" s="19">
        <v>27246</v>
      </c>
      <c r="J2633" s="20">
        <f t="shared" si="82"/>
        <v>81738</v>
      </c>
      <c r="K2633" s="106"/>
      <c r="L2633" s="114"/>
      <c r="M2633" s="114">
        <f>tblAquisições[[#This Row],[VALOR UNITARIO COMPRADO]]*tblAquisições[[#This Row],[QUANTIDADE COMPRADA]]</f>
        <v>0</v>
      </c>
      <c r="N2633" s="110">
        <f>K2633-tblAquisições[[#This Row],[QUANTIDADE PLANEJADA]]</f>
        <v>-3</v>
      </c>
      <c r="O2633" s="106" t="str">
        <f t="shared" si="83"/>
        <v>Faltando Comprar</v>
      </c>
    </row>
    <row r="2634" spans="1:15" ht="78.75">
      <c r="A2634" s="16" t="s">
        <v>17</v>
      </c>
      <c r="B2634" s="16" t="s">
        <v>26</v>
      </c>
      <c r="C2634" s="17" t="s">
        <v>19</v>
      </c>
      <c r="D2634" s="18" t="s">
        <v>1493</v>
      </c>
      <c r="E2634" s="18">
        <v>1</v>
      </c>
      <c r="F2634" s="18" t="s">
        <v>126</v>
      </c>
      <c r="G2634" s="18" t="s">
        <v>127</v>
      </c>
      <c r="H2634" s="18" t="s">
        <v>23</v>
      </c>
      <c r="I2634" s="19">
        <v>29344</v>
      </c>
      <c r="J2634" s="20">
        <f t="shared" si="82"/>
        <v>29344</v>
      </c>
      <c r="K2634" s="106"/>
      <c r="L2634" s="114"/>
      <c r="M2634" s="114">
        <f>tblAquisições[[#This Row],[VALOR UNITARIO COMPRADO]]*tblAquisições[[#This Row],[QUANTIDADE COMPRADA]]</f>
        <v>0</v>
      </c>
      <c r="N2634" s="110">
        <f>K2634-tblAquisições[[#This Row],[QUANTIDADE PLANEJADA]]</f>
        <v>-1</v>
      </c>
      <c r="O2634" s="106" t="str">
        <f t="shared" si="83"/>
        <v>Faltando Comprar</v>
      </c>
    </row>
    <row r="2635" spans="1:15" ht="78.75">
      <c r="A2635" s="16" t="s">
        <v>17</v>
      </c>
      <c r="B2635" s="16" t="s">
        <v>18</v>
      </c>
      <c r="C2635" s="17" t="s">
        <v>19</v>
      </c>
      <c r="D2635" s="18" t="s">
        <v>1494</v>
      </c>
      <c r="E2635" s="18">
        <v>2</v>
      </c>
      <c r="F2635" s="18" t="s">
        <v>126</v>
      </c>
      <c r="G2635" s="18" t="s">
        <v>127</v>
      </c>
      <c r="H2635" s="18" t="s">
        <v>23</v>
      </c>
      <c r="I2635" s="19">
        <v>44977</v>
      </c>
      <c r="J2635" s="20">
        <f t="shared" si="82"/>
        <v>89954</v>
      </c>
      <c r="K2635" s="106"/>
      <c r="L2635" s="114"/>
      <c r="M2635" s="114">
        <f>tblAquisições[[#This Row],[VALOR UNITARIO COMPRADO]]*tblAquisições[[#This Row],[QUANTIDADE COMPRADA]]</f>
        <v>0</v>
      </c>
      <c r="N2635" s="110">
        <f>K2635-tblAquisições[[#This Row],[QUANTIDADE PLANEJADA]]</f>
        <v>-2</v>
      </c>
      <c r="O2635" s="106" t="str">
        <f t="shared" si="83"/>
        <v>Faltando Comprar</v>
      </c>
    </row>
    <row r="2636" spans="1:15" ht="78.75">
      <c r="A2636" s="16" t="s">
        <v>17</v>
      </c>
      <c r="B2636" s="16" t="s">
        <v>24</v>
      </c>
      <c r="C2636" s="17" t="s">
        <v>19</v>
      </c>
      <c r="D2636" s="18" t="s">
        <v>1494</v>
      </c>
      <c r="E2636" s="18">
        <v>2</v>
      </c>
      <c r="F2636" s="18" t="s">
        <v>126</v>
      </c>
      <c r="G2636" s="18" t="s">
        <v>127</v>
      </c>
      <c r="H2636" s="18" t="s">
        <v>23</v>
      </c>
      <c r="I2636" s="19">
        <v>44977</v>
      </c>
      <c r="J2636" s="20">
        <f t="shared" si="82"/>
        <v>89954</v>
      </c>
      <c r="K2636" s="106"/>
      <c r="L2636" s="114"/>
      <c r="M2636" s="114">
        <f>tblAquisições[[#This Row],[VALOR UNITARIO COMPRADO]]*tblAquisições[[#This Row],[QUANTIDADE COMPRADA]]</f>
        <v>0</v>
      </c>
      <c r="N2636" s="110">
        <f>K2636-tblAquisições[[#This Row],[QUANTIDADE PLANEJADA]]</f>
        <v>-2</v>
      </c>
      <c r="O2636" s="106" t="str">
        <f t="shared" si="83"/>
        <v>Faltando Comprar</v>
      </c>
    </row>
    <row r="2637" spans="1:15" ht="78.75">
      <c r="A2637" s="16" t="s">
        <v>17</v>
      </c>
      <c r="B2637" s="16" t="s">
        <v>25</v>
      </c>
      <c r="C2637" s="17" t="s">
        <v>19</v>
      </c>
      <c r="D2637" s="18" t="s">
        <v>1494</v>
      </c>
      <c r="E2637" s="18">
        <v>2</v>
      </c>
      <c r="F2637" s="18" t="s">
        <v>126</v>
      </c>
      <c r="G2637" s="18" t="s">
        <v>127</v>
      </c>
      <c r="H2637" s="18" t="s">
        <v>23</v>
      </c>
      <c r="I2637" s="19">
        <v>44977</v>
      </c>
      <c r="J2637" s="20">
        <f t="shared" si="82"/>
        <v>89954</v>
      </c>
      <c r="K2637" s="106"/>
      <c r="L2637" s="114"/>
      <c r="M2637" s="114">
        <f>tblAquisições[[#This Row],[VALOR UNITARIO COMPRADO]]*tblAquisições[[#This Row],[QUANTIDADE COMPRADA]]</f>
        <v>0</v>
      </c>
      <c r="N2637" s="110">
        <f>K2637-tblAquisições[[#This Row],[QUANTIDADE PLANEJADA]]</f>
        <v>-2</v>
      </c>
      <c r="O2637" s="106" t="str">
        <f t="shared" si="83"/>
        <v>Faltando Comprar</v>
      </c>
    </row>
    <row r="2638" spans="1:15" ht="63">
      <c r="A2638" s="16" t="s">
        <v>17</v>
      </c>
      <c r="B2638" s="16" t="s">
        <v>28</v>
      </c>
      <c r="C2638" s="17" t="s">
        <v>19</v>
      </c>
      <c r="D2638" s="18" t="s">
        <v>1495</v>
      </c>
      <c r="E2638" s="18">
        <v>1</v>
      </c>
      <c r="F2638" s="18" t="s">
        <v>1347</v>
      </c>
      <c r="G2638" s="18" t="s">
        <v>22</v>
      </c>
      <c r="H2638" s="18" t="s">
        <v>23</v>
      </c>
      <c r="I2638" s="19">
        <v>325.43</v>
      </c>
      <c r="J2638" s="20">
        <f t="shared" si="82"/>
        <v>325.43</v>
      </c>
      <c r="K2638" s="106"/>
      <c r="L2638" s="114"/>
      <c r="M2638" s="114">
        <f>tblAquisições[[#This Row],[VALOR UNITARIO COMPRADO]]*tblAquisições[[#This Row],[QUANTIDADE COMPRADA]]</f>
        <v>0</v>
      </c>
      <c r="N2638" s="110">
        <f>K2638-tblAquisições[[#This Row],[QUANTIDADE PLANEJADA]]</f>
        <v>-1</v>
      </c>
      <c r="O2638" s="106" t="str">
        <f t="shared" si="83"/>
        <v>Faltando Comprar</v>
      </c>
    </row>
    <row r="2639" spans="1:15" ht="31.5">
      <c r="A2639" s="16" t="s">
        <v>17</v>
      </c>
      <c r="B2639" s="16" t="s">
        <v>28</v>
      </c>
      <c r="C2639" s="17" t="s">
        <v>19</v>
      </c>
      <c r="D2639" s="18" t="s">
        <v>1496</v>
      </c>
      <c r="E2639" s="18">
        <v>60</v>
      </c>
      <c r="F2639" s="18" t="s">
        <v>21</v>
      </c>
      <c r="G2639" s="18" t="s">
        <v>22</v>
      </c>
      <c r="H2639" s="18" t="s">
        <v>23</v>
      </c>
      <c r="I2639" s="19">
        <v>3.59</v>
      </c>
      <c r="J2639" s="20">
        <f t="shared" si="82"/>
        <v>215.39999999999998</v>
      </c>
      <c r="K2639" s="106"/>
      <c r="L2639" s="114"/>
      <c r="M2639" s="114">
        <f>tblAquisições[[#This Row],[VALOR UNITARIO COMPRADO]]*tblAquisições[[#This Row],[QUANTIDADE COMPRADA]]</f>
        <v>0</v>
      </c>
      <c r="N2639" s="110">
        <f>K2639-tblAquisições[[#This Row],[QUANTIDADE PLANEJADA]]</f>
        <v>-60</v>
      </c>
      <c r="O2639" s="106" t="str">
        <f t="shared" si="83"/>
        <v>Faltando Comprar</v>
      </c>
    </row>
    <row r="2640" spans="1:15" ht="31.5">
      <c r="A2640" s="16" t="s">
        <v>17</v>
      </c>
      <c r="B2640" s="16" t="s">
        <v>17</v>
      </c>
      <c r="C2640" s="17" t="s">
        <v>19</v>
      </c>
      <c r="D2640" s="18" t="s">
        <v>1497</v>
      </c>
      <c r="E2640" s="18">
        <v>1000</v>
      </c>
      <c r="F2640" s="18" t="s">
        <v>38</v>
      </c>
      <c r="G2640" s="18" t="s">
        <v>39</v>
      </c>
      <c r="H2640" s="18" t="s">
        <v>23</v>
      </c>
      <c r="I2640" s="19">
        <v>0.56999999999999995</v>
      </c>
      <c r="J2640" s="20">
        <f t="shared" si="82"/>
        <v>570</v>
      </c>
      <c r="K2640" s="106"/>
      <c r="L2640" s="114"/>
      <c r="M2640" s="114">
        <f>tblAquisições[[#This Row],[VALOR UNITARIO COMPRADO]]*tblAquisições[[#This Row],[QUANTIDADE COMPRADA]]</f>
        <v>0</v>
      </c>
      <c r="N2640" s="110">
        <f>K2640-tblAquisições[[#This Row],[QUANTIDADE PLANEJADA]]</f>
        <v>-1000</v>
      </c>
      <c r="O2640" s="106" t="str">
        <f t="shared" si="83"/>
        <v>Faltando Comprar</v>
      </c>
    </row>
    <row r="2641" spans="1:15" ht="31.5">
      <c r="A2641" s="16" t="s">
        <v>17</v>
      </c>
      <c r="B2641" s="16" t="s">
        <v>80</v>
      </c>
      <c r="C2641" s="17" t="s">
        <v>19</v>
      </c>
      <c r="D2641" s="18" t="s">
        <v>1497</v>
      </c>
      <c r="E2641" s="18">
        <v>20</v>
      </c>
      <c r="F2641" s="18" t="s">
        <v>38</v>
      </c>
      <c r="G2641" s="18" t="s">
        <v>39</v>
      </c>
      <c r="H2641" s="18" t="s">
        <v>23</v>
      </c>
      <c r="I2641" s="19">
        <v>0.56999999999999995</v>
      </c>
      <c r="J2641" s="20">
        <f t="shared" si="82"/>
        <v>11.399999999999999</v>
      </c>
      <c r="K2641" s="106"/>
      <c r="L2641" s="114"/>
      <c r="M2641" s="114">
        <f>tblAquisições[[#This Row],[VALOR UNITARIO COMPRADO]]*tblAquisições[[#This Row],[QUANTIDADE COMPRADA]]</f>
        <v>0</v>
      </c>
      <c r="N2641" s="110">
        <f>K2641-tblAquisições[[#This Row],[QUANTIDADE PLANEJADA]]</f>
        <v>-20</v>
      </c>
      <c r="O2641" s="106" t="str">
        <f t="shared" si="83"/>
        <v>Faltando Comprar</v>
      </c>
    </row>
    <row r="2642" spans="1:15" ht="31.5">
      <c r="A2642" s="16" t="s">
        <v>17</v>
      </c>
      <c r="B2642" s="16" t="s">
        <v>34</v>
      </c>
      <c r="C2642" s="17" t="s">
        <v>19</v>
      </c>
      <c r="D2642" s="18" t="s">
        <v>1498</v>
      </c>
      <c r="E2642" s="18">
        <v>50</v>
      </c>
      <c r="F2642" s="18" t="s">
        <v>21</v>
      </c>
      <c r="G2642" s="18" t="s">
        <v>22</v>
      </c>
      <c r="H2642" s="18" t="s">
        <v>23</v>
      </c>
      <c r="I2642" s="19">
        <v>0.56999999999999995</v>
      </c>
      <c r="J2642" s="20">
        <f t="shared" si="82"/>
        <v>28.499999999999996</v>
      </c>
      <c r="K2642" s="106"/>
      <c r="L2642" s="114"/>
      <c r="M2642" s="114">
        <f>tblAquisições[[#This Row],[VALOR UNITARIO COMPRADO]]*tblAquisições[[#This Row],[QUANTIDADE COMPRADA]]</f>
        <v>0</v>
      </c>
      <c r="N2642" s="110">
        <f>K2642-tblAquisições[[#This Row],[QUANTIDADE PLANEJADA]]</f>
        <v>-50</v>
      </c>
      <c r="O2642" s="106" t="str">
        <f t="shared" si="83"/>
        <v>Faltando Comprar</v>
      </c>
    </row>
    <row r="2643" spans="1:15" ht="31.5">
      <c r="A2643" s="16" t="s">
        <v>17</v>
      </c>
      <c r="B2643" s="16" t="s">
        <v>31</v>
      </c>
      <c r="C2643" s="17" t="s">
        <v>19</v>
      </c>
      <c r="D2643" s="18" t="s">
        <v>1498</v>
      </c>
      <c r="E2643" s="18">
        <v>30</v>
      </c>
      <c r="F2643" s="18" t="s">
        <v>21</v>
      </c>
      <c r="G2643" s="18" t="s">
        <v>22</v>
      </c>
      <c r="H2643" s="18" t="s">
        <v>23</v>
      </c>
      <c r="I2643" s="19">
        <v>0.56999999999999995</v>
      </c>
      <c r="J2643" s="20">
        <f t="shared" si="82"/>
        <v>17.099999999999998</v>
      </c>
      <c r="K2643" s="106"/>
      <c r="L2643" s="114"/>
      <c r="M2643" s="114">
        <f>tblAquisições[[#This Row],[VALOR UNITARIO COMPRADO]]*tblAquisições[[#This Row],[QUANTIDADE COMPRADA]]</f>
        <v>0</v>
      </c>
      <c r="N2643" s="110">
        <f>K2643-tblAquisições[[#This Row],[QUANTIDADE PLANEJADA]]</f>
        <v>-30</v>
      </c>
      <c r="O2643" s="106" t="str">
        <f t="shared" si="83"/>
        <v>Faltando Comprar</v>
      </c>
    </row>
    <row r="2644" spans="1:15" ht="31.5">
      <c r="A2644" s="16" t="s">
        <v>17</v>
      </c>
      <c r="B2644" s="16" t="s">
        <v>18</v>
      </c>
      <c r="C2644" s="17" t="s">
        <v>19</v>
      </c>
      <c r="D2644" s="18" t="s">
        <v>1498</v>
      </c>
      <c r="E2644" s="18">
        <v>400</v>
      </c>
      <c r="F2644" s="18" t="s">
        <v>21</v>
      </c>
      <c r="G2644" s="18" t="s">
        <v>22</v>
      </c>
      <c r="H2644" s="18" t="s">
        <v>23</v>
      </c>
      <c r="I2644" s="19">
        <v>0.56999999999999995</v>
      </c>
      <c r="J2644" s="20">
        <f t="shared" si="82"/>
        <v>227.99999999999997</v>
      </c>
      <c r="K2644" s="106"/>
      <c r="L2644" s="114"/>
      <c r="M2644" s="114">
        <f>tblAquisições[[#This Row],[VALOR UNITARIO COMPRADO]]*tblAquisições[[#This Row],[QUANTIDADE COMPRADA]]</f>
        <v>0</v>
      </c>
      <c r="N2644" s="110">
        <f>K2644-tblAquisições[[#This Row],[QUANTIDADE PLANEJADA]]</f>
        <v>-400</v>
      </c>
      <c r="O2644" s="106" t="str">
        <f t="shared" si="83"/>
        <v>Faltando Comprar</v>
      </c>
    </row>
    <row r="2645" spans="1:15" ht="31.5">
      <c r="A2645" s="16" t="s">
        <v>17</v>
      </c>
      <c r="B2645" s="16" t="s">
        <v>24</v>
      </c>
      <c r="C2645" s="17" t="s">
        <v>19</v>
      </c>
      <c r="D2645" s="18" t="s">
        <v>1498</v>
      </c>
      <c r="E2645" s="18">
        <v>400</v>
      </c>
      <c r="F2645" s="18" t="s">
        <v>21</v>
      </c>
      <c r="G2645" s="18" t="s">
        <v>22</v>
      </c>
      <c r="H2645" s="18" t="s">
        <v>23</v>
      </c>
      <c r="I2645" s="19">
        <v>0.56999999999999995</v>
      </c>
      <c r="J2645" s="20">
        <f t="shared" si="82"/>
        <v>227.99999999999997</v>
      </c>
      <c r="K2645" s="106"/>
      <c r="L2645" s="114"/>
      <c r="M2645" s="114">
        <f>tblAquisições[[#This Row],[VALOR UNITARIO COMPRADO]]*tblAquisições[[#This Row],[QUANTIDADE COMPRADA]]</f>
        <v>0</v>
      </c>
      <c r="N2645" s="110">
        <f>K2645-tblAquisições[[#This Row],[QUANTIDADE PLANEJADA]]</f>
        <v>-400</v>
      </c>
      <c r="O2645" s="106" t="str">
        <f t="shared" si="83"/>
        <v>Faltando Comprar</v>
      </c>
    </row>
    <row r="2646" spans="1:15" ht="31.5">
      <c r="A2646" s="16" t="s">
        <v>17</v>
      </c>
      <c r="B2646" s="16" t="s">
        <v>25</v>
      </c>
      <c r="C2646" s="17" t="s">
        <v>19</v>
      </c>
      <c r="D2646" s="18" t="s">
        <v>1498</v>
      </c>
      <c r="E2646" s="18">
        <v>400</v>
      </c>
      <c r="F2646" s="18" t="s">
        <v>21</v>
      </c>
      <c r="G2646" s="18" t="s">
        <v>22</v>
      </c>
      <c r="H2646" s="18" t="s">
        <v>23</v>
      </c>
      <c r="I2646" s="19">
        <v>0.56999999999999995</v>
      </c>
      <c r="J2646" s="20">
        <f t="shared" si="82"/>
        <v>227.99999999999997</v>
      </c>
      <c r="K2646" s="106"/>
      <c r="L2646" s="114"/>
      <c r="M2646" s="114">
        <f>tblAquisições[[#This Row],[VALOR UNITARIO COMPRADO]]*tblAquisições[[#This Row],[QUANTIDADE COMPRADA]]</f>
        <v>0</v>
      </c>
      <c r="N2646" s="110">
        <f>K2646-tblAquisições[[#This Row],[QUANTIDADE PLANEJADA]]</f>
        <v>-400</v>
      </c>
      <c r="O2646" s="106" t="str">
        <f t="shared" si="83"/>
        <v>Faltando Comprar</v>
      </c>
    </row>
    <row r="2647" spans="1:15" ht="31.5">
      <c r="A2647" s="16" t="s">
        <v>17</v>
      </c>
      <c r="B2647" s="16" t="s">
        <v>41</v>
      </c>
      <c r="C2647" s="17" t="s">
        <v>19</v>
      </c>
      <c r="D2647" s="18" t="s">
        <v>1498</v>
      </c>
      <c r="E2647" s="18">
        <v>300</v>
      </c>
      <c r="F2647" s="18" t="s">
        <v>21</v>
      </c>
      <c r="G2647" s="18" t="s">
        <v>22</v>
      </c>
      <c r="H2647" s="18" t="s">
        <v>23</v>
      </c>
      <c r="I2647" s="19">
        <v>0.56999999999999995</v>
      </c>
      <c r="J2647" s="20">
        <f t="shared" si="82"/>
        <v>170.99999999999997</v>
      </c>
      <c r="K2647" s="106"/>
      <c r="L2647" s="114"/>
      <c r="M2647" s="114">
        <f>tblAquisições[[#This Row],[VALOR UNITARIO COMPRADO]]*tblAquisições[[#This Row],[QUANTIDADE COMPRADA]]</f>
        <v>0</v>
      </c>
      <c r="N2647" s="110">
        <f>K2647-tblAquisições[[#This Row],[QUANTIDADE PLANEJADA]]</f>
        <v>-300</v>
      </c>
      <c r="O2647" s="106" t="str">
        <f t="shared" si="83"/>
        <v>Faltando Comprar</v>
      </c>
    </row>
    <row r="2648" spans="1:15" ht="31.5">
      <c r="A2648" s="16" t="s">
        <v>17</v>
      </c>
      <c r="B2648" s="16" t="s">
        <v>28</v>
      </c>
      <c r="C2648" s="17" t="s">
        <v>19</v>
      </c>
      <c r="D2648" s="18" t="s">
        <v>1498</v>
      </c>
      <c r="E2648" s="18">
        <v>1000</v>
      </c>
      <c r="F2648" s="18" t="s">
        <v>21</v>
      </c>
      <c r="G2648" s="18" t="s">
        <v>22</v>
      </c>
      <c r="H2648" s="18" t="s">
        <v>23</v>
      </c>
      <c r="I2648" s="19">
        <v>0.56999999999999995</v>
      </c>
      <c r="J2648" s="20">
        <f t="shared" si="82"/>
        <v>570</v>
      </c>
      <c r="K2648" s="106"/>
      <c r="L2648" s="114"/>
      <c r="M2648" s="114">
        <f>tblAquisições[[#This Row],[VALOR UNITARIO COMPRADO]]*tblAquisições[[#This Row],[QUANTIDADE COMPRADA]]</f>
        <v>0</v>
      </c>
      <c r="N2648" s="110">
        <f>K2648-tblAquisições[[#This Row],[QUANTIDADE PLANEJADA]]</f>
        <v>-1000</v>
      </c>
      <c r="O2648" s="106" t="str">
        <f t="shared" si="83"/>
        <v>Faltando Comprar</v>
      </c>
    </row>
    <row r="2649" spans="1:15" ht="47.25">
      <c r="A2649" s="16" t="s">
        <v>17</v>
      </c>
      <c r="B2649" s="16" t="s">
        <v>34</v>
      </c>
      <c r="C2649" s="17" t="s">
        <v>19</v>
      </c>
      <c r="D2649" s="18" t="s">
        <v>1499</v>
      </c>
      <c r="E2649" s="18">
        <v>6</v>
      </c>
      <c r="F2649" s="18" t="s">
        <v>391</v>
      </c>
      <c r="G2649" s="18" t="s">
        <v>22</v>
      </c>
      <c r="H2649" s="18" t="s">
        <v>23</v>
      </c>
      <c r="I2649" s="19">
        <v>400</v>
      </c>
      <c r="J2649" s="20">
        <f t="shared" si="82"/>
        <v>2400</v>
      </c>
      <c r="K2649" s="106"/>
      <c r="L2649" s="114"/>
      <c r="M2649" s="114">
        <f>tblAquisições[[#This Row],[VALOR UNITARIO COMPRADO]]*tblAquisições[[#This Row],[QUANTIDADE COMPRADA]]</f>
        <v>0</v>
      </c>
      <c r="N2649" s="110">
        <f>K2649-tblAquisições[[#This Row],[QUANTIDADE PLANEJADA]]</f>
        <v>-6</v>
      </c>
      <c r="O2649" s="106" t="str">
        <f t="shared" si="83"/>
        <v>Faltando Comprar</v>
      </c>
    </row>
    <row r="2650" spans="1:15" ht="47.25">
      <c r="A2650" s="16" t="s">
        <v>17</v>
      </c>
      <c r="B2650" s="16" t="s">
        <v>41</v>
      </c>
      <c r="C2650" s="17" t="s">
        <v>19</v>
      </c>
      <c r="D2650" s="18" t="s">
        <v>1500</v>
      </c>
      <c r="E2650" s="18">
        <v>5</v>
      </c>
      <c r="F2650" s="18" t="s">
        <v>214</v>
      </c>
      <c r="G2650" s="18" t="s">
        <v>127</v>
      </c>
      <c r="H2650" s="18" t="s">
        <v>23</v>
      </c>
      <c r="I2650" s="19">
        <v>530.87</v>
      </c>
      <c r="J2650" s="20">
        <f t="shared" si="82"/>
        <v>2654.35</v>
      </c>
      <c r="K2650" s="106"/>
      <c r="L2650" s="114"/>
      <c r="M2650" s="114">
        <f>tblAquisições[[#This Row],[VALOR UNITARIO COMPRADO]]*tblAquisições[[#This Row],[QUANTIDADE COMPRADA]]</f>
        <v>0</v>
      </c>
      <c r="N2650" s="110">
        <f>K2650-tblAquisições[[#This Row],[QUANTIDADE PLANEJADA]]</f>
        <v>-5</v>
      </c>
      <c r="O2650" s="106" t="str">
        <f t="shared" si="83"/>
        <v>Faltando Comprar</v>
      </c>
    </row>
    <row r="2651" spans="1:15" ht="47.25">
      <c r="A2651" s="16" t="s">
        <v>17</v>
      </c>
      <c r="B2651" s="16" t="s">
        <v>28</v>
      </c>
      <c r="C2651" s="17" t="s">
        <v>19</v>
      </c>
      <c r="D2651" s="18" t="s">
        <v>1500</v>
      </c>
      <c r="E2651" s="18">
        <v>30</v>
      </c>
      <c r="F2651" s="18" t="s">
        <v>214</v>
      </c>
      <c r="G2651" s="18" t="s">
        <v>127</v>
      </c>
      <c r="H2651" s="18" t="s">
        <v>23</v>
      </c>
      <c r="I2651" s="19">
        <v>530.87</v>
      </c>
      <c r="J2651" s="20">
        <f t="shared" si="82"/>
        <v>15926.1</v>
      </c>
      <c r="K2651" s="106"/>
      <c r="L2651" s="114"/>
      <c r="M2651" s="114">
        <f>tblAquisições[[#This Row],[VALOR UNITARIO COMPRADO]]*tblAquisições[[#This Row],[QUANTIDADE COMPRADA]]</f>
        <v>0</v>
      </c>
      <c r="N2651" s="110">
        <f>K2651-tblAquisições[[#This Row],[QUANTIDADE PLANEJADA]]</f>
        <v>-30</v>
      </c>
      <c r="O2651" s="106" t="str">
        <f t="shared" si="83"/>
        <v>Faltando Comprar</v>
      </c>
    </row>
    <row r="2652" spans="1:15" ht="47.25">
      <c r="A2652" s="16" t="s">
        <v>17</v>
      </c>
      <c r="B2652" s="16" t="s">
        <v>28</v>
      </c>
      <c r="C2652" s="17" t="s">
        <v>19</v>
      </c>
      <c r="D2652" s="18" t="s">
        <v>1501</v>
      </c>
      <c r="E2652" s="18">
        <v>23</v>
      </c>
      <c r="F2652" s="18" t="s">
        <v>58</v>
      </c>
      <c r="G2652" s="18" t="s">
        <v>22</v>
      </c>
      <c r="H2652" s="18" t="s">
        <v>23</v>
      </c>
      <c r="I2652" s="19">
        <v>119.67</v>
      </c>
      <c r="J2652" s="20">
        <f t="shared" si="82"/>
        <v>2752.41</v>
      </c>
      <c r="K2652" s="106"/>
      <c r="L2652" s="114"/>
      <c r="M2652" s="114">
        <f>tblAquisições[[#This Row],[VALOR UNITARIO COMPRADO]]*tblAquisições[[#This Row],[QUANTIDADE COMPRADA]]</f>
        <v>0</v>
      </c>
      <c r="N2652" s="110">
        <f>K2652-tblAquisições[[#This Row],[QUANTIDADE PLANEJADA]]</f>
        <v>-23</v>
      </c>
      <c r="O2652" s="106" t="str">
        <f t="shared" si="83"/>
        <v>Faltando Comprar</v>
      </c>
    </row>
    <row r="2653" spans="1:15" ht="63">
      <c r="A2653" s="16" t="s">
        <v>17</v>
      </c>
      <c r="B2653" s="16" t="s">
        <v>41</v>
      </c>
      <c r="C2653" s="17" t="s">
        <v>19</v>
      </c>
      <c r="D2653" s="18" t="s">
        <v>1502</v>
      </c>
      <c r="E2653" s="18">
        <v>50</v>
      </c>
      <c r="F2653" s="18" t="s">
        <v>222</v>
      </c>
      <c r="G2653" s="18" t="s">
        <v>127</v>
      </c>
      <c r="H2653" s="18" t="s">
        <v>23</v>
      </c>
      <c r="I2653" s="19">
        <v>387.3</v>
      </c>
      <c r="J2653" s="20">
        <f t="shared" si="82"/>
        <v>19365</v>
      </c>
      <c r="K2653" s="106"/>
      <c r="L2653" s="114"/>
      <c r="M2653" s="114">
        <f>tblAquisições[[#This Row],[VALOR UNITARIO COMPRADO]]*tblAquisições[[#This Row],[QUANTIDADE COMPRADA]]</f>
        <v>0</v>
      </c>
      <c r="N2653" s="110">
        <f>K2653-tblAquisições[[#This Row],[QUANTIDADE PLANEJADA]]</f>
        <v>-50</v>
      </c>
      <c r="O2653" s="106" t="str">
        <f t="shared" si="83"/>
        <v>Faltando Comprar</v>
      </c>
    </row>
    <row r="2654" spans="1:15" ht="63">
      <c r="A2654" s="16" t="s">
        <v>17</v>
      </c>
      <c r="B2654" s="16" t="s">
        <v>80</v>
      </c>
      <c r="C2654" s="17" t="s">
        <v>19</v>
      </c>
      <c r="D2654" s="18" t="s">
        <v>1503</v>
      </c>
      <c r="E2654" s="18">
        <v>20</v>
      </c>
      <c r="F2654" s="18" t="s">
        <v>1504</v>
      </c>
      <c r="G2654" s="18" t="s">
        <v>775</v>
      </c>
      <c r="H2654" s="18" t="s">
        <v>23</v>
      </c>
      <c r="I2654" s="19">
        <v>427.81</v>
      </c>
      <c r="J2654" s="20">
        <f t="shared" si="82"/>
        <v>8556.2000000000007</v>
      </c>
      <c r="K2654" s="106"/>
      <c r="L2654" s="114"/>
      <c r="M2654" s="114">
        <f>tblAquisições[[#This Row],[VALOR UNITARIO COMPRADO]]*tblAquisições[[#This Row],[QUANTIDADE COMPRADA]]</f>
        <v>0</v>
      </c>
      <c r="N2654" s="110">
        <f>K2654-tblAquisições[[#This Row],[QUANTIDADE PLANEJADA]]</f>
        <v>-20</v>
      </c>
      <c r="O2654" s="106" t="str">
        <f t="shared" si="83"/>
        <v>Faltando Comprar</v>
      </c>
    </row>
    <row r="2655" spans="1:15" ht="63">
      <c r="A2655" s="16" t="s">
        <v>17</v>
      </c>
      <c r="B2655" s="16" t="s">
        <v>41</v>
      </c>
      <c r="C2655" s="17" t="s">
        <v>19</v>
      </c>
      <c r="D2655" s="18" t="s">
        <v>1505</v>
      </c>
      <c r="E2655" s="18">
        <v>180</v>
      </c>
      <c r="F2655" s="18" t="s">
        <v>222</v>
      </c>
      <c r="G2655" s="18" t="s">
        <v>127</v>
      </c>
      <c r="H2655" s="18" t="s">
        <v>83</v>
      </c>
      <c r="I2655" s="19">
        <v>427.81</v>
      </c>
      <c r="J2655" s="20">
        <f t="shared" si="82"/>
        <v>77005.8</v>
      </c>
      <c r="K2655" s="106"/>
      <c r="L2655" s="114"/>
      <c r="M2655" s="114">
        <f>tblAquisições[[#This Row],[VALOR UNITARIO COMPRADO]]*tblAquisições[[#This Row],[QUANTIDADE COMPRADA]]</f>
        <v>0</v>
      </c>
      <c r="N2655" s="110">
        <f>K2655-tblAquisições[[#This Row],[QUANTIDADE PLANEJADA]]</f>
        <v>-180</v>
      </c>
      <c r="O2655" s="106" t="str">
        <f t="shared" si="83"/>
        <v>Faltando Comprar</v>
      </c>
    </row>
    <row r="2656" spans="1:15" ht="63">
      <c r="A2656" s="16" t="s">
        <v>17</v>
      </c>
      <c r="B2656" s="16" t="s">
        <v>80</v>
      </c>
      <c r="C2656" s="17" t="s">
        <v>19</v>
      </c>
      <c r="D2656" s="18" t="s">
        <v>1506</v>
      </c>
      <c r="E2656" s="18">
        <v>30</v>
      </c>
      <c r="F2656" s="18" t="s">
        <v>1504</v>
      </c>
      <c r="G2656" s="18" t="s">
        <v>775</v>
      </c>
      <c r="H2656" s="18" t="s">
        <v>23</v>
      </c>
      <c r="I2656" s="19">
        <v>578.29999999999995</v>
      </c>
      <c r="J2656" s="20">
        <f t="shared" si="82"/>
        <v>17349</v>
      </c>
      <c r="K2656" s="106"/>
      <c r="L2656" s="114"/>
      <c r="M2656" s="114">
        <f>tblAquisições[[#This Row],[VALOR UNITARIO COMPRADO]]*tblAquisições[[#This Row],[QUANTIDADE COMPRADA]]</f>
        <v>0</v>
      </c>
      <c r="N2656" s="110">
        <f>K2656-tblAquisições[[#This Row],[QUANTIDADE PLANEJADA]]</f>
        <v>-30</v>
      </c>
      <c r="O2656" s="106" t="str">
        <f t="shared" si="83"/>
        <v>Faltando Comprar</v>
      </c>
    </row>
    <row r="2657" spans="1:15" ht="63">
      <c r="A2657" s="16" t="s">
        <v>17</v>
      </c>
      <c r="B2657" s="16" t="s">
        <v>41</v>
      </c>
      <c r="C2657" s="17" t="s">
        <v>19</v>
      </c>
      <c r="D2657" s="18" t="s">
        <v>1507</v>
      </c>
      <c r="E2657" s="18">
        <v>80</v>
      </c>
      <c r="F2657" s="18" t="s">
        <v>222</v>
      </c>
      <c r="G2657" s="18" t="s">
        <v>127</v>
      </c>
      <c r="H2657" s="18" t="s">
        <v>23</v>
      </c>
      <c r="I2657" s="19">
        <v>578.29999999999995</v>
      </c>
      <c r="J2657" s="20">
        <f t="shared" si="82"/>
        <v>46264</v>
      </c>
      <c r="K2657" s="106"/>
      <c r="L2657" s="114"/>
      <c r="M2657" s="114">
        <f>tblAquisições[[#This Row],[VALOR UNITARIO COMPRADO]]*tblAquisições[[#This Row],[QUANTIDADE COMPRADA]]</f>
        <v>0</v>
      </c>
      <c r="N2657" s="110">
        <f>K2657-tblAquisições[[#This Row],[QUANTIDADE PLANEJADA]]</f>
        <v>-80</v>
      </c>
      <c r="O2657" s="106" t="str">
        <f t="shared" si="83"/>
        <v>Faltando Comprar</v>
      </c>
    </row>
    <row r="2658" spans="1:15" ht="63">
      <c r="A2658" s="16" t="s">
        <v>17</v>
      </c>
      <c r="B2658" s="16" t="s">
        <v>41</v>
      </c>
      <c r="C2658" s="17" t="s">
        <v>19</v>
      </c>
      <c r="D2658" s="18" t="s">
        <v>1508</v>
      </c>
      <c r="E2658" s="18">
        <v>200</v>
      </c>
      <c r="F2658" s="18" t="s">
        <v>222</v>
      </c>
      <c r="G2658" s="18" t="s">
        <v>127</v>
      </c>
      <c r="H2658" s="18" t="s">
        <v>83</v>
      </c>
      <c r="I2658" s="19">
        <v>180</v>
      </c>
      <c r="J2658" s="20">
        <f t="shared" si="82"/>
        <v>36000</v>
      </c>
      <c r="K2658" s="106"/>
      <c r="L2658" s="114"/>
      <c r="M2658" s="114">
        <f>tblAquisições[[#This Row],[VALOR UNITARIO COMPRADO]]*tblAquisições[[#This Row],[QUANTIDADE COMPRADA]]</f>
        <v>0</v>
      </c>
      <c r="N2658" s="110">
        <f>K2658-tblAquisições[[#This Row],[QUANTIDADE PLANEJADA]]</f>
        <v>-200</v>
      </c>
      <c r="O2658" s="106" t="str">
        <f t="shared" si="83"/>
        <v>Faltando Comprar</v>
      </c>
    </row>
    <row r="2659" spans="1:15" ht="63">
      <c r="A2659" s="16" t="s">
        <v>17</v>
      </c>
      <c r="B2659" s="16" t="s">
        <v>80</v>
      </c>
      <c r="C2659" s="17" t="s">
        <v>19</v>
      </c>
      <c r="D2659" s="18" t="s">
        <v>1509</v>
      </c>
      <c r="E2659" s="18">
        <v>30</v>
      </c>
      <c r="F2659" s="18" t="s">
        <v>1504</v>
      </c>
      <c r="G2659" s="18" t="s">
        <v>775</v>
      </c>
      <c r="H2659" s="18" t="s">
        <v>23</v>
      </c>
      <c r="I2659" s="19">
        <v>813.03</v>
      </c>
      <c r="J2659" s="20">
        <f t="shared" si="82"/>
        <v>24390.899999999998</v>
      </c>
      <c r="K2659" s="106"/>
      <c r="L2659" s="114"/>
      <c r="M2659" s="114">
        <f>tblAquisições[[#This Row],[VALOR UNITARIO COMPRADO]]*tblAquisições[[#This Row],[QUANTIDADE COMPRADA]]</f>
        <v>0</v>
      </c>
      <c r="N2659" s="110">
        <f>K2659-tblAquisições[[#This Row],[QUANTIDADE PLANEJADA]]</f>
        <v>-30</v>
      </c>
      <c r="O2659" s="106" t="str">
        <f t="shared" si="83"/>
        <v>Faltando Comprar</v>
      </c>
    </row>
    <row r="2660" spans="1:15" ht="63">
      <c r="A2660" s="16" t="s">
        <v>17</v>
      </c>
      <c r="B2660" s="16" t="s">
        <v>41</v>
      </c>
      <c r="C2660" s="17" t="s">
        <v>19</v>
      </c>
      <c r="D2660" s="18" t="s">
        <v>1510</v>
      </c>
      <c r="E2660" s="18">
        <v>100</v>
      </c>
      <c r="F2660" s="18" t="s">
        <v>222</v>
      </c>
      <c r="G2660" s="18" t="s">
        <v>127</v>
      </c>
      <c r="H2660" s="18" t="s">
        <v>23</v>
      </c>
      <c r="I2660" s="19">
        <v>813.03</v>
      </c>
      <c r="J2660" s="20">
        <f t="shared" si="82"/>
        <v>81303</v>
      </c>
      <c r="K2660" s="106"/>
      <c r="L2660" s="114"/>
      <c r="M2660" s="114">
        <f>tblAquisições[[#This Row],[VALOR UNITARIO COMPRADO]]*tblAquisições[[#This Row],[QUANTIDADE COMPRADA]]</f>
        <v>0</v>
      </c>
      <c r="N2660" s="110">
        <f>K2660-tblAquisições[[#This Row],[QUANTIDADE PLANEJADA]]</f>
        <v>-100</v>
      </c>
      <c r="O2660" s="106" t="str">
        <f t="shared" si="83"/>
        <v>Faltando Comprar</v>
      </c>
    </row>
    <row r="2661" spans="1:15" ht="63">
      <c r="A2661" s="16" t="s">
        <v>17</v>
      </c>
      <c r="B2661" s="16" t="s">
        <v>41</v>
      </c>
      <c r="C2661" s="17" t="s">
        <v>19</v>
      </c>
      <c r="D2661" s="18" t="s">
        <v>1511</v>
      </c>
      <c r="E2661" s="18">
        <v>20</v>
      </c>
      <c r="F2661" s="18" t="s">
        <v>222</v>
      </c>
      <c r="G2661" s="18" t="s">
        <v>127</v>
      </c>
      <c r="H2661" s="18" t="s">
        <v>23</v>
      </c>
      <c r="I2661" s="19">
        <v>1185.81</v>
      </c>
      <c r="J2661" s="20">
        <f t="shared" si="82"/>
        <v>23716.199999999997</v>
      </c>
      <c r="K2661" s="106"/>
      <c r="L2661" s="114"/>
      <c r="M2661" s="114">
        <f>tblAquisições[[#This Row],[VALOR UNITARIO COMPRADO]]*tblAquisições[[#This Row],[QUANTIDADE COMPRADA]]</f>
        <v>0</v>
      </c>
      <c r="N2661" s="110">
        <f>K2661-tblAquisições[[#This Row],[QUANTIDADE PLANEJADA]]</f>
        <v>-20</v>
      </c>
      <c r="O2661" s="106" t="str">
        <f t="shared" si="83"/>
        <v>Faltando Comprar</v>
      </c>
    </row>
    <row r="2662" spans="1:15" ht="47.25">
      <c r="A2662" s="16" t="s">
        <v>17</v>
      </c>
      <c r="B2662" s="16" t="s">
        <v>28</v>
      </c>
      <c r="C2662" s="17" t="s">
        <v>19</v>
      </c>
      <c r="D2662" s="18" t="s">
        <v>1512</v>
      </c>
      <c r="E2662" s="18">
        <v>120</v>
      </c>
      <c r="F2662" s="18" t="s">
        <v>21</v>
      </c>
      <c r="G2662" s="18" t="s">
        <v>22</v>
      </c>
      <c r="H2662" s="18" t="s">
        <v>23</v>
      </c>
      <c r="I2662" s="19">
        <v>16.09</v>
      </c>
      <c r="J2662" s="20">
        <f t="shared" si="82"/>
        <v>1930.8</v>
      </c>
      <c r="K2662" s="106"/>
      <c r="L2662" s="114"/>
      <c r="M2662" s="114">
        <f>tblAquisições[[#This Row],[VALOR UNITARIO COMPRADO]]*tblAquisições[[#This Row],[QUANTIDADE COMPRADA]]</f>
        <v>0</v>
      </c>
      <c r="N2662" s="110">
        <f>K2662-tblAquisições[[#This Row],[QUANTIDADE PLANEJADA]]</f>
        <v>-120</v>
      </c>
      <c r="O2662" s="106" t="str">
        <f t="shared" si="83"/>
        <v>Faltando Comprar</v>
      </c>
    </row>
    <row r="2663" spans="1:15" ht="63">
      <c r="A2663" s="16" t="s">
        <v>17</v>
      </c>
      <c r="B2663" s="16" t="s">
        <v>80</v>
      </c>
      <c r="C2663" s="17" t="s">
        <v>19</v>
      </c>
      <c r="D2663" s="18" t="s">
        <v>1513</v>
      </c>
      <c r="E2663" s="18">
        <v>40</v>
      </c>
      <c r="F2663" s="18" t="s">
        <v>1504</v>
      </c>
      <c r="G2663" s="18" t="s">
        <v>775</v>
      </c>
      <c r="H2663" s="18" t="s">
        <v>23</v>
      </c>
      <c r="I2663" s="19">
        <v>49.85</v>
      </c>
      <c r="J2663" s="20">
        <f t="shared" si="82"/>
        <v>1994</v>
      </c>
      <c r="K2663" s="106"/>
      <c r="L2663" s="114"/>
      <c r="M2663" s="114">
        <f>tblAquisições[[#This Row],[VALOR UNITARIO COMPRADO]]*tblAquisições[[#This Row],[QUANTIDADE COMPRADA]]</f>
        <v>0</v>
      </c>
      <c r="N2663" s="110">
        <f>K2663-tblAquisições[[#This Row],[QUANTIDADE PLANEJADA]]</f>
        <v>-40</v>
      </c>
      <c r="O2663" s="106" t="str">
        <f t="shared" si="83"/>
        <v>Faltando Comprar</v>
      </c>
    </row>
    <row r="2664" spans="1:15" ht="31.5">
      <c r="A2664" s="16" t="s">
        <v>17</v>
      </c>
      <c r="B2664" s="16" t="s">
        <v>26</v>
      </c>
      <c r="C2664" s="17" t="s">
        <v>19</v>
      </c>
      <c r="D2664" s="18" t="s">
        <v>1514</v>
      </c>
      <c r="E2664" s="18">
        <v>60</v>
      </c>
      <c r="F2664" s="18" t="s">
        <v>21</v>
      </c>
      <c r="G2664" s="18" t="s">
        <v>22</v>
      </c>
      <c r="H2664" s="18" t="s">
        <v>23</v>
      </c>
      <c r="I2664" s="19">
        <v>97.79</v>
      </c>
      <c r="J2664" s="20">
        <f t="shared" si="82"/>
        <v>5867.4000000000005</v>
      </c>
      <c r="K2664" s="106"/>
      <c r="L2664" s="114"/>
      <c r="M2664" s="114">
        <f>tblAquisições[[#This Row],[VALOR UNITARIO COMPRADO]]*tblAquisições[[#This Row],[QUANTIDADE COMPRADA]]</f>
        <v>0</v>
      </c>
      <c r="N2664" s="110">
        <f>K2664-tblAquisições[[#This Row],[QUANTIDADE PLANEJADA]]</f>
        <v>-60</v>
      </c>
      <c r="O2664" s="106" t="str">
        <f t="shared" si="83"/>
        <v>Faltando Comprar</v>
      </c>
    </row>
    <row r="2665" spans="1:15" ht="31.5">
      <c r="A2665" s="16" t="s">
        <v>17</v>
      </c>
      <c r="B2665" s="16" t="s">
        <v>26</v>
      </c>
      <c r="C2665" s="17" t="s">
        <v>19</v>
      </c>
      <c r="D2665" s="18" t="s">
        <v>1515</v>
      </c>
      <c r="E2665" s="18">
        <v>40</v>
      </c>
      <c r="F2665" s="18" t="s">
        <v>21</v>
      </c>
      <c r="G2665" s="18" t="s">
        <v>22</v>
      </c>
      <c r="H2665" s="18" t="s">
        <v>23</v>
      </c>
      <c r="I2665" s="19">
        <v>111.53</v>
      </c>
      <c r="J2665" s="20">
        <f t="shared" si="82"/>
        <v>4461.2</v>
      </c>
      <c r="K2665" s="106"/>
      <c r="L2665" s="114"/>
      <c r="M2665" s="114">
        <f>tblAquisições[[#This Row],[VALOR UNITARIO COMPRADO]]*tblAquisições[[#This Row],[QUANTIDADE COMPRADA]]</f>
        <v>0</v>
      </c>
      <c r="N2665" s="110">
        <f>K2665-tblAquisições[[#This Row],[QUANTIDADE PLANEJADA]]</f>
        <v>-40</v>
      </c>
      <c r="O2665" s="106" t="str">
        <f t="shared" si="83"/>
        <v>Faltando Comprar</v>
      </c>
    </row>
    <row r="2666" spans="1:15" ht="31.5">
      <c r="A2666" s="16" t="s">
        <v>17</v>
      </c>
      <c r="B2666" s="16" t="s">
        <v>18</v>
      </c>
      <c r="C2666" s="17" t="s">
        <v>19</v>
      </c>
      <c r="D2666" s="18" t="s">
        <v>1516</v>
      </c>
      <c r="E2666" s="18">
        <v>120</v>
      </c>
      <c r="F2666" s="18" t="s">
        <v>21</v>
      </c>
      <c r="G2666" s="18" t="s">
        <v>22</v>
      </c>
      <c r="H2666" s="18" t="s">
        <v>83</v>
      </c>
      <c r="I2666" s="19">
        <v>165</v>
      </c>
      <c r="J2666" s="20">
        <f t="shared" si="82"/>
        <v>19800</v>
      </c>
      <c r="K2666" s="106"/>
      <c r="L2666" s="114"/>
      <c r="M2666" s="114">
        <f>tblAquisições[[#This Row],[VALOR UNITARIO COMPRADO]]*tblAquisições[[#This Row],[QUANTIDADE COMPRADA]]</f>
        <v>0</v>
      </c>
      <c r="N2666" s="110">
        <f>K2666-tblAquisições[[#This Row],[QUANTIDADE PLANEJADA]]</f>
        <v>-120</v>
      </c>
      <c r="O2666" s="106" t="str">
        <f t="shared" si="83"/>
        <v>Faltando Comprar</v>
      </c>
    </row>
    <row r="2667" spans="1:15" ht="31.5">
      <c r="A2667" s="16" t="s">
        <v>17</v>
      </c>
      <c r="B2667" s="16" t="s">
        <v>24</v>
      </c>
      <c r="C2667" s="17" t="s">
        <v>19</v>
      </c>
      <c r="D2667" s="18" t="s">
        <v>1516</v>
      </c>
      <c r="E2667" s="18">
        <v>120</v>
      </c>
      <c r="F2667" s="18" t="s">
        <v>21</v>
      </c>
      <c r="G2667" s="18" t="s">
        <v>22</v>
      </c>
      <c r="H2667" s="18" t="s">
        <v>83</v>
      </c>
      <c r="I2667" s="19">
        <v>165</v>
      </c>
      <c r="J2667" s="20">
        <f t="shared" si="82"/>
        <v>19800</v>
      </c>
      <c r="K2667" s="106"/>
      <c r="L2667" s="114"/>
      <c r="M2667" s="114">
        <f>tblAquisições[[#This Row],[VALOR UNITARIO COMPRADO]]*tblAquisições[[#This Row],[QUANTIDADE COMPRADA]]</f>
        <v>0</v>
      </c>
      <c r="N2667" s="110">
        <f>K2667-tblAquisições[[#This Row],[QUANTIDADE PLANEJADA]]</f>
        <v>-120</v>
      </c>
      <c r="O2667" s="106" t="str">
        <f t="shared" si="83"/>
        <v>Faltando Comprar</v>
      </c>
    </row>
    <row r="2668" spans="1:15" ht="31.5">
      <c r="A2668" s="16" t="s">
        <v>17</v>
      </c>
      <c r="B2668" s="16" t="s">
        <v>25</v>
      </c>
      <c r="C2668" s="17" t="s">
        <v>19</v>
      </c>
      <c r="D2668" s="18" t="s">
        <v>1516</v>
      </c>
      <c r="E2668" s="18">
        <v>120</v>
      </c>
      <c r="F2668" s="18" t="s">
        <v>21</v>
      </c>
      <c r="G2668" s="18" t="s">
        <v>22</v>
      </c>
      <c r="H2668" s="18" t="s">
        <v>83</v>
      </c>
      <c r="I2668" s="19">
        <v>165</v>
      </c>
      <c r="J2668" s="20">
        <f t="shared" si="82"/>
        <v>19800</v>
      </c>
      <c r="K2668" s="106"/>
      <c r="L2668" s="114"/>
      <c r="M2668" s="114">
        <f>tblAquisições[[#This Row],[VALOR UNITARIO COMPRADO]]*tblAquisições[[#This Row],[QUANTIDADE COMPRADA]]</f>
        <v>0</v>
      </c>
      <c r="N2668" s="110">
        <f>K2668-tblAquisições[[#This Row],[QUANTIDADE PLANEJADA]]</f>
        <v>-120</v>
      </c>
      <c r="O2668" s="106" t="str">
        <f t="shared" si="83"/>
        <v>Faltando Comprar</v>
      </c>
    </row>
    <row r="2669" spans="1:15" ht="63">
      <c r="A2669" s="16" t="s">
        <v>17</v>
      </c>
      <c r="B2669" s="16" t="s">
        <v>80</v>
      </c>
      <c r="C2669" s="17" t="s">
        <v>19</v>
      </c>
      <c r="D2669" s="18" t="s">
        <v>1517</v>
      </c>
      <c r="E2669" s="18">
        <v>40</v>
      </c>
      <c r="F2669" s="18" t="s">
        <v>1504</v>
      </c>
      <c r="G2669" s="18" t="s">
        <v>775</v>
      </c>
      <c r="H2669" s="18" t="s">
        <v>23</v>
      </c>
      <c r="I2669" s="19">
        <v>121.1</v>
      </c>
      <c r="J2669" s="20">
        <f t="shared" si="82"/>
        <v>4844</v>
      </c>
      <c r="K2669" s="106"/>
      <c r="L2669" s="114"/>
      <c r="M2669" s="114">
        <f>tblAquisições[[#This Row],[VALOR UNITARIO COMPRADO]]*tblAquisições[[#This Row],[QUANTIDADE COMPRADA]]</f>
        <v>0</v>
      </c>
      <c r="N2669" s="110">
        <f>K2669-tblAquisições[[#This Row],[QUANTIDADE PLANEJADA]]</f>
        <v>-40</v>
      </c>
      <c r="O2669" s="106" t="str">
        <f t="shared" si="83"/>
        <v>Faltando Comprar</v>
      </c>
    </row>
    <row r="2670" spans="1:15" ht="47.25">
      <c r="A2670" s="16" t="s">
        <v>17</v>
      </c>
      <c r="B2670" s="16" t="s">
        <v>18</v>
      </c>
      <c r="C2670" s="17" t="s">
        <v>19</v>
      </c>
      <c r="D2670" s="18" t="s">
        <v>1518</v>
      </c>
      <c r="E2670" s="18">
        <v>50</v>
      </c>
      <c r="F2670" s="18" t="s">
        <v>222</v>
      </c>
      <c r="G2670" s="18" t="s">
        <v>127</v>
      </c>
      <c r="H2670" s="18" t="s">
        <v>23</v>
      </c>
      <c r="I2670" s="19">
        <v>121.1</v>
      </c>
      <c r="J2670" s="20">
        <f t="shared" si="82"/>
        <v>6055</v>
      </c>
      <c r="K2670" s="106"/>
      <c r="L2670" s="114"/>
      <c r="M2670" s="114">
        <f>tblAquisições[[#This Row],[VALOR UNITARIO COMPRADO]]*tblAquisições[[#This Row],[QUANTIDADE COMPRADA]]</f>
        <v>0</v>
      </c>
      <c r="N2670" s="110">
        <f>K2670-tblAquisições[[#This Row],[QUANTIDADE PLANEJADA]]</f>
        <v>-50</v>
      </c>
      <c r="O2670" s="106" t="str">
        <f t="shared" si="83"/>
        <v>Faltando Comprar</v>
      </c>
    </row>
    <row r="2671" spans="1:15" ht="47.25">
      <c r="A2671" s="16" t="s">
        <v>17</v>
      </c>
      <c r="B2671" s="16" t="s">
        <v>24</v>
      </c>
      <c r="C2671" s="17" t="s">
        <v>19</v>
      </c>
      <c r="D2671" s="18" t="s">
        <v>1518</v>
      </c>
      <c r="E2671" s="18">
        <v>50</v>
      </c>
      <c r="F2671" s="18" t="s">
        <v>222</v>
      </c>
      <c r="G2671" s="18" t="s">
        <v>127</v>
      </c>
      <c r="H2671" s="18" t="s">
        <v>23</v>
      </c>
      <c r="I2671" s="19">
        <v>121.1</v>
      </c>
      <c r="J2671" s="20">
        <f t="shared" si="82"/>
        <v>6055</v>
      </c>
      <c r="K2671" s="106"/>
      <c r="L2671" s="114"/>
      <c r="M2671" s="114">
        <f>tblAquisições[[#This Row],[VALOR UNITARIO COMPRADO]]*tblAquisições[[#This Row],[QUANTIDADE COMPRADA]]</f>
        <v>0</v>
      </c>
      <c r="N2671" s="110">
        <f>K2671-tblAquisições[[#This Row],[QUANTIDADE PLANEJADA]]</f>
        <v>-50</v>
      </c>
      <c r="O2671" s="106" t="str">
        <f t="shared" si="83"/>
        <v>Faltando Comprar</v>
      </c>
    </row>
    <row r="2672" spans="1:15" ht="47.25">
      <c r="A2672" s="16" t="s">
        <v>17</v>
      </c>
      <c r="B2672" s="16" t="s">
        <v>25</v>
      </c>
      <c r="C2672" s="17" t="s">
        <v>19</v>
      </c>
      <c r="D2672" s="18" t="s">
        <v>1518</v>
      </c>
      <c r="E2672" s="18">
        <v>50</v>
      </c>
      <c r="F2672" s="18" t="s">
        <v>222</v>
      </c>
      <c r="G2672" s="18" t="s">
        <v>127</v>
      </c>
      <c r="H2672" s="18" t="s">
        <v>23</v>
      </c>
      <c r="I2672" s="19">
        <v>121.1</v>
      </c>
      <c r="J2672" s="20">
        <f t="shared" si="82"/>
        <v>6055</v>
      </c>
      <c r="K2672" s="106"/>
      <c r="L2672" s="114"/>
      <c r="M2672" s="114">
        <f>tblAquisições[[#This Row],[VALOR UNITARIO COMPRADO]]*tblAquisições[[#This Row],[QUANTIDADE COMPRADA]]</f>
        <v>0</v>
      </c>
      <c r="N2672" s="110">
        <f>K2672-tblAquisições[[#This Row],[QUANTIDADE PLANEJADA]]</f>
        <v>-50</v>
      </c>
      <c r="O2672" s="106" t="str">
        <f t="shared" si="83"/>
        <v>Faltando Comprar</v>
      </c>
    </row>
    <row r="2673" spans="1:15" ht="47.25">
      <c r="A2673" s="16" t="s">
        <v>17</v>
      </c>
      <c r="B2673" s="16" t="s">
        <v>18</v>
      </c>
      <c r="C2673" s="17" t="s">
        <v>19</v>
      </c>
      <c r="D2673" s="18" t="s">
        <v>1519</v>
      </c>
      <c r="E2673" s="18">
        <v>10</v>
      </c>
      <c r="F2673" s="18" t="s">
        <v>222</v>
      </c>
      <c r="G2673" s="18" t="s">
        <v>127</v>
      </c>
      <c r="H2673" s="18" t="s">
        <v>23</v>
      </c>
      <c r="I2673" s="19">
        <v>115.08</v>
      </c>
      <c r="J2673" s="20">
        <f t="shared" si="82"/>
        <v>1150.8</v>
      </c>
      <c r="K2673" s="106"/>
      <c r="L2673" s="114"/>
      <c r="M2673" s="114">
        <f>tblAquisições[[#This Row],[VALOR UNITARIO COMPRADO]]*tblAquisições[[#This Row],[QUANTIDADE COMPRADA]]</f>
        <v>0</v>
      </c>
      <c r="N2673" s="110">
        <f>K2673-tblAquisições[[#This Row],[QUANTIDADE PLANEJADA]]</f>
        <v>-10</v>
      </c>
      <c r="O2673" s="106" t="str">
        <f t="shared" si="83"/>
        <v>Faltando Comprar</v>
      </c>
    </row>
    <row r="2674" spans="1:15" ht="47.25">
      <c r="A2674" s="16" t="s">
        <v>17</v>
      </c>
      <c r="B2674" s="16" t="s">
        <v>24</v>
      </c>
      <c r="C2674" s="17" t="s">
        <v>19</v>
      </c>
      <c r="D2674" s="18" t="s">
        <v>1519</v>
      </c>
      <c r="E2674" s="18">
        <v>10</v>
      </c>
      <c r="F2674" s="18" t="s">
        <v>222</v>
      </c>
      <c r="G2674" s="18" t="s">
        <v>127</v>
      </c>
      <c r="H2674" s="18" t="s">
        <v>23</v>
      </c>
      <c r="I2674" s="19">
        <v>115.08</v>
      </c>
      <c r="J2674" s="20">
        <f t="shared" si="82"/>
        <v>1150.8</v>
      </c>
      <c r="K2674" s="106"/>
      <c r="L2674" s="114"/>
      <c r="M2674" s="114">
        <f>tblAquisições[[#This Row],[VALOR UNITARIO COMPRADO]]*tblAquisições[[#This Row],[QUANTIDADE COMPRADA]]</f>
        <v>0</v>
      </c>
      <c r="N2674" s="110">
        <f>K2674-tblAquisições[[#This Row],[QUANTIDADE PLANEJADA]]</f>
        <v>-10</v>
      </c>
      <c r="O2674" s="106" t="str">
        <f t="shared" si="83"/>
        <v>Faltando Comprar</v>
      </c>
    </row>
    <row r="2675" spans="1:15" ht="47.25">
      <c r="A2675" s="16" t="s">
        <v>17</v>
      </c>
      <c r="B2675" s="16" t="s">
        <v>25</v>
      </c>
      <c r="C2675" s="17" t="s">
        <v>19</v>
      </c>
      <c r="D2675" s="18" t="s">
        <v>1519</v>
      </c>
      <c r="E2675" s="18">
        <v>10</v>
      </c>
      <c r="F2675" s="18" t="s">
        <v>222</v>
      </c>
      <c r="G2675" s="18" t="s">
        <v>127</v>
      </c>
      <c r="H2675" s="18" t="s">
        <v>23</v>
      </c>
      <c r="I2675" s="19">
        <v>115.08</v>
      </c>
      <c r="J2675" s="20">
        <f t="shared" si="82"/>
        <v>1150.8</v>
      </c>
      <c r="K2675" s="106"/>
      <c r="L2675" s="114"/>
      <c r="M2675" s="114">
        <f>tblAquisições[[#This Row],[VALOR UNITARIO COMPRADO]]*tblAquisições[[#This Row],[QUANTIDADE COMPRADA]]</f>
        <v>0</v>
      </c>
      <c r="N2675" s="110">
        <f>K2675-tblAquisições[[#This Row],[QUANTIDADE PLANEJADA]]</f>
        <v>-10</v>
      </c>
      <c r="O2675" s="106" t="str">
        <f t="shared" si="83"/>
        <v>Faltando Comprar</v>
      </c>
    </row>
    <row r="2676" spans="1:15" ht="47.25">
      <c r="A2676" s="16" t="s">
        <v>17</v>
      </c>
      <c r="B2676" s="16" t="s">
        <v>18</v>
      </c>
      <c r="C2676" s="17" t="s">
        <v>19</v>
      </c>
      <c r="D2676" s="18" t="s">
        <v>1520</v>
      </c>
      <c r="E2676" s="18">
        <v>20</v>
      </c>
      <c r="F2676" s="18" t="s">
        <v>222</v>
      </c>
      <c r="G2676" s="18" t="s">
        <v>127</v>
      </c>
      <c r="H2676" s="18" t="s">
        <v>23</v>
      </c>
      <c r="I2676" s="19">
        <v>224.65</v>
      </c>
      <c r="J2676" s="20">
        <f t="shared" si="82"/>
        <v>4493</v>
      </c>
      <c r="K2676" s="106"/>
      <c r="L2676" s="114"/>
      <c r="M2676" s="114">
        <f>tblAquisições[[#This Row],[VALOR UNITARIO COMPRADO]]*tblAquisições[[#This Row],[QUANTIDADE COMPRADA]]</f>
        <v>0</v>
      </c>
      <c r="N2676" s="110">
        <f>K2676-tblAquisições[[#This Row],[QUANTIDADE PLANEJADA]]</f>
        <v>-20</v>
      </c>
      <c r="O2676" s="106" t="str">
        <f t="shared" si="83"/>
        <v>Faltando Comprar</v>
      </c>
    </row>
    <row r="2677" spans="1:15" ht="47.25">
      <c r="A2677" s="16" t="s">
        <v>17</v>
      </c>
      <c r="B2677" s="16" t="s">
        <v>24</v>
      </c>
      <c r="C2677" s="17" t="s">
        <v>19</v>
      </c>
      <c r="D2677" s="18" t="s">
        <v>1520</v>
      </c>
      <c r="E2677" s="18">
        <v>20</v>
      </c>
      <c r="F2677" s="18" t="s">
        <v>222</v>
      </c>
      <c r="G2677" s="18" t="s">
        <v>127</v>
      </c>
      <c r="H2677" s="18" t="s">
        <v>23</v>
      </c>
      <c r="I2677" s="19">
        <v>224.65</v>
      </c>
      <c r="J2677" s="20">
        <f t="shared" si="82"/>
        <v>4493</v>
      </c>
      <c r="K2677" s="106"/>
      <c r="L2677" s="114"/>
      <c r="M2677" s="114">
        <f>tblAquisições[[#This Row],[VALOR UNITARIO COMPRADO]]*tblAquisições[[#This Row],[QUANTIDADE COMPRADA]]</f>
        <v>0</v>
      </c>
      <c r="N2677" s="110">
        <f>K2677-tblAquisições[[#This Row],[QUANTIDADE PLANEJADA]]</f>
        <v>-20</v>
      </c>
      <c r="O2677" s="106" t="str">
        <f t="shared" si="83"/>
        <v>Faltando Comprar</v>
      </c>
    </row>
    <row r="2678" spans="1:15" ht="47.25">
      <c r="A2678" s="16" t="s">
        <v>17</v>
      </c>
      <c r="B2678" s="16" t="s">
        <v>25</v>
      </c>
      <c r="C2678" s="17" t="s">
        <v>19</v>
      </c>
      <c r="D2678" s="18" t="s">
        <v>1520</v>
      </c>
      <c r="E2678" s="18">
        <v>20</v>
      </c>
      <c r="F2678" s="18" t="s">
        <v>222</v>
      </c>
      <c r="G2678" s="18" t="s">
        <v>127</v>
      </c>
      <c r="H2678" s="18" t="s">
        <v>23</v>
      </c>
      <c r="I2678" s="19">
        <v>224.65</v>
      </c>
      <c r="J2678" s="20">
        <f t="shared" si="82"/>
        <v>4493</v>
      </c>
      <c r="K2678" s="106"/>
      <c r="L2678" s="114"/>
      <c r="M2678" s="114">
        <f>tblAquisições[[#This Row],[VALOR UNITARIO COMPRADO]]*tblAquisições[[#This Row],[QUANTIDADE COMPRADA]]</f>
        <v>0</v>
      </c>
      <c r="N2678" s="110">
        <f>K2678-tblAquisições[[#This Row],[QUANTIDADE PLANEJADA]]</f>
        <v>-20</v>
      </c>
      <c r="O2678" s="106" t="str">
        <f t="shared" si="83"/>
        <v>Faltando Comprar</v>
      </c>
    </row>
    <row r="2679" spans="1:15" ht="47.25">
      <c r="A2679" s="16" t="s">
        <v>17</v>
      </c>
      <c r="B2679" s="16" t="s">
        <v>18</v>
      </c>
      <c r="C2679" s="17" t="s">
        <v>19</v>
      </c>
      <c r="D2679" s="18" t="s">
        <v>1521</v>
      </c>
      <c r="E2679" s="18">
        <v>15</v>
      </c>
      <c r="F2679" s="18" t="s">
        <v>222</v>
      </c>
      <c r="G2679" s="18" t="s">
        <v>127</v>
      </c>
      <c r="H2679" s="18" t="s">
        <v>23</v>
      </c>
      <c r="I2679" s="19">
        <v>329.84</v>
      </c>
      <c r="J2679" s="20">
        <f t="shared" si="82"/>
        <v>4947.5999999999995</v>
      </c>
      <c r="K2679" s="106"/>
      <c r="L2679" s="114"/>
      <c r="M2679" s="114">
        <f>tblAquisições[[#This Row],[VALOR UNITARIO COMPRADO]]*tblAquisições[[#This Row],[QUANTIDADE COMPRADA]]</f>
        <v>0</v>
      </c>
      <c r="N2679" s="110">
        <f>K2679-tblAquisições[[#This Row],[QUANTIDADE PLANEJADA]]</f>
        <v>-15</v>
      </c>
      <c r="O2679" s="106" t="str">
        <f t="shared" si="83"/>
        <v>Faltando Comprar</v>
      </c>
    </row>
    <row r="2680" spans="1:15" ht="47.25">
      <c r="A2680" s="16" t="s">
        <v>17</v>
      </c>
      <c r="B2680" s="16" t="s">
        <v>24</v>
      </c>
      <c r="C2680" s="17" t="s">
        <v>19</v>
      </c>
      <c r="D2680" s="18" t="s">
        <v>1521</v>
      </c>
      <c r="E2680" s="18">
        <v>15</v>
      </c>
      <c r="F2680" s="18" t="s">
        <v>222</v>
      </c>
      <c r="G2680" s="18" t="s">
        <v>127</v>
      </c>
      <c r="H2680" s="18" t="s">
        <v>23</v>
      </c>
      <c r="I2680" s="19">
        <v>329.84</v>
      </c>
      <c r="J2680" s="20">
        <f t="shared" si="82"/>
        <v>4947.5999999999995</v>
      </c>
      <c r="K2680" s="106"/>
      <c r="L2680" s="114"/>
      <c r="M2680" s="114">
        <f>tblAquisições[[#This Row],[VALOR UNITARIO COMPRADO]]*tblAquisições[[#This Row],[QUANTIDADE COMPRADA]]</f>
        <v>0</v>
      </c>
      <c r="N2680" s="110">
        <f>K2680-tblAquisições[[#This Row],[QUANTIDADE PLANEJADA]]</f>
        <v>-15</v>
      </c>
      <c r="O2680" s="106" t="str">
        <f t="shared" si="83"/>
        <v>Faltando Comprar</v>
      </c>
    </row>
    <row r="2681" spans="1:15" ht="47.25">
      <c r="A2681" s="16" t="s">
        <v>17</v>
      </c>
      <c r="B2681" s="16" t="s">
        <v>25</v>
      </c>
      <c r="C2681" s="17" t="s">
        <v>19</v>
      </c>
      <c r="D2681" s="18" t="s">
        <v>1521</v>
      </c>
      <c r="E2681" s="18">
        <v>15</v>
      </c>
      <c r="F2681" s="18" t="s">
        <v>222</v>
      </c>
      <c r="G2681" s="18" t="s">
        <v>127</v>
      </c>
      <c r="H2681" s="18" t="s">
        <v>23</v>
      </c>
      <c r="I2681" s="19">
        <v>329.84</v>
      </c>
      <c r="J2681" s="20">
        <f t="shared" si="82"/>
        <v>4947.5999999999995</v>
      </c>
      <c r="K2681" s="106"/>
      <c r="L2681" s="114"/>
      <c r="M2681" s="114">
        <f>tblAquisições[[#This Row],[VALOR UNITARIO COMPRADO]]*tblAquisições[[#This Row],[QUANTIDADE COMPRADA]]</f>
        <v>0</v>
      </c>
      <c r="N2681" s="110">
        <f>K2681-tblAquisições[[#This Row],[QUANTIDADE PLANEJADA]]</f>
        <v>-15</v>
      </c>
      <c r="O2681" s="106" t="str">
        <f t="shared" si="83"/>
        <v>Faltando Comprar</v>
      </c>
    </row>
    <row r="2682" spans="1:15" ht="47.25">
      <c r="A2682" s="16" t="s">
        <v>17</v>
      </c>
      <c r="B2682" s="16" t="s">
        <v>18</v>
      </c>
      <c r="C2682" s="17" t="s">
        <v>19</v>
      </c>
      <c r="D2682" s="18" t="s">
        <v>1522</v>
      </c>
      <c r="E2682" s="18">
        <v>3</v>
      </c>
      <c r="F2682" s="18" t="s">
        <v>214</v>
      </c>
      <c r="G2682" s="18" t="s">
        <v>127</v>
      </c>
      <c r="H2682" s="18" t="s">
        <v>23</v>
      </c>
      <c r="I2682" s="19">
        <v>3248.45</v>
      </c>
      <c r="J2682" s="20">
        <f t="shared" si="82"/>
        <v>9745.3499999999985</v>
      </c>
      <c r="K2682" s="106"/>
      <c r="L2682" s="114"/>
      <c r="M2682" s="114">
        <f>tblAquisições[[#This Row],[VALOR UNITARIO COMPRADO]]*tblAquisições[[#This Row],[QUANTIDADE COMPRADA]]</f>
        <v>0</v>
      </c>
      <c r="N2682" s="110">
        <f>K2682-tblAquisições[[#This Row],[QUANTIDADE PLANEJADA]]</f>
        <v>-3</v>
      </c>
      <c r="O2682" s="106" t="str">
        <f t="shared" si="83"/>
        <v>Faltando Comprar</v>
      </c>
    </row>
    <row r="2683" spans="1:15" ht="47.25">
      <c r="A2683" s="16" t="s">
        <v>17</v>
      </c>
      <c r="B2683" s="16" t="s">
        <v>24</v>
      </c>
      <c r="C2683" s="17" t="s">
        <v>19</v>
      </c>
      <c r="D2683" s="18" t="s">
        <v>1522</v>
      </c>
      <c r="E2683" s="18">
        <v>3</v>
      </c>
      <c r="F2683" s="18" t="s">
        <v>214</v>
      </c>
      <c r="G2683" s="18" t="s">
        <v>127</v>
      </c>
      <c r="H2683" s="18" t="s">
        <v>23</v>
      </c>
      <c r="I2683" s="19">
        <v>3248.45</v>
      </c>
      <c r="J2683" s="20">
        <f t="shared" si="82"/>
        <v>9745.3499999999985</v>
      </c>
      <c r="K2683" s="106"/>
      <c r="L2683" s="114"/>
      <c r="M2683" s="114">
        <f>tblAquisições[[#This Row],[VALOR UNITARIO COMPRADO]]*tblAquisições[[#This Row],[QUANTIDADE COMPRADA]]</f>
        <v>0</v>
      </c>
      <c r="N2683" s="110">
        <f>K2683-tblAquisições[[#This Row],[QUANTIDADE PLANEJADA]]</f>
        <v>-3</v>
      </c>
      <c r="O2683" s="106" t="str">
        <f t="shared" si="83"/>
        <v>Faltando Comprar</v>
      </c>
    </row>
    <row r="2684" spans="1:15" ht="47.25">
      <c r="A2684" s="16" t="s">
        <v>17</v>
      </c>
      <c r="B2684" s="16" t="s">
        <v>25</v>
      </c>
      <c r="C2684" s="17" t="s">
        <v>19</v>
      </c>
      <c r="D2684" s="18" t="s">
        <v>1522</v>
      </c>
      <c r="E2684" s="18">
        <v>3</v>
      </c>
      <c r="F2684" s="18" t="s">
        <v>214</v>
      </c>
      <c r="G2684" s="18" t="s">
        <v>127</v>
      </c>
      <c r="H2684" s="18" t="s">
        <v>23</v>
      </c>
      <c r="I2684" s="19">
        <v>3248.45</v>
      </c>
      <c r="J2684" s="20">
        <f t="shared" si="82"/>
        <v>9745.3499999999985</v>
      </c>
      <c r="K2684" s="106"/>
      <c r="L2684" s="114"/>
      <c r="M2684" s="114">
        <f>tblAquisições[[#This Row],[VALOR UNITARIO COMPRADO]]*tblAquisições[[#This Row],[QUANTIDADE COMPRADA]]</f>
        <v>0</v>
      </c>
      <c r="N2684" s="110">
        <f>K2684-tblAquisições[[#This Row],[QUANTIDADE PLANEJADA]]</f>
        <v>-3</v>
      </c>
      <c r="O2684" s="106" t="str">
        <f t="shared" si="83"/>
        <v>Faltando Comprar</v>
      </c>
    </row>
    <row r="2685" spans="1:15" ht="31.5">
      <c r="A2685" s="16" t="s">
        <v>17</v>
      </c>
      <c r="B2685" s="16" t="s">
        <v>80</v>
      </c>
      <c r="C2685" s="17" t="s">
        <v>19</v>
      </c>
      <c r="D2685" s="18" t="s">
        <v>1523</v>
      </c>
      <c r="E2685" s="18">
        <v>20</v>
      </c>
      <c r="F2685" s="18" t="s">
        <v>38</v>
      </c>
      <c r="G2685" s="18" t="s">
        <v>39</v>
      </c>
      <c r="H2685" s="18" t="s">
        <v>23</v>
      </c>
      <c r="I2685" s="19">
        <v>10</v>
      </c>
      <c r="J2685" s="20">
        <f t="shared" si="82"/>
        <v>200</v>
      </c>
      <c r="K2685" s="106"/>
      <c r="L2685" s="114"/>
      <c r="M2685" s="114">
        <f>tblAquisições[[#This Row],[VALOR UNITARIO COMPRADO]]*tblAquisições[[#This Row],[QUANTIDADE COMPRADA]]</f>
        <v>0</v>
      </c>
      <c r="N2685" s="110">
        <f>K2685-tblAquisições[[#This Row],[QUANTIDADE PLANEJADA]]</f>
        <v>-20</v>
      </c>
      <c r="O2685" s="106" t="str">
        <f t="shared" si="83"/>
        <v>Faltando Comprar</v>
      </c>
    </row>
    <row r="2686" spans="1:15" ht="31.5">
      <c r="A2686" s="16" t="s">
        <v>17</v>
      </c>
      <c r="B2686" s="16" t="s">
        <v>18</v>
      </c>
      <c r="C2686" s="17" t="s">
        <v>19</v>
      </c>
      <c r="D2686" s="18" t="s">
        <v>1524</v>
      </c>
      <c r="E2686" s="18">
        <v>100</v>
      </c>
      <c r="F2686" s="18" t="s">
        <v>21</v>
      </c>
      <c r="G2686" s="18" t="s">
        <v>22</v>
      </c>
      <c r="H2686" s="18" t="s">
        <v>23</v>
      </c>
      <c r="I2686" s="19">
        <v>10</v>
      </c>
      <c r="J2686" s="20">
        <f t="shared" si="82"/>
        <v>1000</v>
      </c>
      <c r="K2686" s="106"/>
      <c r="L2686" s="114"/>
      <c r="M2686" s="114">
        <f>tblAquisições[[#This Row],[VALOR UNITARIO COMPRADO]]*tblAquisições[[#This Row],[QUANTIDADE COMPRADA]]</f>
        <v>0</v>
      </c>
      <c r="N2686" s="110">
        <f>K2686-tblAquisições[[#This Row],[QUANTIDADE PLANEJADA]]</f>
        <v>-100</v>
      </c>
      <c r="O2686" s="106" t="str">
        <f t="shared" si="83"/>
        <v>Faltando Comprar</v>
      </c>
    </row>
    <row r="2687" spans="1:15" ht="31.5">
      <c r="A2687" s="16" t="s">
        <v>17</v>
      </c>
      <c r="B2687" s="16" t="s">
        <v>24</v>
      </c>
      <c r="C2687" s="17" t="s">
        <v>19</v>
      </c>
      <c r="D2687" s="18" t="s">
        <v>1524</v>
      </c>
      <c r="E2687" s="18">
        <v>100</v>
      </c>
      <c r="F2687" s="18" t="s">
        <v>21</v>
      </c>
      <c r="G2687" s="18" t="s">
        <v>22</v>
      </c>
      <c r="H2687" s="18" t="s">
        <v>23</v>
      </c>
      <c r="I2687" s="19">
        <v>10</v>
      </c>
      <c r="J2687" s="20">
        <f t="shared" si="82"/>
        <v>1000</v>
      </c>
      <c r="K2687" s="106"/>
      <c r="L2687" s="114"/>
      <c r="M2687" s="114">
        <f>tblAquisições[[#This Row],[VALOR UNITARIO COMPRADO]]*tblAquisições[[#This Row],[QUANTIDADE COMPRADA]]</f>
        <v>0</v>
      </c>
      <c r="N2687" s="110">
        <f>K2687-tblAquisições[[#This Row],[QUANTIDADE PLANEJADA]]</f>
        <v>-100</v>
      </c>
      <c r="O2687" s="106" t="str">
        <f t="shared" si="83"/>
        <v>Faltando Comprar</v>
      </c>
    </row>
    <row r="2688" spans="1:15" ht="31.5">
      <c r="A2688" s="16" t="s">
        <v>17</v>
      </c>
      <c r="B2688" s="16" t="s">
        <v>25</v>
      </c>
      <c r="C2688" s="17" t="s">
        <v>19</v>
      </c>
      <c r="D2688" s="18" t="s">
        <v>1524</v>
      </c>
      <c r="E2688" s="18">
        <v>100</v>
      </c>
      <c r="F2688" s="18" t="s">
        <v>21</v>
      </c>
      <c r="G2688" s="18" t="s">
        <v>22</v>
      </c>
      <c r="H2688" s="18" t="s">
        <v>23</v>
      </c>
      <c r="I2688" s="19">
        <v>10</v>
      </c>
      <c r="J2688" s="20">
        <f t="shared" si="82"/>
        <v>1000</v>
      </c>
      <c r="K2688" s="106"/>
      <c r="L2688" s="114"/>
      <c r="M2688" s="114">
        <f>tblAquisições[[#This Row],[VALOR UNITARIO COMPRADO]]*tblAquisições[[#This Row],[QUANTIDADE COMPRADA]]</f>
        <v>0</v>
      </c>
      <c r="N2688" s="110">
        <f>K2688-tblAquisições[[#This Row],[QUANTIDADE PLANEJADA]]</f>
        <v>-100</v>
      </c>
      <c r="O2688" s="106" t="str">
        <f t="shared" si="83"/>
        <v>Faltando Comprar</v>
      </c>
    </row>
    <row r="2689" spans="1:15" ht="31.5">
      <c r="A2689" s="16" t="s">
        <v>17</v>
      </c>
      <c r="B2689" s="16" t="s">
        <v>27</v>
      </c>
      <c r="C2689" s="17" t="s">
        <v>19</v>
      </c>
      <c r="D2689" s="18" t="s">
        <v>1524</v>
      </c>
      <c r="E2689" s="18">
        <v>100</v>
      </c>
      <c r="F2689" s="18" t="s">
        <v>21</v>
      </c>
      <c r="G2689" s="18" t="s">
        <v>22</v>
      </c>
      <c r="H2689" s="18" t="s">
        <v>23</v>
      </c>
      <c r="I2689" s="19">
        <v>10</v>
      </c>
      <c r="J2689" s="20">
        <f t="shared" si="82"/>
        <v>1000</v>
      </c>
      <c r="K2689" s="106"/>
      <c r="L2689" s="114"/>
      <c r="M2689" s="114">
        <f>tblAquisições[[#This Row],[VALOR UNITARIO COMPRADO]]*tblAquisições[[#This Row],[QUANTIDADE COMPRADA]]</f>
        <v>0</v>
      </c>
      <c r="N2689" s="110">
        <f>K2689-tblAquisições[[#This Row],[QUANTIDADE PLANEJADA]]</f>
        <v>-100</v>
      </c>
      <c r="O2689" s="106" t="str">
        <f t="shared" si="83"/>
        <v>Faltando Comprar</v>
      </c>
    </row>
    <row r="2690" spans="1:15" ht="31.5">
      <c r="A2690" s="16" t="s">
        <v>17</v>
      </c>
      <c r="B2690" s="16" t="s">
        <v>80</v>
      </c>
      <c r="C2690" s="17" t="s">
        <v>19</v>
      </c>
      <c r="D2690" s="18" t="s">
        <v>1525</v>
      </c>
      <c r="E2690" s="18">
        <v>20</v>
      </c>
      <c r="F2690" s="18" t="s">
        <v>38</v>
      </c>
      <c r="G2690" s="18" t="s">
        <v>39</v>
      </c>
      <c r="H2690" s="18" t="s">
        <v>23</v>
      </c>
      <c r="I2690" s="19">
        <v>2.99</v>
      </c>
      <c r="J2690" s="20">
        <f t="shared" ref="J2690:J2753" si="84">E2690*I2690</f>
        <v>59.800000000000004</v>
      </c>
      <c r="K2690" s="106"/>
      <c r="L2690" s="114"/>
      <c r="M2690" s="114">
        <f>tblAquisições[[#This Row],[VALOR UNITARIO COMPRADO]]*tblAquisições[[#This Row],[QUANTIDADE COMPRADA]]</f>
        <v>0</v>
      </c>
      <c r="N2690" s="110">
        <f>K2690-tblAquisições[[#This Row],[QUANTIDADE PLANEJADA]]</f>
        <v>-20</v>
      </c>
      <c r="O2690" s="106" t="str">
        <f t="shared" ref="O2690:O2753" si="85">IF(K2690=E2690,"OK",IF(K2690&lt;E2690,"Faltando Comprar","Excedente"))</f>
        <v>Faltando Comprar</v>
      </c>
    </row>
    <row r="2691" spans="1:15" ht="31.5">
      <c r="A2691" s="16" t="s">
        <v>17</v>
      </c>
      <c r="B2691" s="16" t="s">
        <v>18</v>
      </c>
      <c r="C2691" s="17" t="s">
        <v>19</v>
      </c>
      <c r="D2691" s="18" t="s">
        <v>1526</v>
      </c>
      <c r="E2691" s="18">
        <v>50</v>
      </c>
      <c r="F2691" s="18" t="s">
        <v>21</v>
      </c>
      <c r="G2691" s="18" t="s">
        <v>22</v>
      </c>
      <c r="H2691" s="18" t="s">
        <v>23</v>
      </c>
      <c r="I2691" s="19">
        <v>2.99</v>
      </c>
      <c r="J2691" s="20">
        <f t="shared" si="84"/>
        <v>149.5</v>
      </c>
      <c r="K2691" s="106"/>
      <c r="L2691" s="114"/>
      <c r="M2691" s="114">
        <f>tblAquisições[[#This Row],[VALOR UNITARIO COMPRADO]]*tblAquisições[[#This Row],[QUANTIDADE COMPRADA]]</f>
        <v>0</v>
      </c>
      <c r="N2691" s="110">
        <f>K2691-tblAquisições[[#This Row],[QUANTIDADE PLANEJADA]]</f>
        <v>-50</v>
      </c>
      <c r="O2691" s="106" t="str">
        <f t="shared" si="85"/>
        <v>Faltando Comprar</v>
      </c>
    </row>
    <row r="2692" spans="1:15" ht="31.5">
      <c r="A2692" s="16" t="s">
        <v>17</v>
      </c>
      <c r="B2692" s="16" t="s">
        <v>24</v>
      </c>
      <c r="C2692" s="17" t="s">
        <v>19</v>
      </c>
      <c r="D2692" s="18" t="s">
        <v>1526</v>
      </c>
      <c r="E2692" s="18">
        <v>50</v>
      </c>
      <c r="F2692" s="18" t="s">
        <v>21</v>
      </c>
      <c r="G2692" s="18" t="s">
        <v>22</v>
      </c>
      <c r="H2692" s="18" t="s">
        <v>23</v>
      </c>
      <c r="I2692" s="19">
        <v>2.99</v>
      </c>
      <c r="J2692" s="20">
        <f t="shared" si="84"/>
        <v>149.5</v>
      </c>
      <c r="K2692" s="106"/>
      <c r="L2692" s="114"/>
      <c r="M2692" s="114">
        <f>tblAquisições[[#This Row],[VALOR UNITARIO COMPRADO]]*tblAquisições[[#This Row],[QUANTIDADE COMPRADA]]</f>
        <v>0</v>
      </c>
      <c r="N2692" s="110">
        <f>K2692-tblAquisições[[#This Row],[QUANTIDADE PLANEJADA]]</f>
        <v>-50</v>
      </c>
      <c r="O2692" s="106" t="str">
        <f t="shared" si="85"/>
        <v>Faltando Comprar</v>
      </c>
    </row>
    <row r="2693" spans="1:15" ht="31.5">
      <c r="A2693" s="16" t="s">
        <v>17</v>
      </c>
      <c r="B2693" s="16" t="s">
        <v>25</v>
      </c>
      <c r="C2693" s="17" t="s">
        <v>19</v>
      </c>
      <c r="D2693" s="18" t="s">
        <v>1526</v>
      </c>
      <c r="E2693" s="18">
        <v>50</v>
      </c>
      <c r="F2693" s="18" t="s">
        <v>21</v>
      </c>
      <c r="G2693" s="18" t="s">
        <v>22</v>
      </c>
      <c r="H2693" s="18" t="s">
        <v>23</v>
      </c>
      <c r="I2693" s="19">
        <v>2.99</v>
      </c>
      <c r="J2693" s="20">
        <f t="shared" si="84"/>
        <v>149.5</v>
      </c>
      <c r="K2693" s="106"/>
      <c r="L2693" s="114"/>
      <c r="M2693" s="114">
        <f>tblAquisições[[#This Row],[VALOR UNITARIO COMPRADO]]*tblAquisições[[#This Row],[QUANTIDADE COMPRADA]]</f>
        <v>0</v>
      </c>
      <c r="N2693" s="110">
        <f>K2693-tblAquisições[[#This Row],[QUANTIDADE PLANEJADA]]</f>
        <v>-50</v>
      </c>
      <c r="O2693" s="106" t="str">
        <f t="shared" si="85"/>
        <v>Faltando Comprar</v>
      </c>
    </row>
    <row r="2694" spans="1:15" ht="31.5">
      <c r="A2694" s="16" t="s">
        <v>17</v>
      </c>
      <c r="B2694" s="16" t="s">
        <v>26</v>
      </c>
      <c r="C2694" s="17" t="s">
        <v>19</v>
      </c>
      <c r="D2694" s="18" t="s">
        <v>1526</v>
      </c>
      <c r="E2694" s="18">
        <v>100</v>
      </c>
      <c r="F2694" s="18" t="s">
        <v>21</v>
      </c>
      <c r="G2694" s="18" t="s">
        <v>22</v>
      </c>
      <c r="H2694" s="18" t="s">
        <v>23</v>
      </c>
      <c r="I2694" s="19">
        <v>2.99</v>
      </c>
      <c r="J2694" s="20">
        <f t="shared" si="84"/>
        <v>299</v>
      </c>
      <c r="K2694" s="106"/>
      <c r="L2694" s="114"/>
      <c r="M2694" s="114">
        <f>tblAquisições[[#This Row],[VALOR UNITARIO COMPRADO]]*tblAquisições[[#This Row],[QUANTIDADE COMPRADA]]</f>
        <v>0</v>
      </c>
      <c r="N2694" s="110">
        <f>K2694-tblAquisições[[#This Row],[QUANTIDADE PLANEJADA]]</f>
        <v>-100</v>
      </c>
      <c r="O2694" s="106" t="str">
        <f t="shared" si="85"/>
        <v>Faltando Comprar</v>
      </c>
    </row>
    <row r="2695" spans="1:15" ht="31.5">
      <c r="A2695" s="16" t="s">
        <v>17</v>
      </c>
      <c r="B2695" s="16" t="s">
        <v>28</v>
      </c>
      <c r="C2695" s="17" t="s">
        <v>19</v>
      </c>
      <c r="D2695" s="18" t="s">
        <v>1527</v>
      </c>
      <c r="E2695" s="18">
        <v>5</v>
      </c>
      <c r="F2695" s="18" t="s">
        <v>30</v>
      </c>
      <c r="G2695" s="18" t="s">
        <v>22</v>
      </c>
      <c r="H2695" s="18" t="s">
        <v>23</v>
      </c>
      <c r="I2695" s="19">
        <v>23.01</v>
      </c>
      <c r="J2695" s="20">
        <f t="shared" si="84"/>
        <v>115.05000000000001</v>
      </c>
      <c r="K2695" s="106"/>
      <c r="L2695" s="114"/>
      <c r="M2695" s="114">
        <f>tblAquisições[[#This Row],[VALOR UNITARIO COMPRADO]]*tblAquisições[[#This Row],[QUANTIDADE COMPRADA]]</f>
        <v>0</v>
      </c>
      <c r="N2695" s="110">
        <f>K2695-tblAquisições[[#This Row],[QUANTIDADE PLANEJADA]]</f>
        <v>-5</v>
      </c>
      <c r="O2695" s="106" t="str">
        <f t="shared" si="85"/>
        <v>Faltando Comprar</v>
      </c>
    </row>
    <row r="2696" spans="1:15" ht="47.25">
      <c r="A2696" s="16" t="s">
        <v>17</v>
      </c>
      <c r="B2696" s="16" t="s">
        <v>18</v>
      </c>
      <c r="C2696" s="17" t="s">
        <v>19</v>
      </c>
      <c r="D2696" s="18" t="s">
        <v>1528</v>
      </c>
      <c r="E2696" s="18">
        <v>100</v>
      </c>
      <c r="F2696" s="18" t="s">
        <v>118</v>
      </c>
      <c r="G2696" s="18" t="s">
        <v>22</v>
      </c>
      <c r="H2696" s="18" t="s">
        <v>100</v>
      </c>
      <c r="I2696" s="19">
        <v>296.89</v>
      </c>
      <c r="J2696" s="20">
        <f t="shared" si="84"/>
        <v>29689</v>
      </c>
      <c r="K2696" s="106"/>
      <c r="L2696" s="114"/>
      <c r="M2696" s="114">
        <f>tblAquisições[[#This Row],[VALOR UNITARIO COMPRADO]]*tblAquisições[[#This Row],[QUANTIDADE COMPRADA]]</f>
        <v>0</v>
      </c>
      <c r="N2696" s="110">
        <f>K2696-tblAquisições[[#This Row],[QUANTIDADE PLANEJADA]]</f>
        <v>-100</v>
      </c>
      <c r="O2696" s="106" t="str">
        <f t="shared" si="85"/>
        <v>Faltando Comprar</v>
      </c>
    </row>
    <row r="2697" spans="1:15" ht="47.25">
      <c r="A2697" s="16" t="s">
        <v>17</v>
      </c>
      <c r="B2697" s="16" t="s">
        <v>24</v>
      </c>
      <c r="C2697" s="17" t="s">
        <v>19</v>
      </c>
      <c r="D2697" s="18" t="s">
        <v>1528</v>
      </c>
      <c r="E2697" s="18">
        <v>100</v>
      </c>
      <c r="F2697" s="18" t="s">
        <v>118</v>
      </c>
      <c r="G2697" s="18" t="s">
        <v>22</v>
      </c>
      <c r="H2697" s="18" t="s">
        <v>100</v>
      </c>
      <c r="I2697" s="19">
        <v>296.89</v>
      </c>
      <c r="J2697" s="20">
        <f t="shared" si="84"/>
        <v>29689</v>
      </c>
      <c r="K2697" s="106"/>
      <c r="L2697" s="114"/>
      <c r="M2697" s="114">
        <f>tblAquisições[[#This Row],[VALOR UNITARIO COMPRADO]]*tblAquisições[[#This Row],[QUANTIDADE COMPRADA]]</f>
        <v>0</v>
      </c>
      <c r="N2697" s="110">
        <f>K2697-tblAquisições[[#This Row],[QUANTIDADE PLANEJADA]]</f>
        <v>-100</v>
      </c>
      <c r="O2697" s="106" t="str">
        <f t="shared" si="85"/>
        <v>Faltando Comprar</v>
      </c>
    </row>
    <row r="2698" spans="1:15" ht="47.25">
      <c r="A2698" s="16" t="s">
        <v>17</v>
      </c>
      <c r="B2698" s="16" t="s">
        <v>25</v>
      </c>
      <c r="C2698" s="17" t="s">
        <v>19</v>
      </c>
      <c r="D2698" s="18" t="s">
        <v>1528</v>
      </c>
      <c r="E2698" s="18">
        <v>100</v>
      </c>
      <c r="F2698" s="18" t="s">
        <v>118</v>
      </c>
      <c r="G2698" s="18" t="s">
        <v>22</v>
      </c>
      <c r="H2698" s="18" t="s">
        <v>100</v>
      </c>
      <c r="I2698" s="19">
        <v>296.89</v>
      </c>
      <c r="J2698" s="20">
        <f t="shared" si="84"/>
        <v>29689</v>
      </c>
      <c r="K2698" s="106"/>
      <c r="L2698" s="114"/>
      <c r="M2698" s="114">
        <f>tblAquisições[[#This Row],[VALOR UNITARIO COMPRADO]]*tblAquisições[[#This Row],[QUANTIDADE COMPRADA]]</f>
        <v>0</v>
      </c>
      <c r="N2698" s="110">
        <f>K2698-tblAquisições[[#This Row],[QUANTIDADE PLANEJADA]]</f>
        <v>-100</v>
      </c>
      <c r="O2698" s="106" t="str">
        <f t="shared" si="85"/>
        <v>Faltando Comprar</v>
      </c>
    </row>
    <row r="2699" spans="1:15" ht="47.25">
      <c r="A2699" s="16" t="s">
        <v>17</v>
      </c>
      <c r="B2699" s="16" t="s">
        <v>28</v>
      </c>
      <c r="C2699" s="17" t="s">
        <v>19</v>
      </c>
      <c r="D2699" s="18" t="s">
        <v>1528</v>
      </c>
      <c r="E2699" s="18">
        <v>1200</v>
      </c>
      <c r="F2699" s="18" t="s">
        <v>118</v>
      </c>
      <c r="G2699" s="18" t="s">
        <v>22</v>
      </c>
      <c r="H2699" s="18" t="s">
        <v>100</v>
      </c>
      <c r="I2699" s="19">
        <v>296.89</v>
      </c>
      <c r="J2699" s="20">
        <f t="shared" si="84"/>
        <v>356268</v>
      </c>
      <c r="K2699" s="106"/>
      <c r="L2699" s="114"/>
      <c r="M2699" s="114">
        <f>tblAquisições[[#This Row],[VALOR UNITARIO COMPRADO]]*tblAquisições[[#This Row],[QUANTIDADE COMPRADA]]</f>
        <v>0</v>
      </c>
      <c r="N2699" s="110">
        <f>K2699-tblAquisições[[#This Row],[QUANTIDADE PLANEJADA]]</f>
        <v>-1200</v>
      </c>
      <c r="O2699" s="106" t="str">
        <f t="shared" si="85"/>
        <v>Faltando Comprar</v>
      </c>
    </row>
    <row r="2700" spans="1:15" ht="31.5">
      <c r="A2700" s="16" t="s">
        <v>17</v>
      </c>
      <c r="B2700" s="16" t="s">
        <v>80</v>
      </c>
      <c r="C2700" s="17" t="s">
        <v>19</v>
      </c>
      <c r="D2700" s="18" t="s">
        <v>1529</v>
      </c>
      <c r="E2700" s="18">
        <v>10</v>
      </c>
      <c r="F2700" s="18" t="s">
        <v>82</v>
      </c>
      <c r="G2700" s="18" t="s">
        <v>39</v>
      </c>
      <c r="H2700" s="18" t="s">
        <v>23</v>
      </c>
      <c r="I2700" s="19">
        <v>17.329999999999998</v>
      </c>
      <c r="J2700" s="20">
        <f t="shared" si="84"/>
        <v>173.29999999999998</v>
      </c>
      <c r="K2700" s="106"/>
      <c r="L2700" s="114"/>
      <c r="M2700" s="114">
        <f>tblAquisições[[#This Row],[VALOR UNITARIO COMPRADO]]*tblAquisições[[#This Row],[QUANTIDADE COMPRADA]]</f>
        <v>0</v>
      </c>
      <c r="N2700" s="110">
        <f>K2700-tblAquisições[[#This Row],[QUANTIDADE PLANEJADA]]</f>
        <v>-10</v>
      </c>
      <c r="O2700" s="106" t="str">
        <f t="shared" si="85"/>
        <v>Faltando Comprar</v>
      </c>
    </row>
    <row r="2701" spans="1:15" ht="31.5">
      <c r="A2701" s="16" t="s">
        <v>17</v>
      </c>
      <c r="B2701" s="16" t="s">
        <v>31</v>
      </c>
      <c r="C2701" s="17" t="s">
        <v>19</v>
      </c>
      <c r="D2701" s="18" t="s">
        <v>1530</v>
      </c>
      <c r="E2701" s="18">
        <v>30</v>
      </c>
      <c r="F2701" s="18" t="s">
        <v>30</v>
      </c>
      <c r="G2701" s="18" t="s">
        <v>22</v>
      </c>
      <c r="H2701" s="18" t="s">
        <v>23</v>
      </c>
      <c r="I2701" s="19">
        <v>56.1</v>
      </c>
      <c r="J2701" s="20">
        <f t="shared" si="84"/>
        <v>1683</v>
      </c>
      <c r="K2701" s="106"/>
      <c r="L2701" s="114"/>
      <c r="M2701" s="114">
        <f>tblAquisições[[#This Row],[VALOR UNITARIO COMPRADO]]*tblAquisições[[#This Row],[QUANTIDADE COMPRADA]]</f>
        <v>0</v>
      </c>
      <c r="N2701" s="110">
        <f>K2701-tblAquisições[[#This Row],[QUANTIDADE PLANEJADA]]</f>
        <v>-30</v>
      </c>
      <c r="O2701" s="106" t="str">
        <f t="shared" si="85"/>
        <v>Faltando Comprar</v>
      </c>
    </row>
    <row r="2702" spans="1:15" ht="47.25">
      <c r="A2702" s="16" t="s">
        <v>17</v>
      </c>
      <c r="B2702" s="16" t="s">
        <v>34</v>
      </c>
      <c r="C2702" s="17" t="s">
        <v>19</v>
      </c>
      <c r="D2702" s="18" t="s">
        <v>1531</v>
      </c>
      <c r="E2702" s="18">
        <v>2</v>
      </c>
      <c r="F2702" s="18" t="s">
        <v>78</v>
      </c>
      <c r="G2702" s="18" t="s">
        <v>22</v>
      </c>
      <c r="H2702" s="18" t="s">
        <v>23</v>
      </c>
      <c r="I2702" s="19">
        <v>47.96</v>
      </c>
      <c r="J2702" s="20">
        <f t="shared" si="84"/>
        <v>95.92</v>
      </c>
      <c r="K2702" s="106"/>
      <c r="L2702" s="114"/>
      <c r="M2702" s="114">
        <f>tblAquisições[[#This Row],[VALOR UNITARIO COMPRADO]]*tblAquisições[[#This Row],[QUANTIDADE COMPRADA]]</f>
        <v>0</v>
      </c>
      <c r="N2702" s="110">
        <f>K2702-tblAquisições[[#This Row],[QUANTIDADE PLANEJADA]]</f>
        <v>-2</v>
      </c>
      <c r="O2702" s="106" t="str">
        <f t="shared" si="85"/>
        <v>Faltando Comprar</v>
      </c>
    </row>
    <row r="2703" spans="1:15" ht="47.25">
      <c r="A2703" s="16" t="s">
        <v>17</v>
      </c>
      <c r="B2703" s="16" t="s">
        <v>18</v>
      </c>
      <c r="C2703" s="17" t="s">
        <v>19</v>
      </c>
      <c r="D2703" s="18" t="s">
        <v>1532</v>
      </c>
      <c r="E2703" s="18">
        <v>15</v>
      </c>
      <c r="F2703" s="18" t="s">
        <v>222</v>
      </c>
      <c r="G2703" s="18" t="s">
        <v>127</v>
      </c>
      <c r="H2703" s="18" t="s">
        <v>23</v>
      </c>
      <c r="I2703" s="19">
        <v>136.11000000000001</v>
      </c>
      <c r="J2703" s="20">
        <f t="shared" si="84"/>
        <v>2041.65</v>
      </c>
      <c r="K2703" s="106"/>
      <c r="L2703" s="114"/>
      <c r="M2703" s="114">
        <f>tblAquisições[[#This Row],[VALOR UNITARIO COMPRADO]]*tblAquisições[[#This Row],[QUANTIDADE COMPRADA]]</f>
        <v>0</v>
      </c>
      <c r="N2703" s="110">
        <f>K2703-tblAquisições[[#This Row],[QUANTIDADE PLANEJADA]]</f>
        <v>-15</v>
      </c>
      <c r="O2703" s="106" t="str">
        <f t="shared" si="85"/>
        <v>Faltando Comprar</v>
      </c>
    </row>
    <row r="2704" spans="1:15" ht="47.25">
      <c r="A2704" s="16" t="s">
        <v>17</v>
      </c>
      <c r="B2704" s="16" t="s">
        <v>24</v>
      </c>
      <c r="C2704" s="17" t="s">
        <v>19</v>
      </c>
      <c r="D2704" s="18" t="s">
        <v>1532</v>
      </c>
      <c r="E2704" s="18">
        <v>15</v>
      </c>
      <c r="F2704" s="18" t="s">
        <v>222</v>
      </c>
      <c r="G2704" s="18" t="s">
        <v>127</v>
      </c>
      <c r="H2704" s="18" t="s">
        <v>23</v>
      </c>
      <c r="I2704" s="19">
        <v>136.11000000000001</v>
      </c>
      <c r="J2704" s="20">
        <f t="shared" si="84"/>
        <v>2041.65</v>
      </c>
      <c r="K2704" s="106"/>
      <c r="L2704" s="114"/>
      <c r="M2704" s="114">
        <f>tblAquisições[[#This Row],[VALOR UNITARIO COMPRADO]]*tblAquisições[[#This Row],[QUANTIDADE COMPRADA]]</f>
        <v>0</v>
      </c>
      <c r="N2704" s="110">
        <f>K2704-tblAquisições[[#This Row],[QUANTIDADE PLANEJADA]]</f>
        <v>-15</v>
      </c>
      <c r="O2704" s="106" t="str">
        <f t="shared" si="85"/>
        <v>Faltando Comprar</v>
      </c>
    </row>
    <row r="2705" spans="1:15" ht="47.25">
      <c r="A2705" s="16" t="s">
        <v>17</v>
      </c>
      <c r="B2705" s="16" t="s">
        <v>25</v>
      </c>
      <c r="C2705" s="17" t="s">
        <v>19</v>
      </c>
      <c r="D2705" s="18" t="s">
        <v>1532</v>
      </c>
      <c r="E2705" s="18">
        <v>15</v>
      </c>
      <c r="F2705" s="18" t="s">
        <v>222</v>
      </c>
      <c r="G2705" s="18" t="s">
        <v>127</v>
      </c>
      <c r="H2705" s="18" t="s">
        <v>23</v>
      </c>
      <c r="I2705" s="19">
        <v>136.11000000000001</v>
      </c>
      <c r="J2705" s="20">
        <f t="shared" si="84"/>
        <v>2041.65</v>
      </c>
      <c r="K2705" s="106"/>
      <c r="L2705" s="114"/>
      <c r="M2705" s="114">
        <f>tblAquisições[[#This Row],[VALOR UNITARIO COMPRADO]]*tblAquisições[[#This Row],[QUANTIDADE COMPRADA]]</f>
        <v>0</v>
      </c>
      <c r="N2705" s="110">
        <f>K2705-tblAquisições[[#This Row],[QUANTIDADE PLANEJADA]]</f>
        <v>-15</v>
      </c>
      <c r="O2705" s="106" t="str">
        <f t="shared" si="85"/>
        <v>Faltando Comprar</v>
      </c>
    </row>
    <row r="2706" spans="1:15" ht="47.25">
      <c r="A2706" s="16" t="s">
        <v>17</v>
      </c>
      <c r="B2706" s="16" t="s">
        <v>18</v>
      </c>
      <c r="C2706" s="17" t="s">
        <v>19</v>
      </c>
      <c r="D2706" s="18" t="s">
        <v>1533</v>
      </c>
      <c r="E2706" s="18">
        <v>15</v>
      </c>
      <c r="F2706" s="18" t="s">
        <v>222</v>
      </c>
      <c r="G2706" s="18" t="s">
        <v>127</v>
      </c>
      <c r="H2706" s="18" t="s">
        <v>23</v>
      </c>
      <c r="I2706" s="19">
        <v>158.72</v>
      </c>
      <c r="J2706" s="20">
        <f t="shared" si="84"/>
        <v>2380.8000000000002</v>
      </c>
      <c r="K2706" s="106"/>
      <c r="L2706" s="114"/>
      <c r="M2706" s="114">
        <f>tblAquisições[[#This Row],[VALOR UNITARIO COMPRADO]]*tblAquisições[[#This Row],[QUANTIDADE COMPRADA]]</f>
        <v>0</v>
      </c>
      <c r="N2706" s="110">
        <f>K2706-tblAquisições[[#This Row],[QUANTIDADE PLANEJADA]]</f>
        <v>-15</v>
      </c>
      <c r="O2706" s="106" t="str">
        <f t="shared" si="85"/>
        <v>Faltando Comprar</v>
      </c>
    </row>
    <row r="2707" spans="1:15" ht="47.25">
      <c r="A2707" s="16" t="s">
        <v>17</v>
      </c>
      <c r="B2707" s="16" t="s">
        <v>24</v>
      </c>
      <c r="C2707" s="17" t="s">
        <v>19</v>
      </c>
      <c r="D2707" s="18" t="s">
        <v>1533</v>
      </c>
      <c r="E2707" s="18">
        <v>15</v>
      </c>
      <c r="F2707" s="18" t="s">
        <v>222</v>
      </c>
      <c r="G2707" s="18" t="s">
        <v>127</v>
      </c>
      <c r="H2707" s="18" t="s">
        <v>23</v>
      </c>
      <c r="I2707" s="19">
        <v>158.72</v>
      </c>
      <c r="J2707" s="20">
        <f t="shared" si="84"/>
        <v>2380.8000000000002</v>
      </c>
      <c r="K2707" s="106"/>
      <c r="L2707" s="114"/>
      <c r="M2707" s="114">
        <f>tblAquisições[[#This Row],[VALOR UNITARIO COMPRADO]]*tblAquisições[[#This Row],[QUANTIDADE COMPRADA]]</f>
        <v>0</v>
      </c>
      <c r="N2707" s="110">
        <f>K2707-tblAquisições[[#This Row],[QUANTIDADE PLANEJADA]]</f>
        <v>-15</v>
      </c>
      <c r="O2707" s="106" t="str">
        <f t="shared" si="85"/>
        <v>Faltando Comprar</v>
      </c>
    </row>
    <row r="2708" spans="1:15" ht="47.25">
      <c r="A2708" s="16" t="s">
        <v>17</v>
      </c>
      <c r="B2708" s="16" t="s">
        <v>25</v>
      </c>
      <c r="C2708" s="17" t="s">
        <v>19</v>
      </c>
      <c r="D2708" s="18" t="s">
        <v>1533</v>
      </c>
      <c r="E2708" s="18">
        <v>15</v>
      </c>
      <c r="F2708" s="18" t="s">
        <v>222</v>
      </c>
      <c r="G2708" s="18" t="s">
        <v>127</v>
      </c>
      <c r="H2708" s="18" t="s">
        <v>23</v>
      </c>
      <c r="I2708" s="19">
        <v>158.72</v>
      </c>
      <c r="J2708" s="20">
        <f t="shared" si="84"/>
        <v>2380.8000000000002</v>
      </c>
      <c r="K2708" s="106"/>
      <c r="L2708" s="114"/>
      <c r="M2708" s="114">
        <f>tblAquisições[[#This Row],[VALOR UNITARIO COMPRADO]]*tblAquisições[[#This Row],[QUANTIDADE COMPRADA]]</f>
        <v>0</v>
      </c>
      <c r="N2708" s="110">
        <f>K2708-tblAquisições[[#This Row],[QUANTIDADE PLANEJADA]]</f>
        <v>-15</v>
      </c>
      <c r="O2708" s="106" t="str">
        <f t="shared" si="85"/>
        <v>Faltando Comprar</v>
      </c>
    </row>
    <row r="2709" spans="1:15" ht="47.25">
      <c r="A2709" s="16" t="s">
        <v>17</v>
      </c>
      <c r="B2709" s="16" t="s">
        <v>18</v>
      </c>
      <c r="C2709" s="17" t="s">
        <v>19</v>
      </c>
      <c r="D2709" s="18" t="s">
        <v>1534</v>
      </c>
      <c r="E2709" s="18">
        <v>10</v>
      </c>
      <c r="F2709" s="18" t="s">
        <v>222</v>
      </c>
      <c r="G2709" s="18" t="s">
        <v>127</v>
      </c>
      <c r="H2709" s="18" t="s">
        <v>23</v>
      </c>
      <c r="I2709" s="19">
        <v>419.78</v>
      </c>
      <c r="J2709" s="20">
        <f t="shared" si="84"/>
        <v>4197.7999999999993</v>
      </c>
      <c r="K2709" s="106"/>
      <c r="L2709" s="114"/>
      <c r="M2709" s="114">
        <f>tblAquisições[[#This Row],[VALOR UNITARIO COMPRADO]]*tblAquisições[[#This Row],[QUANTIDADE COMPRADA]]</f>
        <v>0</v>
      </c>
      <c r="N2709" s="110">
        <f>K2709-tblAquisições[[#This Row],[QUANTIDADE PLANEJADA]]</f>
        <v>-10</v>
      </c>
      <c r="O2709" s="106" t="str">
        <f t="shared" si="85"/>
        <v>Faltando Comprar</v>
      </c>
    </row>
    <row r="2710" spans="1:15" ht="47.25">
      <c r="A2710" s="16" t="s">
        <v>17</v>
      </c>
      <c r="B2710" s="16" t="s">
        <v>24</v>
      </c>
      <c r="C2710" s="17" t="s">
        <v>19</v>
      </c>
      <c r="D2710" s="18" t="s">
        <v>1534</v>
      </c>
      <c r="E2710" s="18">
        <v>10</v>
      </c>
      <c r="F2710" s="18" t="s">
        <v>222</v>
      </c>
      <c r="G2710" s="18" t="s">
        <v>127</v>
      </c>
      <c r="H2710" s="18" t="s">
        <v>23</v>
      </c>
      <c r="I2710" s="19">
        <v>419.78</v>
      </c>
      <c r="J2710" s="20">
        <f t="shared" si="84"/>
        <v>4197.7999999999993</v>
      </c>
      <c r="K2710" s="106"/>
      <c r="L2710" s="114"/>
      <c r="M2710" s="114">
        <f>tblAquisições[[#This Row],[VALOR UNITARIO COMPRADO]]*tblAquisições[[#This Row],[QUANTIDADE COMPRADA]]</f>
        <v>0</v>
      </c>
      <c r="N2710" s="110">
        <f>K2710-tblAquisições[[#This Row],[QUANTIDADE PLANEJADA]]</f>
        <v>-10</v>
      </c>
      <c r="O2710" s="106" t="str">
        <f t="shared" si="85"/>
        <v>Faltando Comprar</v>
      </c>
    </row>
    <row r="2711" spans="1:15" ht="47.25">
      <c r="A2711" s="16" t="s">
        <v>17</v>
      </c>
      <c r="B2711" s="16" t="s">
        <v>25</v>
      </c>
      <c r="C2711" s="17" t="s">
        <v>19</v>
      </c>
      <c r="D2711" s="18" t="s">
        <v>1534</v>
      </c>
      <c r="E2711" s="18">
        <v>10</v>
      </c>
      <c r="F2711" s="18" t="s">
        <v>222</v>
      </c>
      <c r="G2711" s="18" t="s">
        <v>127</v>
      </c>
      <c r="H2711" s="18" t="s">
        <v>23</v>
      </c>
      <c r="I2711" s="19">
        <v>419.78</v>
      </c>
      <c r="J2711" s="20">
        <f t="shared" si="84"/>
        <v>4197.7999999999993</v>
      </c>
      <c r="K2711" s="106"/>
      <c r="L2711" s="114"/>
      <c r="M2711" s="114">
        <f>tblAquisições[[#This Row],[VALOR UNITARIO COMPRADO]]*tblAquisições[[#This Row],[QUANTIDADE COMPRADA]]</f>
        <v>0</v>
      </c>
      <c r="N2711" s="110">
        <f>K2711-tblAquisições[[#This Row],[QUANTIDADE PLANEJADA]]</f>
        <v>-10</v>
      </c>
      <c r="O2711" s="106" t="str">
        <f t="shared" si="85"/>
        <v>Faltando Comprar</v>
      </c>
    </row>
    <row r="2712" spans="1:15" ht="47.25">
      <c r="A2712" s="16" t="s">
        <v>17</v>
      </c>
      <c r="B2712" s="16" t="s">
        <v>18</v>
      </c>
      <c r="C2712" s="17" t="s">
        <v>19</v>
      </c>
      <c r="D2712" s="18" t="s">
        <v>1535</v>
      </c>
      <c r="E2712" s="18">
        <v>10</v>
      </c>
      <c r="F2712" s="18" t="s">
        <v>222</v>
      </c>
      <c r="G2712" s="18" t="s">
        <v>127</v>
      </c>
      <c r="H2712" s="18" t="s">
        <v>23</v>
      </c>
      <c r="I2712" s="19">
        <v>119.95</v>
      </c>
      <c r="J2712" s="20">
        <f t="shared" si="84"/>
        <v>1199.5</v>
      </c>
      <c r="K2712" s="106"/>
      <c r="L2712" s="114"/>
      <c r="M2712" s="114">
        <f>tblAquisições[[#This Row],[VALOR UNITARIO COMPRADO]]*tblAquisições[[#This Row],[QUANTIDADE COMPRADA]]</f>
        <v>0</v>
      </c>
      <c r="N2712" s="110">
        <f>K2712-tblAquisições[[#This Row],[QUANTIDADE PLANEJADA]]</f>
        <v>-10</v>
      </c>
      <c r="O2712" s="106" t="str">
        <f t="shared" si="85"/>
        <v>Faltando Comprar</v>
      </c>
    </row>
    <row r="2713" spans="1:15" ht="47.25">
      <c r="A2713" s="16" t="s">
        <v>17</v>
      </c>
      <c r="B2713" s="16" t="s">
        <v>24</v>
      </c>
      <c r="C2713" s="17" t="s">
        <v>19</v>
      </c>
      <c r="D2713" s="18" t="s">
        <v>1535</v>
      </c>
      <c r="E2713" s="18">
        <v>10</v>
      </c>
      <c r="F2713" s="18" t="s">
        <v>222</v>
      </c>
      <c r="G2713" s="18" t="s">
        <v>127</v>
      </c>
      <c r="H2713" s="18" t="s">
        <v>23</v>
      </c>
      <c r="I2713" s="19">
        <v>119.95</v>
      </c>
      <c r="J2713" s="20">
        <f t="shared" si="84"/>
        <v>1199.5</v>
      </c>
      <c r="K2713" s="106"/>
      <c r="L2713" s="114"/>
      <c r="M2713" s="114">
        <f>tblAquisições[[#This Row],[VALOR UNITARIO COMPRADO]]*tblAquisições[[#This Row],[QUANTIDADE COMPRADA]]</f>
        <v>0</v>
      </c>
      <c r="N2713" s="110">
        <f>K2713-tblAquisições[[#This Row],[QUANTIDADE PLANEJADA]]</f>
        <v>-10</v>
      </c>
      <c r="O2713" s="106" t="str">
        <f t="shared" si="85"/>
        <v>Faltando Comprar</v>
      </c>
    </row>
    <row r="2714" spans="1:15" ht="47.25">
      <c r="A2714" s="16" t="s">
        <v>17</v>
      </c>
      <c r="B2714" s="16" t="s">
        <v>25</v>
      </c>
      <c r="C2714" s="17" t="s">
        <v>19</v>
      </c>
      <c r="D2714" s="18" t="s">
        <v>1535</v>
      </c>
      <c r="E2714" s="18">
        <v>10</v>
      </c>
      <c r="F2714" s="18" t="s">
        <v>222</v>
      </c>
      <c r="G2714" s="18" t="s">
        <v>127</v>
      </c>
      <c r="H2714" s="18" t="s">
        <v>23</v>
      </c>
      <c r="I2714" s="19">
        <v>119.95</v>
      </c>
      <c r="J2714" s="20">
        <f t="shared" si="84"/>
        <v>1199.5</v>
      </c>
      <c r="K2714" s="106"/>
      <c r="L2714" s="114"/>
      <c r="M2714" s="114">
        <f>tblAquisições[[#This Row],[VALOR UNITARIO COMPRADO]]*tblAquisições[[#This Row],[QUANTIDADE COMPRADA]]</f>
        <v>0</v>
      </c>
      <c r="N2714" s="110">
        <f>K2714-tblAquisições[[#This Row],[QUANTIDADE PLANEJADA]]</f>
        <v>-10</v>
      </c>
      <c r="O2714" s="106" t="str">
        <f t="shared" si="85"/>
        <v>Faltando Comprar</v>
      </c>
    </row>
    <row r="2715" spans="1:15" ht="47.25">
      <c r="A2715" s="16" t="s">
        <v>17</v>
      </c>
      <c r="B2715" s="16" t="s">
        <v>41</v>
      </c>
      <c r="C2715" s="17" t="s">
        <v>19</v>
      </c>
      <c r="D2715" s="18" t="s">
        <v>1535</v>
      </c>
      <c r="E2715" s="18">
        <v>10</v>
      </c>
      <c r="F2715" s="18" t="s">
        <v>222</v>
      </c>
      <c r="G2715" s="18" t="s">
        <v>127</v>
      </c>
      <c r="H2715" s="18" t="s">
        <v>23</v>
      </c>
      <c r="I2715" s="19">
        <v>119.95</v>
      </c>
      <c r="J2715" s="20">
        <f t="shared" si="84"/>
        <v>1199.5</v>
      </c>
      <c r="K2715" s="106"/>
      <c r="L2715" s="114"/>
      <c r="M2715" s="114">
        <f>tblAquisições[[#This Row],[VALOR UNITARIO COMPRADO]]*tblAquisições[[#This Row],[QUANTIDADE COMPRADA]]</f>
        <v>0</v>
      </c>
      <c r="N2715" s="110">
        <f>K2715-tblAquisições[[#This Row],[QUANTIDADE PLANEJADA]]</f>
        <v>-10</v>
      </c>
      <c r="O2715" s="106" t="str">
        <f t="shared" si="85"/>
        <v>Faltando Comprar</v>
      </c>
    </row>
    <row r="2716" spans="1:15" ht="47.25">
      <c r="A2716" s="16" t="s">
        <v>17</v>
      </c>
      <c r="B2716" s="16" t="s">
        <v>18</v>
      </c>
      <c r="C2716" s="17" t="s">
        <v>19</v>
      </c>
      <c r="D2716" s="18" t="s">
        <v>1536</v>
      </c>
      <c r="E2716" s="18">
        <v>20</v>
      </c>
      <c r="F2716" s="18" t="s">
        <v>222</v>
      </c>
      <c r="G2716" s="18" t="s">
        <v>127</v>
      </c>
      <c r="H2716" s="18" t="s">
        <v>23</v>
      </c>
      <c r="I2716" s="19">
        <v>111.78</v>
      </c>
      <c r="J2716" s="20">
        <f t="shared" si="84"/>
        <v>2235.6</v>
      </c>
      <c r="K2716" s="106"/>
      <c r="L2716" s="114"/>
      <c r="M2716" s="114">
        <f>tblAquisições[[#This Row],[VALOR UNITARIO COMPRADO]]*tblAquisições[[#This Row],[QUANTIDADE COMPRADA]]</f>
        <v>0</v>
      </c>
      <c r="N2716" s="110">
        <f>K2716-tblAquisições[[#This Row],[QUANTIDADE PLANEJADA]]</f>
        <v>-20</v>
      </c>
      <c r="O2716" s="106" t="str">
        <f t="shared" si="85"/>
        <v>Faltando Comprar</v>
      </c>
    </row>
    <row r="2717" spans="1:15" ht="47.25">
      <c r="A2717" s="16" t="s">
        <v>17</v>
      </c>
      <c r="B2717" s="16" t="s">
        <v>24</v>
      </c>
      <c r="C2717" s="17" t="s">
        <v>19</v>
      </c>
      <c r="D2717" s="18" t="s">
        <v>1536</v>
      </c>
      <c r="E2717" s="18">
        <v>20</v>
      </c>
      <c r="F2717" s="18" t="s">
        <v>222</v>
      </c>
      <c r="G2717" s="18" t="s">
        <v>127</v>
      </c>
      <c r="H2717" s="18" t="s">
        <v>23</v>
      </c>
      <c r="I2717" s="19">
        <v>111.78</v>
      </c>
      <c r="J2717" s="20">
        <f t="shared" si="84"/>
        <v>2235.6</v>
      </c>
      <c r="K2717" s="106"/>
      <c r="L2717" s="114"/>
      <c r="M2717" s="114">
        <f>tblAquisições[[#This Row],[VALOR UNITARIO COMPRADO]]*tblAquisições[[#This Row],[QUANTIDADE COMPRADA]]</f>
        <v>0</v>
      </c>
      <c r="N2717" s="110">
        <f>K2717-tblAquisições[[#This Row],[QUANTIDADE PLANEJADA]]</f>
        <v>-20</v>
      </c>
      <c r="O2717" s="106" t="str">
        <f t="shared" si="85"/>
        <v>Faltando Comprar</v>
      </c>
    </row>
    <row r="2718" spans="1:15" ht="47.25">
      <c r="A2718" s="16" t="s">
        <v>17</v>
      </c>
      <c r="B2718" s="16" t="s">
        <v>25</v>
      </c>
      <c r="C2718" s="17" t="s">
        <v>19</v>
      </c>
      <c r="D2718" s="18" t="s">
        <v>1536</v>
      </c>
      <c r="E2718" s="18">
        <v>20</v>
      </c>
      <c r="F2718" s="18" t="s">
        <v>222</v>
      </c>
      <c r="G2718" s="18" t="s">
        <v>127</v>
      </c>
      <c r="H2718" s="18" t="s">
        <v>23</v>
      </c>
      <c r="I2718" s="19">
        <v>111.78</v>
      </c>
      <c r="J2718" s="20">
        <f t="shared" si="84"/>
        <v>2235.6</v>
      </c>
      <c r="K2718" s="106"/>
      <c r="L2718" s="114"/>
      <c r="M2718" s="114">
        <f>tblAquisições[[#This Row],[VALOR UNITARIO COMPRADO]]*tblAquisições[[#This Row],[QUANTIDADE COMPRADA]]</f>
        <v>0</v>
      </c>
      <c r="N2718" s="110">
        <f>K2718-tblAquisições[[#This Row],[QUANTIDADE PLANEJADA]]</f>
        <v>-20</v>
      </c>
      <c r="O2718" s="106" t="str">
        <f t="shared" si="85"/>
        <v>Faltando Comprar</v>
      </c>
    </row>
    <row r="2719" spans="1:15" ht="47.25">
      <c r="A2719" s="16" t="s">
        <v>17</v>
      </c>
      <c r="B2719" s="16" t="s">
        <v>41</v>
      </c>
      <c r="C2719" s="17" t="s">
        <v>19</v>
      </c>
      <c r="D2719" s="18" t="s">
        <v>1536</v>
      </c>
      <c r="E2719" s="18">
        <v>10</v>
      </c>
      <c r="F2719" s="18" t="s">
        <v>222</v>
      </c>
      <c r="G2719" s="18" t="s">
        <v>127</v>
      </c>
      <c r="H2719" s="18" t="s">
        <v>23</v>
      </c>
      <c r="I2719" s="19">
        <v>111.78</v>
      </c>
      <c r="J2719" s="20">
        <f t="shared" si="84"/>
        <v>1117.8</v>
      </c>
      <c r="K2719" s="106"/>
      <c r="L2719" s="114"/>
      <c r="M2719" s="114">
        <f>tblAquisições[[#This Row],[VALOR UNITARIO COMPRADO]]*tblAquisições[[#This Row],[QUANTIDADE COMPRADA]]</f>
        <v>0</v>
      </c>
      <c r="N2719" s="110">
        <f>K2719-tblAquisições[[#This Row],[QUANTIDADE PLANEJADA]]</f>
        <v>-10</v>
      </c>
      <c r="O2719" s="106" t="str">
        <f t="shared" si="85"/>
        <v>Faltando Comprar</v>
      </c>
    </row>
    <row r="2720" spans="1:15" ht="47.25">
      <c r="A2720" s="16" t="s">
        <v>17</v>
      </c>
      <c r="B2720" s="16" t="s">
        <v>18</v>
      </c>
      <c r="C2720" s="17" t="s">
        <v>19</v>
      </c>
      <c r="D2720" s="18" t="s">
        <v>1537</v>
      </c>
      <c r="E2720" s="18">
        <v>15</v>
      </c>
      <c r="F2720" s="18" t="s">
        <v>222</v>
      </c>
      <c r="G2720" s="18" t="s">
        <v>127</v>
      </c>
      <c r="H2720" s="18" t="s">
        <v>23</v>
      </c>
      <c r="I2720" s="19">
        <v>246.95</v>
      </c>
      <c r="J2720" s="20">
        <f t="shared" si="84"/>
        <v>3704.25</v>
      </c>
      <c r="K2720" s="106"/>
      <c r="L2720" s="114"/>
      <c r="M2720" s="114">
        <f>tblAquisições[[#This Row],[VALOR UNITARIO COMPRADO]]*tblAquisições[[#This Row],[QUANTIDADE COMPRADA]]</f>
        <v>0</v>
      </c>
      <c r="N2720" s="110">
        <f>K2720-tblAquisições[[#This Row],[QUANTIDADE PLANEJADA]]</f>
        <v>-15</v>
      </c>
      <c r="O2720" s="106" t="str">
        <f t="shared" si="85"/>
        <v>Faltando Comprar</v>
      </c>
    </row>
    <row r="2721" spans="1:15" ht="47.25">
      <c r="A2721" s="16" t="s">
        <v>17</v>
      </c>
      <c r="B2721" s="16" t="s">
        <v>24</v>
      </c>
      <c r="C2721" s="17" t="s">
        <v>19</v>
      </c>
      <c r="D2721" s="18" t="s">
        <v>1537</v>
      </c>
      <c r="E2721" s="18">
        <v>15</v>
      </c>
      <c r="F2721" s="18" t="s">
        <v>222</v>
      </c>
      <c r="G2721" s="18" t="s">
        <v>127</v>
      </c>
      <c r="H2721" s="18" t="s">
        <v>23</v>
      </c>
      <c r="I2721" s="19">
        <v>246.95</v>
      </c>
      <c r="J2721" s="20">
        <f t="shared" si="84"/>
        <v>3704.25</v>
      </c>
      <c r="K2721" s="106"/>
      <c r="L2721" s="114"/>
      <c r="M2721" s="114">
        <f>tblAquisições[[#This Row],[VALOR UNITARIO COMPRADO]]*tblAquisições[[#This Row],[QUANTIDADE COMPRADA]]</f>
        <v>0</v>
      </c>
      <c r="N2721" s="110">
        <f>K2721-tblAquisições[[#This Row],[QUANTIDADE PLANEJADA]]</f>
        <v>-15</v>
      </c>
      <c r="O2721" s="106" t="str">
        <f t="shared" si="85"/>
        <v>Faltando Comprar</v>
      </c>
    </row>
    <row r="2722" spans="1:15" ht="47.25">
      <c r="A2722" s="16" t="s">
        <v>17</v>
      </c>
      <c r="B2722" s="16" t="s">
        <v>25</v>
      </c>
      <c r="C2722" s="17" t="s">
        <v>19</v>
      </c>
      <c r="D2722" s="18" t="s">
        <v>1537</v>
      </c>
      <c r="E2722" s="18">
        <v>15</v>
      </c>
      <c r="F2722" s="18" t="s">
        <v>222</v>
      </c>
      <c r="G2722" s="18" t="s">
        <v>127</v>
      </c>
      <c r="H2722" s="18" t="s">
        <v>23</v>
      </c>
      <c r="I2722" s="19">
        <v>246.95</v>
      </c>
      <c r="J2722" s="20">
        <f t="shared" si="84"/>
        <v>3704.25</v>
      </c>
      <c r="K2722" s="106"/>
      <c r="L2722" s="114"/>
      <c r="M2722" s="114">
        <f>tblAquisições[[#This Row],[VALOR UNITARIO COMPRADO]]*tblAquisições[[#This Row],[QUANTIDADE COMPRADA]]</f>
        <v>0</v>
      </c>
      <c r="N2722" s="110">
        <f>K2722-tblAquisições[[#This Row],[QUANTIDADE PLANEJADA]]</f>
        <v>-15</v>
      </c>
      <c r="O2722" s="106" t="str">
        <f t="shared" si="85"/>
        <v>Faltando Comprar</v>
      </c>
    </row>
    <row r="2723" spans="1:15" ht="47.25">
      <c r="A2723" s="16" t="s">
        <v>17</v>
      </c>
      <c r="B2723" s="16" t="s">
        <v>41</v>
      </c>
      <c r="C2723" s="17" t="s">
        <v>19</v>
      </c>
      <c r="D2723" s="18" t="s">
        <v>1537</v>
      </c>
      <c r="E2723" s="18">
        <v>10</v>
      </c>
      <c r="F2723" s="18" t="s">
        <v>222</v>
      </c>
      <c r="G2723" s="18" t="s">
        <v>127</v>
      </c>
      <c r="H2723" s="18" t="s">
        <v>23</v>
      </c>
      <c r="I2723" s="19">
        <v>246.95</v>
      </c>
      <c r="J2723" s="20">
        <f t="shared" si="84"/>
        <v>2469.5</v>
      </c>
      <c r="K2723" s="106"/>
      <c r="L2723" s="114"/>
      <c r="M2723" s="114">
        <f>tblAquisições[[#This Row],[VALOR UNITARIO COMPRADO]]*tblAquisições[[#This Row],[QUANTIDADE COMPRADA]]</f>
        <v>0</v>
      </c>
      <c r="N2723" s="110">
        <f>K2723-tblAquisições[[#This Row],[QUANTIDADE PLANEJADA]]</f>
        <v>-10</v>
      </c>
      <c r="O2723" s="106" t="str">
        <f t="shared" si="85"/>
        <v>Faltando Comprar</v>
      </c>
    </row>
    <row r="2724" spans="1:15" ht="47.25">
      <c r="A2724" s="16" t="s">
        <v>17</v>
      </c>
      <c r="B2724" s="16" t="s">
        <v>18</v>
      </c>
      <c r="C2724" s="17" t="s">
        <v>19</v>
      </c>
      <c r="D2724" s="18" t="s">
        <v>1538</v>
      </c>
      <c r="E2724" s="18">
        <v>15</v>
      </c>
      <c r="F2724" s="18" t="s">
        <v>222</v>
      </c>
      <c r="G2724" s="18" t="s">
        <v>127</v>
      </c>
      <c r="H2724" s="18" t="s">
        <v>23</v>
      </c>
      <c r="I2724" s="19">
        <v>245.06</v>
      </c>
      <c r="J2724" s="20">
        <f t="shared" si="84"/>
        <v>3675.9</v>
      </c>
      <c r="K2724" s="106"/>
      <c r="L2724" s="114"/>
      <c r="M2724" s="114">
        <f>tblAquisições[[#This Row],[VALOR UNITARIO COMPRADO]]*tblAquisições[[#This Row],[QUANTIDADE COMPRADA]]</f>
        <v>0</v>
      </c>
      <c r="N2724" s="110">
        <f>K2724-tblAquisições[[#This Row],[QUANTIDADE PLANEJADA]]</f>
        <v>-15</v>
      </c>
      <c r="O2724" s="106" t="str">
        <f t="shared" si="85"/>
        <v>Faltando Comprar</v>
      </c>
    </row>
    <row r="2725" spans="1:15" ht="47.25">
      <c r="A2725" s="16" t="s">
        <v>17</v>
      </c>
      <c r="B2725" s="16" t="s">
        <v>24</v>
      </c>
      <c r="C2725" s="17" t="s">
        <v>19</v>
      </c>
      <c r="D2725" s="18" t="s">
        <v>1538</v>
      </c>
      <c r="E2725" s="18">
        <v>15</v>
      </c>
      <c r="F2725" s="18" t="s">
        <v>222</v>
      </c>
      <c r="G2725" s="18" t="s">
        <v>127</v>
      </c>
      <c r="H2725" s="18" t="s">
        <v>23</v>
      </c>
      <c r="I2725" s="19">
        <v>245.06</v>
      </c>
      <c r="J2725" s="20">
        <f t="shared" si="84"/>
        <v>3675.9</v>
      </c>
      <c r="K2725" s="106"/>
      <c r="L2725" s="114"/>
      <c r="M2725" s="114">
        <f>tblAquisições[[#This Row],[VALOR UNITARIO COMPRADO]]*tblAquisições[[#This Row],[QUANTIDADE COMPRADA]]</f>
        <v>0</v>
      </c>
      <c r="N2725" s="110">
        <f>K2725-tblAquisições[[#This Row],[QUANTIDADE PLANEJADA]]</f>
        <v>-15</v>
      </c>
      <c r="O2725" s="106" t="str">
        <f t="shared" si="85"/>
        <v>Faltando Comprar</v>
      </c>
    </row>
    <row r="2726" spans="1:15" ht="47.25">
      <c r="A2726" s="16" t="s">
        <v>17</v>
      </c>
      <c r="B2726" s="16" t="s">
        <v>25</v>
      </c>
      <c r="C2726" s="17" t="s">
        <v>19</v>
      </c>
      <c r="D2726" s="18" t="s">
        <v>1538</v>
      </c>
      <c r="E2726" s="18">
        <v>15</v>
      </c>
      <c r="F2726" s="18" t="s">
        <v>222</v>
      </c>
      <c r="G2726" s="18" t="s">
        <v>127</v>
      </c>
      <c r="H2726" s="18" t="s">
        <v>23</v>
      </c>
      <c r="I2726" s="19">
        <v>245.06</v>
      </c>
      <c r="J2726" s="20">
        <f t="shared" si="84"/>
        <v>3675.9</v>
      </c>
      <c r="K2726" s="106"/>
      <c r="L2726" s="114"/>
      <c r="M2726" s="114">
        <f>tblAquisições[[#This Row],[VALOR UNITARIO COMPRADO]]*tblAquisições[[#This Row],[QUANTIDADE COMPRADA]]</f>
        <v>0</v>
      </c>
      <c r="N2726" s="110">
        <f>K2726-tblAquisições[[#This Row],[QUANTIDADE PLANEJADA]]</f>
        <v>-15</v>
      </c>
      <c r="O2726" s="106" t="str">
        <f t="shared" si="85"/>
        <v>Faltando Comprar</v>
      </c>
    </row>
    <row r="2727" spans="1:15" ht="47.25">
      <c r="A2727" s="16" t="s">
        <v>17</v>
      </c>
      <c r="B2727" s="16" t="s">
        <v>41</v>
      </c>
      <c r="C2727" s="17" t="s">
        <v>19</v>
      </c>
      <c r="D2727" s="18" t="s">
        <v>1539</v>
      </c>
      <c r="E2727" s="18">
        <v>20</v>
      </c>
      <c r="F2727" s="18" t="s">
        <v>222</v>
      </c>
      <c r="G2727" s="18" t="s">
        <v>127</v>
      </c>
      <c r="H2727" s="18" t="s">
        <v>23</v>
      </c>
      <c r="I2727" s="19">
        <v>28.25</v>
      </c>
      <c r="J2727" s="20">
        <f t="shared" si="84"/>
        <v>565</v>
      </c>
      <c r="K2727" s="106"/>
      <c r="L2727" s="114"/>
      <c r="M2727" s="114">
        <f>tblAquisições[[#This Row],[VALOR UNITARIO COMPRADO]]*tblAquisições[[#This Row],[QUANTIDADE COMPRADA]]</f>
        <v>0</v>
      </c>
      <c r="N2727" s="110">
        <f>K2727-tblAquisições[[#This Row],[QUANTIDADE PLANEJADA]]</f>
        <v>-20</v>
      </c>
      <c r="O2727" s="106" t="str">
        <f t="shared" si="85"/>
        <v>Faltando Comprar</v>
      </c>
    </row>
    <row r="2728" spans="1:15" ht="47.25">
      <c r="A2728" s="16" t="s">
        <v>17</v>
      </c>
      <c r="B2728" s="16" t="s">
        <v>18</v>
      </c>
      <c r="C2728" s="17" t="s">
        <v>19</v>
      </c>
      <c r="D2728" s="18" t="s">
        <v>1540</v>
      </c>
      <c r="E2728" s="18">
        <v>15</v>
      </c>
      <c r="F2728" s="18" t="s">
        <v>222</v>
      </c>
      <c r="G2728" s="18" t="s">
        <v>127</v>
      </c>
      <c r="H2728" s="18" t="s">
        <v>23</v>
      </c>
      <c r="I2728" s="19">
        <v>48.23</v>
      </c>
      <c r="J2728" s="20">
        <f t="shared" si="84"/>
        <v>723.44999999999993</v>
      </c>
      <c r="K2728" s="106"/>
      <c r="L2728" s="114"/>
      <c r="M2728" s="114">
        <f>tblAquisições[[#This Row],[VALOR UNITARIO COMPRADO]]*tblAquisições[[#This Row],[QUANTIDADE COMPRADA]]</f>
        <v>0</v>
      </c>
      <c r="N2728" s="110">
        <f>K2728-tblAquisições[[#This Row],[QUANTIDADE PLANEJADA]]</f>
        <v>-15</v>
      </c>
      <c r="O2728" s="106" t="str">
        <f t="shared" si="85"/>
        <v>Faltando Comprar</v>
      </c>
    </row>
    <row r="2729" spans="1:15" ht="47.25">
      <c r="A2729" s="16" t="s">
        <v>17</v>
      </c>
      <c r="B2729" s="16" t="s">
        <v>24</v>
      </c>
      <c r="C2729" s="17" t="s">
        <v>19</v>
      </c>
      <c r="D2729" s="18" t="s">
        <v>1540</v>
      </c>
      <c r="E2729" s="18">
        <v>15</v>
      </c>
      <c r="F2729" s="18" t="s">
        <v>222</v>
      </c>
      <c r="G2729" s="18" t="s">
        <v>127</v>
      </c>
      <c r="H2729" s="18" t="s">
        <v>23</v>
      </c>
      <c r="I2729" s="19">
        <v>48.23</v>
      </c>
      <c r="J2729" s="20">
        <f t="shared" si="84"/>
        <v>723.44999999999993</v>
      </c>
      <c r="K2729" s="106"/>
      <c r="L2729" s="114"/>
      <c r="M2729" s="114">
        <f>tblAquisições[[#This Row],[VALOR UNITARIO COMPRADO]]*tblAquisições[[#This Row],[QUANTIDADE COMPRADA]]</f>
        <v>0</v>
      </c>
      <c r="N2729" s="110">
        <f>K2729-tblAquisições[[#This Row],[QUANTIDADE PLANEJADA]]</f>
        <v>-15</v>
      </c>
      <c r="O2729" s="106" t="str">
        <f t="shared" si="85"/>
        <v>Faltando Comprar</v>
      </c>
    </row>
    <row r="2730" spans="1:15" ht="47.25">
      <c r="A2730" s="16" t="s">
        <v>17</v>
      </c>
      <c r="B2730" s="16" t="s">
        <v>25</v>
      </c>
      <c r="C2730" s="17" t="s">
        <v>19</v>
      </c>
      <c r="D2730" s="18" t="s">
        <v>1540</v>
      </c>
      <c r="E2730" s="18">
        <v>15</v>
      </c>
      <c r="F2730" s="18" t="s">
        <v>222</v>
      </c>
      <c r="G2730" s="18" t="s">
        <v>127</v>
      </c>
      <c r="H2730" s="18" t="s">
        <v>23</v>
      </c>
      <c r="I2730" s="19">
        <v>48.23</v>
      </c>
      <c r="J2730" s="20">
        <f t="shared" si="84"/>
        <v>723.44999999999993</v>
      </c>
      <c r="K2730" s="106"/>
      <c r="L2730" s="114"/>
      <c r="M2730" s="114">
        <f>tblAquisições[[#This Row],[VALOR UNITARIO COMPRADO]]*tblAquisições[[#This Row],[QUANTIDADE COMPRADA]]</f>
        <v>0</v>
      </c>
      <c r="N2730" s="110">
        <f>K2730-tblAquisições[[#This Row],[QUANTIDADE PLANEJADA]]</f>
        <v>-15</v>
      </c>
      <c r="O2730" s="106" t="str">
        <f t="shared" si="85"/>
        <v>Faltando Comprar</v>
      </c>
    </row>
    <row r="2731" spans="1:15" ht="47.25">
      <c r="A2731" s="16" t="s">
        <v>17</v>
      </c>
      <c r="B2731" s="16" t="s">
        <v>28</v>
      </c>
      <c r="C2731" s="17" t="s">
        <v>19</v>
      </c>
      <c r="D2731" s="18" t="s">
        <v>1541</v>
      </c>
      <c r="E2731" s="18">
        <v>12</v>
      </c>
      <c r="F2731" s="18" t="s">
        <v>222</v>
      </c>
      <c r="G2731" s="18" t="s">
        <v>127</v>
      </c>
      <c r="H2731" s="18" t="s">
        <v>23</v>
      </c>
      <c r="I2731" s="19">
        <v>153.93</v>
      </c>
      <c r="J2731" s="20">
        <f t="shared" si="84"/>
        <v>1847.16</v>
      </c>
      <c r="K2731" s="106"/>
      <c r="L2731" s="114"/>
      <c r="M2731" s="114">
        <f>tblAquisições[[#This Row],[VALOR UNITARIO COMPRADO]]*tblAquisições[[#This Row],[QUANTIDADE COMPRADA]]</f>
        <v>0</v>
      </c>
      <c r="N2731" s="110">
        <f>K2731-tblAquisições[[#This Row],[QUANTIDADE PLANEJADA]]</f>
        <v>-12</v>
      </c>
      <c r="O2731" s="106" t="str">
        <f t="shared" si="85"/>
        <v>Faltando Comprar</v>
      </c>
    </row>
    <row r="2732" spans="1:15" ht="47.25">
      <c r="A2732" s="16" t="s">
        <v>17</v>
      </c>
      <c r="B2732" s="16" t="s">
        <v>18</v>
      </c>
      <c r="C2732" s="17" t="s">
        <v>19</v>
      </c>
      <c r="D2732" s="18" t="s">
        <v>1542</v>
      </c>
      <c r="E2732" s="18">
        <v>20</v>
      </c>
      <c r="F2732" s="18" t="s">
        <v>78</v>
      </c>
      <c r="G2732" s="18" t="s">
        <v>22</v>
      </c>
      <c r="H2732" s="18" t="s">
        <v>23</v>
      </c>
      <c r="I2732" s="19">
        <v>99</v>
      </c>
      <c r="J2732" s="20">
        <f t="shared" si="84"/>
        <v>1980</v>
      </c>
      <c r="K2732" s="106"/>
      <c r="L2732" s="114"/>
      <c r="M2732" s="114">
        <f>tblAquisições[[#This Row],[VALOR UNITARIO COMPRADO]]*tblAquisições[[#This Row],[QUANTIDADE COMPRADA]]</f>
        <v>0</v>
      </c>
      <c r="N2732" s="110">
        <f>K2732-tblAquisições[[#This Row],[QUANTIDADE PLANEJADA]]</f>
        <v>-20</v>
      </c>
      <c r="O2732" s="106" t="str">
        <f t="shared" si="85"/>
        <v>Faltando Comprar</v>
      </c>
    </row>
    <row r="2733" spans="1:15" ht="47.25">
      <c r="A2733" s="16" t="s">
        <v>17</v>
      </c>
      <c r="B2733" s="16" t="s">
        <v>24</v>
      </c>
      <c r="C2733" s="17" t="s">
        <v>19</v>
      </c>
      <c r="D2733" s="18" t="s">
        <v>1542</v>
      </c>
      <c r="E2733" s="18">
        <v>20</v>
      </c>
      <c r="F2733" s="18" t="s">
        <v>78</v>
      </c>
      <c r="G2733" s="18" t="s">
        <v>22</v>
      </c>
      <c r="H2733" s="18" t="s">
        <v>23</v>
      </c>
      <c r="I2733" s="19">
        <v>99</v>
      </c>
      <c r="J2733" s="20">
        <f t="shared" si="84"/>
        <v>1980</v>
      </c>
      <c r="K2733" s="106"/>
      <c r="L2733" s="114"/>
      <c r="M2733" s="114">
        <f>tblAquisições[[#This Row],[VALOR UNITARIO COMPRADO]]*tblAquisições[[#This Row],[QUANTIDADE COMPRADA]]</f>
        <v>0</v>
      </c>
      <c r="N2733" s="110">
        <f>K2733-tblAquisições[[#This Row],[QUANTIDADE PLANEJADA]]</f>
        <v>-20</v>
      </c>
      <c r="O2733" s="106" t="str">
        <f t="shared" si="85"/>
        <v>Faltando Comprar</v>
      </c>
    </row>
    <row r="2734" spans="1:15" ht="47.25">
      <c r="A2734" s="16" t="s">
        <v>17</v>
      </c>
      <c r="B2734" s="16" t="s">
        <v>25</v>
      </c>
      <c r="C2734" s="17" t="s">
        <v>19</v>
      </c>
      <c r="D2734" s="18" t="s">
        <v>1542</v>
      </c>
      <c r="E2734" s="18">
        <v>20</v>
      </c>
      <c r="F2734" s="18" t="s">
        <v>78</v>
      </c>
      <c r="G2734" s="18" t="s">
        <v>22</v>
      </c>
      <c r="H2734" s="18" t="s">
        <v>23</v>
      </c>
      <c r="I2734" s="19">
        <v>99</v>
      </c>
      <c r="J2734" s="20">
        <f t="shared" si="84"/>
        <v>1980</v>
      </c>
      <c r="K2734" s="106"/>
      <c r="L2734" s="114"/>
      <c r="M2734" s="114">
        <f>tblAquisições[[#This Row],[VALOR UNITARIO COMPRADO]]*tblAquisições[[#This Row],[QUANTIDADE COMPRADA]]</f>
        <v>0</v>
      </c>
      <c r="N2734" s="110">
        <f>K2734-tblAquisições[[#This Row],[QUANTIDADE PLANEJADA]]</f>
        <v>-20</v>
      </c>
      <c r="O2734" s="106" t="str">
        <f t="shared" si="85"/>
        <v>Faltando Comprar</v>
      </c>
    </row>
    <row r="2735" spans="1:15" ht="31.5">
      <c r="A2735" s="16" t="s">
        <v>17</v>
      </c>
      <c r="B2735" s="16" t="s">
        <v>28</v>
      </c>
      <c r="C2735" s="17" t="s">
        <v>19</v>
      </c>
      <c r="D2735" s="18" t="s">
        <v>1543</v>
      </c>
      <c r="E2735" s="18">
        <v>3</v>
      </c>
      <c r="F2735" s="18" t="s">
        <v>170</v>
      </c>
      <c r="G2735" s="18" t="s">
        <v>22</v>
      </c>
      <c r="H2735" s="18" t="s">
        <v>23</v>
      </c>
      <c r="I2735" s="19">
        <v>22.18</v>
      </c>
      <c r="J2735" s="20">
        <f t="shared" si="84"/>
        <v>66.539999999999992</v>
      </c>
      <c r="K2735" s="106"/>
      <c r="L2735" s="114"/>
      <c r="M2735" s="114">
        <f>tblAquisições[[#This Row],[VALOR UNITARIO COMPRADO]]*tblAquisições[[#This Row],[QUANTIDADE COMPRADA]]</f>
        <v>0</v>
      </c>
      <c r="N2735" s="110">
        <f>K2735-tblAquisições[[#This Row],[QUANTIDADE PLANEJADA]]</f>
        <v>-3</v>
      </c>
      <c r="O2735" s="106" t="str">
        <f t="shared" si="85"/>
        <v>Faltando Comprar</v>
      </c>
    </row>
    <row r="2736" spans="1:15" ht="47.25">
      <c r="A2736" s="16" t="s">
        <v>17</v>
      </c>
      <c r="B2736" s="16" t="s">
        <v>28</v>
      </c>
      <c r="C2736" s="17" t="s">
        <v>19</v>
      </c>
      <c r="D2736" s="18" t="s">
        <v>1544</v>
      </c>
      <c r="E2736" s="18">
        <v>20</v>
      </c>
      <c r="F2736" s="18" t="s">
        <v>78</v>
      </c>
      <c r="G2736" s="18" t="s">
        <v>22</v>
      </c>
      <c r="H2736" s="18" t="s">
        <v>53</v>
      </c>
      <c r="I2736" s="19">
        <v>5.63</v>
      </c>
      <c r="J2736" s="20">
        <f t="shared" si="84"/>
        <v>112.6</v>
      </c>
      <c r="K2736" s="106"/>
      <c r="L2736" s="114"/>
      <c r="M2736" s="114">
        <f>tblAquisições[[#This Row],[VALOR UNITARIO COMPRADO]]*tblAquisições[[#This Row],[QUANTIDADE COMPRADA]]</f>
        <v>0</v>
      </c>
      <c r="N2736" s="110">
        <f>K2736-tblAquisições[[#This Row],[QUANTIDADE PLANEJADA]]</f>
        <v>-20</v>
      </c>
      <c r="O2736" s="106" t="str">
        <f t="shared" si="85"/>
        <v>Faltando Comprar</v>
      </c>
    </row>
    <row r="2737" spans="1:15" ht="47.25">
      <c r="A2737" s="16" t="s">
        <v>17</v>
      </c>
      <c r="B2737" s="16" t="s">
        <v>26</v>
      </c>
      <c r="C2737" s="17" t="s">
        <v>19</v>
      </c>
      <c r="D2737" s="18" t="s">
        <v>1545</v>
      </c>
      <c r="E2737" s="18">
        <v>2</v>
      </c>
      <c r="F2737" s="18" t="s">
        <v>131</v>
      </c>
      <c r="G2737" s="18" t="s">
        <v>22</v>
      </c>
      <c r="H2737" s="18" t="s">
        <v>23</v>
      </c>
      <c r="I2737" s="19">
        <v>41.16</v>
      </c>
      <c r="J2737" s="20">
        <f t="shared" si="84"/>
        <v>82.32</v>
      </c>
      <c r="K2737" s="106"/>
      <c r="L2737" s="114"/>
      <c r="M2737" s="114">
        <f>tblAquisições[[#This Row],[VALOR UNITARIO COMPRADO]]*tblAquisições[[#This Row],[QUANTIDADE COMPRADA]]</f>
        <v>0</v>
      </c>
      <c r="N2737" s="110">
        <f>K2737-tblAquisições[[#This Row],[QUANTIDADE PLANEJADA]]</f>
        <v>-2</v>
      </c>
      <c r="O2737" s="106" t="str">
        <f t="shared" si="85"/>
        <v>Faltando Comprar</v>
      </c>
    </row>
    <row r="2738" spans="1:15" ht="31.5">
      <c r="A2738" s="16" t="s">
        <v>17</v>
      </c>
      <c r="B2738" s="16" t="s">
        <v>18</v>
      </c>
      <c r="C2738" s="17" t="s">
        <v>19</v>
      </c>
      <c r="D2738" s="18" t="s">
        <v>1546</v>
      </c>
      <c r="E2738" s="18">
        <v>20</v>
      </c>
      <c r="F2738" s="18" t="s">
        <v>30</v>
      </c>
      <c r="G2738" s="18" t="s">
        <v>22</v>
      </c>
      <c r="H2738" s="18" t="s">
        <v>23</v>
      </c>
      <c r="I2738" s="19">
        <v>50.83</v>
      </c>
      <c r="J2738" s="20">
        <f t="shared" si="84"/>
        <v>1016.5999999999999</v>
      </c>
      <c r="K2738" s="106"/>
      <c r="L2738" s="114"/>
      <c r="M2738" s="114">
        <f>tblAquisições[[#This Row],[VALOR UNITARIO COMPRADO]]*tblAquisições[[#This Row],[QUANTIDADE COMPRADA]]</f>
        <v>0</v>
      </c>
      <c r="N2738" s="110">
        <f>K2738-tblAquisições[[#This Row],[QUANTIDADE PLANEJADA]]</f>
        <v>-20</v>
      </c>
      <c r="O2738" s="106" t="str">
        <f t="shared" si="85"/>
        <v>Faltando Comprar</v>
      </c>
    </row>
    <row r="2739" spans="1:15" ht="31.5">
      <c r="A2739" s="16" t="s">
        <v>17</v>
      </c>
      <c r="B2739" s="16" t="s">
        <v>24</v>
      </c>
      <c r="C2739" s="17" t="s">
        <v>19</v>
      </c>
      <c r="D2739" s="18" t="s">
        <v>1546</v>
      </c>
      <c r="E2739" s="18">
        <v>20</v>
      </c>
      <c r="F2739" s="18" t="s">
        <v>30</v>
      </c>
      <c r="G2739" s="18" t="s">
        <v>22</v>
      </c>
      <c r="H2739" s="18" t="s">
        <v>23</v>
      </c>
      <c r="I2739" s="19">
        <v>50.83</v>
      </c>
      <c r="J2739" s="20">
        <f t="shared" si="84"/>
        <v>1016.5999999999999</v>
      </c>
      <c r="K2739" s="106"/>
      <c r="L2739" s="114"/>
      <c r="M2739" s="114">
        <f>tblAquisições[[#This Row],[VALOR UNITARIO COMPRADO]]*tblAquisições[[#This Row],[QUANTIDADE COMPRADA]]</f>
        <v>0</v>
      </c>
      <c r="N2739" s="110">
        <f>K2739-tblAquisições[[#This Row],[QUANTIDADE PLANEJADA]]</f>
        <v>-20</v>
      </c>
      <c r="O2739" s="106" t="str">
        <f t="shared" si="85"/>
        <v>Faltando Comprar</v>
      </c>
    </row>
    <row r="2740" spans="1:15" ht="31.5">
      <c r="A2740" s="16" t="s">
        <v>17</v>
      </c>
      <c r="B2740" s="16" t="s">
        <v>25</v>
      </c>
      <c r="C2740" s="17" t="s">
        <v>19</v>
      </c>
      <c r="D2740" s="18" t="s">
        <v>1546</v>
      </c>
      <c r="E2740" s="18">
        <v>20</v>
      </c>
      <c r="F2740" s="18" t="s">
        <v>30</v>
      </c>
      <c r="G2740" s="18" t="s">
        <v>22</v>
      </c>
      <c r="H2740" s="18" t="s">
        <v>23</v>
      </c>
      <c r="I2740" s="19">
        <v>50.83</v>
      </c>
      <c r="J2740" s="20">
        <f t="shared" si="84"/>
        <v>1016.5999999999999</v>
      </c>
      <c r="K2740" s="106"/>
      <c r="L2740" s="114"/>
      <c r="M2740" s="114">
        <f>tblAquisições[[#This Row],[VALOR UNITARIO COMPRADO]]*tblAquisições[[#This Row],[QUANTIDADE COMPRADA]]</f>
        <v>0</v>
      </c>
      <c r="N2740" s="110">
        <f>K2740-tblAquisições[[#This Row],[QUANTIDADE PLANEJADA]]</f>
        <v>-20</v>
      </c>
      <c r="O2740" s="106" t="str">
        <f t="shared" si="85"/>
        <v>Faltando Comprar</v>
      </c>
    </row>
    <row r="2741" spans="1:15" ht="31.5">
      <c r="A2741" s="16" t="s">
        <v>17</v>
      </c>
      <c r="B2741" s="16" t="s">
        <v>26</v>
      </c>
      <c r="C2741" s="17" t="s">
        <v>19</v>
      </c>
      <c r="D2741" s="18" t="s">
        <v>1546</v>
      </c>
      <c r="E2741" s="18">
        <v>10</v>
      </c>
      <c r="F2741" s="18" t="s">
        <v>30</v>
      </c>
      <c r="G2741" s="18" t="s">
        <v>22</v>
      </c>
      <c r="H2741" s="18" t="s">
        <v>23</v>
      </c>
      <c r="I2741" s="19">
        <v>50.83</v>
      </c>
      <c r="J2741" s="20">
        <f t="shared" si="84"/>
        <v>508.29999999999995</v>
      </c>
      <c r="K2741" s="106"/>
      <c r="L2741" s="114"/>
      <c r="M2741" s="114">
        <f>tblAquisições[[#This Row],[VALOR UNITARIO COMPRADO]]*tblAquisições[[#This Row],[QUANTIDADE COMPRADA]]</f>
        <v>0</v>
      </c>
      <c r="N2741" s="110">
        <f>K2741-tblAquisições[[#This Row],[QUANTIDADE PLANEJADA]]</f>
        <v>-10</v>
      </c>
      <c r="O2741" s="106" t="str">
        <f t="shared" si="85"/>
        <v>Faltando Comprar</v>
      </c>
    </row>
    <row r="2742" spans="1:15" ht="31.5">
      <c r="A2742" s="16" t="s">
        <v>17</v>
      </c>
      <c r="B2742" s="16" t="s">
        <v>26</v>
      </c>
      <c r="C2742" s="17" t="s">
        <v>19</v>
      </c>
      <c r="D2742" s="18" t="s">
        <v>1547</v>
      </c>
      <c r="E2742" s="18">
        <v>5</v>
      </c>
      <c r="F2742" s="18" t="s">
        <v>30</v>
      </c>
      <c r="G2742" s="18" t="s">
        <v>22</v>
      </c>
      <c r="H2742" s="22"/>
      <c r="I2742" s="19">
        <v>1567.76</v>
      </c>
      <c r="J2742" s="20">
        <f t="shared" si="84"/>
        <v>7838.8</v>
      </c>
      <c r="K2742" s="106"/>
      <c r="L2742" s="114"/>
      <c r="M2742" s="114">
        <f>tblAquisições[[#This Row],[VALOR UNITARIO COMPRADO]]*tblAquisições[[#This Row],[QUANTIDADE COMPRADA]]</f>
        <v>0</v>
      </c>
      <c r="N2742" s="110">
        <f>K2742-tblAquisições[[#This Row],[QUANTIDADE PLANEJADA]]</f>
        <v>-5</v>
      </c>
      <c r="O2742" s="106" t="str">
        <f t="shared" si="85"/>
        <v>Faltando Comprar</v>
      </c>
    </row>
    <row r="2743" spans="1:15" ht="47.25">
      <c r="A2743" s="16" t="s">
        <v>17</v>
      </c>
      <c r="B2743" s="16" t="s">
        <v>26</v>
      </c>
      <c r="C2743" s="17" t="s">
        <v>19</v>
      </c>
      <c r="D2743" s="18" t="s">
        <v>1548</v>
      </c>
      <c r="E2743" s="18">
        <v>5</v>
      </c>
      <c r="F2743" s="18" t="s">
        <v>30</v>
      </c>
      <c r="G2743" s="18" t="s">
        <v>22</v>
      </c>
      <c r="H2743" s="22"/>
      <c r="I2743" s="19">
        <v>1700</v>
      </c>
      <c r="J2743" s="20">
        <f t="shared" si="84"/>
        <v>8500</v>
      </c>
      <c r="K2743" s="106"/>
      <c r="L2743" s="114"/>
      <c r="M2743" s="114">
        <f>tblAquisições[[#This Row],[VALOR UNITARIO COMPRADO]]*tblAquisições[[#This Row],[QUANTIDADE COMPRADA]]</f>
        <v>0</v>
      </c>
      <c r="N2743" s="110">
        <f>K2743-tblAquisições[[#This Row],[QUANTIDADE PLANEJADA]]</f>
        <v>-5</v>
      </c>
      <c r="O2743" s="106" t="str">
        <f t="shared" si="85"/>
        <v>Faltando Comprar</v>
      </c>
    </row>
    <row r="2744" spans="1:15" ht="47.25">
      <c r="A2744" s="16" t="s">
        <v>17</v>
      </c>
      <c r="B2744" s="16" t="s">
        <v>26</v>
      </c>
      <c r="C2744" s="17" t="s">
        <v>19</v>
      </c>
      <c r="D2744" s="18" t="s">
        <v>1549</v>
      </c>
      <c r="E2744" s="18">
        <v>5</v>
      </c>
      <c r="F2744" s="18" t="s">
        <v>30</v>
      </c>
      <c r="G2744" s="18" t="s">
        <v>22</v>
      </c>
      <c r="H2744" s="18" t="s">
        <v>23</v>
      </c>
      <c r="I2744" s="19">
        <v>30000</v>
      </c>
      <c r="J2744" s="20">
        <f t="shared" si="84"/>
        <v>150000</v>
      </c>
      <c r="K2744" s="106"/>
      <c r="L2744" s="114"/>
      <c r="M2744" s="114">
        <f>tblAquisições[[#This Row],[VALOR UNITARIO COMPRADO]]*tblAquisições[[#This Row],[QUANTIDADE COMPRADA]]</f>
        <v>0</v>
      </c>
      <c r="N2744" s="110">
        <f>K2744-tblAquisições[[#This Row],[QUANTIDADE PLANEJADA]]</f>
        <v>-5</v>
      </c>
      <c r="O2744" s="106" t="str">
        <f t="shared" si="85"/>
        <v>Faltando Comprar</v>
      </c>
    </row>
    <row r="2745" spans="1:15" ht="47.25">
      <c r="A2745" s="16" t="s">
        <v>17</v>
      </c>
      <c r="B2745" s="16" t="s">
        <v>26</v>
      </c>
      <c r="C2745" s="17" t="s">
        <v>19</v>
      </c>
      <c r="D2745" s="18" t="s">
        <v>1550</v>
      </c>
      <c r="E2745" s="18">
        <v>5</v>
      </c>
      <c r="F2745" s="18" t="s">
        <v>30</v>
      </c>
      <c r="G2745" s="18" t="s">
        <v>22</v>
      </c>
      <c r="H2745" s="18" t="s">
        <v>23</v>
      </c>
      <c r="I2745" s="19">
        <v>1850</v>
      </c>
      <c r="J2745" s="20">
        <f t="shared" si="84"/>
        <v>9250</v>
      </c>
      <c r="K2745" s="106"/>
      <c r="L2745" s="114"/>
      <c r="M2745" s="114">
        <f>tblAquisições[[#This Row],[VALOR UNITARIO COMPRADO]]*tblAquisições[[#This Row],[QUANTIDADE COMPRADA]]</f>
        <v>0</v>
      </c>
      <c r="N2745" s="110">
        <f>K2745-tblAquisições[[#This Row],[QUANTIDADE PLANEJADA]]</f>
        <v>-5</v>
      </c>
      <c r="O2745" s="106" t="str">
        <f t="shared" si="85"/>
        <v>Faltando Comprar</v>
      </c>
    </row>
    <row r="2746" spans="1:15" ht="47.25">
      <c r="A2746" s="16" t="s">
        <v>17</v>
      </c>
      <c r="B2746" s="16" t="s">
        <v>26</v>
      </c>
      <c r="C2746" s="17" t="s">
        <v>19</v>
      </c>
      <c r="D2746" s="18" t="s">
        <v>1551</v>
      </c>
      <c r="E2746" s="18">
        <v>5</v>
      </c>
      <c r="F2746" s="18" t="s">
        <v>30</v>
      </c>
      <c r="G2746" s="18" t="s">
        <v>22</v>
      </c>
      <c r="H2746" s="18" t="s">
        <v>23</v>
      </c>
      <c r="I2746" s="19">
        <v>1950</v>
      </c>
      <c r="J2746" s="20">
        <f t="shared" si="84"/>
        <v>9750</v>
      </c>
      <c r="K2746" s="106"/>
      <c r="L2746" s="114"/>
      <c r="M2746" s="114">
        <f>tblAquisições[[#This Row],[VALOR UNITARIO COMPRADO]]*tblAquisições[[#This Row],[QUANTIDADE COMPRADA]]</f>
        <v>0</v>
      </c>
      <c r="N2746" s="110">
        <f>K2746-tblAquisições[[#This Row],[QUANTIDADE PLANEJADA]]</f>
        <v>-5</v>
      </c>
      <c r="O2746" s="106" t="str">
        <f t="shared" si="85"/>
        <v>Faltando Comprar</v>
      </c>
    </row>
    <row r="2747" spans="1:15" ht="47.25">
      <c r="A2747" s="16" t="s">
        <v>17</v>
      </c>
      <c r="B2747" s="16" t="s">
        <v>26</v>
      </c>
      <c r="C2747" s="17" t="s">
        <v>19</v>
      </c>
      <c r="D2747" s="18" t="s">
        <v>1552</v>
      </c>
      <c r="E2747" s="18">
        <v>5</v>
      </c>
      <c r="F2747" s="18" t="s">
        <v>30</v>
      </c>
      <c r="G2747" s="18" t="s">
        <v>22</v>
      </c>
      <c r="H2747" s="18" t="s">
        <v>23</v>
      </c>
      <c r="I2747" s="19">
        <v>1650</v>
      </c>
      <c r="J2747" s="20">
        <f t="shared" si="84"/>
        <v>8250</v>
      </c>
      <c r="K2747" s="106"/>
      <c r="L2747" s="114"/>
      <c r="M2747" s="114">
        <f>tblAquisições[[#This Row],[VALOR UNITARIO COMPRADO]]*tblAquisições[[#This Row],[QUANTIDADE COMPRADA]]</f>
        <v>0</v>
      </c>
      <c r="N2747" s="110">
        <f>K2747-tblAquisições[[#This Row],[QUANTIDADE PLANEJADA]]</f>
        <v>-5</v>
      </c>
      <c r="O2747" s="106" t="str">
        <f t="shared" si="85"/>
        <v>Faltando Comprar</v>
      </c>
    </row>
    <row r="2748" spans="1:15" ht="31.5">
      <c r="A2748" s="16" t="s">
        <v>17</v>
      </c>
      <c r="B2748" s="16" t="s">
        <v>80</v>
      </c>
      <c r="C2748" s="17" t="s">
        <v>19</v>
      </c>
      <c r="D2748" s="18" t="s">
        <v>1553</v>
      </c>
      <c r="E2748" s="18">
        <v>20</v>
      </c>
      <c r="F2748" s="18" t="s">
        <v>38</v>
      </c>
      <c r="G2748" s="18" t="s">
        <v>39</v>
      </c>
      <c r="H2748" s="18" t="s">
        <v>23</v>
      </c>
      <c r="I2748" s="19">
        <v>607.29999999999995</v>
      </c>
      <c r="J2748" s="20">
        <f t="shared" si="84"/>
        <v>12146</v>
      </c>
      <c r="K2748" s="106"/>
      <c r="L2748" s="114"/>
      <c r="M2748" s="114">
        <f>tblAquisições[[#This Row],[VALOR UNITARIO COMPRADO]]*tblAquisições[[#This Row],[QUANTIDADE COMPRADA]]</f>
        <v>0</v>
      </c>
      <c r="N2748" s="110">
        <f>K2748-tblAquisições[[#This Row],[QUANTIDADE PLANEJADA]]</f>
        <v>-20</v>
      </c>
      <c r="O2748" s="106" t="str">
        <f t="shared" si="85"/>
        <v>Faltando Comprar</v>
      </c>
    </row>
    <row r="2749" spans="1:15" ht="31.5">
      <c r="A2749" s="16" t="s">
        <v>17</v>
      </c>
      <c r="B2749" s="16" t="s">
        <v>28</v>
      </c>
      <c r="C2749" s="17" t="s">
        <v>19</v>
      </c>
      <c r="D2749" s="18" t="s">
        <v>1554</v>
      </c>
      <c r="E2749" s="18">
        <v>20</v>
      </c>
      <c r="F2749" s="18" t="s">
        <v>21</v>
      </c>
      <c r="G2749" s="18" t="s">
        <v>22</v>
      </c>
      <c r="H2749" s="18" t="s">
        <v>23</v>
      </c>
      <c r="I2749" s="19">
        <v>607.29999999999995</v>
      </c>
      <c r="J2749" s="20">
        <f t="shared" si="84"/>
        <v>12146</v>
      </c>
      <c r="K2749" s="106"/>
      <c r="L2749" s="114"/>
      <c r="M2749" s="114">
        <f>tblAquisições[[#This Row],[VALOR UNITARIO COMPRADO]]*tblAquisições[[#This Row],[QUANTIDADE COMPRADA]]</f>
        <v>0</v>
      </c>
      <c r="N2749" s="110">
        <f>K2749-tblAquisições[[#This Row],[QUANTIDADE PLANEJADA]]</f>
        <v>-20</v>
      </c>
      <c r="O2749" s="106" t="str">
        <f t="shared" si="85"/>
        <v>Faltando Comprar</v>
      </c>
    </row>
    <row r="2750" spans="1:15" ht="47.25">
      <c r="A2750" s="16" t="s">
        <v>17</v>
      </c>
      <c r="B2750" s="16" t="s">
        <v>31</v>
      </c>
      <c r="C2750" s="17" t="s">
        <v>19</v>
      </c>
      <c r="D2750" s="18" t="s">
        <v>1555</v>
      </c>
      <c r="E2750" s="18">
        <v>2</v>
      </c>
      <c r="F2750" s="18" t="s">
        <v>214</v>
      </c>
      <c r="G2750" s="18" t="s">
        <v>127</v>
      </c>
      <c r="H2750" s="18" t="s">
        <v>23</v>
      </c>
      <c r="I2750" s="19">
        <v>701.25</v>
      </c>
      <c r="J2750" s="20">
        <f t="shared" si="84"/>
        <v>1402.5</v>
      </c>
      <c r="K2750" s="106"/>
      <c r="L2750" s="114"/>
      <c r="M2750" s="114">
        <f>tblAquisições[[#This Row],[VALOR UNITARIO COMPRADO]]*tblAquisições[[#This Row],[QUANTIDADE COMPRADA]]</f>
        <v>0</v>
      </c>
      <c r="N2750" s="110">
        <f>K2750-tblAquisições[[#This Row],[QUANTIDADE PLANEJADA]]</f>
        <v>-2</v>
      </c>
      <c r="O2750" s="106" t="str">
        <f t="shared" si="85"/>
        <v>Faltando Comprar</v>
      </c>
    </row>
    <row r="2751" spans="1:15" ht="47.25">
      <c r="A2751" s="16" t="s">
        <v>17</v>
      </c>
      <c r="B2751" s="16" t="s">
        <v>18</v>
      </c>
      <c r="C2751" s="17" t="s">
        <v>19</v>
      </c>
      <c r="D2751" s="18" t="s">
        <v>1555</v>
      </c>
      <c r="E2751" s="18">
        <v>1</v>
      </c>
      <c r="F2751" s="18" t="s">
        <v>214</v>
      </c>
      <c r="G2751" s="18" t="s">
        <v>127</v>
      </c>
      <c r="H2751" s="18" t="s">
        <v>23</v>
      </c>
      <c r="I2751" s="19">
        <v>701.25</v>
      </c>
      <c r="J2751" s="20">
        <f t="shared" si="84"/>
        <v>701.25</v>
      </c>
      <c r="K2751" s="106"/>
      <c r="L2751" s="114"/>
      <c r="M2751" s="114">
        <f>tblAquisições[[#This Row],[VALOR UNITARIO COMPRADO]]*tblAquisições[[#This Row],[QUANTIDADE COMPRADA]]</f>
        <v>0</v>
      </c>
      <c r="N2751" s="110">
        <f>K2751-tblAquisições[[#This Row],[QUANTIDADE PLANEJADA]]</f>
        <v>-1</v>
      </c>
      <c r="O2751" s="106" t="str">
        <f t="shared" si="85"/>
        <v>Faltando Comprar</v>
      </c>
    </row>
    <row r="2752" spans="1:15" ht="47.25">
      <c r="A2752" s="16" t="s">
        <v>17</v>
      </c>
      <c r="B2752" s="16" t="s">
        <v>24</v>
      </c>
      <c r="C2752" s="17" t="s">
        <v>19</v>
      </c>
      <c r="D2752" s="18" t="s">
        <v>1555</v>
      </c>
      <c r="E2752" s="18">
        <v>1</v>
      </c>
      <c r="F2752" s="18" t="s">
        <v>214</v>
      </c>
      <c r="G2752" s="18" t="s">
        <v>127</v>
      </c>
      <c r="H2752" s="18" t="s">
        <v>23</v>
      </c>
      <c r="I2752" s="19">
        <v>701.25</v>
      </c>
      <c r="J2752" s="20">
        <f t="shared" si="84"/>
        <v>701.25</v>
      </c>
      <c r="K2752" s="106"/>
      <c r="L2752" s="114"/>
      <c r="M2752" s="114">
        <f>tblAquisições[[#This Row],[VALOR UNITARIO COMPRADO]]*tblAquisições[[#This Row],[QUANTIDADE COMPRADA]]</f>
        <v>0</v>
      </c>
      <c r="N2752" s="110">
        <f>K2752-tblAquisições[[#This Row],[QUANTIDADE PLANEJADA]]</f>
        <v>-1</v>
      </c>
      <c r="O2752" s="106" t="str">
        <f t="shared" si="85"/>
        <v>Faltando Comprar</v>
      </c>
    </row>
    <row r="2753" spans="1:15" ht="47.25">
      <c r="A2753" s="16" t="s">
        <v>17</v>
      </c>
      <c r="B2753" s="16" t="s">
        <v>25</v>
      </c>
      <c r="C2753" s="17" t="s">
        <v>19</v>
      </c>
      <c r="D2753" s="18" t="s">
        <v>1555</v>
      </c>
      <c r="E2753" s="18">
        <v>1</v>
      </c>
      <c r="F2753" s="18" t="s">
        <v>214</v>
      </c>
      <c r="G2753" s="18" t="s">
        <v>127</v>
      </c>
      <c r="H2753" s="18" t="s">
        <v>23</v>
      </c>
      <c r="I2753" s="19">
        <v>701.25</v>
      </c>
      <c r="J2753" s="20">
        <f t="shared" si="84"/>
        <v>701.25</v>
      </c>
      <c r="K2753" s="106"/>
      <c r="L2753" s="114"/>
      <c r="M2753" s="114">
        <f>tblAquisições[[#This Row],[VALOR UNITARIO COMPRADO]]*tblAquisições[[#This Row],[QUANTIDADE COMPRADA]]</f>
        <v>0</v>
      </c>
      <c r="N2753" s="110">
        <f>K2753-tblAquisições[[#This Row],[QUANTIDADE PLANEJADA]]</f>
        <v>-1</v>
      </c>
      <c r="O2753" s="106" t="str">
        <f t="shared" si="85"/>
        <v>Faltando Comprar</v>
      </c>
    </row>
    <row r="2754" spans="1:15" ht="47.25">
      <c r="A2754" s="16" t="s">
        <v>17</v>
      </c>
      <c r="B2754" s="16" t="s">
        <v>31</v>
      </c>
      <c r="C2754" s="17" t="s">
        <v>19</v>
      </c>
      <c r="D2754" s="18" t="s">
        <v>1556</v>
      </c>
      <c r="E2754" s="18">
        <v>4</v>
      </c>
      <c r="F2754" s="18" t="s">
        <v>214</v>
      </c>
      <c r="G2754" s="18" t="s">
        <v>127</v>
      </c>
      <c r="H2754" s="18" t="s">
        <v>23</v>
      </c>
      <c r="I2754" s="19">
        <v>300.66000000000003</v>
      </c>
      <c r="J2754" s="20">
        <f t="shared" ref="J2754:J2817" si="86">E2754*I2754</f>
        <v>1202.6400000000001</v>
      </c>
      <c r="K2754" s="106"/>
      <c r="L2754" s="114"/>
      <c r="M2754" s="114">
        <f>tblAquisições[[#This Row],[VALOR UNITARIO COMPRADO]]*tblAquisições[[#This Row],[QUANTIDADE COMPRADA]]</f>
        <v>0</v>
      </c>
      <c r="N2754" s="110">
        <f>K2754-tblAquisições[[#This Row],[QUANTIDADE PLANEJADA]]</f>
        <v>-4</v>
      </c>
      <c r="O2754" s="106" t="str">
        <f t="shared" ref="O2754:O2817" si="87">IF(K2754=E2754,"OK",IF(K2754&lt;E2754,"Faltando Comprar","Excedente"))</f>
        <v>Faltando Comprar</v>
      </c>
    </row>
    <row r="2755" spans="1:15" ht="47.25">
      <c r="A2755" s="16" t="s">
        <v>17</v>
      </c>
      <c r="B2755" s="16" t="s">
        <v>28</v>
      </c>
      <c r="C2755" s="17" t="s">
        <v>19</v>
      </c>
      <c r="D2755" s="18" t="s">
        <v>1556</v>
      </c>
      <c r="E2755" s="18">
        <v>6</v>
      </c>
      <c r="F2755" s="18" t="s">
        <v>214</v>
      </c>
      <c r="G2755" s="18" t="s">
        <v>127</v>
      </c>
      <c r="H2755" s="18" t="s">
        <v>23</v>
      </c>
      <c r="I2755" s="19">
        <v>300.66000000000003</v>
      </c>
      <c r="J2755" s="20">
        <f t="shared" si="86"/>
        <v>1803.96</v>
      </c>
      <c r="K2755" s="106"/>
      <c r="L2755" s="114"/>
      <c r="M2755" s="114">
        <f>tblAquisições[[#This Row],[VALOR UNITARIO COMPRADO]]*tblAquisições[[#This Row],[QUANTIDADE COMPRADA]]</f>
        <v>0</v>
      </c>
      <c r="N2755" s="110">
        <f>K2755-tblAquisições[[#This Row],[QUANTIDADE PLANEJADA]]</f>
        <v>-6</v>
      </c>
      <c r="O2755" s="106" t="str">
        <f t="shared" si="87"/>
        <v>Faltando Comprar</v>
      </c>
    </row>
    <row r="2756" spans="1:15" ht="31.5">
      <c r="A2756" s="16" t="s">
        <v>17</v>
      </c>
      <c r="B2756" s="16" t="s">
        <v>26</v>
      </c>
      <c r="C2756" s="17" t="s">
        <v>19</v>
      </c>
      <c r="D2756" s="18" t="s">
        <v>1557</v>
      </c>
      <c r="E2756" s="18">
        <v>20</v>
      </c>
      <c r="F2756" s="18" t="s">
        <v>30</v>
      </c>
      <c r="G2756" s="18" t="s">
        <v>22</v>
      </c>
      <c r="H2756" s="18" t="s">
        <v>23</v>
      </c>
      <c r="I2756" s="19">
        <v>713.33</v>
      </c>
      <c r="J2756" s="20">
        <f t="shared" si="86"/>
        <v>14266.6</v>
      </c>
      <c r="K2756" s="106"/>
      <c r="L2756" s="114"/>
      <c r="M2756" s="114">
        <f>tblAquisições[[#This Row],[VALOR UNITARIO COMPRADO]]*tblAquisições[[#This Row],[QUANTIDADE COMPRADA]]</f>
        <v>0</v>
      </c>
      <c r="N2756" s="110">
        <f>K2756-tblAquisições[[#This Row],[QUANTIDADE PLANEJADA]]</f>
        <v>-20</v>
      </c>
      <c r="O2756" s="106" t="str">
        <f t="shared" si="87"/>
        <v>Faltando Comprar</v>
      </c>
    </row>
    <row r="2757" spans="1:15" ht="47.25">
      <c r="A2757" s="16" t="s">
        <v>17</v>
      </c>
      <c r="B2757" s="16" t="s">
        <v>28</v>
      </c>
      <c r="C2757" s="17" t="s">
        <v>19</v>
      </c>
      <c r="D2757" s="18" t="s">
        <v>1558</v>
      </c>
      <c r="E2757" s="18">
        <v>10</v>
      </c>
      <c r="F2757" s="18" t="s">
        <v>58</v>
      </c>
      <c r="G2757" s="18" t="s">
        <v>22</v>
      </c>
      <c r="H2757" s="18" t="s">
        <v>23</v>
      </c>
      <c r="I2757" s="19">
        <v>27.66</v>
      </c>
      <c r="J2757" s="20">
        <f t="shared" si="86"/>
        <v>276.60000000000002</v>
      </c>
      <c r="K2757" s="106"/>
      <c r="L2757" s="114"/>
      <c r="M2757" s="114">
        <f>tblAquisições[[#This Row],[VALOR UNITARIO COMPRADO]]*tblAquisições[[#This Row],[QUANTIDADE COMPRADA]]</f>
        <v>0</v>
      </c>
      <c r="N2757" s="110">
        <f>K2757-tblAquisições[[#This Row],[QUANTIDADE PLANEJADA]]</f>
        <v>-10</v>
      </c>
      <c r="O2757" s="106" t="str">
        <f t="shared" si="87"/>
        <v>Faltando Comprar</v>
      </c>
    </row>
    <row r="2758" spans="1:15" ht="31.5">
      <c r="A2758" s="16" t="s">
        <v>17</v>
      </c>
      <c r="B2758" s="16" t="s">
        <v>34</v>
      </c>
      <c r="C2758" s="17" t="s">
        <v>19</v>
      </c>
      <c r="D2758" s="18" t="s">
        <v>1559</v>
      </c>
      <c r="E2758" s="18">
        <v>10</v>
      </c>
      <c r="F2758" s="18" t="s">
        <v>21</v>
      </c>
      <c r="G2758" s="18" t="s">
        <v>22</v>
      </c>
      <c r="H2758" s="18" t="s">
        <v>23</v>
      </c>
      <c r="I2758" s="19">
        <v>8.43</v>
      </c>
      <c r="J2758" s="20">
        <f t="shared" si="86"/>
        <v>84.3</v>
      </c>
      <c r="K2758" s="106"/>
      <c r="L2758" s="114"/>
      <c r="M2758" s="114">
        <f>tblAquisições[[#This Row],[VALOR UNITARIO COMPRADO]]*tblAquisições[[#This Row],[QUANTIDADE COMPRADA]]</f>
        <v>0</v>
      </c>
      <c r="N2758" s="110">
        <f>K2758-tblAquisições[[#This Row],[QUANTIDADE PLANEJADA]]</f>
        <v>-10</v>
      </c>
      <c r="O2758" s="106" t="str">
        <f t="shared" si="87"/>
        <v>Faltando Comprar</v>
      </c>
    </row>
    <row r="2759" spans="1:15" ht="31.5">
      <c r="A2759" s="16" t="s">
        <v>17</v>
      </c>
      <c r="B2759" s="16" t="s">
        <v>18</v>
      </c>
      <c r="C2759" s="17" t="s">
        <v>19</v>
      </c>
      <c r="D2759" s="18" t="s">
        <v>1559</v>
      </c>
      <c r="E2759" s="18">
        <v>15</v>
      </c>
      <c r="F2759" s="18" t="s">
        <v>21</v>
      </c>
      <c r="G2759" s="18" t="s">
        <v>22</v>
      </c>
      <c r="H2759" s="18" t="s">
        <v>23</v>
      </c>
      <c r="I2759" s="19">
        <v>8.43</v>
      </c>
      <c r="J2759" s="20">
        <f t="shared" si="86"/>
        <v>126.44999999999999</v>
      </c>
      <c r="K2759" s="106"/>
      <c r="L2759" s="114"/>
      <c r="M2759" s="114">
        <f>tblAquisições[[#This Row],[VALOR UNITARIO COMPRADO]]*tblAquisições[[#This Row],[QUANTIDADE COMPRADA]]</f>
        <v>0</v>
      </c>
      <c r="N2759" s="110">
        <f>K2759-tblAquisições[[#This Row],[QUANTIDADE PLANEJADA]]</f>
        <v>-15</v>
      </c>
      <c r="O2759" s="106" t="str">
        <f t="shared" si="87"/>
        <v>Faltando Comprar</v>
      </c>
    </row>
    <row r="2760" spans="1:15" ht="31.5">
      <c r="A2760" s="16" t="s">
        <v>17</v>
      </c>
      <c r="B2760" s="16" t="s">
        <v>24</v>
      </c>
      <c r="C2760" s="17" t="s">
        <v>19</v>
      </c>
      <c r="D2760" s="18" t="s">
        <v>1559</v>
      </c>
      <c r="E2760" s="18">
        <v>15</v>
      </c>
      <c r="F2760" s="18" t="s">
        <v>21</v>
      </c>
      <c r="G2760" s="18" t="s">
        <v>22</v>
      </c>
      <c r="H2760" s="18" t="s">
        <v>23</v>
      </c>
      <c r="I2760" s="19">
        <v>8.43</v>
      </c>
      <c r="J2760" s="20">
        <f t="shared" si="86"/>
        <v>126.44999999999999</v>
      </c>
      <c r="K2760" s="106"/>
      <c r="L2760" s="114"/>
      <c r="M2760" s="114">
        <f>tblAquisições[[#This Row],[VALOR UNITARIO COMPRADO]]*tblAquisições[[#This Row],[QUANTIDADE COMPRADA]]</f>
        <v>0</v>
      </c>
      <c r="N2760" s="110">
        <f>K2760-tblAquisições[[#This Row],[QUANTIDADE PLANEJADA]]</f>
        <v>-15</v>
      </c>
      <c r="O2760" s="106" t="str">
        <f t="shared" si="87"/>
        <v>Faltando Comprar</v>
      </c>
    </row>
    <row r="2761" spans="1:15" ht="31.5">
      <c r="A2761" s="16" t="s">
        <v>17</v>
      </c>
      <c r="B2761" s="16" t="s">
        <v>25</v>
      </c>
      <c r="C2761" s="17" t="s">
        <v>19</v>
      </c>
      <c r="D2761" s="18" t="s">
        <v>1559</v>
      </c>
      <c r="E2761" s="18">
        <v>15</v>
      </c>
      <c r="F2761" s="18" t="s">
        <v>21</v>
      </c>
      <c r="G2761" s="18" t="s">
        <v>22</v>
      </c>
      <c r="H2761" s="18" t="s">
        <v>23</v>
      </c>
      <c r="I2761" s="19">
        <v>8.43</v>
      </c>
      <c r="J2761" s="20">
        <f t="shared" si="86"/>
        <v>126.44999999999999</v>
      </c>
      <c r="K2761" s="106"/>
      <c r="L2761" s="114"/>
      <c r="M2761" s="114">
        <f>tblAquisições[[#This Row],[VALOR UNITARIO COMPRADO]]*tblAquisições[[#This Row],[QUANTIDADE COMPRADA]]</f>
        <v>0</v>
      </c>
      <c r="N2761" s="110">
        <f>K2761-tblAquisições[[#This Row],[QUANTIDADE PLANEJADA]]</f>
        <v>-15</v>
      </c>
      <c r="O2761" s="106" t="str">
        <f t="shared" si="87"/>
        <v>Faltando Comprar</v>
      </c>
    </row>
    <row r="2762" spans="1:15" ht="31.5">
      <c r="A2762" s="16" t="s">
        <v>17</v>
      </c>
      <c r="B2762" s="16" t="s">
        <v>18</v>
      </c>
      <c r="C2762" s="17" t="s">
        <v>19</v>
      </c>
      <c r="D2762" s="18" t="s">
        <v>1560</v>
      </c>
      <c r="E2762" s="18">
        <v>15</v>
      </c>
      <c r="F2762" s="18" t="s">
        <v>30</v>
      </c>
      <c r="G2762" s="18" t="s">
        <v>22</v>
      </c>
      <c r="H2762" s="18" t="s">
        <v>23</v>
      </c>
      <c r="I2762" s="19">
        <v>55.27</v>
      </c>
      <c r="J2762" s="20">
        <f t="shared" si="86"/>
        <v>829.05000000000007</v>
      </c>
      <c r="K2762" s="106"/>
      <c r="L2762" s="114"/>
      <c r="M2762" s="114">
        <f>tblAquisições[[#This Row],[VALOR UNITARIO COMPRADO]]*tblAquisições[[#This Row],[QUANTIDADE COMPRADA]]</f>
        <v>0</v>
      </c>
      <c r="N2762" s="110">
        <f>K2762-tblAquisições[[#This Row],[QUANTIDADE PLANEJADA]]</f>
        <v>-15</v>
      </c>
      <c r="O2762" s="106" t="str">
        <f t="shared" si="87"/>
        <v>Faltando Comprar</v>
      </c>
    </row>
    <row r="2763" spans="1:15" ht="31.5">
      <c r="A2763" s="16" t="s">
        <v>17</v>
      </c>
      <c r="B2763" s="16" t="s">
        <v>24</v>
      </c>
      <c r="C2763" s="17" t="s">
        <v>19</v>
      </c>
      <c r="D2763" s="18" t="s">
        <v>1560</v>
      </c>
      <c r="E2763" s="18">
        <v>15</v>
      </c>
      <c r="F2763" s="18" t="s">
        <v>30</v>
      </c>
      <c r="G2763" s="18" t="s">
        <v>22</v>
      </c>
      <c r="H2763" s="18" t="s">
        <v>23</v>
      </c>
      <c r="I2763" s="19">
        <v>55.27</v>
      </c>
      <c r="J2763" s="20">
        <f t="shared" si="86"/>
        <v>829.05000000000007</v>
      </c>
      <c r="K2763" s="106"/>
      <c r="L2763" s="114"/>
      <c r="M2763" s="114">
        <f>tblAquisições[[#This Row],[VALOR UNITARIO COMPRADO]]*tblAquisições[[#This Row],[QUANTIDADE COMPRADA]]</f>
        <v>0</v>
      </c>
      <c r="N2763" s="110">
        <f>K2763-tblAquisições[[#This Row],[QUANTIDADE PLANEJADA]]</f>
        <v>-15</v>
      </c>
      <c r="O2763" s="106" t="str">
        <f t="shared" si="87"/>
        <v>Faltando Comprar</v>
      </c>
    </row>
    <row r="2764" spans="1:15" ht="31.5">
      <c r="A2764" s="16" t="s">
        <v>17</v>
      </c>
      <c r="B2764" s="16" t="s">
        <v>25</v>
      </c>
      <c r="C2764" s="17" t="s">
        <v>19</v>
      </c>
      <c r="D2764" s="18" t="s">
        <v>1560</v>
      </c>
      <c r="E2764" s="18">
        <v>15</v>
      </c>
      <c r="F2764" s="18" t="s">
        <v>30</v>
      </c>
      <c r="G2764" s="18" t="s">
        <v>22</v>
      </c>
      <c r="H2764" s="18" t="s">
        <v>23</v>
      </c>
      <c r="I2764" s="19">
        <v>55.27</v>
      </c>
      <c r="J2764" s="20">
        <f t="shared" si="86"/>
        <v>829.05000000000007</v>
      </c>
      <c r="K2764" s="106"/>
      <c r="L2764" s="114"/>
      <c r="M2764" s="114">
        <f>tblAquisições[[#This Row],[VALOR UNITARIO COMPRADO]]*tblAquisições[[#This Row],[QUANTIDADE COMPRADA]]</f>
        <v>0</v>
      </c>
      <c r="N2764" s="110">
        <f>K2764-tblAquisições[[#This Row],[QUANTIDADE PLANEJADA]]</f>
        <v>-15</v>
      </c>
      <c r="O2764" s="106" t="str">
        <f t="shared" si="87"/>
        <v>Faltando Comprar</v>
      </c>
    </row>
    <row r="2765" spans="1:15" ht="63">
      <c r="A2765" s="16" t="s">
        <v>17</v>
      </c>
      <c r="B2765" s="16" t="s">
        <v>18</v>
      </c>
      <c r="C2765" s="17" t="s">
        <v>19</v>
      </c>
      <c r="D2765" s="18" t="s">
        <v>1561</v>
      </c>
      <c r="E2765" s="18">
        <v>4</v>
      </c>
      <c r="F2765" s="18" t="s">
        <v>222</v>
      </c>
      <c r="G2765" s="18" t="s">
        <v>127</v>
      </c>
      <c r="H2765" s="18" t="s">
        <v>23</v>
      </c>
      <c r="I2765" s="19">
        <v>969.16</v>
      </c>
      <c r="J2765" s="20">
        <f t="shared" si="86"/>
        <v>3876.64</v>
      </c>
      <c r="K2765" s="106"/>
      <c r="L2765" s="114"/>
      <c r="M2765" s="114">
        <f>tblAquisições[[#This Row],[VALOR UNITARIO COMPRADO]]*tblAquisições[[#This Row],[QUANTIDADE COMPRADA]]</f>
        <v>0</v>
      </c>
      <c r="N2765" s="110">
        <f>K2765-tblAquisições[[#This Row],[QUANTIDADE PLANEJADA]]</f>
        <v>-4</v>
      </c>
      <c r="O2765" s="106" t="str">
        <f t="shared" si="87"/>
        <v>Faltando Comprar</v>
      </c>
    </row>
    <row r="2766" spans="1:15" ht="63">
      <c r="A2766" s="16" t="s">
        <v>17</v>
      </c>
      <c r="B2766" s="16" t="s">
        <v>24</v>
      </c>
      <c r="C2766" s="17" t="s">
        <v>19</v>
      </c>
      <c r="D2766" s="18" t="s">
        <v>1561</v>
      </c>
      <c r="E2766" s="18">
        <v>4</v>
      </c>
      <c r="F2766" s="18" t="s">
        <v>222</v>
      </c>
      <c r="G2766" s="18" t="s">
        <v>127</v>
      </c>
      <c r="H2766" s="18" t="s">
        <v>23</v>
      </c>
      <c r="I2766" s="19">
        <v>969.16</v>
      </c>
      <c r="J2766" s="20">
        <f t="shared" si="86"/>
        <v>3876.64</v>
      </c>
      <c r="K2766" s="106"/>
      <c r="L2766" s="114"/>
      <c r="M2766" s="114">
        <f>tblAquisições[[#This Row],[VALOR UNITARIO COMPRADO]]*tblAquisições[[#This Row],[QUANTIDADE COMPRADA]]</f>
        <v>0</v>
      </c>
      <c r="N2766" s="110">
        <f>K2766-tblAquisições[[#This Row],[QUANTIDADE PLANEJADA]]</f>
        <v>-4</v>
      </c>
      <c r="O2766" s="106" t="str">
        <f t="shared" si="87"/>
        <v>Faltando Comprar</v>
      </c>
    </row>
    <row r="2767" spans="1:15" ht="63">
      <c r="A2767" s="16" t="s">
        <v>17</v>
      </c>
      <c r="B2767" s="16" t="s">
        <v>25</v>
      </c>
      <c r="C2767" s="17" t="s">
        <v>19</v>
      </c>
      <c r="D2767" s="18" t="s">
        <v>1561</v>
      </c>
      <c r="E2767" s="18">
        <v>15</v>
      </c>
      <c r="F2767" s="18" t="s">
        <v>222</v>
      </c>
      <c r="G2767" s="18" t="s">
        <v>127</v>
      </c>
      <c r="H2767" s="18" t="s">
        <v>23</v>
      </c>
      <c r="I2767" s="19">
        <v>969.16</v>
      </c>
      <c r="J2767" s="20">
        <f t="shared" si="86"/>
        <v>14537.4</v>
      </c>
      <c r="K2767" s="106"/>
      <c r="L2767" s="114"/>
      <c r="M2767" s="114">
        <f>tblAquisições[[#This Row],[VALOR UNITARIO COMPRADO]]*tblAquisições[[#This Row],[QUANTIDADE COMPRADA]]</f>
        <v>0</v>
      </c>
      <c r="N2767" s="110">
        <f>K2767-tblAquisições[[#This Row],[QUANTIDADE PLANEJADA]]</f>
        <v>-15</v>
      </c>
      <c r="O2767" s="106" t="str">
        <f t="shared" si="87"/>
        <v>Faltando Comprar</v>
      </c>
    </row>
    <row r="2768" spans="1:15" ht="63">
      <c r="A2768" s="16" t="s">
        <v>17</v>
      </c>
      <c r="B2768" s="16" t="s">
        <v>18</v>
      </c>
      <c r="C2768" s="17" t="s">
        <v>19</v>
      </c>
      <c r="D2768" s="18" t="s">
        <v>1562</v>
      </c>
      <c r="E2768" s="18">
        <v>10</v>
      </c>
      <c r="F2768" s="18" t="s">
        <v>222</v>
      </c>
      <c r="G2768" s="18" t="s">
        <v>127</v>
      </c>
      <c r="H2768" s="18" t="s">
        <v>23</v>
      </c>
      <c r="I2768" s="19">
        <v>950</v>
      </c>
      <c r="J2768" s="20">
        <f t="shared" si="86"/>
        <v>9500</v>
      </c>
      <c r="K2768" s="106"/>
      <c r="L2768" s="114"/>
      <c r="M2768" s="114">
        <f>tblAquisições[[#This Row],[VALOR UNITARIO COMPRADO]]*tblAquisições[[#This Row],[QUANTIDADE COMPRADA]]</f>
        <v>0</v>
      </c>
      <c r="N2768" s="110">
        <f>K2768-tblAquisições[[#This Row],[QUANTIDADE PLANEJADA]]</f>
        <v>-10</v>
      </c>
      <c r="O2768" s="106" t="str">
        <f t="shared" si="87"/>
        <v>Faltando Comprar</v>
      </c>
    </row>
    <row r="2769" spans="1:15" ht="63">
      <c r="A2769" s="16" t="s">
        <v>17</v>
      </c>
      <c r="B2769" s="16" t="s">
        <v>24</v>
      </c>
      <c r="C2769" s="17" t="s">
        <v>19</v>
      </c>
      <c r="D2769" s="18" t="s">
        <v>1562</v>
      </c>
      <c r="E2769" s="18">
        <v>10</v>
      </c>
      <c r="F2769" s="18" t="s">
        <v>222</v>
      </c>
      <c r="G2769" s="18" t="s">
        <v>127</v>
      </c>
      <c r="H2769" s="18" t="s">
        <v>23</v>
      </c>
      <c r="I2769" s="19">
        <v>950</v>
      </c>
      <c r="J2769" s="20">
        <f t="shared" si="86"/>
        <v>9500</v>
      </c>
      <c r="K2769" s="106"/>
      <c r="L2769" s="114"/>
      <c r="M2769" s="114">
        <f>tblAquisições[[#This Row],[VALOR UNITARIO COMPRADO]]*tblAquisições[[#This Row],[QUANTIDADE COMPRADA]]</f>
        <v>0</v>
      </c>
      <c r="N2769" s="110">
        <f>K2769-tblAquisições[[#This Row],[QUANTIDADE PLANEJADA]]</f>
        <v>-10</v>
      </c>
      <c r="O2769" s="106" t="str">
        <f t="shared" si="87"/>
        <v>Faltando Comprar</v>
      </c>
    </row>
    <row r="2770" spans="1:15" ht="63">
      <c r="A2770" s="16" t="s">
        <v>17</v>
      </c>
      <c r="B2770" s="16" t="s">
        <v>25</v>
      </c>
      <c r="C2770" s="17" t="s">
        <v>19</v>
      </c>
      <c r="D2770" s="18" t="s">
        <v>1562</v>
      </c>
      <c r="E2770" s="18">
        <v>10</v>
      </c>
      <c r="F2770" s="18" t="s">
        <v>222</v>
      </c>
      <c r="G2770" s="18" t="s">
        <v>127</v>
      </c>
      <c r="H2770" s="18" t="s">
        <v>23</v>
      </c>
      <c r="I2770" s="19">
        <v>950</v>
      </c>
      <c r="J2770" s="20">
        <f t="shared" si="86"/>
        <v>9500</v>
      </c>
      <c r="K2770" s="106"/>
      <c r="L2770" s="114"/>
      <c r="M2770" s="114">
        <f>tblAquisições[[#This Row],[VALOR UNITARIO COMPRADO]]*tblAquisições[[#This Row],[QUANTIDADE COMPRADA]]</f>
        <v>0</v>
      </c>
      <c r="N2770" s="110">
        <f>K2770-tblAquisições[[#This Row],[QUANTIDADE PLANEJADA]]</f>
        <v>-10</v>
      </c>
      <c r="O2770" s="106" t="str">
        <f t="shared" si="87"/>
        <v>Faltando Comprar</v>
      </c>
    </row>
    <row r="2771" spans="1:15" ht="63">
      <c r="A2771" s="16" t="s">
        <v>17</v>
      </c>
      <c r="B2771" s="16" t="s">
        <v>41</v>
      </c>
      <c r="C2771" s="17" t="s">
        <v>19</v>
      </c>
      <c r="D2771" s="18" t="s">
        <v>1562</v>
      </c>
      <c r="E2771" s="18">
        <v>3</v>
      </c>
      <c r="F2771" s="18" t="s">
        <v>222</v>
      </c>
      <c r="G2771" s="18" t="s">
        <v>127</v>
      </c>
      <c r="H2771" s="18" t="s">
        <v>23</v>
      </c>
      <c r="I2771" s="19">
        <v>950</v>
      </c>
      <c r="J2771" s="20">
        <f t="shared" si="86"/>
        <v>2850</v>
      </c>
      <c r="K2771" s="106"/>
      <c r="L2771" s="114"/>
      <c r="M2771" s="114">
        <f>tblAquisições[[#This Row],[VALOR UNITARIO COMPRADO]]*tblAquisições[[#This Row],[QUANTIDADE COMPRADA]]</f>
        <v>0</v>
      </c>
      <c r="N2771" s="110">
        <f>K2771-tblAquisições[[#This Row],[QUANTIDADE PLANEJADA]]</f>
        <v>-3</v>
      </c>
      <c r="O2771" s="106" t="str">
        <f t="shared" si="87"/>
        <v>Faltando Comprar</v>
      </c>
    </row>
    <row r="2772" spans="1:15" ht="63">
      <c r="A2772" s="16" t="s">
        <v>17</v>
      </c>
      <c r="B2772" s="16" t="s">
        <v>18</v>
      </c>
      <c r="C2772" s="17" t="s">
        <v>19</v>
      </c>
      <c r="D2772" s="18" t="s">
        <v>1563</v>
      </c>
      <c r="E2772" s="18">
        <v>4</v>
      </c>
      <c r="F2772" s="18" t="s">
        <v>222</v>
      </c>
      <c r="G2772" s="18" t="s">
        <v>127</v>
      </c>
      <c r="H2772" s="18" t="s">
        <v>23</v>
      </c>
      <c r="I2772" s="19">
        <v>2246.64</v>
      </c>
      <c r="J2772" s="20">
        <f t="shared" si="86"/>
        <v>8986.56</v>
      </c>
      <c r="K2772" s="106"/>
      <c r="L2772" s="114"/>
      <c r="M2772" s="114">
        <f>tblAquisições[[#This Row],[VALOR UNITARIO COMPRADO]]*tblAquisições[[#This Row],[QUANTIDADE COMPRADA]]</f>
        <v>0</v>
      </c>
      <c r="N2772" s="110">
        <f>K2772-tblAquisições[[#This Row],[QUANTIDADE PLANEJADA]]</f>
        <v>-4</v>
      </c>
      <c r="O2772" s="106" t="str">
        <f t="shared" si="87"/>
        <v>Faltando Comprar</v>
      </c>
    </row>
    <row r="2773" spans="1:15" ht="63">
      <c r="A2773" s="16" t="s">
        <v>17</v>
      </c>
      <c r="B2773" s="16" t="s">
        <v>24</v>
      </c>
      <c r="C2773" s="17" t="s">
        <v>19</v>
      </c>
      <c r="D2773" s="18" t="s">
        <v>1563</v>
      </c>
      <c r="E2773" s="18">
        <v>4</v>
      </c>
      <c r="F2773" s="18" t="s">
        <v>222</v>
      </c>
      <c r="G2773" s="18" t="s">
        <v>127</v>
      </c>
      <c r="H2773" s="18" t="s">
        <v>23</v>
      </c>
      <c r="I2773" s="19">
        <v>2246.64</v>
      </c>
      <c r="J2773" s="20">
        <f t="shared" si="86"/>
        <v>8986.56</v>
      </c>
      <c r="K2773" s="106"/>
      <c r="L2773" s="114"/>
      <c r="M2773" s="114">
        <f>tblAquisições[[#This Row],[VALOR UNITARIO COMPRADO]]*tblAquisições[[#This Row],[QUANTIDADE COMPRADA]]</f>
        <v>0</v>
      </c>
      <c r="N2773" s="110">
        <f>K2773-tblAquisições[[#This Row],[QUANTIDADE PLANEJADA]]</f>
        <v>-4</v>
      </c>
      <c r="O2773" s="106" t="str">
        <f t="shared" si="87"/>
        <v>Faltando Comprar</v>
      </c>
    </row>
    <row r="2774" spans="1:15" ht="63">
      <c r="A2774" s="16" t="s">
        <v>17</v>
      </c>
      <c r="B2774" s="16" t="s">
        <v>25</v>
      </c>
      <c r="C2774" s="17" t="s">
        <v>19</v>
      </c>
      <c r="D2774" s="18" t="s">
        <v>1563</v>
      </c>
      <c r="E2774" s="18">
        <v>8</v>
      </c>
      <c r="F2774" s="18" t="s">
        <v>222</v>
      </c>
      <c r="G2774" s="18" t="s">
        <v>127</v>
      </c>
      <c r="H2774" s="18" t="s">
        <v>23</v>
      </c>
      <c r="I2774" s="19">
        <v>2246.64</v>
      </c>
      <c r="J2774" s="20">
        <f t="shared" si="86"/>
        <v>17973.12</v>
      </c>
      <c r="K2774" s="106"/>
      <c r="L2774" s="114"/>
      <c r="M2774" s="114">
        <f>tblAquisições[[#This Row],[VALOR UNITARIO COMPRADO]]*tblAquisições[[#This Row],[QUANTIDADE COMPRADA]]</f>
        <v>0</v>
      </c>
      <c r="N2774" s="110">
        <f>K2774-tblAquisições[[#This Row],[QUANTIDADE PLANEJADA]]</f>
        <v>-8</v>
      </c>
      <c r="O2774" s="106" t="str">
        <f t="shared" si="87"/>
        <v>Faltando Comprar</v>
      </c>
    </row>
    <row r="2775" spans="1:15" ht="63">
      <c r="A2775" s="16" t="s">
        <v>17</v>
      </c>
      <c r="B2775" s="16" t="s">
        <v>41</v>
      </c>
      <c r="C2775" s="17" t="s">
        <v>19</v>
      </c>
      <c r="D2775" s="18" t="s">
        <v>1563</v>
      </c>
      <c r="E2775" s="18">
        <v>3</v>
      </c>
      <c r="F2775" s="18" t="s">
        <v>222</v>
      </c>
      <c r="G2775" s="18" t="s">
        <v>127</v>
      </c>
      <c r="H2775" s="18" t="s">
        <v>23</v>
      </c>
      <c r="I2775" s="19">
        <v>2246.64</v>
      </c>
      <c r="J2775" s="20">
        <f t="shared" si="86"/>
        <v>6739.92</v>
      </c>
      <c r="K2775" s="106"/>
      <c r="L2775" s="114"/>
      <c r="M2775" s="114">
        <f>tblAquisições[[#This Row],[VALOR UNITARIO COMPRADO]]*tblAquisições[[#This Row],[QUANTIDADE COMPRADA]]</f>
        <v>0</v>
      </c>
      <c r="N2775" s="110">
        <f>K2775-tblAquisições[[#This Row],[QUANTIDADE PLANEJADA]]</f>
        <v>-3</v>
      </c>
      <c r="O2775" s="106" t="str">
        <f t="shared" si="87"/>
        <v>Faltando Comprar</v>
      </c>
    </row>
    <row r="2776" spans="1:15" ht="63">
      <c r="A2776" s="16" t="s">
        <v>17</v>
      </c>
      <c r="B2776" s="16" t="s">
        <v>41</v>
      </c>
      <c r="C2776" s="17" t="s">
        <v>19</v>
      </c>
      <c r="D2776" s="18" t="s">
        <v>1564</v>
      </c>
      <c r="E2776" s="18">
        <v>3</v>
      </c>
      <c r="F2776" s="18" t="s">
        <v>222</v>
      </c>
      <c r="G2776" s="18" t="s">
        <v>127</v>
      </c>
      <c r="H2776" s="18" t="s">
        <v>23</v>
      </c>
      <c r="I2776" s="19">
        <v>8773.33</v>
      </c>
      <c r="J2776" s="20">
        <f t="shared" si="86"/>
        <v>26319.989999999998</v>
      </c>
      <c r="K2776" s="106"/>
      <c r="L2776" s="114"/>
      <c r="M2776" s="114">
        <f>tblAquisições[[#This Row],[VALOR UNITARIO COMPRADO]]*tblAquisições[[#This Row],[QUANTIDADE COMPRADA]]</f>
        <v>0</v>
      </c>
      <c r="N2776" s="110">
        <f>K2776-tblAquisições[[#This Row],[QUANTIDADE PLANEJADA]]</f>
        <v>-3</v>
      </c>
      <c r="O2776" s="106" t="str">
        <f t="shared" si="87"/>
        <v>Faltando Comprar</v>
      </c>
    </row>
    <row r="2777" spans="1:15" ht="63">
      <c r="A2777" s="16" t="s">
        <v>17</v>
      </c>
      <c r="B2777" s="16" t="s">
        <v>41</v>
      </c>
      <c r="C2777" s="17" t="s">
        <v>19</v>
      </c>
      <c r="D2777" s="18" t="s">
        <v>1565</v>
      </c>
      <c r="E2777" s="18">
        <v>3</v>
      </c>
      <c r="F2777" s="18" t="s">
        <v>222</v>
      </c>
      <c r="G2777" s="18" t="s">
        <v>127</v>
      </c>
      <c r="H2777" s="18" t="s">
        <v>23</v>
      </c>
      <c r="I2777" s="19">
        <v>12175.97</v>
      </c>
      <c r="J2777" s="20">
        <f t="shared" si="86"/>
        <v>36527.909999999996</v>
      </c>
      <c r="K2777" s="106"/>
      <c r="L2777" s="114"/>
      <c r="M2777" s="114">
        <f>tblAquisições[[#This Row],[VALOR UNITARIO COMPRADO]]*tblAquisições[[#This Row],[QUANTIDADE COMPRADA]]</f>
        <v>0</v>
      </c>
      <c r="N2777" s="110">
        <f>K2777-tblAquisições[[#This Row],[QUANTIDADE PLANEJADA]]</f>
        <v>-3</v>
      </c>
      <c r="O2777" s="106" t="str">
        <f t="shared" si="87"/>
        <v>Faltando Comprar</v>
      </c>
    </row>
    <row r="2778" spans="1:15" ht="31.5">
      <c r="A2778" s="16" t="s">
        <v>17</v>
      </c>
      <c r="B2778" s="16" t="s">
        <v>80</v>
      </c>
      <c r="C2778" s="17" t="s">
        <v>19</v>
      </c>
      <c r="D2778" s="18" t="s">
        <v>1566</v>
      </c>
      <c r="E2778" s="18">
        <v>2</v>
      </c>
      <c r="F2778" s="18" t="s">
        <v>166</v>
      </c>
      <c r="G2778" s="18" t="s">
        <v>39</v>
      </c>
      <c r="H2778" s="21"/>
      <c r="I2778" s="19">
        <v>20.46</v>
      </c>
      <c r="J2778" s="20">
        <f t="shared" si="86"/>
        <v>40.92</v>
      </c>
      <c r="K2778" s="106"/>
      <c r="L2778" s="114"/>
      <c r="M2778" s="114">
        <f>tblAquisições[[#This Row],[VALOR UNITARIO COMPRADO]]*tblAquisições[[#This Row],[QUANTIDADE COMPRADA]]</f>
        <v>0</v>
      </c>
      <c r="N2778" s="110">
        <f>K2778-tblAquisições[[#This Row],[QUANTIDADE PLANEJADA]]</f>
        <v>-2</v>
      </c>
      <c r="O2778" s="106" t="str">
        <f t="shared" si="87"/>
        <v>Faltando Comprar</v>
      </c>
    </row>
    <row r="2779" spans="1:15" ht="63">
      <c r="A2779" s="16" t="s">
        <v>17</v>
      </c>
      <c r="B2779" s="16" t="s">
        <v>18</v>
      </c>
      <c r="C2779" s="17" t="s">
        <v>19</v>
      </c>
      <c r="D2779" s="18" t="s">
        <v>1567</v>
      </c>
      <c r="E2779" s="18">
        <v>2</v>
      </c>
      <c r="F2779" s="18" t="s">
        <v>1568</v>
      </c>
      <c r="G2779" s="18" t="s">
        <v>127</v>
      </c>
      <c r="H2779" s="18" t="s">
        <v>23</v>
      </c>
      <c r="I2779" s="19">
        <v>6500</v>
      </c>
      <c r="J2779" s="20">
        <f t="shared" si="86"/>
        <v>13000</v>
      </c>
      <c r="K2779" s="106"/>
      <c r="L2779" s="114"/>
      <c r="M2779" s="114">
        <f>tblAquisições[[#This Row],[VALOR UNITARIO COMPRADO]]*tblAquisições[[#This Row],[QUANTIDADE COMPRADA]]</f>
        <v>0</v>
      </c>
      <c r="N2779" s="110">
        <f>K2779-tblAquisições[[#This Row],[QUANTIDADE PLANEJADA]]</f>
        <v>-2</v>
      </c>
      <c r="O2779" s="106" t="str">
        <f t="shared" si="87"/>
        <v>Faltando Comprar</v>
      </c>
    </row>
    <row r="2780" spans="1:15" ht="63">
      <c r="A2780" s="16" t="s">
        <v>17</v>
      </c>
      <c r="B2780" s="16" t="s">
        <v>24</v>
      </c>
      <c r="C2780" s="17" t="s">
        <v>19</v>
      </c>
      <c r="D2780" s="18" t="s">
        <v>1567</v>
      </c>
      <c r="E2780" s="18">
        <v>2</v>
      </c>
      <c r="F2780" s="18" t="s">
        <v>1568</v>
      </c>
      <c r="G2780" s="18" t="s">
        <v>127</v>
      </c>
      <c r="H2780" s="18" t="s">
        <v>23</v>
      </c>
      <c r="I2780" s="19">
        <v>6500</v>
      </c>
      <c r="J2780" s="20">
        <f t="shared" si="86"/>
        <v>13000</v>
      </c>
      <c r="K2780" s="106"/>
      <c r="L2780" s="114"/>
      <c r="M2780" s="114">
        <f>tblAquisições[[#This Row],[VALOR UNITARIO COMPRADO]]*tblAquisições[[#This Row],[QUANTIDADE COMPRADA]]</f>
        <v>0</v>
      </c>
      <c r="N2780" s="110">
        <f>K2780-tblAquisições[[#This Row],[QUANTIDADE PLANEJADA]]</f>
        <v>-2</v>
      </c>
      <c r="O2780" s="106" t="str">
        <f t="shared" si="87"/>
        <v>Faltando Comprar</v>
      </c>
    </row>
    <row r="2781" spans="1:15" ht="63">
      <c r="A2781" s="16" t="s">
        <v>17</v>
      </c>
      <c r="B2781" s="16" t="s">
        <v>25</v>
      </c>
      <c r="C2781" s="17" t="s">
        <v>19</v>
      </c>
      <c r="D2781" s="18" t="s">
        <v>1567</v>
      </c>
      <c r="E2781" s="18">
        <v>2</v>
      </c>
      <c r="F2781" s="18" t="s">
        <v>1568</v>
      </c>
      <c r="G2781" s="18" t="s">
        <v>127</v>
      </c>
      <c r="H2781" s="18" t="s">
        <v>23</v>
      </c>
      <c r="I2781" s="19">
        <v>6500</v>
      </c>
      <c r="J2781" s="20">
        <f t="shared" si="86"/>
        <v>13000</v>
      </c>
      <c r="K2781" s="106"/>
      <c r="L2781" s="114"/>
      <c r="M2781" s="114">
        <f>tblAquisições[[#This Row],[VALOR UNITARIO COMPRADO]]*tblAquisições[[#This Row],[QUANTIDADE COMPRADA]]</f>
        <v>0</v>
      </c>
      <c r="N2781" s="110">
        <f>K2781-tblAquisições[[#This Row],[QUANTIDADE PLANEJADA]]</f>
        <v>-2</v>
      </c>
      <c r="O2781" s="106" t="str">
        <f t="shared" si="87"/>
        <v>Faltando Comprar</v>
      </c>
    </row>
    <row r="2782" spans="1:15" ht="31.5">
      <c r="A2782" s="16" t="s">
        <v>17</v>
      </c>
      <c r="B2782" s="16" t="s">
        <v>28</v>
      </c>
      <c r="C2782" s="17" t="s">
        <v>19</v>
      </c>
      <c r="D2782" s="18" t="s">
        <v>1569</v>
      </c>
      <c r="E2782" s="18">
        <v>38</v>
      </c>
      <c r="F2782" s="18" t="s">
        <v>21</v>
      </c>
      <c r="G2782" s="18" t="s">
        <v>22</v>
      </c>
      <c r="H2782" s="18" t="s">
        <v>23</v>
      </c>
      <c r="I2782" s="19">
        <v>72.599999999999994</v>
      </c>
      <c r="J2782" s="20">
        <f t="shared" si="86"/>
        <v>2758.7999999999997</v>
      </c>
      <c r="K2782" s="106"/>
      <c r="L2782" s="114"/>
      <c r="M2782" s="114">
        <f>tblAquisições[[#This Row],[VALOR UNITARIO COMPRADO]]*tblAquisições[[#This Row],[QUANTIDADE COMPRADA]]</f>
        <v>0</v>
      </c>
      <c r="N2782" s="110">
        <f>K2782-tblAquisições[[#This Row],[QUANTIDADE PLANEJADA]]</f>
        <v>-38</v>
      </c>
      <c r="O2782" s="106" t="str">
        <f t="shared" si="87"/>
        <v>Faltando Comprar</v>
      </c>
    </row>
    <row r="2783" spans="1:15" ht="31.5">
      <c r="A2783" s="16" t="s">
        <v>17</v>
      </c>
      <c r="B2783" s="16" t="s">
        <v>28</v>
      </c>
      <c r="C2783" s="17" t="s">
        <v>19</v>
      </c>
      <c r="D2783" s="18" t="s">
        <v>1570</v>
      </c>
      <c r="E2783" s="18">
        <v>5</v>
      </c>
      <c r="F2783" s="18" t="s">
        <v>30</v>
      </c>
      <c r="G2783" s="18" t="s">
        <v>22</v>
      </c>
      <c r="H2783" s="18" t="s">
        <v>23</v>
      </c>
      <c r="I2783" s="19">
        <v>80.72</v>
      </c>
      <c r="J2783" s="20">
        <f t="shared" si="86"/>
        <v>403.6</v>
      </c>
      <c r="K2783" s="106"/>
      <c r="L2783" s="114"/>
      <c r="M2783" s="114">
        <f>tblAquisições[[#This Row],[VALOR UNITARIO COMPRADO]]*tblAquisições[[#This Row],[QUANTIDADE COMPRADA]]</f>
        <v>0</v>
      </c>
      <c r="N2783" s="110">
        <f>K2783-tblAquisições[[#This Row],[QUANTIDADE PLANEJADA]]</f>
        <v>-5</v>
      </c>
      <c r="O2783" s="106" t="str">
        <f t="shared" si="87"/>
        <v>Faltando Comprar</v>
      </c>
    </row>
    <row r="2784" spans="1:15" ht="47.25">
      <c r="A2784" s="16" t="s">
        <v>17</v>
      </c>
      <c r="B2784" s="16" t="s">
        <v>18</v>
      </c>
      <c r="C2784" s="17" t="s">
        <v>19</v>
      </c>
      <c r="D2784" s="18" t="s">
        <v>1571</v>
      </c>
      <c r="E2784" s="18">
        <v>10</v>
      </c>
      <c r="F2784" s="18" t="s">
        <v>222</v>
      </c>
      <c r="G2784" s="18" t="s">
        <v>127</v>
      </c>
      <c r="H2784" s="18" t="s">
        <v>23</v>
      </c>
      <c r="I2784" s="19">
        <v>87.76</v>
      </c>
      <c r="J2784" s="20">
        <f t="shared" si="86"/>
        <v>877.6</v>
      </c>
      <c r="K2784" s="106"/>
      <c r="L2784" s="114"/>
      <c r="M2784" s="114">
        <f>tblAquisições[[#This Row],[VALOR UNITARIO COMPRADO]]*tblAquisições[[#This Row],[QUANTIDADE COMPRADA]]</f>
        <v>0</v>
      </c>
      <c r="N2784" s="110">
        <f>K2784-tblAquisições[[#This Row],[QUANTIDADE PLANEJADA]]</f>
        <v>-10</v>
      </c>
      <c r="O2784" s="106" t="str">
        <f t="shared" si="87"/>
        <v>Faltando Comprar</v>
      </c>
    </row>
    <row r="2785" spans="1:15" ht="47.25">
      <c r="A2785" s="16" t="s">
        <v>17</v>
      </c>
      <c r="B2785" s="16" t="s">
        <v>24</v>
      </c>
      <c r="C2785" s="17" t="s">
        <v>19</v>
      </c>
      <c r="D2785" s="18" t="s">
        <v>1571</v>
      </c>
      <c r="E2785" s="18">
        <v>10</v>
      </c>
      <c r="F2785" s="18" t="s">
        <v>222</v>
      </c>
      <c r="G2785" s="18" t="s">
        <v>127</v>
      </c>
      <c r="H2785" s="18" t="s">
        <v>23</v>
      </c>
      <c r="I2785" s="19">
        <v>87.76</v>
      </c>
      <c r="J2785" s="20">
        <f t="shared" si="86"/>
        <v>877.6</v>
      </c>
      <c r="K2785" s="106"/>
      <c r="L2785" s="114"/>
      <c r="M2785" s="114">
        <f>tblAquisições[[#This Row],[VALOR UNITARIO COMPRADO]]*tblAquisições[[#This Row],[QUANTIDADE COMPRADA]]</f>
        <v>0</v>
      </c>
      <c r="N2785" s="110">
        <f>K2785-tblAquisições[[#This Row],[QUANTIDADE PLANEJADA]]</f>
        <v>-10</v>
      </c>
      <c r="O2785" s="106" t="str">
        <f t="shared" si="87"/>
        <v>Faltando Comprar</v>
      </c>
    </row>
    <row r="2786" spans="1:15" ht="47.25">
      <c r="A2786" s="16" t="s">
        <v>17</v>
      </c>
      <c r="B2786" s="16" t="s">
        <v>25</v>
      </c>
      <c r="C2786" s="17" t="s">
        <v>19</v>
      </c>
      <c r="D2786" s="18" t="s">
        <v>1571</v>
      </c>
      <c r="E2786" s="18">
        <v>10</v>
      </c>
      <c r="F2786" s="18" t="s">
        <v>222</v>
      </c>
      <c r="G2786" s="18" t="s">
        <v>127</v>
      </c>
      <c r="H2786" s="18" t="s">
        <v>23</v>
      </c>
      <c r="I2786" s="19">
        <v>87.76</v>
      </c>
      <c r="J2786" s="20">
        <f t="shared" si="86"/>
        <v>877.6</v>
      </c>
      <c r="K2786" s="106"/>
      <c r="L2786" s="114"/>
      <c r="M2786" s="114">
        <f>tblAquisições[[#This Row],[VALOR UNITARIO COMPRADO]]*tblAquisições[[#This Row],[QUANTIDADE COMPRADA]]</f>
        <v>0</v>
      </c>
      <c r="N2786" s="110">
        <f>K2786-tblAquisições[[#This Row],[QUANTIDADE PLANEJADA]]</f>
        <v>-10</v>
      </c>
      <c r="O2786" s="106" t="str">
        <f t="shared" si="87"/>
        <v>Faltando Comprar</v>
      </c>
    </row>
    <row r="2787" spans="1:15" ht="47.25">
      <c r="A2787" s="16" t="s">
        <v>17</v>
      </c>
      <c r="B2787" s="16" t="s">
        <v>41</v>
      </c>
      <c r="C2787" s="17" t="s">
        <v>19</v>
      </c>
      <c r="D2787" s="18" t="s">
        <v>1571</v>
      </c>
      <c r="E2787" s="18">
        <v>10</v>
      </c>
      <c r="F2787" s="18" t="s">
        <v>222</v>
      </c>
      <c r="G2787" s="18" t="s">
        <v>127</v>
      </c>
      <c r="H2787" s="18" t="s">
        <v>23</v>
      </c>
      <c r="I2787" s="19">
        <v>87.76</v>
      </c>
      <c r="J2787" s="20">
        <f t="shared" si="86"/>
        <v>877.6</v>
      </c>
      <c r="K2787" s="106"/>
      <c r="L2787" s="114"/>
      <c r="M2787" s="114">
        <f>tblAquisições[[#This Row],[VALOR UNITARIO COMPRADO]]*tblAquisições[[#This Row],[QUANTIDADE COMPRADA]]</f>
        <v>0</v>
      </c>
      <c r="N2787" s="110">
        <f>K2787-tblAquisições[[#This Row],[QUANTIDADE PLANEJADA]]</f>
        <v>-10</v>
      </c>
      <c r="O2787" s="106" t="str">
        <f t="shared" si="87"/>
        <v>Faltando Comprar</v>
      </c>
    </row>
    <row r="2788" spans="1:15" ht="47.25">
      <c r="A2788" s="16" t="s">
        <v>17</v>
      </c>
      <c r="B2788" s="16" t="s">
        <v>18</v>
      </c>
      <c r="C2788" s="17" t="s">
        <v>19</v>
      </c>
      <c r="D2788" s="18" t="s">
        <v>1572</v>
      </c>
      <c r="E2788" s="18">
        <v>10</v>
      </c>
      <c r="F2788" s="18" t="s">
        <v>222</v>
      </c>
      <c r="G2788" s="18" t="s">
        <v>127</v>
      </c>
      <c r="H2788" s="18" t="s">
        <v>23</v>
      </c>
      <c r="I2788" s="19">
        <v>25.17</v>
      </c>
      <c r="J2788" s="20">
        <f t="shared" si="86"/>
        <v>251.70000000000002</v>
      </c>
      <c r="K2788" s="106"/>
      <c r="L2788" s="114"/>
      <c r="M2788" s="114">
        <f>tblAquisições[[#This Row],[VALOR UNITARIO COMPRADO]]*tblAquisições[[#This Row],[QUANTIDADE COMPRADA]]</f>
        <v>0</v>
      </c>
      <c r="N2788" s="110">
        <f>K2788-tblAquisições[[#This Row],[QUANTIDADE PLANEJADA]]</f>
        <v>-10</v>
      </c>
      <c r="O2788" s="106" t="str">
        <f t="shared" si="87"/>
        <v>Faltando Comprar</v>
      </c>
    </row>
    <row r="2789" spans="1:15" ht="47.25">
      <c r="A2789" s="16" t="s">
        <v>17</v>
      </c>
      <c r="B2789" s="16" t="s">
        <v>24</v>
      </c>
      <c r="C2789" s="17" t="s">
        <v>19</v>
      </c>
      <c r="D2789" s="18" t="s">
        <v>1572</v>
      </c>
      <c r="E2789" s="18">
        <v>10</v>
      </c>
      <c r="F2789" s="18" t="s">
        <v>222</v>
      </c>
      <c r="G2789" s="18" t="s">
        <v>127</v>
      </c>
      <c r="H2789" s="18" t="s">
        <v>23</v>
      </c>
      <c r="I2789" s="19">
        <v>25.17</v>
      </c>
      <c r="J2789" s="20">
        <f t="shared" si="86"/>
        <v>251.70000000000002</v>
      </c>
      <c r="K2789" s="106"/>
      <c r="L2789" s="114"/>
      <c r="M2789" s="114">
        <f>tblAquisições[[#This Row],[VALOR UNITARIO COMPRADO]]*tblAquisições[[#This Row],[QUANTIDADE COMPRADA]]</f>
        <v>0</v>
      </c>
      <c r="N2789" s="110">
        <f>K2789-tblAquisições[[#This Row],[QUANTIDADE PLANEJADA]]</f>
        <v>-10</v>
      </c>
      <c r="O2789" s="106" t="str">
        <f t="shared" si="87"/>
        <v>Faltando Comprar</v>
      </c>
    </row>
    <row r="2790" spans="1:15" ht="47.25">
      <c r="A2790" s="16" t="s">
        <v>17</v>
      </c>
      <c r="B2790" s="16" t="s">
        <v>25</v>
      </c>
      <c r="C2790" s="17" t="s">
        <v>19</v>
      </c>
      <c r="D2790" s="18" t="s">
        <v>1572</v>
      </c>
      <c r="E2790" s="18">
        <v>10</v>
      </c>
      <c r="F2790" s="18" t="s">
        <v>222</v>
      </c>
      <c r="G2790" s="18" t="s">
        <v>127</v>
      </c>
      <c r="H2790" s="18" t="s">
        <v>23</v>
      </c>
      <c r="I2790" s="19">
        <v>25.17</v>
      </c>
      <c r="J2790" s="20">
        <f t="shared" si="86"/>
        <v>251.70000000000002</v>
      </c>
      <c r="K2790" s="106"/>
      <c r="L2790" s="114"/>
      <c r="M2790" s="114">
        <f>tblAquisições[[#This Row],[VALOR UNITARIO COMPRADO]]*tblAquisições[[#This Row],[QUANTIDADE COMPRADA]]</f>
        <v>0</v>
      </c>
      <c r="N2790" s="110">
        <f>K2790-tblAquisições[[#This Row],[QUANTIDADE PLANEJADA]]</f>
        <v>-10</v>
      </c>
      <c r="O2790" s="106" t="str">
        <f t="shared" si="87"/>
        <v>Faltando Comprar</v>
      </c>
    </row>
    <row r="2791" spans="1:15" ht="47.25">
      <c r="A2791" s="16" t="s">
        <v>17</v>
      </c>
      <c r="B2791" s="16" t="s">
        <v>18</v>
      </c>
      <c r="C2791" s="17" t="s">
        <v>19</v>
      </c>
      <c r="D2791" s="18" t="s">
        <v>1573</v>
      </c>
      <c r="E2791" s="18">
        <v>10</v>
      </c>
      <c r="F2791" s="18" t="s">
        <v>222</v>
      </c>
      <c r="G2791" s="18" t="s">
        <v>127</v>
      </c>
      <c r="H2791" s="18" t="s">
        <v>23</v>
      </c>
      <c r="I2791" s="19">
        <v>47.16</v>
      </c>
      <c r="J2791" s="20">
        <f t="shared" si="86"/>
        <v>471.59999999999997</v>
      </c>
      <c r="K2791" s="106"/>
      <c r="L2791" s="114"/>
      <c r="M2791" s="114">
        <f>tblAquisições[[#This Row],[VALOR UNITARIO COMPRADO]]*tblAquisições[[#This Row],[QUANTIDADE COMPRADA]]</f>
        <v>0</v>
      </c>
      <c r="N2791" s="110">
        <f>K2791-tblAquisições[[#This Row],[QUANTIDADE PLANEJADA]]</f>
        <v>-10</v>
      </c>
      <c r="O2791" s="106" t="str">
        <f t="shared" si="87"/>
        <v>Faltando Comprar</v>
      </c>
    </row>
    <row r="2792" spans="1:15" ht="47.25">
      <c r="A2792" s="16" t="s">
        <v>17</v>
      </c>
      <c r="B2792" s="16" t="s">
        <v>24</v>
      </c>
      <c r="C2792" s="17" t="s">
        <v>19</v>
      </c>
      <c r="D2792" s="18" t="s">
        <v>1573</v>
      </c>
      <c r="E2792" s="18">
        <v>10</v>
      </c>
      <c r="F2792" s="18" t="s">
        <v>222</v>
      </c>
      <c r="G2792" s="18" t="s">
        <v>127</v>
      </c>
      <c r="H2792" s="18" t="s">
        <v>23</v>
      </c>
      <c r="I2792" s="19">
        <v>47.16</v>
      </c>
      <c r="J2792" s="20">
        <f t="shared" si="86"/>
        <v>471.59999999999997</v>
      </c>
      <c r="K2792" s="106"/>
      <c r="L2792" s="114"/>
      <c r="M2792" s="114">
        <f>tblAquisições[[#This Row],[VALOR UNITARIO COMPRADO]]*tblAquisições[[#This Row],[QUANTIDADE COMPRADA]]</f>
        <v>0</v>
      </c>
      <c r="N2792" s="110">
        <f>K2792-tblAquisições[[#This Row],[QUANTIDADE PLANEJADA]]</f>
        <v>-10</v>
      </c>
      <c r="O2792" s="106" t="str">
        <f t="shared" si="87"/>
        <v>Faltando Comprar</v>
      </c>
    </row>
    <row r="2793" spans="1:15" ht="47.25">
      <c r="A2793" s="16" t="s">
        <v>17</v>
      </c>
      <c r="B2793" s="16" t="s">
        <v>25</v>
      </c>
      <c r="C2793" s="17" t="s">
        <v>19</v>
      </c>
      <c r="D2793" s="18" t="s">
        <v>1573</v>
      </c>
      <c r="E2793" s="18">
        <v>10</v>
      </c>
      <c r="F2793" s="18" t="s">
        <v>222</v>
      </c>
      <c r="G2793" s="18" t="s">
        <v>127</v>
      </c>
      <c r="H2793" s="18" t="s">
        <v>23</v>
      </c>
      <c r="I2793" s="19">
        <v>47.16</v>
      </c>
      <c r="J2793" s="20">
        <f t="shared" si="86"/>
        <v>471.59999999999997</v>
      </c>
      <c r="K2793" s="106"/>
      <c r="L2793" s="114"/>
      <c r="M2793" s="114">
        <f>tblAquisições[[#This Row],[VALOR UNITARIO COMPRADO]]*tblAquisições[[#This Row],[QUANTIDADE COMPRADA]]</f>
        <v>0</v>
      </c>
      <c r="N2793" s="110">
        <f>K2793-tblAquisições[[#This Row],[QUANTIDADE PLANEJADA]]</f>
        <v>-10</v>
      </c>
      <c r="O2793" s="106" t="str">
        <f t="shared" si="87"/>
        <v>Faltando Comprar</v>
      </c>
    </row>
    <row r="2794" spans="1:15" ht="47.25">
      <c r="A2794" s="16" t="s">
        <v>17</v>
      </c>
      <c r="B2794" s="16" t="s">
        <v>18</v>
      </c>
      <c r="C2794" s="17" t="s">
        <v>19</v>
      </c>
      <c r="D2794" s="18" t="s">
        <v>1574</v>
      </c>
      <c r="E2794" s="18">
        <v>10</v>
      </c>
      <c r="F2794" s="18" t="s">
        <v>222</v>
      </c>
      <c r="G2794" s="18" t="s">
        <v>127</v>
      </c>
      <c r="H2794" s="18" t="s">
        <v>23</v>
      </c>
      <c r="I2794" s="19">
        <v>59.52</v>
      </c>
      <c r="J2794" s="20">
        <f t="shared" si="86"/>
        <v>595.20000000000005</v>
      </c>
      <c r="K2794" s="106"/>
      <c r="L2794" s="114"/>
      <c r="M2794" s="114">
        <f>tblAquisições[[#This Row],[VALOR UNITARIO COMPRADO]]*tblAquisições[[#This Row],[QUANTIDADE COMPRADA]]</f>
        <v>0</v>
      </c>
      <c r="N2794" s="110">
        <f>K2794-tblAquisições[[#This Row],[QUANTIDADE PLANEJADA]]</f>
        <v>-10</v>
      </c>
      <c r="O2794" s="106" t="str">
        <f t="shared" si="87"/>
        <v>Faltando Comprar</v>
      </c>
    </row>
    <row r="2795" spans="1:15" ht="47.25">
      <c r="A2795" s="16" t="s">
        <v>17</v>
      </c>
      <c r="B2795" s="16" t="s">
        <v>24</v>
      </c>
      <c r="C2795" s="17" t="s">
        <v>19</v>
      </c>
      <c r="D2795" s="18" t="s">
        <v>1574</v>
      </c>
      <c r="E2795" s="18">
        <v>10</v>
      </c>
      <c r="F2795" s="18" t="s">
        <v>222</v>
      </c>
      <c r="G2795" s="18" t="s">
        <v>127</v>
      </c>
      <c r="H2795" s="18" t="s">
        <v>23</v>
      </c>
      <c r="I2795" s="19">
        <v>59.52</v>
      </c>
      <c r="J2795" s="20">
        <f t="shared" si="86"/>
        <v>595.20000000000005</v>
      </c>
      <c r="K2795" s="106"/>
      <c r="L2795" s="114"/>
      <c r="M2795" s="114">
        <f>tblAquisições[[#This Row],[VALOR UNITARIO COMPRADO]]*tblAquisições[[#This Row],[QUANTIDADE COMPRADA]]</f>
        <v>0</v>
      </c>
      <c r="N2795" s="110">
        <f>K2795-tblAquisições[[#This Row],[QUANTIDADE PLANEJADA]]</f>
        <v>-10</v>
      </c>
      <c r="O2795" s="106" t="str">
        <f t="shared" si="87"/>
        <v>Faltando Comprar</v>
      </c>
    </row>
    <row r="2796" spans="1:15" ht="47.25">
      <c r="A2796" s="16" t="s">
        <v>17</v>
      </c>
      <c r="B2796" s="16" t="s">
        <v>25</v>
      </c>
      <c r="C2796" s="17" t="s">
        <v>19</v>
      </c>
      <c r="D2796" s="18" t="s">
        <v>1574</v>
      </c>
      <c r="E2796" s="18">
        <v>10</v>
      </c>
      <c r="F2796" s="18" t="s">
        <v>222</v>
      </c>
      <c r="G2796" s="18" t="s">
        <v>127</v>
      </c>
      <c r="H2796" s="18" t="s">
        <v>23</v>
      </c>
      <c r="I2796" s="19">
        <v>59.52</v>
      </c>
      <c r="J2796" s="20">
        <f t="shared" si="86"/>
        <v>595.20000000000005</v>
      </c>
      <c r="K2796" s="106"/>
      <c r="L2796" s="114"/>
      <c r="M2796" s="114">
        <f>tblAquisições[[#This Row],[VALOR UNITARIO COMPRADO]]*tblAquisições[[#This Row],[QUANTIDADE COMPRADA]]</f>
        <v>0</v>
      </c>
      <c r="N2796" s="110">
        <f>K2796-tblAquisições[[#This Row],[QUANTIDADE PLANEJADA]]</f>
        <v>-10</v>
      </c>
      <c r="O2796" s="106" t="str">
        <f t="shared" si="87"/>
        <v>Faltando Comprar</v>
      </c>
    </row>
    <row r="2797" spans="1:15" ht="47.25">
      <c r="A2797" s="16" t="s">
        <v>17</v>
      </c>
      <c r="B2797" s="16" t="s">
        <v>18</v>
      </c>
      <c r="C2797" s="17" t="s">
        <v>19</v>
      </c>
      <c r="D2797" s="18" t="s">
        <v>1575</v>
      </c>
      <c r="E2797" s="18">
        <v>25</v>
      </c>
      <c r="F2797" s="18" t="s">
        <v>222</v>
      </c>
      <c r="G2797" s="18" t="s">
        <v>127</v>
      </c>
      <c r="H2797" s="18" t="s">
        <v>23</v>
      </c>
      <c r="I2797" s="19">
        <v>87.9</v>
      </c>
      <c r="J2797" s="20">
        <f t="shared" si="86"/>
        <v>2197.5</v>
      </c>
      <c r="K2797" s="106"/>
      <c r="L2797" s="114"/>
      <c r="M2797" s="114">
        <f>tblAquisições[[#This Row],[VALOR UNITARIO COMPRADO]]*tblAquisições[[#This Row],[QUANTIDADE COMPRADA]]</f>
        <v>0</v>
      </c>
      <c r="N2797" s="110">
        <f>K2797-tblAquisições[[#This Row],[QUANTIDADE PLANEJADA]]</f>
        <v>-25</v>
      </c>
      <c r="O2797" s="106" t="str">
        <f t="shared" si="87"/>
        <v>Faltando Comprar</v>
      </c>
    </row>
    <row r="2798" spans="1:15" ht="47.25">
      <c r="A2798" s="16" t="s">
        <v>17</v>
      </c>
      <c r="B2798" s="16" t="s">
        <v>24</v>
      </c>
      <c r="C2798" s="17" t="s">
        <v>19</v>
      </c>
      <c r="D2798" s="18" t="s">
        <v>1575</v>
      </c>
      <c r="E2798" s="18">
        <v>25</v>
      </c>
      <c r="F2798" s="18" t="s">
        <v>222</v>
      </c>
      <c r="G2798" s="18" t="s">
        <v>127</v>
      </c>
      <c r="H2798" s="18" t="s">
        <v>23</v>
      </c>
      <c r="I2798" s="19">
        <v>87.9</v>
      </c>
      <c r="J2798" s="20">
        <f t="shared" si="86"/>
        <v>2197.5</v>
      </c>
      <c r="K2798" s="106"/>
      <c r="L2798" s="114"/>
      <c r="M2798" s="114">
        <f>tblAquisições[[#This Row],[VALOR UNITARIO COMPRADO]]*tblAquisições[[#This Row],[QUANTIDADE COMPRADA]]</f>
        <v>0</v>
      </c>
      <c r="N2798" s="110">
        <f>K2798-tblAquisições[[#This Row],[QUANTIDADE PLANEJADA]]</f>
        <v>-25</v>
      </c>
      <c r="O2798" s="106" t="str">
        <f t="shared" si="87"/>
        <v>Faltando Comprar</v>
      </c>
    </row>
    <row r="2799" spans="1:15" ht="47.25">
      <c r="A2799" s="16" t="s">
        <v>17</v>
      </c>
      <c r="B2799" s="16" t="s">
        <v>25</v>
      </c>
      <c r="C2799" s="17" t="s">
        <v>19</v>
      </c>
      <c r="D2799" s="18" t="s">
        <v>1575</v>
      </c>
      <c r="E2799" s="18">
        <v>25</v>
      </c>
      <c r="F2799" s="18" t="s">
        <v>222</v>
      </c>
      <c r="G2799" s="18" t="s">
        <v>127</v>
      </c>
      <c r="H2799" s="18" t="s">
        <v>23</v>
      </c>
      <c r="I2799" s="19">
        <v>87.9</v>
      </c>
      <c r="J2799" s="20">
        <f t="shared" si="86"/>
        <v>2197.5</v>
      </c>
      <c r="K2799" s="106"/>
      <c r="L2799" s="114"/>
      <c r="M2799" s="114">
        <f>tblAquisições[[#This Row],[VALOR UNITARIO COMPRADO]]*tblAquisições[[#This Row],[QUANTIDADE COMPRADA]]</f>
        <v>0</v>
      </c>
      <c r="N2799" s="110">
        <f>K2799-tblAquisições[[#This Row],[QUANTIDADE PLANEJADA]]</f>
        <v>-25</v>
      </c>
      <c r="O2799" s="106" t="str">
        <f t="shared" si="87"/>
        <v>Faltando Comprar</v>
      </c>
    </row>
    <row r="2800" spans="1:15" ht="47.25">
      <c r="A2800" s="16" t="s">
        <v>17</v>
      </c>
      <c r="B2800" s="16" t="s">
        <v>18</v>
      </c>
      <c r="C2800" s="17" t="s">
        <v>19</v>
      </c>
      <c r="D2800" s="18" t="s">
        <v>1576</v>
      </c>
      <c r="E2800" s="18">
        <v>25</v>
      </c>
      <c r="F2800" s="18" t="s">
        <v>222</v>
      </c>
      <c r="G2800" s="18" t="s">
        <v>127</v>
      </c>
      <c r="H2800" s="18" t="s">
        <v>23</v>
      </c>
      <c r="I2800" s="19">
        <v>47.79</v>
      </c>
      <c r="J2800" s="20">
        <f t="shared" si="86"/>
        <v>1194.75</v>
      </c>
      <c r="K2800" s="106"/>
      <c r="L2800" s="114"/>
      <c r="M2800" s="114">
        <f>tblAquisições[[#This Row],[VALOR UNITARIO COMPRADO]]*tblAquisições[[#This Row],[QUANTIDADE COMPRADA]]</f>
        <v>0</v>
      </c>
      <c r="N2800" s="110">
        <f>K2800-tblAquisições[[#This Row],[QUANTIDADE PLANEJADA]]</f>
        <v>-25</v>
      </c>
      <c r="O2800" s="106" t="str">
        <f t="shared" si="87"/>
        <v>Faltando Comprar</v>
      </c>
    </row>
    <row r="2801" spans="1:15" ht="47.25">
      <c r="A2801" s="16" t="s">
        <v>17</v>
      </c>
      <c r="B2801" s="16" t="s">
        <v>24</v>
      </c>
      <c r="C2801" s="17" t="s">
        <v>19</v>
      </c>
      <c r="D2801" s="18" t="s">
        <v>1576</v>
      </c>
      <c r="E2801" s="18">
        <v>25</v>
      </c>
      <c r="F2801" s="18" t="s">
        <v>222</v>
      </c>
      <c r="G2801" s="18" t="s">
        <v>127</v>
      </c>
      <c r="H2801" s="18" t="s">
        <v>23</v>
      </c>
      <c r="I2801" s="19">
        <v>47.79</v>
      </c>
      <c r="J2801" s="20">
        <f t="shared" si="86"/>
        <v>1194.75</v>
      </c>
      <c r="K2801" s="106"/>
      <c r="L2801" s="114"/>
      <c r="M2801" s="114">
        <f>tblAquisições[[#This Row],[VALOR UNITARIO COMPRADO]]*tblAquisições[[#This Row],[QUANTIDADE COMPRADA]]</f>
        <v>0</v>
      </c>
      <c r="N2801" s="110">
        <f>K2801-tblAquisições[[#This Row],[QUANTIDADE PLANEJADA]]</f>
        <v>-25</v>
      </c>
      <c r="O2801" s="106" t="str">
        <f t="shared" si="87"/>
        <v>Faltando Comprar</v>
      </c>
    </row>
    <row r="2802" spans="1:15" ht="47.25">
      <c r="A2802" s="16" t="s">
        <v>17</v>
      </c>
      <c r="B2802" s="16" t="s">
        <v>25</v>
      </c>
      <c r="C2802" s="17" t="s">
        <v>19</v>
      </c>
      <c r="D2802" s="18" t="s">
        <v>1576</v>
      </c>
      <c r="E2802" s="18">
        <v>25</v>
      </c>
      <c r="F2802" s="18" t="s">
        <v>222</v>
      </c>
      <c r="G2802" s="18" t="s">
        <v>127</v>
      </c>
      <c r="H2802" s="18" t="s">
        <v>23</v>
      </c>
      <c r="I2802" s="19">
        <v>47.79</v>
      </c>
      <c r="J2802" s="20">
        <f t="shared" si="86"/>
        <v>1194.75</v>
      </c>
      <c r="K2802" s="106"/>
      <c r="L2802" s="114"/>
      <c r="M2802" s="114">
        <f>tblAquisições[[#This Row],[VALOR UNITARIO COMPRADO]]*tblAquisições[[#This Row],[QUANTIDADE COMPRADA]]</f>
        <v>0</v>
      </c>
      <c r="N2802" s="110">
        <f>K2802-tblAquisições[[#This Row],[QUANTIDADE PLANEJADA]]</f>
        <v>-25</v>
      </c>
      <c r="O2802" s="106" t="str">
        <f t="shared" si="87"/>
        <v>Faltando Comprar</v>
      </c>
    </row>
    <row r="2803" spans="1:15" ht="47.25">
      <c r="A2803" s="16" t="s">
        <v>17</v>
      </c>
      <c r="B2803" s="16" t="s">
        <v>41</v>
      </c>
      <c r="C2803" s="17" t="s">
        <v>19</v>
      </c>
      <c r="D2803" s="18" t="s">
        <v>1577</v>
      </c>
      <c r="E2803" s="18">
        <v>50</v>
      </c>
      <c r="F2803" s="18" t="s">
        <v>222</v>
      </c>
      <c r="G2803" s="18" t="s">
        <v>127</v>
      </c>
      <c r="H2803" s="18" t="s">
        <v>23</v>
      </c>
      <c r="I2803" s="19">
        <v>79.98</v>
      </c>
      <c r="J2803" s="20">
        <f t="shared" si="86"/>
        <v>3999</v>
      </c>
      <c r="K2803" s="106"/>
      <c r="L2803" s="114"/>
      <c r="M2803" s="114">
        <f>tblAquisições[[#This Row],[VALOR UNITARIO COMPRADO]]*tblAquisições[[#This Row],[QUANTIDADE COMPRADA]]</f>
        <v>0</v>
      </c>
      <c r="N2803" s="110">
        <f>K2803-tblAquisições[[#This Row],[QUANTIDADE PLANEJADA]]</f>
        <v>-50</v>
      </c>
      <c r="O2803" s="106" t="str">
        <f t="shared" si="87"/>
        <v>Faltando Comprar</v>
      </c>
    </row>
    <row r="2804" spans="1:15" ht="47.25">
      <c r="A2804" s="16" t="s">
        <v>17</v>
      </c>
      <c r="B2804" s="16" t="s">
        <v>41</v>
      </c>
      <c r="C2804" s="17" t="s">
        <v>19</v>
      </c>
      <c r="D2804" s="18" t="s">
        <v>1578</v>
      </c>
      <c r="E2804" s="18">
        <v>50</v>
      </c>
      <c r="F2804" s="18" t="s">
        <v>222</v>
      </c>
      <c r="G2804" s="18" t="s">
        <v>127</v>
      </c>
      <c r="H2804" s="18" t="s">
        <v>23</v>
      </c>
      <c r="I2804" s="19">
        <v>72.17</v>
      </c>
      <c r="J2804" s="20">
        <f t="shared" si="86"/>
        <v>3608.5</v>
      </c>
      <c r="K2804" s="106"/>
      <c r="L2804" s="114"/>
      <c r="M2804" s="114">
        <f>tblAquisições[[#This Row],[VALOR UNITARIO COMPRADO]]*tblAquisições[[#This Row],[QUANTIDADE COMPRADA]]</f>
        <v>0</v>
      </c>
      <c r="N2804" s="110">
        <f>K2804-tblAquisições[[#This Row],[QUANTIDADE PLANEJADA]]</f>
        <v>-50</v>
      </c>
      <c r="O2804" s="106" t="str">
        <f t="shared" si="87"/>
        <v>Faltando Comprar</v>
      </c>
    </row>
    <row r="2805" spans="1:15" ht="47.25">
      <c r="A2805" s="16" t="s">
        <v>17</v>
      </c>
      <c r="B2805" s="16" t="s">
        <v>41</v>
      </c>
      <c r="C2805" s="17" t="s">
        <v>19</v>
      </c>
      <c r="D2805" s="18" t="s">
        <v>1579</v>
      </c>
      <c r="E2805" s="18">
        <v>20</v>
      </c>
      <c r="F2805" s="18" t="s">
        <v>222</v>
      </c>
      <c r="G2805" s="18" t="s">
        <v>127</v>
      </c>
      <c r="H2805" s="18" t="s">
        <v>23</v>
      </c>
      <c r="I2805" s="19">
        <v>90</v>
      </c>
      <c r="J2805" s="20">
        <f t="shared" si="86"/>
        <v>1800</v>
      </c>
      <c r="K2805" s="106"/>
      <c r="L2805" s="114"/>
      <c r="M2805" s="114">
        <f>tblAquisições[[#This Row],[VALOR UNITARIO COMPRADO]]*tblAquisições[[#This Row],[QUANTIDADE COMPRADA]]</f>
        <v>0</v>
      </c>
      <c r="N2805" s="110">
        <f>K2805-tblAquisições[[#This Row],[QUANTIDADE PLANEJADA]]</f>
        <v>-20</v>
      </c>
      <c r="O2805" s="106" t="str">
        <f t="shared" si="87"/>
        <v>Faltando Comprar</v>
      </c>
    </row>
    <row r="2806" spans="1:15" ht="47.25">
      <c r="A2806" s="16" t="s">
        <v>17</v>
      </c>
      <c r="B2806" s="16" t="s">
        <v>18</v>
      </c>
      <c r="C2806" s="17" t="s">
        <v>19</v>
      </c>
      <c r="D2806" s="18" t="s">
        <v>1580</v>
      </c>
      <c r="E2806" s="18">
        <v>25</v>
      </c>
      <c r="F2806" s="18" t="s">
        <v>222</v>
      </c>
      <c r="G2806" s="18" t="s">
        <v>127</v>
      </c>
      <c r="H2806" s="18" t="s">
        <v>23</v>
      </c>
      <c r="I2806" s="19">
        <v>36.14</v>
      </c>
      <c r="J2806" s="20">
        <f t="shared" si="86"/>
        <v>903.5</v>
      </c>
      <c r="K2806" s="106"/>
      <c r="L2806" s="114"/>
      <c r="M2806" s="114">
        <f>tblAquisições[[#This Row],[VALOR UNITARIO COMPRADO]]*tblAquisições[[#This Row],[QUANTIDADE COMPRADA]]</f>
        <v>0</v>
      </c>
      <c r="N2806" s="110">
        <f>K2806-tblAquisições[[#This Row],[QUANTIDADE PLANEJADA]]</f>
        <v>-25</v>
      </c>
      <c r="O2806" s="106" t="str">
        <f t="shared" si="87"/>
        <v>Faltando Comprar</v>
      </c>
    </row>
    <row r="2807" spans="1:15" ht="47.25">
      <c r="A2807" s="16" t="s">
        <v>17</v>
      </c>
      <c r="B2807" s="16" t="s">
        <v>24</v>
      </c>
      <c r="C2807" s="17" t="s">
        <v>19</v>
      </c>
      <c r="D2807" s="18" t="s">
        <v>1580</v>
      </c>
      <c r="E2807" s="18">
        <v>25</v>
      </c>
      <c r="F2807" s="18" t="s">
        <v>222</v>
      </c>
      <c r="G2807" s="18" t="s">
        <v>127</v>
      </c>
      <c r="H2807" s="18" t="s">
        <v>23</v>
      </c>
      <c r="I2807" s="19">
        <v>36.14</v>
      </c>
      <c r="J2807" s="20">
        <f t="shared" si="86"/>
        <v>903.5</v>
      </c>
      <c r="K2807" s="106"/>
      <c r="L2807" s="114"/>
      <c r="M2807" s="114">
        <f>tblAquisições[[#This Row],[VALOR UNITARIO COMPRADO]]*tblAquisições[[#This Row],[QUANTIDADE COMPRADA]]</f>
        <v>0</v>
      </c>
      <c r="N2807" s="110">
        <f>K2807-tblAquisições[[#This Row],[QUANTIDADE PLANEJADA]]</f>
        <v>-25</v>
      </c>
      <c r="O2807" s="106" t="str">
        <f t="shared" si="87"/>
        <v>Faltando Comprar</v>
      </c>
    </row>
    <row r="2808" spans="1:15" ht="47.25">
      <c r="A2808" s="16" t="s">
        <v>17</v>
      </c>
      <c r="B2808" s="16" t="s">
        <v>25</v>
      </c>
      <c r="C2808" s="17" t="s">
        <v>19</v>
      </c>
      <c r="D2808" s="18" t="s">
        <v>1580</v>
      </c>
      <c r="E2808" s="18">
        <v>25</v>
      </c>
      <c r="F2808" s="18" t="s">
        <v>222</v>
      </c>
      <c r="G2808" s="18" t="s">
        <v>127</v>
      </c>
      <c r="H2808" s="18" t="s">
        <v>23</v>
      </c>
      <c r="I2808" s="19">
        <v>36.14</v>
      </c>
      <c r="J2808" s="20">
        <f t="shared" si="86"/>
        <v>903.5</v>
      </c>
      <c r="K2808" s="106"/>
      <c r="L2808" s="114"/>
      <c r="M2808" s="114">
        <f>tblAquisições[[#This Row],[VALOR UNITARIO COMPRADO]]*tblAquisições[[#This Row],[QUANTIDADE COMPRADA]]</f>
        <v>0</v>
      </c>
      <c r="N2808" s="110">
        <f>K2808-tblAquisições[[#This Row],[QUANTIDADE PLANEJADA]]</f>
        <v>-25</v>
      </c>
      <c r="O2808" s="106" t="str">
        <f t="shared" si="87"/>
        <v>Faltando Comprar</v>
      </c>
    </row>
    <row r="2809" spans="1:15" ht="47.25">
      <c r="A2809" s="16" t="s">
        <v>17</v>
      </c>
      <c r="B2809" s="16" t="s">
        <v>41</v>
      </c>
      <c r="C2809" s="17" t="s">
        <v>19</v>
      </c>
      <c r="D2809" s="18" t="s">
        <v>1580</v>
      </c>
      <c r="E2809" s="18">
        <v>20</v>
      </c>
      <c r="F2809" s="18" t="s">
        <v>222</v>
      </c>
      <c r="G2809" s="18" t="s">
        <v>127</v>
      </c>
      <c r="H2809" s="18" t="s">
        <v>23</v>
      </c>
      <c r="I2809" s="19">
        <v>36.14</v>
      </c>
      <c r="J2809" s="20">
        <f t="shared" si="86"/>
        <v>722.8</v>
      </c>
      <c r="K2809" s="106"/>
      <c r="L2809" s="114"/>
      <c r="M2809" s="114">
        <f>tblAquisições[[#This Row],[VALOR UNITARIO COMPRADO]]*tblAquisições[[#This Row],[QUANTIDADE COMPRADA]]</f>
        <v>0</v>
      </c>
      <c r="N2809" s="110">
        <f>K2809-tblAquisições[[#This Row],[QUANTIDADE PLANEJADA]]</f>
        <v>-20</v>
      </c>
      <c r="O2809" s="106" t="str">
        <f t="shared" si="87"/>
        <v>Faltando Comprar</v>
      </c>
    </row>
    <row r="2810" spans="1:15" ht="47.25">
      <c r="A2810" s="16" t="s">
        <v>17</v>
      </c>
      <c r="B2810" s="16" t="s">
        <v>41</v>
      </c>
      <c r="C2810" s="17" t="s">
        <v>19</v>
      </c>
      <c r="D2810" s="18" t="s">
        <v>1581</v>
      </c>
      <c r="E2810" s="18">
        <v>20</v>
      </c>
      <c r="F2810" s="18" t="s">
        <v>222</v>
      </c>
      <c r="G2810" s="18" t="s">
        <v>127</v>
      </c>
      <c r="H2810" s="18" t="s">
        <v>23</v>
      </c>
      <c r="I2810" s="19">
        <v>71.08</v>
      </c>
      <c r="J2810" s="20">
        <f t="shared" si="86"/>
        <v>1421.6</v>
      </c>
      <c r="K2810" s="106"/>
      <c r="L2810" s="114"/>
      <c r="M2810" s="114">
        <f>tblAquisições[[#This Row],[VALOR UNITARIO COMPRADO]]*tblAquisições[[#This Row],[QUANTIDADE COMPRADA]]</f>
        <v>0</v>
      </c>
      <c r="N2810" s="110">
        <f>K2810-tblAquisições[[#This Row],[QUANTIDADE PLANEJADA]]</f>
        <v>-20</v>
      </c>
      <c r="O2810" s="106" t="str">
        <f t="shared" si="87"/>
        <v>Faltando Comprar</v>
      </c>
    </row>
    <row r="2811" spans="1:15" ht="47.25">
      <c r="A2811" s="16" t="s">
        <v>17</v>
      </c>
      <c r="B2811" s="16" t="s">
        <v>41</v>
      </c>
      <c r="C2811" s="17" t="s">
        <v>19</v>
      </c>
      <c r="D2811" s="18" t="s">
        <v>1582</v>
      </c>
      <c r="E2811" s="18">
        <v>10</v>
      </c>
      <c r="F2811" s="18" t="s">
        <v>222</v>
      </c>
      <c r="G2811" s="18" t="s">
        <v>127</v>
      </c>
      <c r="H2811" s="18" t="s">
        <v>23</v>
      </c>
      <c r="I2811" s="19">
        <v>61.02</v>
      </c>
      <c r="J2811" s="20">
        <f t="shared" si="86"/>
        <v>610.20000000000005</v>
      </c>
      <c r="K2811" s="106"/>
      <c r="L2811" s="114"/>
      <c r="M2811" s="114">
        <f>tblAquisições[[#This Row],[VALOR UNITARIO COMPRADO]]*tblAquisições[[#This Row],[QUANTIDADE COMPRADA]]</f>
        <v>0</v>
      </c>
      <c r="N2811" s="110">
        <f>K2811-tblAquisições[[#This Row],[QUANTIDADE PLANEJADA]]</f>
        <v>-10</v>
      </c>
      <c r="O2811" s="106" t="str">
        <f t="shared" si="87"/>
        <v>Faltando Comprar</v>
      </c>
    </row>
    <row r="2812" spans="1:15" ht="31.5">
      <c r="A2812" s="16" t="s">
        <v>17</v>
      </c>
      <c r="B2812" s="16" t="s">
        <v>41</v>
      </c>
      <c r="C2812" s="17" t="s">
        <v>19</v>
      </c>
      <c r="D2812" s="18" t="s">
        <v>1583</v>
      </c>
      <c r="E2812" s="18">
        <v>1</v>
      </c>
      <c r="F2812" s="18" t="s">
        <v>170</v>
      </c>
      <c r="G2812" s="18" t="s">
        <v>22</v>
      </c>
      <c r="H2812" s="18" t="s">
        <v>23</v>
      </c>
      <c r="I2812" s="19">
        <v>24.65</v>
      </c>
      <c r="J2812" s="20">
        <f t="shared" si="86"/>
        <v>24.65</v>
      </c>
      <c r="K2812" s="106"/>
      <c r="L2812" s="114"/>
      <c r="M2812" s="114">
        <f>tblAquisições[[#This Row],[VALOR UNITARIO COMPRADO]]*tblAquisições[[#This Row],[QUANTIDADE COMPRADA]]</f>
        <v>0</v>
      </c>
      <c r="N2812" s="110">
        <f>K2812-tblAquisições[[#This Row],[QUANTIDADE PLANEJADA]]</f>
        <v>-1</v>
      </c>
      <c r="O2812" s="106" t="str">
        <f t="shared" si="87"/>
        <v>Faltando Comprar</v>
      </c>
    </row>
    <row r="2813" spans="1:15" ht="31.5">
      <c r="A2813" s="16" t="s">
        <v>17</v>
      </c>
      <c r="B2813" s="16" t="s">
        <v>72</v>
      </c>
      <c r="C2813" s="17" t="s">
        <v>19</v>
      </c>
      <c r="D2813" s="18" t="s">
        <v>1583</v>
      </c>
      <c r="E2813" s="18">
        <v>1</v>
      </c>
      <c r="F2813" s="18" t="s">
        <v>170</v>
      </c>
      <c r="G2813" s="18" t="s">
        <v>22</v>
      </c>
      <c r="H2813" s="18" t="s">
        <v>23</v>
      </c>
      <c r="I2813" s="19">
        <v>24.65</v>
      </c>
      <c r="J2813" s="20">
        <f t="shared" si="86"/>
        <v>24.65</v>
      </c>
      <c r="K2813" s="106"/>
      <c r="L2813" s="114"/>
      <c r="M2813" s="114">
        <f>tblAquisições[[#This Row],[VALOR UNITARIO COMPRADO]]*tblAquisições[[#This Row],[QUANTIDADE COMPRADA]]</f>
        <v>0</v>
      </c>
      <c r="N2813" s="110">
        <f>K2813-tblAquisições[[#This Row],[QUANTIDADE PLANEJADA]]</f>
        <v>-1</v>
      </c>
      <c r="O2813" s="106" t="str">
        <f t="shared" si="87"/>
        <v>Faltando Comprar</v>
      </c>
    </row>
    <row r="2814" spans="1:15" ht="31.5">
      <c r="A2814" s="16" t="s">
        <v>17</v>
      </c>
      <c r="B2814" s="16" t="s">
        <v>72</v>
      </c>
      <c r="C2814" s="17" t="s">
        <v>19</v>
      </c>
      <c r="D2814" s="18" t="s">
        <v>1584</v>
      </c>
      <c r="E2814" s="18">
        <v>4</v>
      </c>
      <c r="F2814" s="18" t="s">
        <v>170</v>
      </c>
      <c r="G2814" s="18" t="s">
        <v>22</v>
      </c>
      <c r="H2814" s="18" t="s">
        <v>23</v>
      </c>
      <c r="I2814" s="19">
        <v>27.7</v>
      </c>
      <c r="J2814" s="20">
        <f t="shared" si="86"/>
        <v>110.8</v>
      </c>
      <c r="K2814" s="106"/>
      <c r="L2814" s="114"/>
      <c r="M2814" s="114">
        <f>tblAquisições[[#This Row],[VALOR UNITARIO COMPRADO]]*tblAquisições[[#This Row],[QUANTIDADE COMPRADA]]</f>
        <v>0</v>
      </c>
      <c r="N2814" s="110">
        <f>K2814-tblAquisições[[#This Row],[QUANTIDADE PLANEJADA]]</f>
        <v>-4</v>
      </c>
      <c r="O2814" s="106" t="str">
        <f t="shared" si="87"/>
        <v>Faltando Comprar</v>
      </c>
    </row>
    <row r="2815" spans="1:15" ht="47.25">
      <c r="A2815" s="16" t="s">
        <v>17</v>
      </c>
      <c r="B2815" s="16" t="s">
        <v>26</v>
      </c>
      <c r="C2815" s="17" t="s">
        <v>19</v>
      </c>
      <c r="D2815" s="18" t="s">
        <v>1585</v>
      </c>
      <c r="E2815" s="18">
        <v>10</v>
      </c>
      <c r="F2815" s="18" t="s">
        <v>58</v>
      </c>
      <c r="G2815" s="18" t="s">
        <v>22</v>
      </c>
      <c r="H2815" s="18" t="s">
        <v>23</v>
      </c>
      <c r="I2815" s="19">
        <v>16.53</v>
      </c>
      <c r="J2815" s="20">
        <f t="shared" si="86"/>
        <v>165.3</v>
      </c>
      <c r="K2815" s="106"/>
      <c r="L2815" s="114"/>
      <c r="M2815" s="114">
        <f>tblAquisições[[#This Row],[VALOR UNITARIO COMPRADO]]*tblAquisições[[#This Row],[QUANTIDADE COMPRADA]]</f>
        <v>0</v>
      </c>
      <c r="N2815" s="110">
        <f>K2815-tblAquisições[[#This Row],[QUANTIDADE PLANEJADA]]</f>
        <v>-10</v>
      </c>
      <c r="O2815" s="106" t="str">
        <f t="shared" si="87"/>
        <v>Faltando Comprar</v>
      </c>
    </row>
    <row r="2816" spans="1:15" ht="31.5">
      <c r="A2816" s="16" t="s">
        <v>17</v>
      </c>
      <c r="B2816" s="16" t="s">
        <v>17</v>
      </c>
      <c r="C2816" s="17" t="s">
        <v>19</v>
      </c>
      <c r="D2816" s="18" t="s">
        <v>1586</v>
      </c>
      <c r="E2816" s="18">
        <v>3</v>
      </c>
      <c r="F2816" s="18" t="s">
        <v>56</v>
      </c>
      <c r="G2816" s="18" t="s">
        <v>39</v>
      </c>
      <c r="H2816" s="18" t="s">
        <v>23</v>
      </c>
      <c r="I2816" s="19">
        <v>86.29</v>
      </c>
      <c r="J2816" s="20">
        <f t="shared" si="86"/>
        <v>258.87</v>
      </c>
      <c r="K2816" s="106"/>
      <c r="L2816" s="114"/>
      <c r="M2816" s="114">
        <f>tblAquisições[[#This Row],[VALOR UNITARIO COMPRADO]]*tblAquisições[[#This Row],[QUANTIDADE COMPRADA]]</f>
        <v>0</v>
      </c>
      <c r="N2816" s="110">
        <f>K2816-tblAquisições[[#This Row],[QUANTIDADE PLANEJADA]]</f>
        <v>-3</v>
      </c>
      <c r="O2816" s="106" t="str">
        <f t="shared" si="87"/>
        <v>Faltando Comprar</v>
      </c>
    </row>
    <row r="2817" spans="1:15" ht="31.5">
      <c r="A2817" s="16" t="s">
        <v>17</v>
      </c>
      <c r="B2817" s="16" t="s">
        <v>959</v>
      </c>
      <c r="C2817" s="17" t="s">
        <v>19</v>
      </c>
      <c r="D2817" s="18" t="s">
        <v>1586</v>
      </c>
      <c r="E2817" s="18">
        <v>5</v>
      </c>
      <c r="F2817" s="18" t="s">
        <v>56</v>
      </c>
      <c r="G2817" s="18" t="s">
        <v>39</v>
      </c>
      <c r="H2817" s="18" t="s">
        <v>23</v>
      </c>
      <c r="I2817" s="19">
        <v>86.29</v>
      </c>
      <c r="J2817" s="20">
        <f t="shared" si="86"/>
        <v>431.45000000000005</v>
      </c>
      <c r="K2817" s="106"/>
      <c r="L2817" s="114"/>
      <c r="M2817" s="114">
        <f>tblAquisições[[#This Row],[VALOR UNITARIO COMPRADO]]*tblAquisições[[#This Row],[QUANTIDADE COMPRADA]]</f>
        <v>0</v>
      </c>
      <c r="N2817" s="110">
        <f>K2817-tblAquisições[[#This Row],[QUANTIDADE PLANEJADA]]</f>
        <v>-5</v>
      </c>
      <c r="O2817" s="106" t="str">
        <f t="shared" si="87"/>
        <v>Faltando Comprar</v>
      </c>
    </row>
    <row r="2818" spans="1:15" ht="31.5">
      <c r="A2818" s="16" t="s">
        <v>17</v>
      </c>
      <c r="B2818" s="16" t="s">
        <v>26</v>
      </c>
      <c r="C2818" s="17" t="s">
        <v>19</v>
      </c>
      <c r="D2818" s="18" t="s">
        <v>1587</v>
      </c>
      <c r="E2818" s="18">
        <v>5</v>
      </c>
      <c r="F2818" s="18" t="s">
        <v>170</v>
      </c>
      <c r="G2818" s="18" t="s">
        <v>22</v>
      </c>
      <c r="H2818" s="18" t="s">
        <v>23</v>
      </c>
      <c r="I2818" s="19">
        <v>86.29</v>
      </c>
      <c r="J2818" s="20">
        <f t="shared" ref="J2818:J2881" si="88">E2818*I2818</f>
        <v>431.45000000000005</v>
      </c>
      <c r="K2818" s="106"/>
      <c r="L2818" s="114"/>
      <c r="M2818" s="114">
        <f>tblAquisições[[#This Row],[VALOR UNITARIO COMPRADO]]*tblAquisições[[#This Row],[QUANTIDADE COMPRADA]]</f>
        <v>0</v>
      </c>
      <c r="N2818" s="110">
        <f>K2818-tblAquisições[[#This Row],[QUANTIDADE PLANEJADA]]</f>
        <v>-5</v>
      </c>
      <c r="O2818" s="106" t="str">
        <f t="shared" ref="O2818:O2881" si="89">IF(K2818=E2818,"OK",IF(K2818&lt;E2818,"Faltando Comprar","Excedente"))</f>
        <v>Faltando Comprar</v>
      </c>
    </row>
    <row r="2819" spans="1:15" ht="31.5">
      <c r="A2819" s="16" t="s">
        <v>17</v>
      </c>
      <c r="B2819" s="16" t="s">
        <v>72</v>
      </c>
      <c r="C2819" s="17" t="s">
        <v>19</v>
      </c>
      <c r="D2819" s="18" t="s">
        <v>1587</v>
      </c>
      <c r="E2819" s="18">
        <v>5</v>
      </c>
      <c r="F2819" s="18" t="s">
        <v>170</v>
      </c>
      <c r="G2819" s="18" t="s">
        <v>22</v>
      </c>
      <c r="H2819" s="18" t="s">
        <v>23</v>
      </c>
      <c r="I2819" s="19">
        <v>86.29</v>
      </c>
      <c r="J2819" s="20">
        <f t="shared" si="88"/>
        <v>431.45000000000005</v>
      </c>
      <c r="K2819" s="106"/>
      <c r="L2819" s="114"/>
      <c r="M2819" s="114">
        <f>tblAquisições[[#This Row],[VALOR UNITARIO COMPRADO]]*tblAquisições[[#This Row],[QUANTIDADE COMPRADA]]</f>
        <v>0</v>
      </c>
      <c r="N2819" s="110">
        <f>K2819-tblAquisições[[#This Row],[QUANTIDADE PLANEJADA]]</f>
        <v>-5</v>
      </c>
      <c r="O2819" s="106" t="str">
        <f t="shared" si="89"/>
        <v>Faltando Comprar</v>
      </c>
    </row>
    <row r="2820" spans="1:15" ht="31.5">
      <c r="A2820" s="16" t="s">
        <v>17</v>
      </c>
      <c r="B2820" s="16" t="s">
        <v>26</v>
      </c>
      <c r="C2820" s="17" t="s">
        <v>19</v>
      </c>
      <c r="D2820" s="18" t="s">
        <v>1588</v>
      </c>
      <c r="E2820" s="18">
        <v>5</v>
      </c>
      <c r="F2820" s="18" t="s">
        <v>30</v>
      </c>
      <c r="G2820" s="18" t="s">
        <v>22</v>
      </c>
      <c r="H2820" s="18" t="s">
        <v>23</v>
      </c>
      <c r="I2820" s="19">
        <v>979.84299999999996</v>
      </c>
      <c r="J2820" s="20">
        <f t="shared" si="88"/>
        <v>4899.2150000000001</v>
      </c>
      <c r="K2820" s="106"/>
      <c r="L2820" s="114"/>
      <c r="M2820" s="114">
        <f>tblAquisições[[#This Row],[VALOR UNITARIO COMPRADO]]*tblAquisições[[#This Row],[QUANTIDADE COMPRADA]]</f>
        <v>0</v>
      </c>
      <c r="N2820" s="110">
        <f>K2820-tblAquisições[[#This Row],[QUANTIDADE PLANEJADA]]</f>
        <v>-5</v>
      </c>
      <c r="O2820" s="106" t="str">
        <f t="shared" si="89"/>
        <v>Faltando Comprar</v>
      </c>
    </row>
    <row r="2821" spans="1:15" ht="31.5">
      <c r="A2821" s="16" t="s">
        <v>17</v>
      </c>
      <c r="B2821" s="16" t="s">
        <v>26</v>
      </c>
      <c r="C2821" s="17" t="s">
        <v>19</v>
      </c>
      <c r="D2821" s="18" t="s">
        <v>1589</v>
      </c>
      <c r="E2821" s="18">
        <v>5</v>
      </c>
      <c r="F2821" s="18" t="s">
        <v>30</v>
      </c>
      <c r="G2821" s="18" t="s">
        <v>22</v>
      </c>
      <c r="H2821" s="18" t="s">
        <v>23</v>
      </c>
      <c r="I2821" s="19">
        <v>535.69000000000005</v>
      </c>
      <c r="J2821" s="20">
        <f t="shared" si="88"/>
        <v>2678.4500000000003</v>
      </c>
      <c r="K2821" s="106"/>
      <c r="L2821" s="114"/>
      <c r="M2821" s="114">
        <f>tblAquisições[[#This Row],[VALOR UNITARIO COMPRADO]]*tblAquisições[[#This Row],[QUANTIDADE COMPRADA]]</f>
        <v>0</v>
      </c>
      <c r="N2821" s="110">
        <f>K2821-tblAquisições[[#This Row],[QUANTIDADE PLANEJADA]]</f>
        <v>-5</v>
      </c>
      <c r="O2821" s="106" t="str">
        <f t="shared" si="89"/>
        <v>Faltando Comprar</v>
      </c>
    </row>
    <row r="2822" spans="1:15" ht="31.5">
      <c r="A2822" s="16" t="s">
        <v>17</v>
      </c>
      <c r="B2822" s="16" t="s">
        <v>26</v>
      </c>
      <c r="C2822" s="17" t="s">
        <v>19</v>
      </c>
      <c r="D2822" s="18" t="s">
        <v>1590</v>
      </c>
      <c r="E2822" s="18">
        <v>12</v>
      </c>
      <c r="F2822" s="18" t="s">
        <v>30</v>
      </c>
      <c r="G2822" s="18" t="s">
        <v>22</v>
      </c>
      <c r="H2822" s="18" t="s">
        <v>23</v>
      </c>
      <c r="I2822" s="19">
        <v>53.34</v>
      </c>
      <c r="J2822" s="20">
        <f t="shared" si="88"/>
        <v>640.08000000000004</v>
      </c>
      <c r="K2822" s="106"/>
      <c r="L2822" s="114"/>
      <c r="M2822" s="114">
        <f>tblAquisições[[#This Row],[VALOR UNITARIO COMPRADO]]*tblAquisições[[#This Row],[QUANTIDADE COMPRADA]]</f>
        <v>0</v>
      </c>
      <c r="N2822" s="110">
        <f>K2822-tblAquisições[[#This Row],[QUANTIDADE PLANEJADA]]</f>
        <v>-12</v>
      </c>
      <c r="O2822" s="106" t="str">
        <f t="shared" si="89"/>
        <v>Faltando Comprar</v>
      </c>
    </row>
    <row r="2823" spans="1:15" ht="31.5">
      <c r="A2823" s="16" t="s">
        <v>17</v>
      </c>
      <c r="B2823" s="16" t="s">
        <v>26</v>
      </c>
      <c r="C2823" s="17" t="s">
        <v>19</v>
      </c>
      <c r="D2823" s="18" t="s">
        <v>1591</v>
      </c>
      <c r="E2823" s="18">
        <v>20</v>
      </c>
      <c r="F2823" s="18" t="s">
        <v>21</v>
      </c>
      <c r="G2823" s="18" t="s">
        <v>22</v>
      </c>
      <c r="H2823" s="18" t="s">
        <v>23</v>
      </c>
      <c r="I2823" s="19">
        <v>18.66</v>
      </c>
      <c r="J2823" s="20">
        <f t="shared" si="88"/>
        <v>373.2</v>
      </c>
      <c r="K2823" s="106"/>
      <c r="L2823" s="114"/>
      <c r="M2823" s="114">
        <f>tblAquisições[[#This Row],[VALOR UNITARIO COMPRADO]]*tblAquisições[[#This Row],[QUANTIDADE COMPRADA]]</f>
        <v>0</v>
      </c>
      <c r="N2823" s="110">
        <f>K2823-tblAquisições[[#This Row],[QUANTIDADE PLANEJADA]]</f>
        <v>-20</v>
      </c>
      <c r="O2823" s="106" t="str">
        <f t="shared" si="89"/>
        <v>Faltando Comprar</v>
      </c>
    </row>
    <row r="2824" spans="1:15" ht="31.5">
      <c r="A2824" s="16" t="s">
        <v>17</v>
      </c>
      <c r="B2824" s="16" t="s">
        <v>28</v>
      </c>
      <c r="C2824" s="17" t="s">
        <v>19</v>
      </c>
      <c r="D2824" s="18" t="s">
        <v>1591</v>
      </c>
      <c r="E2824" s="18">
        <v>60</v>
      </c>
      <c r="F2824" s="18" t="s">
        <v>21</v>
      </c>
      <c r="G2824" s="18" t="s">
        <v>22</v>
      </c>
      <c r="H2824" s="18" t="s">
        <v>23</v>
      </c>
      <c r="I2824" s="19">
        <v>18.66</v>
      </c>
      <c r="J2824" s="20">
        <f t="shared" si="88"/>
        <v>1119.5999999999999</v>
      </c>
      <c r="K2824" s="106"/>
      <c r="L2824" s="114"/>
      <c r="M2824" s="114">
        <f>tblAquisições[[#This Row],[VALOR UNITARIO COMPRADO]]*tblAquisições[[#This Row],[QUANTIDADE COMPRADA]]</f>
        <v>0</v>
      </c>
      <c r="N2824" s="110">
        <f>K2824-tblAquisições[[#This Row],[QUANTIDADE PLANEJADA]]</f>
        <v>-60</v>
      </c>
      <c r="O2824" s="106" t="str">
        <f t="shared" si="89"/>
        <v>Faltando Comprar</v>
      </c>
    </row>
    <row r="2825" spans="1:15" ht="31.5">
      <c r="A2825" s="16" t="s">
        <v>17</v>
      </c>
      <c r="B2825" s="16" t="s">
        <v>26</v>
      </c>
      <c r="C2825" s="17" t="s">
        <v>19</v>
      </c>
      <c r="D2825" s="18" t="s">
        <v>1592</v>
      </c>
      <c r="E2825" s="18">
        <v>100</v>
      </c>
      <c r="F2825" s="18" t="s">
        <v>30</v>
      </c>
      <c r="G2825" s="18" t="s">
        <v>22</v>
      </c>
      <c r="H2825" s="18" t="s">
        <v>23</v>
      </c>
      <c r="I2825" s="19">
        <v>124.85</v>
      </c>
      <c r="J2825" s="20">
        <f t="shared" si="88"/>
        <v>12485</v>
      </c>
      <c r="K2825" s="106"/>
      <c r="L2825" s="114"/>
      <c r="M2825" s="114">
        <f>tblAquisições[[#This Row],[VALOR UNITARIO COMPRADO]]*tblAquisições[[#This Row],[QUANTIDADE COMPRADA]]</f>
        <v>0</v>
      </c>
      <c r="N2825" s="110">
        <f>K2825-tblAquisições[[#This Row],[QUANTIDADE PLANEJADA]]</f>
        <v>-100</v>
      </c>
      <c r="O2825" s="106" t="str">
        <f t="shared" si="89"/>
        <v>Faltando Comprar</v>
      </c>
    </row>
    <row r="2826" spans="1:15" ht="47.25">
      <c r="A2826" s="16" t="s">
        <v>17</v>
      </c>
      <c r="B2826" s="16" t="s">
        <v>72</v>
      </c>
      <c r="C2826" s="17" t="s">
        <v>19</v>
      </c>
      <c r="D2826" s="18" t="s">
        <v>1593</v>
      </c>
      <c r="E2826" s="18">
        <v>24</v>
      </c>
      <c r="F2826" s="18" t="s">
        <v>58</v>
      </c>
      <c r="G2826" s="18" t="s">
        <v>22</v>
      </c>
      <c r="H2826" s="18" t="s">
        <v>23</v>
      </c>
      <c r="I2826" s="19">
        <v>17</v>
      </c>
      <c r="J2826" s="20">
        <f t="shared" si="88"/>
        <v>408</v>
      </c>
      <c r="K2826" s="106"/>
      <c r="L2826" s="114"/>
      <c r="M2826" s="114">
        <f>tblAquisições[[#This Row],[VALOR UNITARIO COMPRADO]]*tblAquisições[[#This Row],[QUANTIDADE COMPRADA]]</f>
        <v>0</v>
      </c>
      <c r="N2826" s="110">
        <f>K2826-tblAquisições[[#This Row],[QUANTIDADE PLANEJADA]]</f>
        <v>-24</v>
      </c>
      <c r="O2826" s="106" t="str">
        <f t="shared" si="89"/>
        <v>Faltando Comprar</v>
      </c>
    </row>
    <row r="2827" spans="1:15" ht="47.25">
      <c r="A2827" s="16" t="s">
        <v>17</v>
      </c>
      <c r="B2827" s="16" t="s">
        <v>80</v>
      </c>
      <c r="C2827" s="17" t="s">
        <v>19</v>
      </c>
      <c r="D2827" s="18" t="s">
        <v>1594</v>
      </c>
      <c r="E2827" s="18">
        <v>1</v>
      </c>
      <c r="F2827" s="18" t="s">
        <v>96</v>
      </c>
      <c r="G2827" s="18" t="s">
        <v>39</v>
      </c>
      <c r="H2827" s="18" t="s">
        <v>65</v>
      </c>
      <c r="I2827" s="19">
        <v>9.01</v>
      </c>
      <c r="J2827" s="20">
        <f t="shared" si="88"/>
        <v>9.01</v>
      </c>
      <c r="K2827" s="106"/>
      <c r="L2827" s="114"/>
      <c r="M2827" s="114">
        <f>tblAquisições[[#This Row],[VALOR UNITARIO COMPRADO]]*tblAquisições[[#This Row],[QUANTIDADE COMPRADA]]</f>
        <v>0</v>
      </c>
      <c r="N2827" s="110">
        <f>K2827-tblAquisições[[#This Row],[QUANTIDADE PLANEJADA]]</f>
        <v>-1</v>
      </c>
      <c r="O2827" s="106" t="str">
        <f t="shared" si="89"/>
        <v>Faltando Comprar</v>
      </c>
    </row>
    <row r="2828" spans="1:15" ht="47.25">
      <c r="A2828" s="16" t="s">
        <v>17</v>
      </c>
      <c r="B2828" s="16" t="s">
        <v>34</v>
      </c>
      <c r="C2828" s="17" t="s">
        <v>19</v>
      </c>
      <c r="D2828" s="18" t="s">
        <v>1595</v>
      </c>
      <c r="E2828" s="18">
        <v>1</v>
      </c>
      <c r="F2828" s="18" t="s">
        <v>58</v>
      </c>
      <c r="G2828" s="18" t="s">
        <v>22</v>
      </c>
      <c r="H2828" s="18" t="s">
        <v>65</v>
      </c>
      <c r="I2828" s="19">
        <v>9.01</v>
      </c>
      <c r="J2828" s="20">
        <f t="shared" si="88"/>
        <v>9.01</v>
      </c>
      <c r="K2828" s="106"/>
      <c r="L2828" s="114"/>
      <c r="M2828" s="114">
        <f>tblAquisições[[#This Row],[VALOR UNITARIO COMPRADO]]*tblAquisições[[#This Row],[QUANTIDADE COMPRADA]]</f>
        <v>0</v>
      </c>
      <c r="N2828" s="110">
        <f>K2828-tblAquisições[[#This Row],[QUANTIDADE PLANEJADA]]</f>
        <v>-1</v>
      </c>
      <c r="O2828" s="106" t="str">
        <f t="shared" si="89"/>
        <v>Faltando Comprar</v>
      </c>
    </row>
    <row r="2829" spans="1:15" ht="47.25">
      <c r="A2829" s="16" t="s">
        <v>17</v>
      </c>
      <c r="B2829" s="16" t="s">
        <v>26</v>
      </c>
      <c r="C2829" s="17" t="s">
        <v>19</v>
      </c>
      <c r="D2829" s="18" t="s">
        <v>1595</v>
      </c>
      <c r="E2829" s="18">
        <v>6</v>
      </c>
      <c r="F2829" s="18" t="s">
        <v>58</v>
      </c>
      <c r="G2829" s="18" t="s">
        <v>22</v>
      </c>
      <c r="H2829" s="18" t="s">
        <v>23</v>
      </c>
      <c r="I2829" s="19">
        <v>9.01</v>
      </c>
      <c r="J2829" s="20">
        <f t="shared" si="88"/>
        <v>54.06</v>
      </c>
      <c r="K2829" s="106"/>
      <c r="L2829" s="114"/>
      <c r="M2829" s="114">
        <f>tblAquisições[[#This Row],[VALOR UNITARIO COMPRADO]]*tblAquisições[[#This Row],[QUANTIDADE COMPRADA]]</f>
        <v>0</v>
      </c>
      <c r="N2829" s="110">
        <f>K2829-tblAquisições[[#This Row],[QUANTIDADE PLANEJADA]]</f>
        <v>-6</v>
      </c>
      <c r="O2829" s="106" t="str">
        <f t="shared" si="89"/>
        <v>Faltando Comprar</v>
      </c>
    </row>
    <row r="2830" spans="1:15" ht="47.25">
      <c r="A2830" s="16" t="s">
        <v>17</v>
      </c>
      <c r="B2830" s="16" t="s">
        <v>72</v>
      </c>
      <c r="C2830" s="17" t="s">
        <v>19</v>
      </c>
      <c r="D2830" s="18" t="s">
        <v>1595</v>
      </c>
      <c r="E2830" s="18">
        <v>5</v>
      </c>
      <c r="F2830" s="18" t="s">
        <v>58</v>
      </c>
      <c r="G2830" s="18" t="s">
        <v>22</v>
      </c>
      <c r="H2830" s="18" t="s">
        <v>23</v>
      </c>
      <c r="I2830" s="19">
        <v>9.01</v>
      </c>
      <c r="J2830" s="20">
        <f t="shared" si="88"/>
        <v>45.05</v>
      </c>
      <c r="K2830" s="106"/>
      <c r="L2830" s="114"/>
      <c r="M2830" s="114">
        <f>tblAquisições[[#This Row],[VALOR UNITARIO COMPRADO]]*tblAquisições[[#This Row],[QUANTIDADE COMPRADA]]</f>
        <v>0</v>
      </c>
      <c r="N2830" s="110">
        <f>K2830-tblAquisições[[#This Row],[QUANTIDADE PLANEJADA]]</f>
        <v>-5</v>
      </c>
      <c r="O2830" s="106" t="str">
        <f t="shared" si="89"/>
        <v>Faltando Comprar</v>
      </c>
    </row>
    <row r="2831" spans="1:15" ht="47.25">
      <c r="A2831" s="16" t="s">
        <v>17</v>
      </c>
      <c r="B2831" s="16" t="s">
        <v>59</v>
      </c>
      <c r="C2831" s="17" t="s">
        <v>19</v>
      </c>
      <c r="D2831" s="18" t="s">
        <v>1595</v>
      </c>
      <c r="E2831" s="18">
        <v>12</v>
      </c>
      <c r="F2831" s="18" t="s">
        <v>58</v>
      </c>
      <c r="G2831" s="18" t="s">
        <v>22</v>
      </c>
      <c r="H2831" s="18" t="s">
        <v>23</v>
      </c>
      <c r="I2831" s="19">
        <v>9.01</v>
      </c>
      <c r="J2831" s="20">
        <f t="shared" si="88"/>
        <v>108.12</v>
      </c>
      <c r="K2831" s="106"/>
      <c r="L2831" s="114"/>
      <c r="M2831" s="114">
        <f>tblAquisições[[#This Row],[VALOR UNITARIO COMPRADO]]*tblAquisições[[#This Row],[QUANTIDADE COMPRADA]]</f>
        <v>0</v>
      </c>
      <c r="N2831" s="110">
        <f>K2831-tblAquisições[[#This Row],[QUANTIDADE PLANEJADA]]</f>
        <v>-12</v>
      </c>
      <c r="O2831" s="106" t="str">
        <f t="shared" si="89"/>
        <v>Faltando Comprar</v>
      </c>
    </row>
    <row r="2832" spans="1:15" ht="47.25">
      <c r="A2832" s="16" t="s">
        <v>17</v>
      </c>
      <c r="B2832" s="16" t="s">
        <v>28</v>
      </c>
      <c r="C2832" s="17" t="s">
        <v>19</v>
      </c>
      <c r="D2832" s="18" t="s">
        <v>1596</v>
      </c>
      <c r="E2832" s="18">
        <v>10</v>
      </c>
      <c r="F2832" s="18" t="s">
        <v>78</v>
      </c>
      <c r="G2832" s="18" t="s">
        <v>22</v>
      </c>
      <c r="H2832" s="18" t="s">
        <v>65</v>
      </c>
      <c r="I2832" s="24">
        <v>261.73</v>
      </c>
      <c r="J2832" s="20">
        <f t="shared" si="88"/>
        <v>2617.3000000000002</v>
      </c>
      <c r="K2832" s="106"/>
      <c r="L2832" s="114"/>
      <c r="M2832" s="114">
        <f>tblAquisições[[#This Row],[VALOR UNITARIO COMPRADO]]*tblAquisições[[#This Row],[QUANTIDADE COMPRADA]]</f>
        <v>0</v>
      </c>
      <c r="N2832" s="110">
        <f>K2832-tblAquisições[[#This Row],[QUANTIDADE PLANEJADA]]</f>
        <v>-10</v>
      </c>
      <c r="O2832" s="106" t="str">
        <f t="shared" si="89"/>
        <v>Faltando Comprar</v>
      </c>
    </row>
    <row r="2833" spans="1:15" ht="47.25">
      <c r="A2833" s="16" t="s">
        <v>17</v>
      </c>
      <c r="B2833" s="16" t="s">
        <v>18</v>
      </c>
      <c r="C2833" s="17" t="s">
        <v>19</v>
      </c>
      <c r="D2833" s="18" t="s">
        <v>1597</v>
      </c>
      <c r="E2833" s="18">
        <v>2</v>
      </c>
      <c r="F2833" s="18" t="s">
        <v>1598</v>
      </c>
      <c r="G2833" s="18" t="s">
        <v>127</v>
      </c>
      <c r="H2833" s="18" t="s">
        <v>23</v>
      </c>
      <c r="I2833" s="19">
        <v>10000</v>
      </c>
      <c r="J2833" s="20">
        <f t="shared" si="88"/>
        <v>20000</v>
      </c>
      <c r="K2833" s="106"/>
      <c r="L2833" s="114"/>
      <c r="M2833" s="114">
        <f>tblAquisições[[#This Row],[VALOR UNITARIO COMPRADO]]*tblAquisições[[#This Row],[QUANTIDADE COMPRADA]]</f>
        <v>0</v>
      </c>
      <c r="N2833" s="110">
        <f>K2833-tblAquisições[[#This Row],[QUANTIDADE PLANEJADA]]</f>
        <v>-2</v>
      </c>
      <c r="O2833" s="106" t="str">
        <f t="shared" si="89"/>
        <v>Faltando Comprar</v>
      </c>
    </row>
    <row r="2834" spans="1:15" ht="47.25">
      <c r="A2834" s="16" t="s">
        <v>17</v>
      </c>
      <c r="B2834" s="16" t="s">
        <v>24</v>
      </c>
      <c r="C2834" s="17" t="s">
        <v>19</v>
      </c>
      <c r="D2834" s="18" t="s">
        <v>1597</v>
      </c>
      <c r="E2834" s="18">
        <v>2</v>
      </c>
      <c r="F2834" s="18" t="s">
        <v>1598</v>
      </c>
      <c r="G2834" s="18" t="s">
        <v>127</v>
      </c>
      <c r="H2834" s="18" t="s">
        <v>23</v>
      </c>
      <c r="I2834" s="19">
        <v>10000</v>
      </c>
      <c r="J2834" s="20">
        <f t="shared" si="88"/>
        <v>20000</v>
      </c>
      <c r="K2834" s="106"/>
      <c r="L2834" s="114"/>
      <c r="M2834" s="114">
        <f>tblAquisições[[#This Row],[VALOR UNITARIO COMPRADO]]*tblAquisições[[#This Row],[QUANTIDADE COMPRADA]]</f>
        <v>0</v>
      </c>
      <c r="N2834" s="110">
        <f>K2834-tblAquisições[[#This Row],[QUANTIDADE PLANEJADA]]</f>
        <v>-2</v>
      </c>
      <c r="O2834" s="106" t="str">
        <f t="shared" si="89"/>
        <v>Faltando Comprar</v>
      </c>
    </row>
    <row r="2835" spans="1:15" ht="47.25">
      <c r="A2835" s="16" t="s">
        <v>17</v>
      </c>
      <c r="B2835" s="16" t="s">
        <v>25</v>
      </c>
      <c r="C2835" s="17" t="s">
        <v>19</v>
      </c>
      <c r="D2835" s="18" t="s">
        <v>1597</v>
      </c>
      <c r="E2835" s="18">
        <v>2</v>
      </c>
      <c r="F2835" s="18" t="s">
        <v>1598</v>
      </c>
      <c r="G2835" s="18" t="s">
        <v>127</v>
      </c>
      <c r="H2835" s="18" t="s">
        <v>23</v>
      </c>
      <c r="I2835" s="19">
        <v>10000</v>
      </c>
      <c r="J2835" s="20">
        <f t="shared" si="88"/>
        <v>20000</v>
      </c>
      <c r="K2835" s="106"/>
      <c r="L2835" s="114"/>
      <c r="M2835" s="114">
        <f>tblAquisições[[#This Row],[VALOR UNITARIO COMPRADO]]*tblAquisições[[#This Row],[QUANTIDADE COMPRADA]]</f>
        <v>0</v>
      </c>
      <c r="N2835" s="110">
        <f>K2835-tblAquisições[[#This Row],[QUANTIDADE PLANEJADA]]</f>
        <v>-2</v>
      </c>
      <c r="O2835" s="106" t="str">
        <f t="shared" si="89"/>
        <v>Faltando Comprar</v>
      </c>
    </row>
    <row r="2836" spans="1:15" ht="47.25">
      <c r="A2836" s="16" t="s">
        <v>17</v>
      </c>
      <c r="B2836" s="16" t="s">
        <v>41</v>
      </c>
      <c r="C2836" s="17" t="s">
        <v>19</v>
      </c>
      <c r="D2836" s="18" t="s">
        <v>1597</v>
      </c>
      <c r="E2836" s="18">
        <v>5</v>
      </c>
      <c r="F2836" s="18" t="s">
        <v>1598</v>
      </c>
      <c r="G2836" s="18" t="s">
        <v>127</v>
      </c>
      <c r="H2836" s="18" t="s">
        <v>23</v>
      </c>
      <c r="I2836" s="19">
        <v>10000</v>
      </c>
      <c r="J2836" s="20">
        <f t="shared" si="88"/>
        <v>50000</v>
      </c>
      <c r="K2836" s="106"/>
      <c r="L2836" s="114"/>
      <c r="M2836" s="114">
        <f>tblAquisições[[#This Row],[VALOR UNITARIO COMPRADO]]*tblAquisições[[#This Row],[QUANTIDADE COMPRADA]]</f>
        <v>0</v>
      </c>
      <c r="N2836" s="110">
        <f>K2836-tblAquisições[[#This Row],[QUANTIDADE PLANEJADA]]</f>
        <v>-5</v>
      </c>
      <c r="O2836" s="106" t="str">
        <f t="shared" si="89"/>
        <v>Faltando Comprar</v>
      </c>
    </row>
    <row r="2837" spans="1:15" ht="63">
      <c r="A2837" s="16" t="s">
        <v>17</v>
      </c>
      <c r="B2837" s="16" t="s">
        <v>80</v>
      </c>
      <c r="C2837" s="17" t="s">
        <v>19</v>
      </c>
      <c r="D2837" s="18" t="s">
        <v>1599</v>
      </c>
      <c r="E2837" s="18">
        <v>1</v>
      </c>
      <c r="F2837" s="18" t="s">
        <v>1600</v>
      </c>
      <c r="G2837" s="18" t="s">
        <v>775</v>
      </c>
      <c r="H2837" s="21"/>
      <c r="I2837" s="19">
        <v>12500</v>
      </c>
      <c r="J2837" s="20">
        <f t="shared" si="88"/>
        <v>12500</v>
      </c>
      <c r="K2837" s="106"/>
      <c r="L2837" s="114"/>
      <c r="M2837" s="114">
        <f>tblAquisições[[#This Row],[VALOR UNITARIO COMPRADO]]*tblAquisições[[#This Row],[QUANTIDADE COMPRADA]]</f>
        <v>0</v>
      </c>
      <c r="N2837" s="110">
        <f>K2837-tblAquisições[[#This Row],[QUANTIDADE PLANEJADA]]</f>
        <v>-1</v>
      </c>
      <c r="O2837" s="106" t="str">
        <f t="shared" si="89"/>
        <v>Faltando Comprar</v>
      </c>
    </row>
    <row r="2838" spans="1:15" ht="47.25">
      <c r="A2838" s="16" t="s">
        <v>17</v>
      </c>
      <c r="B2838" s="16" t="s">
        <v>25</v>
      </c>
      <c r="C2838" s="17" t="s">
        <v>19</v>
      </c>
      <c r="D2838" s="18" t="s">
        <v>1601</v>
      </c>
      <c r="E2838" s="18">
        <v>5</v>
      </c>
      <c r="F2838" s="18" t="s">
        <v>1598</v>
      </c>
      <c r="G2838" s="18" t="s">
        <v>127</v>
      </c>
      <c r="H2838" s="18" t="s">
        <v>23</v>
      </c>
      <c r="I2838" s="19">
        <v>12500</v>
      </c>
      <c r="J2838" s="20">
        <f t="shared" si="88"/>
        <v>62500</v>
      </c>
      <c r="K2838" s="106"/>
      <c r="L2838" s="114"/>
      <c r="M2838" s="114">
        <f>tblAquisições[[#This Row],[VALOR UNITARIO COMPRADO]]*tblAquisições[[#This Row],[QUANTIDADE COMPRADA]]</f>
        <v>0</v>
      </c>
      <c r="N2838" s="110">
        <f>K2838-tblAquisições[[#This Row],[QUANTIDADE PLANEJADA]]</f>
        <v>-5</v>
      </c>
      <c r="O2838" s="106" t="str">
        <f t="shared" si="89"/>
        <v>Faltando Comprar</v>
      </c>
    </row>
    <row r="2839" spans="1:15" ht="47.25">
      <c r="A2839" s="16" t="s">
        <v>17</v>
      </c>
      <c r="B2839" s="16" t="s">
        <v>26</v>
      </c>
      <c r="C2839" s="17" t="s">
        <v>19</v>
      </c>
      <c r="D2839" s="18" t="s">
        <v>1602</v>
      </c>
      <c r="E2839" s="18">
        <v>5</v>
      </c>
      <c r="F2839" s="18" t="s">
        <v>58</v>
      </c>
      <c r="G2839" s="18" t="s">
        <v>22</v>
      </c>
      <c r="H2839" s="18" t="s">
        <v>23</v>
      </c>
      <c r="I2839" s="19">
        <v>27.96</v>
      </c>
      <c r="J2839" s="20">
        <f t="shared" si="88"/>
        <v>139.80000000000001</v>
      </c>
      <c r="K2839" s="106"/>
      <c r="L2839" s="114"/>
      <c r="M2839" s="114">
        <f>tblAquisições[[#This Row],[VALOR UNITARIO COMPRADO]]*tblAquisições[[#This Row],[QUANTIDADE COMPRADA]]</f>
        <v>0</v>
      </c>
      <c r="N2839" s="110">
        <f>K2839-tblAquisições[[#This Row],[QUANTIDADE PLANEJADA]]</f>
        <v>-5</v>
      </c>
      <c r="O2839" s="106" t="str">
        <f t="shared" si="89"/>
        <v>Faltando Comprar</v>
      </c>
    </row>
    <row r="2840" spans="1:15" ht="47.25">
      <c r="A2840" s="16" t="s">
        <v>17</v>
      </c>
      <c r="B2840" s="16" t="s">
        <v>72</v>
      </c>
      <c r="C2840" s="17" t="s">
        <v>19</v>
      </c>
      <c r="D2840" s="18" t="s">
        <v>1603</v>
      </c>
      <c r="E2840" s="18">
        <v>2</v>
      </c>
      <c r="F2840" s="18" t="s">
        <v>58</v>
      </c>
      <c r="G2840" s="18" t="s">
        <v>22</v>
      </c>
      <c r="H2840" s="18" t="s">
        <v>23</v>
      </c>
      <c r="I2840" s="19">
        <v>17.600000000000001</v>
      </c>
      <c r="J2840" s="20">
        <f t="shared" si="88"/>
        <v>35.200000000000003</v>
      </c>
      <c r="K2840" s="106"/>
      <c r="L2840" s="114"/>
      <c r="M2840" s="114">
        <f>tblAquisições[[#This Row],[VALOR UNITARIO COMPRADO]]*tblAquisições[[#This Row],[QUANTIDADE COMPRADA]]</f>
        <v>0</v>
      </c>
      <c r="N2840" s="110">
        <f>K2840-tblAquisições[[#This Row],[QUANTIDADE PLANEJADA]]</f>
        <v>-2</v>
      </c>
      <c r="O2840" s="106" t="str">
        <f t="shared" si="89"/>
        <v>Faltando Comprar</v>
      </c>
    </row>
    <row r="2841" spans="1:15" ht="47.25">
      <c r="A2841" s="16" t="s">
        <v>17</v>
      </c>
      <c r="B2841" s="16" t="s">
        <v>72</v>
      </c>
      <c r="C2841" s="17" t="s">
        <v>19</v>
      </c>
      <c r="D2841" s="18" t="s">
        <v>1604</v>
      </c>
      <c r="E2841" s="18">
        <v>12</v>
      </c>
      <c r="F2841" s="18" t="s">
        <v>58</v>
      </c>
      <c r="G2841" s="18" t="s">
        <v>22</v>
      </c>
      <c r="H2841" s="18" t="s">
        <v>23</v>
      </c>
      <c r="I2841" s="19">
        <v>18.579999999999998</v>
      </c>
      <c r="J2841" s="20">
        <f t="shared" si="88"/>
        <v>222.95999999999998</v>
      </c>
      <c r="K2841" s="106"/>
      <c r="L2841" s="114"/>
      <c r="M2841" s="114">
        <f>tblAquisições[[#This Row],[VALOR UNITARIO COMPRADO]]*tblAquisições[[#This Row],[QUANTIDADE COMPRADA]]</f>
        <v>0</v>
      </c>
      <c r="N2841" s="110">
        <f>K2841-tblAquisições[[#This Row],[QUANTIDADE PLANEJADA]]</f>
        <v>-12</v>
      </c>
      <c r="O2841" s="106" t="str">
        <f t="shared" si="89"/>
        <v>Faltando Comprar</v>
      </c>
    </row>
    <row r="2842" spans="1:15" ht="63">
      <c r="A2842" s="16" t="s">
        <v>17</v>
      </c>
      <c r="B2842" s="16" t="s">
        <v>18</v>
      </c>
      <c r="C2842" s="17" t="s">
        <v>19</v>
      </c>
      <c r="D2842" s="18" t="s">
        <v>1605</v>
      </c>
      <c r="E2842" s="18">
        <v>3</v>
      </c>
      <c r="F2842" s="18" t="s">
        <v>1371</v>
      </c>
      <c r="G2842" s="18" t="s">
        <v>127</v>
      </c>
      <c r="H2842" s="18" t="s">
        <v>23</v>
      </c>
      <c r="I2842" s="19">
        <v>4500</v>
      </c>
      <c r="J2842" s="20">
        <f t="shared" si="88"/>
        <v>13500</v>
      </c>
      <c r="K2842" s="106"/>
      <c r="L2842" s="114"/>
      <c r="M2842" s="114">
        <f>tblAquisições[[#This Row],[VALOR UNITARIO COMPRADO]]*tblAquisições[[#This Row],[QUANTIDADE COMPRADA]]</f>
        <v>0</v>
      </c>
      <c r="N2842" s="110">
        <f>K2842-tblAquisições[[#This Row],[QUANTIDADE PLANEJADA]]</f>
        <v>-3</v>
      </c>
      <c r="O2842" s="106" t="str">
        <f t="shared" si="89"/>
        <v>Faltando Comprar</v>
      </c>
    </row>
    <row r="2843" spans="1:15" ht="63">
      <c r="A2843" s="16" t="s">
        <v>17</v>
      </c>
      <c r="B2843" s="16" t="s">
        <v>24</v>
      </c>
      <c r="C2843" s="17" t="s">
        <v>19</v>
      </c>
      <c r="D2843" s="18" t="s">
        <v>1605</v>
      </c>
      <c r="E2843" s="18">
        <v>3</v>
      </c>
      <c r="F2843" s="18" t="s">
        <v>1371</v>
      </c>
      <c r="G2843" s="18" t="s">
        <v>127</v>
      </c>
      <c r="H2843" s="18" t="s">
        <v>23</v>
      </c>
      <c r="I2843" s="19">
        <v>4500</v>
      </c>
      <c r="J2843" s="20">
        <f t="shared" si="88"/>
        <v>13500</v>
      </c>
      <c r="K2843" s="106"/>
      <c r="L2843" s="114"/>
      <c r="M2843" s="114">
        <f>tblAquisições[[#This Row],[VALOR UNITARIO COMPRADO]]*tblAquisições[[#This Row],[QUANTIDADE COMPRADA]]</f>
        <v>0</v>
      </c>
      <c r="N2843" s="110">
        <f>K2843-tblAquisições[[#This Row],[QUANTIDADE PLANEJADA]]</f>
        <v>-3</v>
      </c>
      <c r="O2843" s="106" t="str">
        <f t="shared" si="89"/>
        <v>Faltando Comprar</v>
      </c>
    </row>
    <row r="2844" spans="1:15" ht="63">
      <c r="A2844" s="16" t="s">
        <v>17</v>
      </c>
      <c r="B2844" s="16" t="s">
        <v>25</v>
      </c>
      <c r="C2844" s="17" t="s">
        <v>19</v>
      </c>
      <c r="D2844" s="18" t="s">
        <v>1605</v>
      </c>
      <c r="E2844" s="18">
        <v>3</v>
      </c>
      <c r="F2844" s="18" t="s">
        <v>1371</v>
      </c>
      <c r="G2844" s="18" t="s">
        <v>127</v>
      </c>
      <c r="H2844" s="18" t="s">
        <v>23</v>
      </c>
      <c r="I2844" s="19">
        <v>4500</v>
      </c>
      <c r="J2844" s="20">
        <f t="shared" si="88"/>
        <v>13500</v>
      </c>
      <c r="K2844" s="106"/>
      <c r="L2844" s="114"/>
      <c r="M2844" s="114">
        <f>tblAquisições[[#This Row],[VALOR UNITARIO COMPRADO]]*tblAquisições[[#This Row],[QUANTIDADE COMPRADA]]</f>
        <v>0</v>
      </c>
      <c r="N2844" s="110">
        <f>K2844-tblAquisições[[#This Row],[QUANTIDADE PLANEJADA]]</f>
        <v>-3</v>
      </c>
      <c r="O2844" s="106" t="str">
        <f t="shared" si="89"/>
        <v>Faltando Comprar</v>
      </c>
    </row>
    <row r="2845" spans="1:15" ht="63">
      <c r="A2845" s="16" t="s">
        <v>17</v>
      </c>
      <c r="B2845" s="16" t="s">
        <v>41</v>
      </c>
      <c r="C2845" s="17" t="s">
        <v>19</v>
      </c>
      <c r="D2845" s="18" t="s">
        <v>1605</v>
      </c>
      <c r="E2845" s="18">
        <v>1</v>
      </c>
      <c r="F2845" s="18" t="s">
        <v>1371</v>
      </c>
      <c r="G2845" s="18" t="s">
        <v>127</v>
      </c>
      <c r="H2845" s="18" t="s">
        <v>23</v>
      </c>
      <c r="I2845" s="19">
        <v>4500</v>
      </c>
      <c r="J2845" s="20">
        <f t="shared" si="88"/>
        <v>4500</v>
      </c>
      <c r="K2845" s="106"/>
      <c r="L2845" s="114"/>
      <c r="M2845" s="114">
        <f>tblAquisições[[#This Row],[VALOR UNITARIO COMPRADO]]*tblAquisições[[#This Row],[QUANTIDADE COMPRADA]]</f>
        <v>0</v>
      </c>
      <c r="N2845" s="110">
        <f>K2845-tblAquisições[[#This Row],[QUANTIDADE PLANEJADA]]</f>
        <v>-1</v>
      </c>
      <c r="O2845" s="106" t="str">
        <f t="shared" si="89"/>
        <v>Faltando Comprar</v>
      </c>
    </row>
    <row r="2846" spans="1:15" ht="63">
      <c r="A2846" s="16" t="s">
        <v>17</v>
      </c>
      <c r="B2846" s="16" t="s">
        <v>18</v>
      </c>
      <c r="C2846" s="17" t="s">
        <v>19</v>
      </c>
      <c r="D2846" s="18" t="s">
        <v>1606</v>
      </c>
      <c r="E2846" s="18">
        <v>7</v>
      </c>
      <c r="F2846" s="18" t="s">
        <v>1371</v>
      </c>
      <c r="G2846" s="18" t="s">
        <v>127</v>
      </c>
      <c r="H2846" s="18" t="s">
        <v>23</v>
      </c>
      <c r="I2846" s="19">
        <v>7500</v>
      </c>
      <c r="J2846" s="20">
        <f t="shared" si="88"/>
        <v>52500</v>
      </c>
      <c r="K2846" s="106"/>
      <c r="L2846" s="114"/>
      <c r="M2846" s="114">
        <f>tblAquisições[[#This Row],[VALOR UNITARIO COMPRADO]]*tblAquisições[[#This Row],[QUANTIDADE COMPRADA]]</f>
        <v>0</v>
      </c>
      <c r="N2846" s="110">
        <f>K2846-tblAquisições[[#This Row],[QUANTIDADE PLANEJADA]]</f>
        <v>-7</v>
      </c>
      <c r="O2846" s="106" t="str">
        <f t="shared" si="89"/>
        <v>Faltando Comprar</v>
      </c>
    </row>
    <row r="2847" spans="1:15" ht="63">
      <c r="A2847" s="16" t="s">
        <v>17</v>
      </c>
      <c r="B2847" s="16" t="s">
        <v>24</v>
      </c>
      <c r="C2847" s="17" t="s">
        <v>19</v>
      </c>
      <c r="D2847" s="18" t="s">
        <v>1606</v>
      </c>
      <c r="E2847" s="18">
        <v>7</v>
      </c>
      <c r="F2847" s="18" t="s">
        <v>1371</v>
      </c>
      <c r="G2847" s="18" t="s">
        <v>127</v>
      </c>
      <c r="H2847" s="18" t="s">
        <v>23</v>
      </c>
      <c r="I2847" s="19">
        <v>7500</v>
      </c>
      <c r="J2847" s="20">
        <f t="shared" si="88"/>
        <v>52500</v>
      </c>
      <c r="K2847" s="106"/>
      <c r="L2847" s="114"/>
      <c r="M2847" s="114">
        <f>tblAquisições[[#This Row],[VALOR UNITARIO COMPRADO]]*tblAquisições[[#This Row],[QUANTIDADE COMPRADA]]</f>
        <v>0</v>
      </c>
      <c r="N2847" s="110">
        <f>K2847-tblAquisições[[#This Row],[QUANTIDADE PLANEJADA]]</f>
        <v>-7</v>
      </c>
      <c r="O2847" s="106" t="str">
        <f t="shared" si="89"/>
        <v>Faltando Comprar</v>
      </c>
    </row>
    <row r="2848" spans="1:15" ht="63">
      <c r="A2848" s="16" t="s">
        <v>17</v>
      </c>
      <c r="B2848" s="16" t="s">
        <v>25</v>
      </c>
      <c r="C2848" s="17" t="s">
        <v>19</v>
      </c>
      <c r="D2848" s="18" t="s">
        <v>1606</v>
      </c>
      <c r="E2848" s="18">
        <v>7</v>
      </c>
      <c r="F2848" s="18" t="s">
        <v>1371</v>
      </c>
      <c r="G2848" s="18" t="s">
        <v>127</v>
      </c>
      <c r="H2848" s="18" t="s">
        <v>23</v>
      </c>
      <c r="I2848" s="19">
        <v>7500</v>
      </c>
      <c r="J2848" s="20">
        <f t="shared" si="88"/>
        <v>52500</v>
      </c>
      <c r="K2848" s="106"/>
      <c r="L2848" s="114"/>
      <c r="M2848" s="114">
        <f>tblAquisições[[#This Row],[VALOR UNITARIO COMPRADO]]*tblAquisições[[#This Row],[QUANTIDADE COMPRADA]]</f>
        <v>0</v>
      </c>
      <c r="N2848" s="110">
        <f>K2848-tblAquisições[[#This Row],[QUANTIDADE PLANEJADA]]</f>
        <v>-7</v>
      </c>
      <c r="O2848" s="106" t="str">
        <f t="shared" si="89"/>
        <v>Faltando Comprar</v>
      </c>
    </row>
    <row r="2849" spans="1:15" ht="63">
      <c r="A2849" s="16" t="s">
        <v>17</v>
      </c>
      <c r="B2849" s="16" t="s">
        <v>41</v>
      </c>
      <c r="C2849" s="17" t="s">
        <v>19</v>
      </c>
      <c r="D2849" s="18" t="s">
        <v>1606</v>
      </c>
      <c r="E2849" s="18">
        <v>2</v>
      </c>
      <c r="F2849" s="18" t="s">
        <v>1371</v>
      </c>
      <c r="G2849" s="18" t="s">
        <v>127</v>
      </c>
      <c r="H2849" s="18" t="s">
        <v>23</v>
      </c>
      <c r="I2849" s="19">
        <v>7500</v>
      </c>
      <c r="J2849" s="20">
        <f t="shared" si="88"/>
        <v>15000</v>
      </c>
      <c r="K2849" s="106"/>
      <c r="L2849" s="114"/>
      <c r="M2849" s="114">
        <f>tblAquisições[[#This Row],[VALOR UNITARIO COMPRADO]]*tblAquisições[[#This Row],[QUANTIDADE COMPRADA]]</f>
        <v>0</v>
      </c>
      <c r="N2849" s="110">
        <f>K2849-tblAquisições[[#This Row],[QUANTIDADE PLANEJADA]]</f>
        <v>-2</v>
      </c>
      <c r="O2849" s="106" t="str">
        <f t="shared" si="89"/>
        <v>Faltando Comprar</v>
      </c>
    </row>
    <row r="2850" spans="1:15" ht="63">
      <c r="A2850" s="16" t="s">
        <v>17</v>
      </c>
      <c r="B2850" s="16" t="s">
        <v>28</v>
      </c>
      <c r="C2850" s="17" t="s">
        <v>19</v>
      </c>
      <c r="D2850" s="18" t="s">
        <v>1606</v>
      </c>
      <c r="E2850" s="18">
        <v>10</v>
      </c>
      <c r="F2850" s="18" t="s">
        <v>1371</v>
      </c>
      <c r="G2850" s="18" t="s">
        <v>127</v>
      </c>
      <c r="H2850" s="18" t="s">
        <v>23</v>
      </c>
      <c r="I2850" s="19">
        <v>7500</v>
      </c>
      <c r="J2850" s="20">
        <f t="shared" si="88"/>
        <v>75000</v>
      </c>
      <c r="K2850" s="106"/>
      <c r="L2850" s="114"/>
      <c r="M2850" s="114">
        <f>tblAquisições[[#This Row],[VALOR UNITARIO COMPRADO]]*tblAquisições[[#This Row],[QUANTIDADE COMPRADA]]</f>
        <v>0</v>
      </c>
      <c r="N2850" s="110">
        <f>K2850-tblAquisições[[#This Row],[QUANTIDADE PLANEJADA]]</f>
        <v>-10</v>
      </c>
      <c r="O2850" s="106" t="str">
        <f t="shared" si="89"/>
        <v>Faltando Comprar</v>
      </c>
    </row>
    <row r="2851" spans="1:15" ht="47.25">
      <c r="A2851" s="16" t="s">
        <v>17</v>
      </c>
      <c r="B2851" s="16" t="s">
        <v>28</v>
      </c>
      <c r="C2851" s="17" t="s">
        <v>19</v>
      </c>
      <c r="D2851" s="18" t="s">
        <v>1607</v>
      </c>
      <c r="E2851" s="18">
        <v>20</v>
      </c>
      <c r="F2851" s="18" t="s">
        <v>214</v>
      </c>
      <c r="G2851" s="18" t="s">
        <v>127</v>
      </c>
      <c r="H2851" s="18" t="s">
        <v>23</v>
      </c>
      <c r="I2851" s="19">
        <v>210.03</v>
      </c>
      <c r="J2851" s="20">
        <f t="shared" si="88"/>
        <v>4200.6000000000004</v>
      </c>
      <c r="K2851" s="106"/>
      <c r="L2851" s="114"/>
      <c r="M2851" s="114">
        <f>tblAquisições[[#This Row],[VALOR UNITARIO COMPRADO]]*tblAquisições[[#This Row],[QUANTIDADE COMPRADA]]</f>
        <v>0</v>
      </c>
      <c r="N2851" s="110">
        <f>K2851-tblAquisições[[#This Row],[QUANTIDADE PLANEJADA]]</f>
        <v>-20</v>
      </c>
      <c r="O2851" s="106" t="str">
        <f t="shared" si="89"/>
        <v>Faltando Comprar</v>
      </c>
    </row>
    <row r="2852" spans="1:15" ht="47.25">
      <c r="A2852" s="16" t="s">
        <v>17</v>
      </c>
      <c r="B2852" s="16" t="s">
        <v>28</v>
      </c>
      <c r="C2852" s="17" t="s">
        <v>19</v>
      </c>
      <c r="D2852" s="18" t="s">
        <v>1608</v>
      </c>
      <c r="E2852" s="18">
        <v>10</v>
      </c>
      <c r="F2852" s="18" t="s">
        <v>58</v>
      </c>
      <c r="G2852" s="18" t="s">
        <v>22</v>
      </c>
      <c r="H2852" s="18" t="s">
        <v>23</v>
      </c>
      <c r="I2852" s="19">
        <v>22.21</v>
      </c>
      <c r="J2852" s="20">
        <f t="shared" si="88"/>
        <v>222.10000000000002</v>
      </c>
      <c r="K2852" s="106"/>
      <c r="L2852" s="114"/>
      <c r="M2852" s="114">
        <f>tblAquisições[[#This Row],[VALOR UNITARIO COMPRADO]]*tblAquisições[[#This Row],[QUANTIDADE COMPRADA]]</f>
        <v>0</v>
      </c>
      <c r="N2852" s="110">
        <f>K2852-tblAquisições[[#This Row],[QUANTIDADE PLANEJADA]]</f>
        <v>-10</v>
      </c>
      <c r="O2852" s="106" t="str">
        <f t="shared" si="89"/>
        <v>Faltando Comprar</v>
      </c>
    </row>
    <row r="2853" spans="1:15" ht="63">
      <c r="A2853" s="16" t="s">
        <v>17</v>
      </c>
      <c r="B2853" s="16" t="s">
        <v>27</v>
      </c>
      <c r="C2853" s="17" t="s">
        <v>19</v>
      </c>
      <c r="D2853" s="18" t="s">
        <v>1609</v>
      </c>
      <c r="E2853" s="18">
        <v>2</v>
      </c>
      <c r="F2853" s="18" t="s">
        <v>126</v>
      </c>
      <c r="G2853" s="18" t="s">
        <v>127</v>
      </c>
      <c r="H2853" s="18" t="s">
        <v>23</v>
      </c>
      <c r="I2853" s="19">
        <v>736.13</v>
      </c>
      <c r="J2853" s="20">
        <f t="shared" si="88"/>
        <v>1472.26</v>
      </c>
      <c r="K2853" s="106"/>
      <c r="L2853" s="114"/>
      <c r="M2853" s="114">
        <f>tblAquisições[[#This Row],[VALOR UNITARIO COMPRADO]]*tblAquisições[[#This Row],[QUANTIDADE COMPRADA]]</f>
        <v>0</v>
      </c>
      <c r="N2853" s="110">
        <f>K2853-tblAquisições[[#This Row],[QUANTIDADE PLANEJADA]]</f>
        <v>-2</v>
      </c>
      <c r="O2853" s="106" t="str">
        <f t="shared" si="89"/>
        <v>Faltando Comprar</v>
      </c>
    </row>
    <row r="2854" spans="1:15" ht="31.5">
      <c r="A2854" s="16" t="s">
        <v>17</v>
      </c>
      <c r="B2854" s="16" t="s">
        <v>959</v>
      </c>
      <c r="C2854" s="17" t="s">
        <v>19</v>
      </c>
      <c r="D2854" s="18" t="s">
        <v>1610</v>
      </c>
      <c r="E2854" s="18">
        <v>10</v>
      </c>
      <c r="F2854" s="18" t="s">
        <v>56</v>
      </c>
      <c r="G2854" s="18" t="s">
        <v>39</v>
      </c>
      <c r="H2854" s="18" t="s">
        <v>23</v>
      </c>
      <c r="I2854" s="19">
        <v>163.44999999999999</v>
      </c>
      <c r="J2854" s="20">
        <f t="shared" si="88"/>
        <v>1634.5</v>
      </c>
      <c r="K2854" s="106"/>
      <c r="L2854" s="114"/>
      <c r="M2854" s="114">
        <f>tblAquisições[[#This Row],[VALOR UNITARIO COMPRADO]]*tblAquisições[[#This Row],[QUANTIDADE COMPRADA]]</f>
        <v>0</v>
      </c>
      <c r="N2854" s="110">
        <f>K2854-tblAquisições[[#This Row],[QUANTIDADE PLANEJADA]]</f>
        <v>-10</v>
      </c>
      <c r="O2854" s="106" t="str">
        <f t="shared" si="89"/>
        <v>Faltando Comprar</v>
      </c>
    </row>
    <row r="2855" spans="1:15" ht="31.5">
      <c r="A2855" s="16" t="s">
        <v>17</v>
      </c>
      <c r="B2855" s="16" t="s">
        <v>27</v>
      </c>
      <c r="C2855" s="17" t="s">
        <v>19</v>
      </c>
      <c r="D2855" s="18" t="s">
        <v>1611</v>
      </c>
      <c r="E2855" s="18">
        <v>200</v>
      </c>
      <c r="F2855" s="18" t="s">
        <v>30</v>
      </c>
      <c r="G2855" s="18" t="s">
        <v>22</v>
      </c>
      <c r="H2855" s="18" t="s">
        <v>23</v>
      </c>
      <c r="I2855" s="19">
        <v>3.4</v>
      </c>
      <c r="J2855" s="20">
        <f t="shared" si="88"/>
        <v>680</v>
      </c>
      <c r="K2855" s="106"/>
      <c r="L2855" s="114"/>
      <c r="M2855" s="114">
        <f>tblAquisições[[#This Row],[VALOR UNITARIO COMPRADO]]*tblAquisições[[#This Row],[QUANTIDADE COMPRADA]]</f>
        <v>0</v>
      </c>
      <c r="N2855" s="110">
        <f>K2855-tblAquisições[[#This Row],[QUANTIDADE PLANEJADA]]</f>
        <v>-200</v>
      </c>
      <c r="O2855" s="106" t="str">
        <f t="shared" si="89"/>
        <v>Faltando Comprar</v>
      </c>
    </row>
    <row r="2856" spans="1:15" ht="31.5">
      <c r="A2856" s="16" t="s">
        <v>17</v>
      </c>
      <c r="B2856" s="16" t="s">
        <v>28</v>
      </c>
      <c r="C2856" s="17" t="s">
        <v>19</v>
      </c>
      <c r="D2856" s="18" t="s">
        <v>1612</v>
      </c>
      <c r="E2856" s="18">
        <v>45</v>
      </c>
      <c r="F2856" s="18" t="s">
        <v>21</v>
      </c>
      <c r="G2856" s="18" t="s">
        <v>22</v>
      </c>
      <c r="H2856" s="18" t="s">
        <v>23</v>
      </c>
      <c r="I2856" s="19">
        <v>47.1</v>
      </c>
      <c r="J2856" s="20">
        <f t="shared" si="88"/>
        <v>2119.5</v>
      </c>
      <c r="K2856" s="106"/>
      <c r="L2856" s="114"/>
      <c r="M2856" s="114">
        <f>tblAquisições[[#This Row],[VALOR UNITARIO COMPRADO]]*tblAquisições[[#This Row],[QUANTIDADE COMPRADA]]</f>
        <v>0</v>
      </c>
      <c r="N2856" s="110">
        <f>K2856-tblAquisições[[#This Row],[QUANTIDADE PLANEJADA]]</f>
        <v>-45</v>
      </c>
      <c r="O2856" s="106" t="str">
        <f t="shared" si="89"/>
        <v>Faltando Comprar</v>
      </c>
    </row>
    <row r="2857" spans="1:15" ht="47.25">
      <c r="A2857" s="16" t="s">
        <v>17</v>
      </c>
      <c r="B2857" s="16" t="s">
        <v>34</v>
      </c>
      <c r="C2857" s="17" t="s">
        <v>19</v>
      </c>
      <c r="D2857" s="18" t="s">
        <v>1613</v>
      </c>
      <c r="E2857" s="18">
        <v>2</v>
      </c>
      <c r="F2857" s="18" t="s">
        <v>78</v>
      </c>
      <c r="G2857" s="18" t="s">
        <v>22</v>
      </c>
      <c r="H2857" s="18" t="s">
        <v>23</v>
      </c>
      <c r="I2857" s="19">
        <v>7.92</v>
      </c>
      <c r="J2857" s="20">
        <f t="shared" si="88"/>
        <v>15.84</v>
      </c>
      <c r="K2857" s="106"/>
      <c r="L2857" s="114"/>
      <c r="M2857" s="114">
        <f>tblAquisições[[#This Row],[VALOR UNITARIO COMPRADO]]*tblAquisições[[#This Row],[QUANTIDADE COMPRADA]]</f>
        <v>0</v>
      </c>
      <c r="N2857" s="110">
        <f>K2857-tblAquisições[[#This Row],[QUANTIDADE PLANEJADA]]</f>
        <v>-2</v>
      </c>
      <c r="O2857" s="106" t="str">
        <f t="shared" si="89"/>
        <v>Faltando Comprar</v>
      </c>
    </row>
    <row r="2858" spans="1:15" ht="47.25">
      <c r="A2858" s="16" t="s">
        <v>17</v>
      </c>
      <c r="B2858" s="16" t="s">
        <v>31</v>
      </c>
      <c r="C2858" s="17" t="s">
        <v>19</v>
      </c>
      <c r="D2858" s="18" t="s">
        <v>1613</v>
      </c>
      <c r="E2858" s="18">
        <v>2</v>
      </c>
      <c r="F2858" s="18" t="s">
        <v>78</v>
      </c>
      <c r="G2858" s="18" t="s">
        <v>22</v>
      </c>
      <c r="H2858" s="18" t="s">
        <v>23</v>
      </c>
      <c r="I2858" s="19">
        <v>7.92</v>
      </c>
      <c r="J2858" s="20">
        <f t="shared" si="88"/>
        <v>15.84</v>
      </c>
      <c r="K2858" s="106"/>
      <c r="L2858" s="114"/>
      <c r="M2858" s="114">
        <f>tblAquisições[[#This Row],[VALOR UNITARIO COMPRADO]]*tblAquisições[[#This Row],[QUANTIDADE COMPRADA]]</f>
        <v>0</v>
      </c>
      <c r="N2858" s="110">
        <f>K2858-tblAquisições[[#This Row],[QUANTIDADE PLANEJADA]]</f>
        <v>-2</v>
      </c>
      <c r="O2858" s="106" t="str">
        <f t="shared" si="89"/>
        <v>Faltando Comprar</v>
      </c>
    </row>
    <row r="2859" spans="1:15" ht="47.25">
      <c r="A2859" s="16" t="s">
        <v>17</v>
      </c>
      <c r="B2859" s="16" t="s">
        <v>28</v>
      </c>
      <c r="C2859" s="17" t="s">
        <v>19</v>
      </c>
      <c r="D2859" s="18" t="s">
        <v>1613</v>
      </c>
      <c r="E2859" s="18">
        <v>10</v>
      </c>
      <c r="F2859" s="18" t="s">
        <v>78</v>
      </c>
      <c r="G2859" s="18" t="s">
        <v>22</v>
      </c>
      <c r="H2859" s="18" t="s">
        <v>23</v>
      </c>
      <c r="I2859" s="19">
        <v>7.92</v>
      </c>
      <c r="J2859" s="20">
        <f t="shared" si="88"/>
        <v>79.2</v>
      </c>
      <c r="K2859" s="106"/>
      <c r="L2859" s="114"/>
      <c r="M2859" s="114">
        <f>tblAquisições[[#This Row],[VALOR UNITARIO COMPRADO]]*tblAquisições[[#This Row],[QUANTIDADE COMPRADA]]</f>
        <v>0</v>
      </c>
      <c r="N2859" s="110">
        <f>K2859-tblAquisições[[#This Row],[QUANTIDADE PLANEJADA]]</f>
        <v>-10</v>
      </c>
      <c r="O2859" s="106" t="str">
        <f t="shared" si="89"/>
        <v>Faltando Comprar</v>
      </c>
    </row>
    <row r="2860" spans="1:15" ht="47.25">
      <c r="A2860" s="16" t="s">
        <v>17</v>
      </c>
      <c r="B2860" s="16" t="s">
        <v>18</v>
      </c>
      <c r="C2860" s="17" t="s">
        <v>19</v>
      </c>
      <c r="D2860" s="18" t="s">
        <v>1614</v>
      </c>
      <c r="E2860" s="18">
        <v>30</v>
      </c>
      <c r="F2860" s="18" t="s">
        <v>78</v>
      </c>
      <c r="G2860" s="18" t="s">
        <v>22</v>
      </c>
      <c r="H2860" s="18" t="s">
        <v>23</v>
      </c>
      <c r="I2860" s="19">
        <v>28.32</v>
      </c>
      <c r="J2860" s="20">
        <f t="shared" si="88"/>
        <v>849.6</v>
      </c>
      <c r="K2860" s="106"/>
      <c r="L2860" s="114"/>
      <c r="M2860" s="114">
        <f>tblAquisições[[#This Row],[VALOR UNITARIO COMPRADO]]*tblAquisições[[#This Row],[QUANTIDADE COMPRADA]]</f>
        <v>0</v>
      </c>
      <c r="N2860" s="110">
        <f>K2860-tblAquisições[[#This Row],[QUANTIDADE PLANEJADA]]</f>
        <v>-30</v>
      </c>
      <c r="O2860" s="106" t="str">
        <f t="shared" si="89"/>
        <v>Faltando Comprar</v>
      </c>
    </row>
    <row r="2861" spans="1:15" ht="47.25">
      <c r="A2861" s="16" t="s">
        <v>17</v>
      </c>
      <c r="B2861" s="16" t="s">
        <v>24</v>
      </c>
      <c r="C2861" s="17" t="s">
        <v>19</v>
      </c>
      <c r="D2861" s="18" t="s">
        <v>1614</v>
      </c>
      <c r="E2861" s="18">
        <v>30</v>
      </c>
      <c r="F2861" s="18" t="s">
        <v>78</v>
      </c>
      <c r="G2861" s="18" t="s">
        <v>22</v>
      </c>
      <c r="H2861" s="18" t="s">
        <v>23</v>
      </c>
      <c r="I2861" s="19">
        <v>28.32</v>
      </c>
      <c r="J2861" s="20">
        <f t="shared" si="88"/>
        <v>849.6</v>
      </c>
      <c r="K2861" s="106"/>
      <c r="L2861" s="114"/>
      <c r="M2861" s="114">
        <f>tblAquisições[[#This Row],[VALOR UNITARIO COMPRADO]]*tblAquisições[[#This Row],[QUANTIDADE COMPRADA]]</f>
        <v>0</v>
      </c>
      <c r="N2861" s="110">
        <f>K2861-tblAquisições[[#This Row],[QUANTIDADE PLANEJADA]]</f>
        <v>-30</v>
      </c>
      <c r="O2861" s="106" t="str">
        <f t="shared" si="89"/>
        <v>Faltando Comprar</v>
      </c>
    </row>
    <row r="2862" spans="1:15" ht="47.25">
      <c r="A2862" s="16" t="s">
        <v>17</v>
      </c>
      <c r="B2862" s="16" t="s">
        <v>25</v>
      </c>
      <c r="C2862" s="17" t="s">
        <v>19</v>
      </c>
      <c r="D2862" s="18" t="s">
        <v>1614</v>
      </c>
      <c r="E2862" s="18">
        <v>30</v>
      </c>
      <c r="F2862" s="18" t="s">
        <v>78</v>
      </c>
      <c r="G2862" s="18" t="s">
        <v>22</v>
      </c>
      <c r="H2862" s="18" t="s">
        <v>23</v>
      </c>
      <c r="I2862" s="19">
        <v>28.32</v>
      </c>
      <c r="J2862" s="20">
        <f t="shared" si="88"/>
        <v>849.6</v>
      </c>
      <c r="K2862" s="106"/>
      <c r="L2862" s="114"/>
      <c r="M2862" s="114">
        <f>tblAquisições[[#This Row],[VALOR UNITARIO COMPRADO]]*tblAquisições[[#This Row],[QUANTIDADE COMPRADA]]</f>
        <v>0</v>
      </c>
      <c r="N2862" s="110">
        <f>K2862-tblAquisições[[#This Row],[QUANTIDADE PLANEJADA]]</f>
        <v>-30</v>
      </c>
      <c r="O2862" s="106" t="str">
        <f t="shared" si="89"/>
        <v>Faltando Comprar</v>
      </c>
    </row>
    <row r="2863" spans="1:15" ht="47.25">
      <c r="A2863" s="16" t="s">
        <v>17</v>
      </c>
      <c r="B2863" s="16" t="s">
        <v>31</v>
      </c>
      <c r="C2863" s="17" t="s">
        <v>19</v>
      </c>
      <c r="D2863" s="18" t="s">
        <v>1615</v>
      </c>
      <c r="E2863" s="18">
        <v>5</v>
      </c>
      <c r="F2863" s="18" t="s">
        <v>78</v>
      </c>
      <c r="G2863" s="18" t="s">
        <v>22</v>
      </c>
      <c r="H2863" s="18" t="s">
        <v>23</v>
      </c>
      <c r="I2863" s="19">
        <v>5.72</v>
      </c>
      <c r="J2863" s="20">
        <f t="shared" si="88"/>
        <v>28.599999999999998</v>
      </c>
      <c r="K2863" s="106"/>
      <c r="L2863" s="114"/>
      <c r="M2863" s="114">
        <f>tblAquisições[[#This Row],[VALOR UNITARIO COMPRADO]]*tblAquisições[[#This Row],[QUANTIDADE COMPRADA]]</f>
        <v>0</v>
      </c>
      <c r="N2863" s="110">
        <f>K2863-tblAquisições[[#This Row],[QUANTIDADE PLANEJADA]]</f>
        <v>-5</v>
      </c>
      <c r="O2863" s="106" t="str">
        <f t="shared" si="89"/>
        <v>Faltando Comprar</v>
      </c>
    </row>
    <row r="2864" spans="1:15" ht="47.25">
      <c r="A2864" s="16" t="s">
        <v>17</v>
      </c>
      <c r="B2864" s="16" t="s">
        <v>18</v>
      </c>
      <c r="C2864" s="17" t="s">
        <v>19</v>
      </c>
      <c r="D2864" s="18" t="s">
        <v>1615</v>
      </c>
      <c r="E2864" s="18">
        <v>15</v>
      </c>
      <c r="F2864" s="18" t="s">
        <v>78</v>
      </c>
      <c r="G2864" s="18" t="s">
        <v>22</v>
      </c>
      <c r="H2864" s="18" t="s">
        <v>23</v>
      </c>
      <c r="I2864" s="19">
        <v>5.72</v>
      </c>
      <c r="J2864" s="20">
        <f t="shared" si="88"/>
        <v>85.8</v>
      </c>
      <c r="K2864" s="106"/>
      <c r="L2864" s="114"/>
      <c r="M2864" s="114">
        <f>tblAquisições[[#This Row],[VALOR UNITARIO COMPRADO]]*tblAquisições[[#This Row],[QUANTIDADE COMPRADA]]</f>
        <v>0</v>
      </c>
      <c r="N2864" s="110">
        <f>K2864-tblAquisições[[#This Row],[QUANTIDADE PLANEJADA]]</f>
        <v>-15</v>
      </c>
      <c r="O2864" s="106" t="str">
        <f t="shared" si="89"/>
        <v>Faltando Comprar</v>
      </c>
    </row>
    <row r="2865" spans="1:15" ht="47.25">
      <c r="A2865" s="16" t="s">
        <v>17</v>
      </c>
      <c r="B2865" s="16" t="s">
        <v>24</v>
      </c>
      <c r="C2865" s="17" t="s">
        <v>19</v>
      </c>
      <c r="D2865" s="18" t="s">
        <v>1615</v>
      </c>
      <c r="E2865" s="18">
        <v>15</v>
      </c>
      <c r="F2865" s="18" t="s">
        <v>78</v>
      </c>
      <c r="G2865" s="18" t="s">
        <v>22</v>
      </c>
      <c r="H2865" s="18" t="s">
        <v>23</v>
      </c>
      <c r="I2865" s="19">
        <v>5.72</v>
      </c>
      <c r="J2865" s="20">
        <f t="shared" si="88"/>
        <v>85.8</v>
      </c>
      <c r="K2865" s="106"/>
      <c r="L2865" s="114"/>
      <c r="M2865" s="114">
        <f>tblAquisições[[#This Row],[VALOR UNITARIO COMPRADO]]*tblAquisições[[#This Row],[QUANTIDADE COMPRADA]]</f>
        <v>0</v>
      </c>
      <c r="N2865" s="110">
        <f>K2865-tblAquisições[[#This Row],[QUANTIDADE PLANEJADA]]</f>
        <v>-15</v>
      </c>
      <c r="O2865" s="106" t="str">
        <f t="shared" si="89"/>
        <v>Faltando Comprar</v>
      </c>
    </row>
    <row r="2866" spans="1:15" ht="47.25">
      <c r="A2866" s="16" t="s">
        <v>17</v>
      </c>
      <c r="B2866" s="16" t="s">
        <v>25</v>
      </c>
      <c r="C2866" s="17" t="s">
        <v>19</v>
      </c>
      <c r="D2866" s="18" t="s">
        <v>1615</v>
      </c>
      <c r="E2866" s="18">
        <v>15</v>
      </c>
      <c r="F2866" s="18" t="s">
        <v>78</v>
      </c>
      <c r="G2866" s="18" t="s">
        <v>22</v>
      </c>
      <c r="H2866" s="18" t="s">
        <v>23</v>
      </c>
      <c r="I2866" s="19">
        <v>5.72</v>
      </c>
      <c r="J2866" s="20">
        <f t="shared" si="88"/>
        <v>85.8</v>
      </c>
      <c r="K2866" s="106"/>
      <c r="L2866" s="114"/>
      <c r="M2866" s="114">
        <f>tblAquisições[[#This Row],[VALOR UNITARIO COMPRADO]]*tblAquisições[[#This Row],[QUANTIDADE COMPRADA]]</f>
        <v>0</v>
      </c>
      <c r="N2866" s="110">
        <f>K2866-tblAquisições[[#This Row],[QUANTIDADE PLANEJADA]]</f>
        <v>-15</v>
      </c>
      <c r="O2866" s="106" t="str">
        <f t="shared" si="89"/>
        <v>Faltando Comprar</v>
      </c>
    </row>
    <row r="2867" spans="1:15" ht="47.25">
      <c r="A2867" s="16" t="s">
        <v>17</v>
      </c>
      <c r="B2867" s="16" t="s">
        <v>28</v>
      </c>
      <c r="C2867" s="17" t="s">
        <v>19</v>
      </c>
      <c r="D2867" s="18" t="s">
        <v>1615</v>
      </c>
      <c r="E2867" s="18">
        <v>20</v>
      </c>
      <c r="F2867" s="18" t="s">
        <v>78</v>
      </c>
      <c r="G2867" s="18" t="s">
        <v>22</v>
      </c>
      <c r="H2867" s="18" t="s">
        <v>53</v>
      </c>
      <c r="I2867" s="19">
        <v>5.72</v>
      </c>
      <c r="J2867" s="20">
        <f t="shared" si="88"/>
        <v>114.39999999999999</v>
      </c>
      <c r="K2867" s="106"/>
      <c r="L2867" s="114"/>
      <c r="M2867" s="114">
        <f>tblAquisições[[#This Row],[VALOR UNITARIO COMPRADO]]*tblAquisições[[#This Row],[QUANTIDADE COMPRADA]]</f>
        <v>0</v>
      </c>
      <c r="N2867" s="110">
        <f>K2867-tblAquisições[[#This Row],[QUANTIDADE PLANEJADA]]</f>
        <v>-20</v>
      </c>
      <c r="O2867" s="106" t="str">
        <f t="shared" si="89"/>
        <v>Faltando Comprar</v>
      </c>
    </row>
    <row r="2868" spans="1:15" ht="47.25">
      <c r="A2868" s="16" t="s">
        <v>17</v>
      </c>
      <c r="B2868" s="16" t="s">
        <v>31</v>
      </c>
      <c r="C2868" s="17" t="s">
        <v>19</v>
      </c>
      <c r="D2868" s="18" t="s">
        <v>1616</v>
      </c>
      <c r="E2868" s="18">
        <v>5</v>
      </c>
      <c r="F2868" s="18" t="s">
        <v>78</v>
      </c>
      <c r="G2868" s="18" t="s">
        <v>22</v>
      </c>
      <c r="H2868" s="18" t="s">
        <v>23</v>
      </c>
      <c r="I2868" s="19">
        <v>4</v>
      </c>
      <c r="J2868" s="20">
        <f t="shared" si="88"/>
        <v>20</v>
      </c>
      <c r="K2868" s="106"/>
      <c r="L2868" s="114"/>
      <c r="M2868" s="114">
        <f>tblAquisições[[#This Row],[VALOR UNITARIO COMPRADO]]*tblAquisições[[#This Row],[QUANTIDADE COMPRADA]]</f>
        <v>0</v>
      </c>
      <c r="N2868" s="110">
        <f>K2868-tblAquisições[[#This Row],[QUANTIDADE PLANEJADA]]</f>
        <v>-5</v>
      </c>
      <c r="O2868" s="106" t="str">
        <f t="shared" si="89"/>
        <v>Faltando Comprar</v>
      </c>
    </row>
    <row r="2869" spans="1:15" ht="47.25">
      <c r="A2869" s="16" t="s">
        <v>17</v>
      </c>
      <c r="B2869" s="16" t="s">
        <v>18</v>
      </c>
      <c r="C2869" s="17" t="s">
        <v>19</v>
      </c>
      <c r="D2869" s="18" t="s">
        <v>1616</v>
      </c>
      <c r="E2869" s="18">
        <v>5</v>
      </c>
      <c r="F2869" s="18" t="s">
        <v>78</v>
      </c>
      <c r="G2869" s="18" t="s">
        <v>22</v>
      </c>
      <c r="H2869" s="18" t="s">
        <v>23</v>
      </c>
      <c r="I2869" s="19">
        <v>4</v>
      </c>
      <c r="J2869" s="20">
        <f t="shared" si="88"/>
        <v>20</v>
      </c>
      <c r="K2869" s="106"/>
      <c r="L2869" s="114"/>
      <c r="M2869" s="114">
        <f>tblAquisições[[#This Row],[VALOR UNITARIO COMPRADO]]*tblAquisições[[#This Row],[QUANTIDADE COMPRADA]]</f>
        <v>0</v>
      </c>
      <c r="N2869" s="110">
        <f>K2869-tblAquisições[[#This Row],[QUANTIDADE PLANEJADA]]</f>
        <v>-5</v>
      </c>
      <c r="O2869" s="106" t="str">
        <f t="shared" si="89"/>
        <v>Faltando Comprar</v>
      </c>
    </row>
    <row r="2870" spans="1:15" ht="47.25">
      <c r="A2870" s="16" t="s">
        <v>17</v>
      </c>
      <c r="B2870" s="16" t="s">
        <v>24</v>
      </c>
      <c r="C2870" s="17" t="s">
        <v>19</v>
      </c>
      <c r="D2870" s="18" t="s">
        <v>1616</v>
      </c>
      <c r="E2870" s="18">
        <v>5</v>
      </c>
      <c r="F2870" s="18" t="s">
        <v>78</v>
      </c>
      <c r="G2870" s="18" t="s">
        <v>22</v>
      </c>
      <c r="H2870" s="18" t="s">
        <v>23</v>
      </c>
      <c r="I2870" s="19">
        <v>4</v>
      </c>
      <c r="J2870" s="20">
        <f t="shared" si="88"/>
        <v>20</v>
      </c>
      <c r="K2870" s="106"/>
      <c r="L2870" s="114"/>
      <c r="M2870" s="114">
        <f>tblAquisições[[#This Row],[VALOR UNITARIO COMPRADO]]*tblAquisições[[#This Row],[QUANTIDADE COMPRADA]]</f>
        <v>0</v>
      </c>
      <c r="N2870" s="110">
        <f>K2870-tblAquisições[[#This Row],[QUANTIDADE PLANEJADA]]</f>
        <v>-5</v>
      </c>
      <c r="O2870" s="106" t="str">
        <f t="shared" si="89"/>
        <v>Faltando Comprar</v>
      </c>
    </row>
    <row r="2871" spans="1:15" ht="47.25">
      <c r="A2871" s="16" t="s">
        <v>17</v>
      </c>
      <c r="B2871" s="16" t="s">
        <v>25</v>
      </c>
      <c r="C2871" s="17" t="s">
        <v>19</v>
      </c>
      <c r="D2871" s="18" t="s">
        <v>1616</v>
      </c>
      <c r="E2871" s="18">
        <v>5</v>
      </c>
      <c r="F2871" s="18" t="s">
        <v>78</v>
      </c>
      <c r="G2871" s="18" t="s">
        <v>22</v>
      </c>
      <c r="H2871" s="18" t="s">
        <v>23</v>
      </c>
      <c r="I2871" s="19">
        <v>4</v>
      </c>
      <c r="J2871" s="20">
        <f t="shared" si="88"/>
        <v>20</v>
      </c>
      <c r="K2871" s="106"/>
      <c r="L2871" s="114"/>
      <c r="M2871" s="114">
        <f>tblAquisições[[#This Row],[VALOR UNITARIO COMPRADO]]*tblAquisições[[#This Row],[QUANTIDADE COMPRADA]]</f>
        <v>0</v>
      </c>
      <c r="N2871" s="110">
        <f>K2871-tblAquisições[[#This Row],[QUANTIDADE PLANEJADA]]</f>
        <v>-5</v>
      </c>
      <c r="O2871" s="106" t="str">
        <f t="shared" si="89"/>
        <v>Faltando Comprar</v>
      </c>
    </row>
    <row r="2872" spans="1:15" ht="47.25">
      <c r="A2872" s="16" t="s">
        <v>17</v>
      </c>
      <c r="B2872" s="16" t="s">
        <v>28</v>
      </c>
      <c r="C2872" s="17" t="s">
        <v>19</v>
      </c>
      <c r="D2872" s="18" t="s">
        <v>1616</v>
      </c>
      <c r="E2872" s="18">
        <v>20</v>
      </c>
      <c r="F2872" s="18" t="s">
        <v>78</v>
      </c>
      <c r="G2872" s="18" t="s">
        <v>22</v>
      </c>
      <c r="H2872" s="18" t="s">
        <v>53</v>
      </c>
      <c r="I2872" s="19">
        <v>4</v>
      </c>
      <c r="J2872" s="20">
        <f t="shared" si="88"/>
        <v>80</v>
      </c>
      <c r="K2872" s="106"/>
      <c r="L2872" s="114"/>
      <c r="M2872" s="114">
        <f>tblAquisições[[#This Row],[VALOR UNITARIO COMPRADO]]*tblAquisições[[#This Row],[QUANTIDADE COMPRADA]]</f>
        <v>0</v>
      </c>
      <c r="N2872" s="110">
        <f>K2872-tblAquisições[[#This Row],[QUANTIDADE PLANEJADA]]</f>
        <v>-20</v>
      </c>
      <c r="O2872" s="106" t="str">
        <f t="shared" si="89"/>
        <v>Faltando Comprar</v>
      </c>
    </row>
    <row r="2873" spans="1:15" ht="47.25">
      <c r="A2873" s="16" t="s">
        <v>17</v>
      </c>
      <c r="B2873" s="16" t="s">
        <v>31</v>
      </c>
      <c r="C2873" s="17" t="s">
        <v>19</v>
      </c>
      <c r="D2873" s="18" t="s">
        <v>1617</v>
      </c>
      <c r="E2873" s="18">
        <v>5</v>
      </c>
      <c r="F2873" s="18" t="s">
        <v>78</v>
      </c>
      <c r="G2873" s="18" t="s">
        <v>22</v>
      </c>
      <c r="H2873" s="18" t="s">
        <v>23</v>
      </c>
      <c r="I2873" s="19">
        <v>8.56</v>
      </c>
      <c r="J2873" s="20">
        <f t="shared" si="88"/>
        <v>42.800000000000004</v>
      </c>
      <c r="K2873" s="106"/>
      <c r="L2873" s="114"/>
      <c r="M2873" s="114">
        <f>tblAquisições[[#This Row],[VALOR UNITARIO COMPRADO]]*tblAquisições[[#This Row],[QUANTIDADE COMPRADA]]</f>
        <v>0</v>
      </c>
      <c r="N2873" s="110">
        <f>K2873-tblAquisições[[#This Row],[QUANTIDADE PLANEJADA]]</f>
        <v>-5</v>
      </c>
      <c r="O2873" s="106" t="str">
        <f t="shared" si="89"/>
        <v>Faltando Comprar</v>
      </c>
    </row>
    <row r="2874" spans="1:15" ht="47.25">
      <c r="A2874" s="16" t="s">
        <v>17</v>
      </c>
      <c r="B2874" s="16" t="s">
        <v>18</v>
      </c>
      <c r="C2874" s="17" t="s">
        <v>19</v>
      </c>
      <c r="D2874" s="18" t="s">
        <v>1617</v>
      </c>
      <c r="E2874" s="18">
        <v>5</v>
      </c>
      <c r="F2874" s="18" t="s">
        <v>78</v>
      </c>
      <c r="G2874" s="18" t="s">
        <v>22</v>
      </c>
      <c r="H2874" s="18" t="s">
        <v>23</v>
      </c>
      <c r="I2874" s="19">
        <v>8.56</v>
      </c>
      <c r="J2874" s="20">
        <f t="shared" si="88"/>
        <v>42.800000000000004</v>
      </c>
      <c r="K2874" s="106"/>
      <c r="L2874" s="114"/>
      <c r="M2874" s="114">
        <f>tblAquisições[[#This Row],[VALOR UNITARIO COMPRADO]]*tblAquisições[[#This Row],[QUANTIDADE COMPRADA]]</f>
        <v>0</v>
      </c>
      <c r="N2874" s="110">
        <f>K2874-tblAquisições[[#This Row],[QUANTIDADE PLANEJADA]]</f>
        <v>-5</v>
      </c>
      <c r="O2874" s="106" t="str">
        <f t="shared" si="89"/>
        <v>Faltando Comprar</v>
      </c>
    </row>
    <row r="2875" spans="1:15" ht="47.25">
      <c r="A2875" s="16" t="s">
        <v>17</v>
      </c>
      <c r="B2875" s="16" t="s">
        <v>24</v>
      </c>
      <c r="C2875" s="17" t="s">
        <v>19</v>
      </c>
      <c r="D2875" s="18" t="s">
        <v>1617</v>
      </c>
      <c r="E2875" s="18">
        <v>5</v>
      </c>
      <c r="F2875" s="18" t="s">
        <v>78</v>
      </c>
      <c r="G2875" s="18" t="s">
        <v>22</v>
      </c>
      <c r="H2875" s="18" t="s">
        <v>23</v>
      </c>
      <c r="I2875" s="19">
        <v>8.56</v>
      </c>
      <c r="J2875" s="20">
        <f t="shared" si="88"/>
        <v>42.800000000000004</v>
      </c>
      <c r="K2875" s="106"/>
      <c r="L2875" s="114"/>
      <c r="M2875" s="114">
        <f>tblAquisições[[#This Row],[VALOR UNITARIO COMPRADO]]*tblAquisições[[#This Row],[QUANTIDADE COMPRADA]]</f>
        <v>0</v>
      </c>
      <c r="N2875" s="110">
        <f>K2875-tblAquisições[[#This Row],[QUANTIDADE PLANEJADA]]</f>
        <v>-5</v>
      </c>
      <c r="O2875" s="106" t="str">
        <f t="shared" si="89"/>
        <v>Faltando Comprar</v>
      </c>
    </row>
    <row r="2876" spans="1:15" ht="47.25">
      <c r="A2876" s="16" t="s">
        <v>17</v>
      </c>
      <c r="B2876" s="16" t="s">
        <v>25</v>
      </c>
      <c r="C2876" s="17" t="s">
        <v>19</v>
      </c>
      <c r="D2876" s="18" t="s">
        <v>1617</v>
      </c>
      <c r="E2876" s="18">
        <v>5</v>
      </c>
      <c r="F2876" s="18" t="s">
        <v>78</v>
      </c>
      <c r="G2876" s="18" t="s">
        <v>22</v>
      </c>
      <c r="H2876" s="18" t="s">
        <v>23</v>
      </c>
      <c r="I2876" s="19">
        <v>8.56</v>
      </c>
      <c r="J2876" s="20">
        <f t="shared" si="88"/>
        <v>42.800000000000004</v>
      </c>
      <c r="K2876" s="106"/>
      <c r="L2876" s="114"/>
      <c r="M2876" s="114">
        <f>tblAquisições[[#This Row],[VALOR UNITARIO COMPRADO]]*tblAquisições[[#This Row],[QUANTIDADE COMPRADA]]</f>
        <v>0</v>
      </c>
      <c r="N2876" s="110">
        <f>K2876-tblAquisições[[#This Row],[QUANTIDADE PLANEJADA]]</f>
        <v>-5</v>
      </c>
      <c r="O2876" s="106" t="str">
        <f t="shared" si="89"/>
        <v>Faltando Comprar</v>
      </c>
    </row>
    <row r="2877" spans="1:15" ht="47.25">
      <c r="A2877" s="16" t="s">
        <v>17</v>
      </c>
      <c r="B2877" s="16" t="s">
        <v>28</v>
      </c>
      <c r="C2877" s="17" t="s">
        <v>19</v>
      </c>
      <c r="D2877" s="18" t="s">
        <v>1617</v>
      </c>
      <c r="E2877" s="18">
        <v>20</v>
      </c>
      <c r="F2877" s="18" t="s">
        <v>78</v>
      </c>
      <c r="G2877" s="18" t="s">
        <v>22</v>
      </c>
      <c r="H2877" s="18" t="s">
        <v>53</v>
      </c>
      <c r="I2877" s="19">
        <v>8.56</v>
      </c>
      <c r="J2877" s="20">
        <f t="shared" si="88"/>
        <v>171.20000000000002</v>
      </c>
      <c r="K2877" s="106"/>
      <c r="L2877" s="114"/>
      <c r="M2877" s="114">
        <f>tblAquisições[[#This Row],[VALOR UNITARIO COMPRADO]]*tblAquisições[[#This Row],[QUANTIDADE COMPRADA]]</f>
        <v>0</v>
      </c>
      <c r="N2877" s="110">
        <f>K2877-tblAquisições[[#This Row],[QUANTIDADE PLANEJADA]]</f>
        <v>-20</v>
      </c>
      <c r="O2877" s="106" t="str">
        <f t="shared" si="89"/>
        <v>Faltando Comprar</v>
      </c>
    </row>
    <row r="2878" spans="1:15" ht="47.25">
      <c r="A2878" s="16" t="s">
        <v>17</v>
      </c>
      <c r="B2878" s="16" t="s">
        <v>31</v>
      </c>
      <c r="C2878" s="17" t="s">
        <v>19</v>
      </c>
      <c r="D2878" s="18" t="s">
        <v>1618</v>
      </c>
      <c r="E2878" s="18">
        <v>5</v>
      </c>
      <c r="F2878" s="18" t="s">
        <v>78</v>
      </c>
      <c r="G2878" s="18" t="s">
        <v>22</v>
      </c>
      <c r="H2878" s="18" t="s">
        <v>23</v>
      </c>
      <c r="I2878" s="19">
        <v>5.33</v>
      </c>
      <c r="J2878" s="20">
        <f t="shared" si="88"/>
        <v>26.65</v>
      </c>
      <c r="K2878" s="106"/>
      <c r="L2878" s="114"/>
      <c r="M2878" s="114">
        <f>tblAquisições[[#This Row],[VALOR UNITARIO COMPRADO]]*tblAquisições[[#This Row],[QUANTIDADE COMPRADA]]</f>
        <v>0</v>
      </c>
      <c r="N2878" s="110">
        <f>K2878-tblAquisições[[#This Row],[QUANTIDADE PLANEJADA]]</f>
        <v>-5</v>
      </c>
      <c r="O2878" s="106" t="str">
        <f t="shared" si="89"/>
        <v>Faltando Comprar</v>
      </c>
    </row>
    <row r="2879" spans="1:15" ht="47.25">
      <c r="A2879" s="16" t="s">
        <v>17</v>
      </c>
      <c r="B2879" s="16" t="s">
        <v>18</v>
      </c>
      <c r="C2879" s="17" t="s">
        <v>19</v>
      </c>
      <c r="D2879" s="18" t="s">
        <v>1618</v>
      </c>
      <c r="E2879" s="18">
        <v>5</v>
      </c>
      <c r="F2879" s="18" t="s">
        <v>78</v>
      </c>
      <c r="G2879" s="18" t="s">
        <v>22</v>
      </c>
      <c r="H2879" s="18" t="s">
        <v>23</v>
      </c>
      <c r="I2879" s="19">
        <v>5.33</v>
      </c>
      <c r="J2879" s="20">
        <f t="shared" si="88"/>
        <v>26.65</v>
      </c>
      <c r="K2879" s="106"/>
      <c r="L2879" s="114"/>
      <c r="M2879" s="114">
        <f>tblAquisições[[#This Row],[VALOR UNITARIO COMPRADO]]*tblAquisições[[#This Row],[QUANTIDADE COMPRADA]]</f>
        <v>0</v>
      </c>
      <c r="N2879" s="110">
        <f>K2879-tblAquisições[[#This Row],[QUANTIDADE PLANEJADA]]</f>
        <v>-5</v>
      </c>
      <c r="O2879" s="106" t="str">
        <f t="shared" si="89"/>
        <v>Faltando Comprar</v>
      </c>
    </row>
    <row r="2880" spans="1:15" ht="47.25">
      <c r="A2880" s="16" t="s">
        <v>17</v>
      </c>
      <c r="B2880" s="16" t="s">
        <v>24</v>
      </c>
      <c r="C2880" s="17" t="s">
        <v>19</v>
      </c>
      <c r="D2880" s="18" t="s">
        <v>1618</v>
      </c>
      <c r="E2880" s="18">
        <v>5</v>
      </c>
      <c r="F2880" s="18" t="s">
        <v>78</v>
      </c>
      <c r="G2880" s="18" t="s">
        <v>22</v>
      </c>
      <c r="H2880" s="18" t="s">
        <v>23</v>
      </c>
      <c r="I2880" s="19">
        <v>5.33</v>
      </c>
      <c r="J2880" s="20">
        <f t="shared" si="88"/>
        <v>26.65</v>
      </c>
      <c r="K2880" s="106"/>
      <c r="L2880" s="114"/>
      <c r="M2880" s="114">
        <f>tblAquisições[[#This Row],[VALOR UNITARIO COMPRADO]]*tblAquisições[[#This Row],[QUANTIDADE COMPRADA]]</f>
        <v>0</v>
      </c>
      <c r="N2880" s="110">
        <f>K2880-tblAquisições[[#This Row],[QUANTIDADE PLANEJADA]]</f>
        <v>-5</v>
      </c>
      <c r="O2880" s="106" t="str">
        <f t="shared" si="89"/>
        <v>Faltando Comprar</v>
      </c>
    </row>
    <row r="2881" spans="1:15" ht="47.25">
      <c r="A2881" s="16" t="s">
        <v>17</v>
      </c>
      <c r="B2881" s="16" t="s">
        <v>25</v>
      </c>
      <c r="C2881" s="17" t="s">
        <v>19</v>
      </c>
      <c r="D2881" s="18" t="s">
        <v>1618</v>
      </c>
      <c r="E2881" s="18">
        <v>5</v>
      </c>
      <c r="F2881" s="18" t="s">
        <v>78</v>
      </c>
      <c r="G2881" s="18" t="s">
        <v>22</v>
      </c>
      <c r="H2881" s="18" t="s">
        <v>23</v>
      </c>
      <c r="I2881" s="19">
        <v>5.33</v>
      </c>
      <c r="J2881" s="20">
        <f t="shared" si="88"/>
        <v>26.65</v>
      </c>
      <c r="K2881" s="106"/>
      <c r="L2881" s="114"/>
      <c r="M2881" s="114">
        <f>tblAquisições[[#This Row],[VALOR UNITARIO COMPRADO]]*tblAquisições[[#This Row],[QUANTIDADE COMPRADA]]</f>
        <v>0</v>
      </c>
      <c r="N2881" s="110">
        <f>K2881-tblAquisições[[#This Row],[QUANTIDADE PLANEJADA]]</f>
        <v>-5</v>
      </c>
      <c r="O2881" s="106" t="str">
        <f t="shared" si="89"/>
        <v>Faltando Comprar</v>
      </c>
    </row>
    <row r="2882" spans="1:15" ht="47.25">
      <c r="A2882" s="16" t="s">
        <v>17</v>
      </c>
      <c r="B2882" s="16" t="s">
        <v>28</v>
      </c>
      <c r="C2882" s="17" t="s">
        <v>19</v>
      </c>
      <c r="D2882" s="18" t="s">
        <v>1618</v>
      </c>
      <c r="E2882" s="18">
        <v>20</v>
      </c>
      <c r="F2882" s="18" t="s">
        <v>78</v>
      </c>
      <c r="G2882" s="18" t="s">
        <v>22</v>
      </c>
      <c r="H2882" s="18" t="s">
        <v>53</v>
      </c>
      <c r="I2882" s="19">
        <v>5.33</v>
      </c>
      <c r="J2882" s="20">
        <f t="shared" ref="J2882:J2945" si="90">E2882*I2882</f>
        <v>106.6</v>
      </c>
      <c r="K2882" s="106"/>
      <c r="L2882" s="114"/>
      <c r="M2882" s="114">
        <f>tblAquisições[[#This Row],[VALOR UNITARIO COMPRADO]]*tblAquisições[[#This Row],[QUANTIDADE COMPRADA]]</f>
        <v>0</v>
      </c>
      <c r="N2882" s="110">
        <f>K2882-tblAquisições[[#This Row],[QUANTIDADE PLANEJADA]]</f>
        <v>-20</v>
      </c>
      <c r="O2882" s="106" t="str">
        <f t="shared" ref="O2882:O2945" si="91">IF(K2882=E2882,"OK",IF(K2882&lt;E2882,"Faltando Comprar","Excedente"))</f>
        <v>Faltando Comprar</v>
      </c>
    </row>
    <row r="2883" spans="1:15" ht="47.25">
      <c r="A2883" s="16" t="s">
        <v>17</v>
      </c>
      <c r="B2883" s="16" t="s">
        <v>26</v>
      </c>
      <c r="C2883" s="17" t="s">
        <v>19</v>
      </c>
      <c r="D2883" s="18" t="s">
        <v>1619</v>
      </c>
      <c r="E2883" s="18">
        <v>100</v>
      </c>
      <c r="F2883" s="18" t="s">
        <v>391</v>
      </c>
      <c r="G2883" s="18" t="s">
        <v>22</v>
      </c>
      <c r="H2883" s="18" t="s">
        <v>23</v>
      </c>
      <c r="I2883" s="19">
        <v>127.67</v>
      </c>
      <c r="J2883" s="20">
        <f t="shared" si="90"/>
        <v>12767</v>
      </c>
      <c r="K2883" s="106"/>
      <c r="L2883" s="114"/>
      <c r="M2883" s="114">
        <f>tblAquisições[[#This Row],[VALOR UNITARIO COMPRADO]]*tblAquisições[[#This Row],[QUANTIDADE COMPRADA]]</f>
        <v>0</v>
      </c>
      <c r="N2883" s="110">
        <f>K2883-tblAquisições[[#This Row],[QUANTIDADE PLANEJADA]]</f>
        <v>-100</v>
      </c>
      <c r="O2883" s="106" t="str">
        <f t="shared" si="91"/>
        <v>Faltando Comprar</v>
      </c>
    </row>
    <row r="2884" spans="1:15" ht="31.5">
      <c r="A2884" s="16" t="s">
        <v>17</v>
      </c>
      <c r="B2884" s="16" t="s">
        <v>18</v>
      </c>
      <c r="C2884" s="17" t="s">
        <v>19</v>
      </c>
      <c r="D2884" s="18" t="s">
        <v>1620</v>
      </c>
      <c r="E2884" s="18">
        <v>20</v>
      </c>
      <c r="F2884" s="18" t="s">
        <v>21</v>
      </c>
      <c r="G2884" s="18" t="s">
        <v>22</v>
      </c>
      <c r="H2884" s="18" t="s">
        <v>23</v>
      </c>
      <c r="I2884" s="19">
        <v>9.56</v>
      </c>
      <c r="J2884" s="20">
        <f t="shared" si="90"/>
        <v>191.20000000000002</v>
      </c>
      <c r="K2884" s="106"/>
      <c r="L2884" s="114"/>
      <c r="M2884" s="114">
        <f>tblAquisições[[#This Row],[VALOR UNITARIO COMPRADO]]*tblAquisições[[#This Row],[QUANTIDADE COMPRADA]]</f>
        <v>0</v>
      </c>
      <c r="N2884" s="110">
        <f>K2884-tblAquisições[[#This Row],[QUANTIDADE PLANEJADA]]</f>
        <v>-20</v>
      </c>
      <c r="O2884" s="106" t="str">
        <f t="shared" si="91"/>
        <v>Faltando Comprar</v>
      </c>
    </row>
    <row r="2885" spans="1:15" ht="31.5">
      <c r="A2885" s="16" t="s">
        <v>17</v>
      </c>
      <c r="B2885" s="16" t="s">
        <v>24</v>
      </c>
      <c r="C2885" s="17" t="s">
        <v>19</v>
      </c>
      <c r="D2885" s="18" t="s">
        <v>1620</v>
      </c>
      <c r="E2885" s="18">
        <v>20</v>
      </c>
      <c r="F2885" s="18" t="s">
        <v>21</v>
      </c>
      <c r="G2885" s="18" t="s">
        <v>22</v>
      </c>
      <c r="H2885" s="18" t="s">
        <v>23</v>
      </c>
      <c r="I2885" s="19">
        <v>9.56</v>
      </c>
      <c r="J2885" s="20">
        <f t="shared" si="90"/>
        <v>191.20000000000002</v>
      </c>
      <c r="K2885" s="106"/>
      <c r="L2885" s="114"/>
      <c r="M2885" s="114">
        <f>tblAquisições[[#This Row],[VALOR UNITARIO COMPRADO]]*tblAquisições[[#This Row],[QUANTIDADE COMPRADA]]</f>
        <v>0</v>
      </c>
      <c r="N2885" s="110">
        <f>K2885-tblAquisições[[#This Row],[QUANTIDADE PLANEJADA]]</f>
        <v>-20</v>
      </c>
      <c r="O2885" s="106" t="str">
        <f t="shared" si="91"/>
        <v>Faltando Comprar</v>
      </c>
    </row>
    <row r="2886" spans="1:15" ht="31.5">
      <c r="A2886" s="16" t="s">
        <v>17</v>
      </c>
      <c r="B2886" s="16" t="s">
        <v>25</v>
      </c>
      <c r="C2886" s="17" t="s">
        <v>19</v>
      </c>
      <c r="D2886" s="18" t="s">
        <v>1620</v>
      </c>
      <c r="E2886" s="18">
        <v>20</v>
      </c>
      <c r="F2886" s="18" t="s">
        <v>21</v>
      </c>
      <c r="G2886" s="18" t="s">
        <v>22</v>
      </c>
      <c r="H2886" s="18" t="s">
        <v>23</v>
      </c>
      <c r="I2886" s="19">
        <v>9.56</v>
      </c>
      <c r="J2886" s="20">
        <f t="shared" si="90"/>
        <v>191.20000000000002</v>
      </c>
      <c r="K2886" s="106"/>
      <c r="L2886" s="114"/>
      <c r="M2886" s="114">
        <f>tblAquisições[[#This Row],[VALOR UNITARIO COMPRADO]]*tblAquisições[[#This Row],[QUANTIDADE COMPRADA]]</f>
        <v>0</v>
      </c>
      <c r="N2886" s="110">
        <f>K2886-tblAquisições[[#This Row],[QUANTIDADE PLANEJADA]]</f>
        <v>-20</v>
      </c>
      <c r="O2886" s="106" t="str">
        <f t="shared" si="91"/>
        <v>Faltando Comprar</v>
      </c>
    </row>
    <row r="2887" spans="1:15" ht="31.5">
      <c r="A2887" s="16" t="s">
        <v>17</v>
      </c>
      <c r="B2887" s="16" t="s">
        <v>28</v>
      </c>
      <c r="C2887" s="17" t="s">
        <v>19</v>
      </c>
      <c r="D2887" s="18" t="s">
        <v>1620</v>
      </c>
      <c r="E2887" s="18">
        <v>12</v>
      </c>
      <c r="F2887" s="18" t="s">
        <v>21</v>
      </c>
      <c r="G2887" s="18" t="s">
        <v>22</v>
      </c>
      <c r="H2887" s="18" t="s">
        <v>23</v>
      </c>
      <c r="I2887" s="19">
        <v>9.56</v>
      </c>
      <c r="J2887" s="20">
        <f t="shared" si="90"/>
        <v>114.72</v>
      </c>
      <c r="K2887" s="106"/>
      <c r="L2887" s="114"/>
      <c r="M2887" s="114">
        <f>tblAquisições[[#This Row],[VALOR UNITARIO COMPRADO]]*tblAquisições[[#This Row],[QUANTIDADE COMPRADA]]</f>
        <v>0</v>
      </c>
      <c r="N2887" s="110">
        <f>K2887-tblAquisições[[#This Row],[QUANTIDADE PLANEJADA]]</f>
        <v>-12</v>
      </c>
      <c r="O2887" s="106" t="str">
        <f t="shared" si="91"/>
        <v>Faltando Comprar</v>
      </c>
    </row>
    <row r="2888" spans="1:15" ht="31.5">
      <c r="A2888" s="16" t="s">
        <v>17</v>
      </c>
      <c r="B2888" s="16" t="s">
        <v>26</v>
      </c>
      <c r="C2888" s="17" t="s">
        <v>19</v>
      </c>
      <c r="D2888" s="18" t="s">
        <v>1621</v>
      </c>
      <c r="E2888" s="18">
        <v>100</v>
      </c>
      <c r="F2888" s="18" t="s">
        <v>21</v>
      </c>
      <c r="G2888" s="18" t="s">
        <v>22</v>
      </c>
      <c r="H2888" s="18" t="s">
        <v>23</v>
      </c>
      <c r="I2888" s="19">
        <v>127.66</v>
      </c>
      <c r="J2888" s="20">
        <f t="shared" si="90"/>
        <v>12766</v>
      </c>
      <c r="K2888" s="106"/>
      <c r="L2888" s="114"/>
      <c r="M2888" s="114">
        <f>tblAquisições[[#This Row],[VALOR UNITARIO COMPRADO]]*tblAquisições[[#This Row],[QUANTIDADE COMPRADA]]</f>
        <v>0</v>
      </c>
      <c r="N2888" s="110">
        <f>K2888-tblAquisições[[#This Row],[QUANTIDADE PLANEJADA]]</f>
        <v>-100</v>
      </c>
      <c r="O2888" s="106" t="str">
        <f t="shared" si="91"/>
        <v>Faltando Comprar</v>
      </c>
    </row>
    <row r="2889" spans="1:15" ht="31.5">
      <c r="A2889" s="16" t="s">
        <v>17</v>
      </c>
      <c r="B2889" s="16" t="s">
        <v>34</v>
      </c>
      <c r="C2889" s="17" t="s">
        <v>19</v>
      </c>
      <c r="D2889" s="18" t="s">
        <v>1622</v>
      </c>
      <c r="E2889" s="18">
        <v>20</v>
      </c>
      <c r="F2889" s="18" t="s">
        <v>21</v>
      </c>
      <c r="G2889" s="18" t="s">
        <v>22</v>
      </c>
      <c r="H2889" s="18" t="s">
        <v>23</v>
      </c>
      <c r="I2889" s="19">
        <v>12</v>
      </c>
      <c r="J2889" s="20">
        <f t="shared" si="90"/>
        <v>240</v>
      </c>
      <c r="K2889" s="106"/>
      <c r="L2889" s="114"/>
      <c r="M2889" s="114">
        <f>tblAquisições[[#This Row],[VALOR UNITARIO COMPRADO]]*tblAquisições[[#This Row],[QUANTIDADE COMPRADA]]</f>
        <v>0</v>
      </c>
      <c r="N2889" s="110">
        <f>K2889-tblAquisições[[#This Row],[QUANTIDADE PLANEJADA]]</f>
        <v>-20</v>
      </c>
      <c r="O2889" s="106" t="str">
        <f t="shared" si="91"/>
        <v>Faltando Comprar</v>
      </c>
    </row>
    <row r="2890" spans="1:15" ht="31.5">
      <c r="A2890" s="16" t="s">
        <v>17</v>
      </c>
      <c r="B2890" s="16" t="s">
        <v>18</v>
      </c>
      <c r="C2890" s="17" t="s">
        <v>19</v>
      </c>
      <c r="D2890" s="18" t="s">
        <v>1622</v>
      </c>
      <c r="E2890" s="18">
        <v>5</v>
      </c>
      <c r="F2890" s="18" t="s">
        <v>21</v>
      </c>
      <c r="G2890" s="18" t="s">
        <v>22</v>
      </c>
      <c r="H2890" s="18" t="s">
        <v>23</v>
      </c>
      <c r="I2890" s="19">
        <v>12</v>
      </c>
      <c r="J2890" s="20">
        <f t="shared" si="90"/>
        <v>60</v>
      </c>
      <c r="K2890" s="106"/>
      <c r="L2890" s="114"/>
      <c r="M2890" s="114">
        <f>tblAquisições[[#This Row],[VALOR UNITARIO COMPRADO]]*tblAquisições[[#This Row],[QUANTIDADE COMPRADA]]</f>
        <v>0</v>
      </c>
      <c r="N2890" s="110">
        <f>K2890-tblAquisições[[#This Row],[QUANTIDADE PLANEJADA]]</f>
        <v>-5</v>
      </c>
      <c r="O2890" s="106" t="str">
        <f t="shared" si="91"/>
        <v>Faltando Comprar</v>
      </c>
    </row>
    <row r="2891" spans="1:15" ht="31.5">
      <c r="A2891" s="16" t="s">
        <v>17</v>
      </c>
      <c r="B2891" s="16" t="s">
        <v>24</v>
      </c>
      <c r="C2891" s="17" t="s">
        <v>19</v>
      </c>
      <c r="D2891" s="18" t="s">
        <v>1622</v>
      </c>
      <c r="E2891" s="18">
        <v>5</v>
      </c>
      <c r="F2891" s="18" t="s">
        <v>21</v>
      </c>
      <c r="G2891" s="18" t="s">
        <v>22</v>
      </c>
      <c r="H2891" s="18" t="s">
        <v>23</v>
      </c>
      <c r="I2891" s="19">
        <v>12</v>
      </c>
      <c r="J2891" s="20">
        <f t="shared" si="90"/>
        <v>60</v>
      </c>
      <c r="K2891" s="106"/>
      <c r="L2891" s="114"/>
      <c r="M2891" s="114">
        <f>tblAquisições[[#This Row],[VALOR UNITARIO COMPRADO]]*tblAquisições[[#This Row],[QUANTIDADE COMPRADA]]</f>
        <v>0</v>
      </c>
      <c r="N2891" s="110">
        <f>K2891-tblAquisições[[#This Row],[QUANTIDADE PLANEJADA]]</f>
        <v>-5</v>
      </c>
      <c r="O2891" s="106" t="str">
        <f t="shared" si="91"/>
        <v>Faltando Comprar</v>
      </c>
    </row>
    <row r="2892" spans="1:15" ht="31.5">
      <c r="A2892" s="16" t="s">
        <v>17</v>
      </c>
      <c r="B2892" s="16" t="s">
        <v>25</v>
      </c>
      <c r="C2892" s="17" t="s">
        <v>19</v>
      </c>
      <c r="D2892" s="18" t="s">
        <v>1622</v>
      </c>
      <c r="E2892" s="18">
        <v>5</v>
      </c>
      <c r="F2892" s="18" t="s">
        <v>21</v>
      </c>
      <c r="G2892" s="18" t="s">
        <v>22</v>
      </c>
      <c r="H2892" s="18" t="s">
        <v>23</v>
      </c>
      <c r="I2892" s="19">
        <v>12</v>
      </c>
      <c r="J2892" s="20">
        <f t="shared" si="90"/>
        <v>60</v>
      </c>
      <c r="K2892" s="106"/>
      <c r="L2892" s="114"/>
      <c r="M2892" s="114">
        <f>tblAquisições[[#This Row],[VALOR UNITARIO COMPRADO]]*tblAquisições[[#This Row],[QUANTIDADE COMPRADA]]</f>
        <v>0</v>
      </c>
      <c r="N2892" s="110">
        <f>K2892-tblAquisições[[#This Row],[QUANTIDADE PLANEJADA]]</f>
        <v>-5</v>
      </c>
      <c r="O2892" s="106" t="str">
        <f t="shared" si="91"/>
        <v>Faltando Comprar</v>
      </c>
    </row>
    <row r="2893" spans="1:15" ht="47.25">
      <c r="A2893" s="16" t="s">
        <v>17</v>
      </c>
      <c r="B2893" s="16" t="s">
        <v>27</v>
      </c>
      <c r="C2893" s="17" t="s">
        <v>19</v>
      </c>
      <c r="D2893" s="18" t="s">
        <v>1623</v>
      </c>
      <c r="E2893" s="18">
        <v>2</v>
      </c>
      <c r="F2893" s="18" t="s">
        <v>126</v>
      </c>
      <c r="G2893" s="18" t="s">
        <v>127</v>
      </c>
      <c r="H2893" s="18" t="s">
        <v>23</v>
      </c>
      <c r="I2893" s="19">
        <v>6790.18</v>
      </c>
      <c r="J2893" s="20">
        <f t="shared" si="90"/>
        <v>13580.36</v>
      </c>
      <c r="K2893" s="106"/>
      <c r="L2893" s="114"/>
      <c r="M2893" s="114">
        <f>tblAquisições[[#This Row],[VALOR UNITARIO COMPRADO]]*tblAquisições[[#This Row],[QUANTIDADE COMPRADA]]</f>
        <v>0</v>
      </c>
      <c r="N2893" s="110">
        <f>K2893-tblAquisições[[#This Row],[QUANTIDADE PLANEJADA]]</f>
        <v>-2</v>
      </c>
      <c r="O2893" s="106" t="str">
        <f t="shared" si="91"/>
        <v>Faltando Comprar</v>
      </c>
    </row>
    <row r="2894" spans="1:15" ht="31.5">
      <c r="A2894" s="16" t="s">
        <v>17</v>
      </c>
      <c r="B2894" s="16" t="s">
        <v>17</v>
      </c>
      <c r="C2894" s="17" t="s">
        <v>19</v>
      </c>
      <c r="D2894" s="18" t="s">
        <v>1624</v>
      </c>
      <c r="E2894" s="18">
        <v>12</v>
      </c>
      <c r="F2894" s="18" t="s">
        <v>56</v>
      </c>
      <c r="G2894" s="18" t="s">
        <v>39</v>
      </c>
      <c r="H2894" s="18" t="s">
        <v>23</v>
      </c>
      <c r="I2894" s="19">
        <v>25.52</v>
      </c>
      <c r="J2894" s="20">
        <f t="shared" si="90"/>
        <v>306.24</v>
      </c>
      <c r="K2894" s="106"/>
      <c r="L2894" s="114"/>
      <c r="M2894" s="114">
        <f>tblAquisições[[#This Row],[VALOR UNITARIO COMPRADO]]*tblAquisições[[#This Row],[QUANTIDADE COMPRADA]]</f>
        <v>0</v>
      </c>
      <c r="N2894" s="110">
        <f>K2894-tblAquisições[[#This Row],[QUANTIDADE PLANEJADA]]</f>
        <v>-12</v>
      </c>
      <c r="O2894" s="106" t="str">
        <f t="shared" si="91"/>
        <v>Faltando Comprar</v>
      </c>
    </row>
    <row r="2895" spans="1:15" ht="31.5">
      <c r="A2895" s="16" t="s">
        <v>17</v>
      </c>
      <c r="B2895" s="16" t="s">
        <v>28</v>
      </c>
      <c r="C2895" s="17" t="s">
        <v>19</v>
      </c>
      <c r="D2895" s="18" t="s">
        <v>1625</v>
      </c>
      <c r="E2895" s="18">
        <v>12</v>
      </c>
      <c r="F2895" s="18" t="s">
        <v>170</v>
      </c>
      <c r="G2895" s="18" t="s">
        <v>22</v>
      </c>
      <c r="H2895" s="18" t="s">
        <v>23</v>
      </c>
      <c r="I2895" s="19">
        <v>25.52</v>
      </c>
      <c r="J2895" s="20">
        <f t="shared" si="90"/>
        <v>306.24</v>
      </c>
      <c r="K2895" s="106"/>
      <c r="L2895" s="114"/>
      <c r="M2895" s="114">
        <f>tblAquisições[[#This Row],[VALOR UNITARIO COMPRADO]]*tblAquisições[[#This Row],[QUANTIDADE COMPRADA]]</f>
        <v>0</v>
      </c>
      <c r="N2895" s="110">
        <f>K2895-tblAquisições[[#This Row],[QUANTIDADE PLANEJADA]]</f>
        <v>-12</v>
      </c>
      <c r="O2895" s="106" t="str">
        <f t="shared" si="91"/>
        <v>Faltando Comprar</v>
      </c>
    </row>
    <row r="2896" spans="1:15" ht="31.5">
      <c r="A2896" s="16" t="s">
        <v>17</v>
      </c>
      <c r="B2896" s="16" t="s">
        <v>80</v>
      </c>
      <c r="C2896" s="17" t="s">
        <v>19</v>
      </c>
      <c r="D2896" s="18" t="s">
        <v>1626</v>
      </c>
      <c r="E2896" s="18">
        <v>2</v>
      </c>
      <c r="F2896" s="18" t="s">
        <v>468</v>
      </c>
      <c r="G2896" s="18" t="s">
        <v>39</v>
      </c>
      <c r="H2896" s="21"/>
      <c r="I2896" s="19">
        <v>85</v>
      </c>
      <c r="J2896" s="20">
        <f t="shared" si="90"/>
        <v>170</v>
      </c>
      <c r="K2896" s="106"/>
      <c r="L2896" s="114"/>
      <c r="M2896" s="114">
        <f>tblAquisições[[#This Row],[VALOR UNITARIO COMPRADO]]*tblAquisições[[#This Row],[QUANTIDADE COMPRADA]]</f>
        <v>0</v>
      </c>
      <c r="N2896" s="110">
        <f>K2896-tblAquisições[[#This Row],[QUANTIDADE PLANEJADA]]</f>
        <v>-2</v>
      </c>
      <c r="O2896" s="106" t="str">
        <f t="shared" si="91"/>
        <v>Faltando Comprar</v>
      </c>
    </row>
    <row r="2897" spans="1:15" ht="31.5">
      <c r="A2897" s="16" t="s">
        <v>17</v>
      </c>
      <c r="B2897" s="16" t="s">
        <v>26</v>
      </c>
      <c r="C2897" s="17" t="s">
        <v>19</v>
      </c>
      <c r="D2897" s="18" t="s">
        <v>1627</v>
      </c>
      <c r="E2897" s="18">
        <v>30</v>
      </c>
      <c r="F2897" s="18" t="s">
        <v>21</v>
      </c>
      <c r="G2897" s="18" t="s">
        <v>22</v>
      </c>
      <c r="H2897" s="18" t="s">
        <v>23</v>
      </c>
      <c r="I2897" s="19">
        <v>15.82</v>
      </c>
      <c r="J2897" s="20">
        <f t="shared" si="90"/>
        <v>474.6</v>
      </c>
      <c r="K2897" s="106"/>
      <c r="L2897" s="114"/>
      <c r="M2897" s="114">
        <f>tblAquisições[[#This Row],[VALOR UNITARIO COMPRADO]]*tblAquisições[[#This Row],[QUANTIDADE COMPRADA]]</f>
        <v>0</v>
      </c>
      <c r="N2897" s="110">
        <f>K2897-tblAquisições[[#This Row],[QUANTIDADE PLANEJADA]]</f>
        <v>-30</v>
      </c>
      <c r="O2897" s="106" t="str">
        <f t="shared" si="91"/>
        <v>Faltando Comprar</v>
      </c>
    </row>
    <row r="2898" spans="1:15" ht="31.5">
      <c r="A2898" s="16" t="s">
        <v>17</v>
      </c>
      <c r="B2898" s="16" t="s">
        <v>31</v>
      </c>
      <c r="C2898" s="17" t="s">
        <v>19</v>
      </c>
      <c r="D2898" s="18" t="s">
        <v>1628</v>
      </c>
      <c r="E2898" s="18">
        <v>2</v>
      </c>
      <c r="F2898" s="18" t="s">
        <v>1455</v>
      </c>
      <c r="G2898" s="18" t="s">
        <v>127</v>
      </c>
      <c r="H2898" s="18" t="s">
        <v>23</v>
      </c>
      <c r="I2898" s="19">
        <v>1099</v>
      </c>
      <c r="J2898" s="20">
        <f t="shared" si="90"/>
        <v>2198</v>
      </c>
      <c r="K2898" s="106"/>
      <c r="L2898" s="114"/>
      <c r="M2898" s="114">
        <f>tblAquisições[[#This Row],[VALOR UNITARIO COMPRADO]]*tblAquisições[[#This Row],[QUANTIDADE COMPRADA]]</f>
        <v>0</v>
      </c>
      <c r="N2898" s="110">
        <f>K2898-tblAquisições[[#This Row],[QUANTIDADE PLANEJADA]]</f>
        <v>-2</v>
      </c>
      <c r="O2898" s="106" t="str">
        <f t="shared" si="91"/>
        <v>Faltando Comprar</v>
      </c>
    </row>
    <row r="2899" spans="1:15" ht="31.5">
      <c r="A2899" s="16" t="s">
        <v>17</v>
      </c>
      <c r="B2899" s="16" t="s">
        <v>18</v>
      </c>
      <c r="C2899" s="17" t="s">
        <v>19</v>
      </c>
      <c r="D2899" s="18" t="s">
        <v>1628</v>
      </c>
      <c r="E2899" s="18">
        <v>1</v>
      </c>
      <c r="F2899" s="18" t="s">
        <v>1455</v>
      </c>
      <c r="G2899" s="18" t="s">
        <v>127</v>
      </c>
      <c r="H2899" s="18" t="s">
        <v>23</v>
      </c>
      <c r="I2899" s="19">
        <v>1099</v>
      </c>
      <c r="J2899" s="20">
        <f t="shared" si="90"/>
        <v>1099</v>
      </c>
      <c r="K2899" s="106"/>
      <c r="L2899" s="114"/>
      <c r="M2899" s="114">
        <f>tblAquisições[[#This Row],[VALOR UNITARIO COMPRADO]]*tblAquisições[[#This Row],[QUANTIDADE COMPRADA]]</f>
        <v>0</v>
      </c>
      <c r="N2899" s="110">
        <f>K2899-tblAquisições[[#This Row],[QUANTIDADE PLANEJADA]]</f>
        <v>-1</v>
      </c>
      <c r="O2899" s="106" t="str">
        <f t="shared" si="91"/>
        <v>Faltando Comprar</v>
      </c>
    </row>
    <row r="2900" spans="1:15" ht="31.5">
      <c r="A2900" s="16" t="s">
        <v>17</v>
      </c>
      <c r="B2900" s="16" t="s">
        <v>24</v>
      </c>
      <c r="C2900" s="17" t="s">
        <v>19</v>
      </c>
      <c r="D2900" s="18" t="s">
        <v>1628</v>
      </c>
      <c r="E2900" s="18">
        <v>1</v>
      </c>
      <c r="F2900" s="18" t="s">
        <v>1455</v>
      </c>
      <c r="G2900" s="18" t="s">
        <v>127</v>
      </c>
      <c r="H2900" s="18" t="s">
        <v>23</v>
      </c>
      <c r="I2900" s="19">
        <v>1099</v>
      </c>
      <c r="J2900" s="20">
        <f t="shared" si="90"/>
        <v>1099</v>
      </c>
      <c r="K2900" s="106"/>
      <c r="L2900" s="114"/>
      <c r="M2900" s="114">
        <f>tblAquisições[[#This Row],[VALOR UNITARIO COMPRADO]]*tblAquisições[[#This Row],[QUANTIDADE COMPRADA]]</f>
        <v>0</v>
      </c>
      <c r="N2900" s="110">
        <f>K2900-tblAquisições[[#This Row],[QUANTIDADE PLANEJADA]]</f>
        <v>-1</v>
      </c>
      <c r="O2900" s="106" t="str">
        <f t="shared" si="91"/>
        <v>Faltando Comprar</v>
      </c>
    </row>
    <row r="2901" spans="1:15" ht="31.5">
      <c r="A2901" s="16" t="s">
        <v>17</v>
      </c>
      <c r="B2901" s="16" t="s">
        <v>28</v>
      </c>
      <c r="C2901" s="17" t="s">
        <v>19</v>
      </c>
      <c r="D2901" s="18" t="s">
        <v>1628</v>
      </c>
      <c r="E2901" s="18">
        <v>1</v>
      </c>
      <c r="F2901" s="18" t="s">
        <v>1455</v>
      </c>
      <c r="G2901" s="18" t="s">
        <v>127</v>
      </c>
      <c r="H2901" s="18" t="s">
        <v>23</v>
      </c>
      <c r="I2901" s="19">
        <v>1099</v>
      </c>
      <c r="J2901" s="20">
        <f t="shared" si="90"/>
        <v>1099</v>
      </c>
      <c r="K2901" s="106"/>
      <c r="L2901" s="114"/>
      <c r="M2901" s="114">
        <f>tblAquisições[[#This Row],[VALOR UNITARIO COMPRADO]]*tblAquisições[[#This Row],[QUANTIDADE COMPRADA]]</f>
        <v>0</v>
      </c>
      <c r="N2901" s="110">
        <f>K2901-tblAquisições[[#This Row],[QUANTIDADE PLANEJADA]]</f>
        <v>-1</v>
      </c>
      <c r="O2901" s="106" t="str">
        <f t="shared" si="91"/>
        <v>Faltando Comprar</v>
      </c>
    </row>
    <row r="2902" spans="1:15" ht="47.25">
      <c r="A2902" s="16" t="s">
        <v>17</v>
      </c>
      <c r="B2902" s="16" t="s">
        <v>80</v>
      </c>
      <c r="C2902" s="17" t="s">
        <v>19</v>
      </c>
      <c r="D2902" s="18" t="s">
        <v>1629</v>
      </c>
      <c r="E2902" s="18">
        <v>3</v>
      </c>
      <c r="F2902" s="18" t="s">
        <v>191</v>
      </c>
      <c r="G2902" s="18" t="s">
        <v>39</v>
      </c>
      <c r="H2902" s="18" t="s">
        <v>23</v>
      </c>
      <c r="I2902" s="19">
        <v>33.19</v>
      </c>
      <c r="J2902" s="20">
        <f t="shared" si="90"/>
        <v>99.57</v>
      </c>
      <c r="K2902" s="106"/>
      <c r="L2902" s="114"/>
      <c r="M2902" s="114">
        <f>tblAquisições[[#This Row],[VALOR UNITARIO COMPRADO]]*tblAquisições[[#This Row],[QUANTIDADE COMPRADA]]</f>
        <v>0</v>
      </c>
      <c r="N2902" s="110">
        <f>K2902-tblAquisições[[#This Row],[QUANTIDADE PLANEJADA]]</f>
        <v>-3</v>
      </c>
      <c r="O2902" s="106" t="str">
        <f t="shared" si="91"/>
        <v>Faltando Comprar</v>
      </c>
    </row>
    <row r="2903" spans="1:15" ht="31.5">
      <c r="A2903" s="16" t="s">
        <v>17</v>
      </c>
      <c r="B2903" s="16" t="s">
        <v>31</v>
      </c>
      <c r="C2903" s="17" t="s">
        <v>19</v>
      </c>
      <c r="D2903" s="18" t="s">
        <v>1630</v>
      </c>
      <c r="E2903" s="18">
        <v>50</v>
      </c>
      <c r="F2903" s="18" t="s">
        <v>21</v>
      </c>
      <c r="G2903" s="18" t="s">
        <v>22</v>
      </c>
      <c r="H2903" s="18" t="s">
        <v>23</v>
      </c>
      <c r="I2903" s="19">
        <v>4.3</v>
      </c>
      <c r="J2903" s="20">
        <f t="shared" si="90"/>
        <v>215</v>
      </c>
      <c r="K2903" s="106"/>
      <c r="L2903" s="114"/>
      <c r="M2903" s="114">
        <f>tblAquisições[[#This Row],[VALOR UNITARIO COMPRADO]]*tblAquisições[[#This Row],[QUANTIDADE COMPRADA]]</f>
        <v>0</v>
      </c>
      <c r="N2903" s="110">
        <f>K2903-tblAquisições[[#This Row],[QUANTIDADE PLANEJADA]]</f>
        <v>-50</v>
      </c>
      <c r="O2903" s="106" t="str">
        <f t="shared" si="91"/>
        <v>Faltando Comprar</v>
      </c>
    </row>
    <row r="2904" spans="1:15" ht="31.5">
      <c r="A2904" s="16" t="s">
        <v>17</v>
      </c>
      <c r="B2904" s="16" t="s">
        <v>18</v>
      </c>
      <c r="C2904" s="17" t="s">
        <v>19</v>
      </c>
      <c r="D2904" s="18" t="s">
        <v>1630</v>
      </c>
      <c r="E2904" s="18">
        <v>20</v>
      </c>
      <c r="F2904" s="18" t="s">
        <v>21</v>
      </c>
      <c r="G2904" s="18" t="s">
        <v>22</v>
      </c>
      <c r="H2904" s="18" t="s">
        <v>23</v>
      </c>
      <c r="I2904" s="19">
        <v>4.3</v>
      </c>
      <c r="J2904" s="20">
        <f t="shared" si="90"/>
        <v>86</v>
      </c>
      <c r="K2904" s="106"/>
      <c r="L2904" s="114"/>
      <c r="M2904" s="114">
        <f>tblAquisições[[#This Row],[VALOR UNITARIO COMPRADO]]*tblAquisições[[#This Row],[QUANTIDADE COMPRADA]]</f>
        <v>0</v>
      </c>
      <c r="N2904" s="110">
        <f>K2904-tblAquisições[[#This Row],[QUANTIDADE PLANEJADA]]</f>
        <v>-20</v>
      </c>
      <c r="O2904" s="106" t="str">
        <f t="shared" si="91"/>
        <v>Faltando Comprar</v>
      </c>
    </row>
    <row r="2905" spans="1:15" ht="31.5">
      <c r="A2905" s="16" t="s">
        <v>17</v>
      </c>
      <c r="B2905" s="16" t="s">
        <v>24</v>
      </c>
      <c r="C2905" s="17" t="s">
        <v>19</v>
      </c>
      <c r="D2905" s="18" t="s">
        <v>1630</v>
      </c>
      <c r="E2905" s="18">
        <v>20</v>
      </c>
      <c r="F2905" s="18" t="s">
        <v>21</v>
      </c>
      <c r="G2905" s="18" t="s">
        <v>22</v>
      </c>
      <c r="H2905" s="18" t="s">
        <v>23</v>
      </c>
      <c r="I2905" s="19">
        <v>4.3</v>
      </c>
      <c r="J2905" s="20">
        <f t="shared" si="90"/>
        <v>86</v>
      </c>
      <c r="K2905" s="106"/>
      <c r="L2905" s="114"/>
      <c r="M2905" s="114">
        <f>tblAquisições[[#This Row],[VALOR UNITARIO COMPRADO]]*tblAquisições[[#This Row],[QUANTIDADE COMPRADA]]</f>
        <v>0</v>
      </c>
      <c r="N2905" s="110">
        <f>K2905-tblAquisições[[#This Row],[QUANTIDADE PLANEJADA]]</f>
        <v>-20</v>
      </c>
      <c r="O2905" s="106" t="str">
        <f t="shared" si="91"/>
        <v>Faltando Comprar</v>
      </c>
    </row>
    <row r="2906" spans="1:15" ht="31.5">
      <c r="A2906" s="16" t="s">
        <v>17</v>
      </c>
      <c r="B2906" s="16" t="s">
        <v>25</v>
      </c>
      <c r="C2906" s="17" t="s">
        <v>19</v>
      </c>
      <c r="D2906" s="18" t="s">
        <v>1630</v>
      </c>
      <c r="E2906" s="18">
        <v>20</v>
      </c>
      <c r="F2906" s="18" t="s">
        <v>21</v>
      </c>
      <c r="G2906" s="18" t="s">
        <v>22</v>
      </c>
      <c r="H2906" s="18" t="s">
        <v>23</v>
      </c>
      <c r="I2906" s="19">
        <v>4.3</v>
      </c>
      <c r="J2906" s="20">
        <f t="shared" si="90"/>
        <v>86</v>
      </c>
      <c r="K2906" s="106"/>
      <c r="L2906" s="114"/>
      <c r="M2906" s="114">
        <f>tblAquisições[[#This Row],[VALOR UNITARIO COMPRADO]]*tblAquisições[[#This Row],[QUANTIDADE COMPRADA]]</f>
        <v>0</v>
      </c>
      <c r="N2906" s="110">
        <f>K2906-tblAquisições[[#This Row],[QUANTIDADE PLANEJADA]]</f>
        <v>-20</v>
      </c>
      <c r="O2906" s="106" t="str">
        <f t="shared" si="91"/>
        <v>Faltando Comprar</v>
      </c>
    </row>
    <row r="2907" spans="1:15" ht="31.5">
      <c r="A2907" s="16" t="s">
        <v>17</v>
      </c>
      <c r="B2907" s="16" t="s">
        <v>28</v>
      </c>
      <c r="C2907" s="17" t="s">
        <v>19</v>
      </c>
      <c r="D2907" s="18" t="s">
        <v>1630</v>
      </c>
      <c r="E2907" s="18">
        <v>24</v>
      </c>
      <c r="F2907" s="18" t="s">
        <v>21</v>
      </c>
      <c r="G2907" s="18" t="s">
        <v>22</v>
      </c>
      <c r="H2907" s="18" t="s">
        <v>23</v>
      </c>
      <c r="I2907" s="19">
        <v>4.3</v>
      </c>
      <c r="J2907" s="20">
        <f t="shared" si="90"/>
        <v>103.19999999999999</v>
      </c>
      <c r="K2907" s="106"/>
      <c r="L2907" s="114"/>
      <c r="M2907" s="114">
        <f>tblAquisições[[#This Row],[VALOR UNITARIO COMPRADO]]*tblAquisições[[#This Row],[QUANTIDADE COMPRADA]]</f>
        <v>0</v>
      </c>
      <c r="N2907" s="110">
        <f>K2907-tblAquisições[[#This Row],[QUANTIDADE PLANEJADA]]</f>
        <v>-24</v>
      </c>
      <c r="O2907" s="106" t="str">
        <f t="shared" si="91"/>
        <v>Faltando Comprar</v>
      </c>
    </row>
    <row r="2908" spans="1:15" ht="31.5">
      <c r="A2908" s="16" t="s">
        <v>17</v>
      </c>
      <c r="B2908" s="16" t="s">
        <v>26</v>
      </c>
      <c r="C2908" s="17" t="s">
        <v>19</v>
      </c>
      <c r="D2908" s="18" t="s">
        <v>1631</v>
      </c>
      <c r="E2908" s="18">
        <v>5</v>
      </c>
      <c r="F2908" s="18" t="s">
        <v>30</v>
      </c>
      <c r="G2908" s="18" t="s">
        <v>22</v>
      </c>
      <c r="H2908" s="18" t="s">
        <v>23</v>
      </c>
      <c r="I2908" s="19">
        <v>130</v>
      </c>
      <c r="J2908" s="20">
        <f t="shared" si="90"/>
        <v>650</v>
      </c>
      <c r="K2908" s="106"/>
      <c r="L2908" s="114"/>
      <c r="M2908" s="114">
        <f>tblAquisições[[#This Row],[VALOR UNITARIO COMPRADO]]*tblAquisições[[#This Row],[QUANTIDADE COMPRADA]]</f>
        <v>0</v>
      </c>
      <c r="N2908" s="110">
        <f>K2908-tblAquisições[[#This Row],[QUANTIDADE PLANEJADA]]</f>
        <v>-5</v>
      </c>
      <c r="O2908" s="106" t="str">
        <f t="shared" si="91"/>
        <v>Faltando Comprar</v>
      </c>
    </row>
    <row r="2909" spans="1:15" ht="31.5">
      <c r="A2909" s="16" t="s">
        <v>17</v>
      </c>
      <c r="B2909" s="16" t="s">
        <v>18</v>
      </c>
      <c r="C2909" s="17" t="s">
        <v>19</v>
      </c>
      <c r="D2909" s="18" t="s">
        <v>1632</v>
      </c>
      <c r="E2909" s="18">
        <v>10</v>
      </c>
      <c r="F2909" s="18" t="s">
        <v>30</v>
      </c>
      <c r="G2909" s="18" t="s">
        <v>22</v>
      </c>
      <c r="H2909" s="18" t="s">
        <v>23</v>
      </c>
      <c r="I2909" s="19">
        <v>160</v>
      </c>
      <c r="J2909" s="20">
        <f t="shared" si="90"/>
        <v>1600</v>
      </c>
      <c r="K2909" s="106"/>
      <c r="L2909" s="114"/>
      <c r="M2909" s="114">
        <f>tblAquisições[[#This Row],[VALOR UNITARIO COMPRADO]]*tblAquisições[[#This Row],[QUANTIDADE COMPRADA]]</f>
        <v>0</v>
      </c>
      <c r="N2909" s="110">
        <f>K2909-tblAquisições[[#This Row],[QUANTIDADE PLANEJADA]]</f>
        <v>-10</v>
      </c>
      <c r="O2909" s="106" t="str">
        <f t="shared" si="91"/>
        <v>Faltando Comprar</v>
      </c>
    </row>
    <row r="2910" spans="1:15" ht="31.5">
      <c r="A2910" s="16" t="s">
        <v>17</v>
      </c>
      <c r="B2910" s="16" t="s">
        <v>24</v>
      </c>
      <c r="C2910" s="17" t="s">
        <v>19</v>
      </c>
      <c r="D2910" s="18" t="s">
        <v>1632</v>
      </c>
      <c r="E2910" s="18">
        <v>10</v>
      </c>
      <c r="F2910" s="18" t="s">
        <v>30</v>
      </c>
      <c r="G2910" s="18" t="s">
        <v>22</v>
      </c>
      <c r="H2910" s="18" t="s">
        <v>23</v>
      </c>
      <c r="I2910" s="19">
        <v>160</v>
      </c>
      <c r="J2910" s="20">
        <f t="shared" si="90"/>
        <v>1600</v>
      </c>
      <c r="K2910" s="106"/>
      <c r="L2910" s="114"/>
      <c r="M2910" s="114">
        <f>tblAquisições[[#This Row],[VALOR UNITARIO COMPRADO]]*tblAquisições[[#This Row],[QUANTIDADE COMPRADA]]</f>
        <v>0</v>
      </c>
      <c r="N2910" s="110">
        <f>K2910-tblAquisições[[#This Row],[QUANTIDADE PLANEJADA]]</f>
        <v>-10</v>
      </c>
      <c r="O2910" s="106" t="str">
        <f t="shared" si="91"/>
        <v>Faltando Comprar</v>
      </c>
    </row>
    <row r="2911" spans="1:15" ht="31.5">
      <c r="A2911" s="16" t="s">
        <v>17</v>
      </c>
      <c r="B2911" s="16" t="s">
        <v>25</v>
      </c>
      <c r="C2911" s="17" t="s">
        <v>19</v>
      </c>
      <c r="D2911" s="18" t="s">
        <v>1632</v>
      </c>
      <c r="E2911" s="18">
        <v>10</v>
      </c>
      <c r="F2911" s="18" t="s">
        <v>30</v>
      </c>
      <c r="G2911" s="18" t="s">
        <v>22</v>
      </c>
      <c r="H2911" s="18" t="s">
        <v>23</v>
      </c>
      <c r="I2911" s="19">
        <v>160</v>
      </c>
      <c r="J2911" s="20">
        <f t="shared" si="90"/>
        <v>1600</v>
      </c>
      <c r="K2911" s="106"/>
      <c r="L2911" s="114"/>
      <c r="M2911" s="114">
        <f>tblAquisições[[#This Row],[VALOR UNITARIO COMPRADO]]*tblAquisições[[#This Row],[QUANTIDADE COMPRADA]]</f>
        <v>0</v>
      </c>
      <c r="N2911" s="110">
        <f>K2911-tblAquisições[[#This Row],[QUANTIDADE PLANEJADA]]</f>
        <v>-10</v>
      </c>
      <c r="O2911" s="106" t="str">
        <f t="shared" si="91"/>
        <v>Faltando Comprar</v>
      </c>
    </row>
    <row r="2912" spans="1:15" ht="31.5">
      <c r="A2912" s="16" t="s">
        <v>17</v>
      </c>
      <c r="B2912" s="16" t="s">
        <v>26</v>
      </c>
      <c r="C2912" s="17" t="s">
        <v>19</v>
      </c>
      <c r="D2912" s="18" t="s">
        <v>1632</v>
      </c>
      <c r="E2912" s="18">
        <v>5</v>
      </c>
      <c r="F2912" s="18" t="s">
        <v>30</v>
      </c>
      <c r="G2912" s="18" t="s">
        <v>22</v>
      </c>
      <c r="H2912" s="18" t="s">
        <v>23</v>
      </c>
      <c r="I2912" s="19">
        <v>160</v>
      </c>
      <c r="J2912" s="20">
        <f t="shared" si="90"/>
        <v>800</v>
      </c>
      <c r="K2912" s="106"/>
      <c r="L2912" s="114"/>
      <c r="M2912" s="114">
        <f>tblAquisições[[#This Row],[VALOR UNITARIO COMPRADO]]*tblAquisições[[#This Row],[QUANTIDADE COMPRADA]]</f>
        <v>0</v>
      </c>
      <c r="N2912" s="110">
        <f>K2912-tblAquisições[[#This Row],[QUANTIDADE PLANEJADA]]</f>
        <v>-5</v>
      </c>
      <c r="O2912" s="106" t="str">
        <f t="shared" si="91"/>
        <v>Faltando Comprar</v>
      </c>
    </row>
    <row r="2913" spans="1:15" ht="31.5">
      <c r="A2913" s="16" t="s">
        <v>17</v>
      </c>
      <c r="B2913" s="16" t="s">
        <v>27</v>
      </c>
      <c r="C2913" s="17" t="s">
        <v>19</v>
      </c>
      <c r="D2913" s="18" t="s">
        <v>1632</v>
      </c>
      <c r="E2913" s="18">
        <v>6</v>
      </c>
      <c r="F2913" s="18" t="s">
        <v>30</v>
      </c>
      <c r="G2913" s="18" t="s">
        <v>22</v>
      </c>
      <c r="H2913" s="18" t="s">
        <v>23</v>
      </c>
      <c r="I2913" s="19">
        <v>160</v>
      </c>
      <c r="J2913" s="20">
        <f t="shared" si="90"/>
        <v>960</v>
      </c>
      <c r="K2913" s="106"/>
      <c r="L2913" s="114"/>
      <c r="M2913" s="114">
        <f>tblAquisições[[#This Row],[VALOR UNITARIO COMPRADO]]*tblAquisições[[#This Row],[QUANTIDADE COMPRADA]]</f>
        <v>0</v>
      </c>
      <c r="N2913" s="110">
        <f>K2913-tblAquisições[[#This Row],[QUANTIDADE PLANEJADA]]</f>
        <v>-6</v>
      </c>
      <c r="O2913" s="106" t="str">
        <f t="shared" si="91"/>
        <v>Faltando Comprar</v>
      </c>
    </row>
    <row r="2914" spans="1:15" ht="31.5">
      <c r="A2914" s="16" t="s">
        <v>17</v>
      </c>
      <c r="B2914" s="16" t="s">
        <v>31</v>
      </c>
      <c r="C2914" s="17" t="s">
        <v>19</v>
      </c>
      <c r="D2914" s="18" t="s">
        <v>1633</v>
      </c>
      <c r="E2914" s="18">
        <v>5</v>
      </c>
      <c r="F2914" s="18" t="s">
        <v>328</v>
      </c>
      <c r="G2914" s="18" t="s">
        <v>22</v>
      </c>
      <c r="H2914" s="18" t="s">
        <v>23</v>
      </c>
      <c r="I2914" s="19">
        <v>20.57</v>
      </c>
      <c r="J2914" s="20">
        <f t="shared" si="90"/>
        <v>102.85</v>
      </c>
      <c r="K2914" s="106"/>
      <c r="L2914" s="114"/>
      <c r="M2914" s="114">
        <f>tblAquisições[[#This Row],[VALOR UNITARIO COMPRADO]]*tblAquisições[[#This Row],[QUANTIDADE COMPRADA]]</f>
        <v>0</v>
      </c>
      <c r="N2914" s="110">
        <f>K2914-tblAquisições[[#This Row],[QUANTIDADE PLANEJADA]]</f>
        <v>-5</v>
      </c>
      <c r="O2914" s="106" t="str">
        <f t="shared" si="91"/>
        <v>Faltando Comprar</v>
      </c>
    </row>
    <row r="2915" spans="1:15" ht="31.5">
      <c r="A2915" s="16" t="s">
        <v>17</v>
      </c>
      <c r="B2915" s="16" t="s">
        <v>18</v>
      </c>
      <c r="C2915" s="17" t="s">
        <v>19</v>
      </c>
      <c r="D2915" s="18" t="s">
        <v>1634</v>
      </c>
      <c r="E2915" s="18">
        <v>15</v>
      </c>
      <c r="F2915" s="18" t="s">
        <v>30</v>
      </c>
      <c r="G2915" s="18" t="s">
        <v>22</v>
      </c>
      <c r="H2915" s="18" t="s">
        <v>23</v>
      </c>
      <c r="I2915" s="19">
        <v>380.33</v>
      </c>
      <c r="J2915" s="20">
        <f t="shared" si="90"/>
        <v>5704.95</v>
      </c>
      <c r="K2915" s="106"/>
      <c r="L2915" s="114"/>
      <c r="M2915" s="114">
        <f>tblAquisições[[#This Row],[VALOR UNITARIO COMPRADO]]*tblAquisições[[#This Row],[QUANTIDADE COMPRADA]]</f>
        <v>0</v>
      </c>
      <c r="N2915" s="110">
        <f>K2915-tblAquisições[[#This Row],[QUANTIDADE PLANEJADA]]</f>
        <v>-15</v>
      </c>
      <c r="O2915" s="106" t="str">
        <f t="shared" si="91"/>
        <v>Faltando Comprar</v>
      </c>
    </row>
    <row r="2916" spans="1:15" ht="31.5">
      <c r="A2916" s="16" t="s">
        <v>17</v>
      </c>
      <c r="B2916" s="16" t="s">
        <v>24</v>
      </c>
      <c r="C2916" s="17" t="s">
        <v>19</v>
      </c>
      <c r="D2916" s="18" t="s">
        <v>1634</v>
      </c>
      <c r="E2916" s="18">
        <v>15</v>
      </c>
      <c r="F2916" s="18" t="s">
        <v>30</v>
      </c>
      <c r="G2916" s="18" t="s">
        <v>22</v>
      </c>
      <c r="H2916" s="18" t="s">
        <v>23</v>
      </c>
      <c r="I2916" s="19">
        <v>380.33</v>
      </c>
      <c r="J2916" s="20">
        <f t="shared" si="90"/>
        <v>5704.95</v>
      </c>
      <c r="K2916" s="106"/>
      <c r="L2916" s="114"/>
      <c r="M2916" s="114">
        <f>tblAquisições[[#This Row],[VALOR UNITARIO COMPRADO]]*tblAquisições[[#This Row],[QUANTIDADE COMPRADA]]</f>
        <v>0</v>
      </c>
      <c r="N2916" s="110">
        <f>K2916-tblAquisições[[#This Row],[QUANTIDADE PLANEJADA]]</f>
        <v>-15</v>
      </c>
      <c r="O2916" s="106" t="str">
        <f t="shared" si="91"/>
        <v>Faltando Comprar</v>
      </c>
    </row>
    <row r="2917" spans="1:15" ht="31.5">
      <c r="A2917" s="16" t="s">
        <v>17</v>
      </c>
      <c r="B2917" s="16" t="s">
        <v>25</v>
      </c>
      <c r="C2917" s="17" t="s">
        <v>19</v>
      </c>
      <c r="D2917" s="18" t="s">
        <v>1634</v>
      </c>
      <c r="E2917" s="18">
        <v>15</v>
      </c>
      <c r="F2917" s="18" t="s">
        <v>30</v>
      </c>
      <c r="G2917" s="18" t="s">
        <v>22</v>
      </c>
      <c r="H2917" s="18" t="s">
        <v>23</v>
      </c>
      <c r="I2917" s="19">
        <v>380.33</v>
      </c>
      <c r="J2917" s="20">
        <f t="shared" si="90"/>
        <v>5704.95</v>
      </c>
      <c r="K2917" s="106"/>
      <c r="L2917" s="114"/>
      <c r="M2917" s="114">
        <f>tblAquisições[[#This Row],[VALOR UNITARIO COMPRADO]]*tblAquisições[[#This Row],[QUANTIDADE COMPRADA]]</f>
        <v>0</v>
      </c>
      <c r="N2917" s="110">
        <f>K2917-tblAquisições[[#This Row],[QUANTIDADE PLANEJADA]]</f>
        <v>-15</v>
      </c>
      <c r="O2917" s="106" t="str">
        <f t="shared" si="91"/>
        <v>Faltando Comprar</v>
      </c>
    </row>
    <row r="2918" spans="1:15" ht="31.5">
      <c r="A2918" s="16" t="s">
        <v>17</v>
      </c>
      <c r="B2918" s="16" t="s">
        <v>27</v>
      </c>
      <c r="C2918" s="17" t="s">
        <v>19</v>
      </c>
      <c r="D2918" s="18" t="s">
        <v>1634</v>
      </c>
      <c r="E2918" s="18">
        <v>30</v>
      </c>
      <c r="F2918" s="18" t="s">
        <v>30</v>
      </c>
      <c r="G2918" s="18" t="s">
        <v>22</v>
      </c>
      <c r="H2918" s="18" t="s">
        <v>23</v>
      </c>
      <c r="I2918" s="19">
        <v>380.33</v>
      </c>
      <c r="J2918" s="20">
        <f t="shared" si="90"/>
        <v>11409.9</v>
      </c>
      <c r="K2918" s="106"/>
      <c r="L2918" s="114"/>
      <c r="M2918" s="114">
        <f>tblAquisições[[#This Row],[VALOR UNITARIO COMPRADO]]*tblAquisições[[#This Row],[QUANTIDADE COMPRADA]]</f>
        <v>0</v>
      </c>
      <c r="N2918" s="110">
        <f>K2918-tblAquisições[[#This Row],[QUANTIDADE PLANEJADA]]</f>
        <v>-30</v>
      </c>
      <c r="O2918" s="106" t="str">
        <f t="shared" si="91"/>
        <v>Faltando Comprar</v>
      </c>
    </row>
    <row r="2919" spans="1:15" ht="31.5">
      <c r="A2919" s="16" t="s">
        <v>17</v>
      </c>
      <c r="B2919" s="16" t="s">
        <v>80</v>
      </c>
      <c r="C2919" s="17" t="s">
        <v>19</v>
      </c>
      <c r="D2919" s="18" t="s">
        <v>1635</v>
      </c>
      <c r="E2919" s="18">
        <v>2</v>
      </c>
      <c r="F2919" s="18" t="s">
        <v>82</v>
      </c>
      <c r="G2919" s="18" t="s">
        <v>39</v>
      </c>
      <c r="H2919" s="21"/>
      <c r="I2919" s="19">
        <v>245.47</v>
      </c>
      <c r="J2919" s="20">
        <f t="shared" si="90"/>
        <v>490.94</v>
      </c>
      <c r="K2919" s="106"/>
      <c r="L2919" s="114"/>
      <c r="M2919" s="114">
        <f>tblAquisições[[#This Row],[VALOR UNITARIO COMPRADO]]*tblAquisições[[#This Row],[QUANTIDADE COMPRADA]]</f>
        <v>0</v>
      </c>
      <c r="N2919" s="110">
        <f>K2919-tblAquisições[[#This Row],[QUANTIDADE PLANEJADA]]</f>
        <v>-2</v>
      </c>
      <c r="O2919" s="106" t="str">
        <f t="shared" si="91"/>
        <v>Faltando Comprar</v>
      </c>
    </row>
    <row r="2920" spans="1:15" ht="31.5">
      <c r="A2920" s="16" t="s">
        <v>17</v>
      </c>
      <c r="B2920" s="16" t="s">
        <v>26</v>
      </c>
      <c r="C2920" s="17" t="s">
        <v>19</v>
      </c>
      <c r="D2920" s="18" t="s">
        <v>1636</v>
      </c>
      <c r="E2920" s="18">
        <v>5</v>
      </c>
      <c r="F2920" s="18" t="s">
        <v>30</v>
      </c>
      <c r="G2920" s="18" t="s">
        <v>22</v>
      </c>
      <c r="H2920" s="18" t="s">
        <v>23</v>
      </c>
      <c r="I2920" s="19">
        <v>245.47</v>
      </c>
      <c r="J2920" s="20">
        <f t="shared" si="90"/>
        <v>1227.3499999999999</v>
      </c>
      <c r="K2920" s="106"/>
      <c r="L2920" s="114"/>
      <c r="M2920" s="114">
        <f>tblAquisições[[#This Row],[VALOR UNITARIO COMPRADO]]*tblAquisições[[#This Row],[QUANTIDADE COMPRADA]]</f>
        <v>0</v>
      </c>
      <c r="N2920" s="110">
        <f>K2920-tblAquisições[[#This Row],[QUANTIDADE PLANEJADA]]</f>
        <v>-5</v>
      </c>
      <c r="O2920" s="106" t="str">
        <f t="shared" si="91"/>
        <v>Faltando Comprar</v>
      </c>
    </row>
    <row r="2921" spans="1:15" ht="31.5">
      <c r="A2921" s="16" t="s">
        <v>17</v>
      </c>
      <c r="B2921" s="16" t="s">
        <v>80</v>
      </c>
      <c r="C2921" s="17" t="s">
        <v>19</v>
      </c>
      <c r="D2921" s="18" t="s">
        <v>1637</v>
      </c>
      <c r="E2921" s="18">
        <v>2</v>
      </c>
      <c r="F2921" s="18" t="s">
        <v>82</v>
      </c>
      <c r="G2921" s="18" t="s">
        <v>39</v>
      </c>
      <c r="H2921" s="21"/>
      <c r="I2921" s="19">
        <v>157.28</v>
      </c>
      <c r="J2921" s="20">
        <f t="shared" si="90"/>
        <v>314.56</v>
      </c>
      <c r="K2921" s="106"/>
      <c r="L2921" s="114"/>
      <c r="M2921" s="114">
        <f>tblAquisições[[#This Row],[VALOR UNITARIO COMPRADO]]*tblAquisições[[#This Row],[QUANTIDADE COMPRADA]]</f>
        <v>0</v>
      </c>
      <c r="N2921" s="110">
        <f>K2921-tblAquisições[[#This Row],[QUANTIDADE PLANEJADA]]</f>
        <v>-2</v>
      </c>
      <c r="O2921" s="106" t="str">
        <f t="shared" si="91"/>
        <v>Faltando Comprar</v>
      </c>
    </row>
    <row r="2922" spans="1:15" ht="31.5">
      <c r="A2922" s="16" t="s">
        <v>17</v>
      </c>
      <c r="B2922" s="16" t="s">
        <v>31</v>
      </c>
      <c r="C2922" s="17" t="s">
        <v>19</v>
      </c>
      <c r="D2922" s="18" t="s">
        <v>1638</v>
      </c>
      <c r="E2922" s="18">
        <v>3</v>
      </c>
      <c r="F2922" s="18" t="s">
        <v>30</v>
      </c>
      <c r="G2922" s="18" t="s">
        <v>22</v>
      </c>
      <c r="H2922" s="18" t="s">
        <v>23</v>
      </c>
      <c r="I2922" s="19">
        <v>157.28</v>
      </c>
      <c r="J2922" s="20">
        <f t="shared" si="90"/>
        <v>471.84000000000003</v>
      </c>
      <c r="K2922" s="106"/>
      <c r="L2922" s="114"/>
      <c r="M2922" s="114">
        <f>tblAquisições[[#This Row],[VALOR UNITARIO COMPRADO]]*tblAquisições[[#This Row],[QUANTIDADE COMPRADA]]</f>
        <v>0</v>
      </c>
      <c r="N2922" s="110">
        <f>K2922-tblAquisições[[#This Row],[QUANTIDADE PLANEJADA]]</f>
        <v>-3</v>
      </c>
      <c r="O2922" s="106" t="str">
        <f t="shared" si="91"/>
        <v>Faltando Comprar</v>
      </c>
    </row>
    <row r="2923" spans="1:15" ht="31.5">
      <c r="A2923" s="16" t="s">
        <v>17</v>
      </c>
      <c r="B2923" s="16" t="s">
        <v>26</v>
      </c>
      <c r="C2923" s="17" t="s">
        <v>19</v>
      </c>
      <c r="D2923" s="18" t="s">
        <v>1638</v>
      </c>
      <c r="E2923" s="18">
        <v>5</v>
      </c>
      <c r="F2923" s="18" t="s">
        <v>30</v>
      </c>
      <c r="G2923" s="18" t="s">
        <v>22</v>
      </c>
      <c r="H2923" s="18" t="s">
        <v>23</v>
      </c>
      <c r="I2923" s="19">
        <v>157.28</v>
      </c>
      <c r="J2923" s="20">
        <f t="shared" si="90"/>
        <v>786.4</v>
      </c>
      <c r="K2923" s="106"/>
      <c r="L2923" s="114"/>
      <c r="M2923" s="114">
        <f>tblAquisições[[#This Row],[VALOR UNITARIO COMPRADO]]*tblAquisições[[#This Row],[QUANTIDADE COMPRADA]]</f>
        <v>0</v>
      </c>
      <c r="N2923" s="110">
        <f>K2923-tblAquisições[[#This Row],[QUANTIDADE PLANEJADA]]</f>
        <v>-5</v>
      </c>
      <c r="O2923" s="106" t="str">
        <f t="shared" si="91"/>
        <v>Faltando Comprar</v>
      </c>
    </row>
    <row r="2924" spans="1:15" ht="31.5">
      <c r="A2924" s="16" t="s">
        <v>17</v>
      </c>
      <c r="B2924" s="16" t="s">
        <v>80</v>
      </c>
      <c r="C2924" s="17" t="s">
        <v>19</v>
      </c>
      <c r="D2924" s="18" t="s">
        <v>1639</v>
      </c>
      <c r="E2924" s="18">
        <v>2</v>
      </c>
      <c r="F2924" s="18" t="s">
        <v>82</v>
      </c>
      <c r="G2924" s="18" t="s">
        <v>39</v>
      </c>
      <c r="H2924" s="21"/>
      <c r="I2924" s="19">
        <v>389</v>
      </c>
      <c r="J2924" s="20">
        <f t="shared" si="90"/>
        <v>778</v>
      </c>
      <c r="K2924" s="106"/>
      <c r="L2924" s="114"/>
      <c r="M2924" s="114">
        <f>tblAquisições[[#This Row],[VALOR UNITARIO COMPRADO]]*tblAquisições[[#This Row],[QUANTIDADE COMPRADA]]</f>
        <v>0</v>
      </c>
      <c r="N2924" s="110">
        <f>K2924-tblAquisições[[#This Row],[QUANTIDADE PLANEJADA]]</f>
        <v>-2</v>
      </c>
      <c r="O2924" s="106" t="str">
        <f t="shared" si="91"/>
        <v>Faltando Comprar</v>
      </c>
    </row>
    <row r="2925" spans="1:15" ht="31.5">
      <c r="A2925" s="16" t="s">
        <v>17</v>
      </c>
      <c r="B2925" s="16" t="s">
        <v>31</v>
      </c>
      <c r="C2925" s="17" t="s">
        <v>19</v>
      </c>
      <c r="D2925" s="18" t="s">
        <v>1640</v>
      </c>
      <c r="E2925" s="18">
        <v>4</v>
      </c>
      <c r="F2925" s="18" t="s">
        <v>30</v>
      </c>
      <c r="G2925" s="18" t="s">
        <v>22</v>
      </c>
      <c r="H2925" s="18" t="s">
        <v>23</v>
      </c>
      <c r="I2925" s="19">
        <v>389</v>
      </c>
      <c r="J2925" s="20">
        <f t="shared" si="90"/>
        <v>1556</v>
      </c>
      <c r="K2925" s="106"/>
      <c r="L2925" s="114"/>
      <c r="M2925" s="114">
        <f>tblAquisições[[#This Row],[VALOR UNITARIO COMPRADO]]*tblAquisições[[#This Row],[QUANTIDADE COMPRADA]]</f>
        <v>0</v>
      </c>
      <c r="N2925" s="110">
        <f>K2925-tblAquisições[[#This Row],[QUANTIDADE PLANEJADA]]</f>
        <v>-4</v>
      </c>
      <c r="O2925" s="106" t="str">
        <f t="shared" si="91"/>
        <v>Faltando Comprar</v>
      </c>
    </row>
    <row r="2926" spans="1:15" ht="31.5">
      <c r="A2926" s="16" t="s">
        <v>17</v>
      </c>
      <c r="B2926" s="16" t="s">
        <v>26</v>
      </c>
      <c r="C2926" s="17" t="s">
        <v>19</v>
      </c>
      <c r="D2926" s="18" t="s">
        <v>1640</v>
      </c>
      <c r="E2926" s="18">
        <v>5</v>
      </c>
      <c r="F2926" s="18" t="s">
        <v>30</v>
      </c>
      <c r="G2926" s="18" t="s">
        <v>22</v>
      </c>
      <c r="H2926" s="18" t="s">
        <v>23</v>
      </c>
      <c r="I2926" s="19">
        <v>389</v>
      </c>
      <c r="J2926" s="20">
        <f t="shared" si="90"/>
        <v>1945</v>
      </c>
      <c r="K2926" s="106"/>
      <c r="L2926" s="114"/>
      <c r="M2926" s="114">
        <f>tblAquisições[[#This Row],[VALOR UNITARIO COMPRADO]]*tblAquisições[[#This Row],[QUANTIDADE COMPRADA]]</f>
        <v>0</v>
      </c>
      <c r="N2926" s="110">
        <f>K2926-tblAquisições[[#This Row],[QUANTIDADE PLANEJADA]]</f>
        <v>-5</v>
      </c>
      <c r="O2926" s="106" t="str">
        <f t="shared" si="91"/>
        <v>Faltando Comprar</v>
      </c>
    </row>
    <row r="2927" spans="1:15" ht="31.5">
      <c r="A2927" s="16" t="s">
        <v>17</v>
      </c>
      <c r="B2927" s="16" t="s">
        <v>80</v>
      </c>
      <c r="C2927" s="17" t="s">
        <v>19</v>
      </c>
      <c r="D2927" s="18" t="s">
        <v>1641</v>
      </c>
      <c r="E2927" s="18">
        <v>1</v>
      </c>
      <c r="F2927" s="18" t="s">
        <v>82</v>
      </c>
      <c r="G2927" s="18" t="s">
        <v>39</v>
      </c>
      <c r="H2927" s="21"/>
      <c r="I2927" s="19">
        <v>2355.25</v>
      </c>
      <c r="J2927" s="20">
        <f t="shared" si="90"/>
        <v>2355.25</v>
      </c>
      <c r="K2927" s="106"/>
      <c r="L2927" s="114"/>
      <c r="M2927" s="114">
        <f>tblAquisições[[#This Row],[VALOR UNITARIO COMPRADO]]*tblAquisições[[#This Row],[QUANTIDADE COMPRADA]]</f>
        <v>0</v>
      </c>
      <c r="N2927" s="110">
        <f>K2927-tblAquisições[[#This Row],[QUANTIDADE PLANEJADA]]</f>
        <v>-1</v>
      </c>
      <c r="O2927" s="106" t="str">
        <f t="shared" si="91"/>
        <v>Faltando Comprar</v>
      </c>
    </row>
    <row r="2928" spans="1:15" ht="31.5">
      <c r="A2928" s="16" t="s">
        <v>17</v>
      </c>
      <c r="B2928" s="16" t="s">
        <v>31</v>
      </c>
      <c r="C2928" s="17" t="s">
        <v>19</v>
      </c>
      <c r="D2928" s="18" t="s">
        <v>1642</v>
      </c>
      <c r="E2928" s="18">
        <v>1</v>
      </c>
      <c r="F2928" s="18" t="s">
        <v>30</v>
      </c>
      <c r="G2928" s="18" t="s">
        <v>22</v>
      </c>
      <c r="H2928" s="18" t="s">
        <v>23</v>
      </c>
      <c r="I2928" s="19">
        <v>2355.25</v>
      </c>
      <c r="J2928" s="20">
        <f t="shared" si="90"/>
        <v>2355.25</v>
      </c>
      <c r="K2928" s="106"/>
      <c r="L2928" s="114"/>
      <c r="M2928" s="114">
        <f>tblAquisições[[#This Row],[VALOR UNITARIO COMPRADO]]*tblAquisições[[#This Row],[QUANTIDADE COMPRADA]]</f>
        <v>0</v>
      </c>
      <c r="N2928" s="110">
        <f>K2928-tblAquisições[[#This Row],[QUANTIDADE PLANEJADA]]</f>
        <v>-1</v>
      </c>
      <c r="O2928" s="106" t="str">
        <f t="shared" si="91"/>
        <v>Faltando Comprar</v>
      </c>
    </row>
    <row r="2929" spans="1:15" ht="31.5">
      <c r="A2929" s="16" t="s">
        <v>17</v>
      </c>
      <c r="B2929" s="16" t="s">
        <v>18</v>
      </c>
      <c r="C2929" s="17" t="s">
        <v>19</v>
      </c>
      <c r="D2929" s="18" t="s">
        <v>1642</v>
      </c>
      <c r="E2929" s="18">
        <v>8</v>
      </c>
      <c r="F2929" s="18" t="s">
        <v>30</v>
      </c>
      <c r="G2929" s="18" t="s">
        <v>22</v>
      </c>
      <c r="H2929" s="18" t="s">
        <v>23</v>
      </c>
      <c r="I2929" s="19">
        <v>2355.25</v>
      </c>
      <c r="J2929" s="20">
        <f t="shared" si="90"/>
        <v>18842</v>
      </c>
      <c r="K2929" s="106"/>
      <c r="L2929" s="114"/>
      <c r="M2929" s="114">
        <f>tblAquisições[[#This Row],[VALOR UNITARIO COMPRADO]]*tblAquisições[[#This Row],[QUANTIDADE COMPRADA]]</f>
        <v>0</v>
      </c>
      <c r="N2929" s="110">
        <f>K2929-tblAquisições[[#This Row],[QUANTIDADE PLANEJADA]]</f>
        <v>-8</v>
      </c>
      <c r="O2929" s="106" t="str">
        <f t="shared" si="91"/>
        <v>Faltando Comprar</v>
      </c>
    </row>
    <row r="2930" spans="1:15" ht="31.5">
      <c r="A2930" s="16" t="s">
        <v>17</v>
      </c>
      <c r="B2930" s="16" t="s">
        <v>24</v>
      </c>
      <c r="C2930" s="17" t="s">
        <v>19</v>
      </c>
      <c r="D2930" s="18" t="s">
        <v>1642</v>
      </c>
      <c r="E2930" s="18">
        <v>8</v>
      </c>
      <c r="F2930" s="18" t="s">
        <v>30</v>
      </c>
      <c r="G2930" s="18" t="s">
        <v>22</v>
      </c>
      <c r="H2930" s="18" t="s">
        <v>23</v>
      </c>
      <c r="I2930" s="19">
        <v>2355.25</v>
      </c>
      <c r="J2930" s="20">
        <f t="shared" si="90"/>
        <v>18842</v>
      </c>
      <c r="K2930" s="106"/>
      <c r="L2930" s="114"/>
      <c r="M2930" s="114">
        <f>tblAquisições[[#This Row],[VALOR UNITARIO COMPRADO]]*tblAquisições[[#This Row],[QUANTIDADE COMPRADA]]</f>
        <v>0</v>
      </c>
      <c r="N2930" s="110">
        <f>K2930-tblAquisições[[#This Row],[QUANTIDADE PLANEJADA]]</f>
        <v>-8</v>
      </c>
      <c r="O2930" s="106" t="str">
        <f t="shared" si="91"/>
        <v>Faltando Comprar</v>
      </c>
    </row>
    <row r="2931" spans="1:15" ht="31.5">
      <c r="A2931" s="16" t="s">
        <v>17</v>
      </c>
      <c r="B2931" s="16" t="s">
        <v>25</v>
      </c>
      <c r="C2931" s="17" t="s">
        <v>19</v>
      </c>
      <c r="D2931" s="18" t="s">
        <v>1642</v>
      </c>
      <c r="E2931" s="18">
        <v>8</v>
      </c>
      <c r="F2931" s="18" t="s">
        <v>30</v>
      </c>
      <c r="G2931" s="18" t="s">
        <v>22</v>
      </c>
      <c r="H2931" s="18" t="s">
        <v>23</v>
      </c>
      <c r="I2931" s="19">
        <v>2355.25</v>
      </c>
      <c r="J2931" s="20">
        <f t="shared" si="90"/>
        <v>18842</v>
      </c>
      <c r="K2931" s="106"/>
      <c r="L2931" s="114"/>
      <c r="M2931" s="114">
        <f>tblAquisições[[#This Row],[VALOR UNITARIO COMPRADO]]*tblAquisições[[#This Row],[QUANTIDADE COMPRADA]]</f>
        <v>0</v>
      </c>
      <c r="N2931" s="110">
        <f>K2931-tblAquisições[[#This Row],[QUANTIDADE PLANEJADA]]</f>
        <v>-8</v>
      </c>
      <c r="O2931" s="106" t="str">
        <f t="shared" si="91"/>
        <v>Faltando Comprar</v>
      </c>
    </row>
    <row r="2932" spans="1:15" ht="31.5">
      <c r="A2932" s="16" t="s">
        <v>17</v>
      </c>
      <c r="B2932" s="16" t="s">
        <v>26</v>
      </c>
      <c r="C2932" s="17" t="s">
        <v>19</v>
      </c>
      <c r="D2932" s="18" t="s">
        <v>1642</v>
      </c>
      <c r="E2932" s="18">
        <v>5</v>
      </c>
      <c r="F2932" s="18" t="s">
        <v>30</v>
      </c>
      <c r="G2932" s="18" t="s">
        <v>22</v>
      </c>
      <c r="H2932" s="18" t="s">
        <v>23</v>
      </c>
      <c r="I2932" s="19">
        <v>2355.25</v>
      </c>
      <c r="J2932" s="20">
        <f t="shared" si="90"/>
        <v>11776.25</v>
      </c>
      <c r="K2932" s="106"/>
      <c r="L2932" s="114"/>
      <c r="M2932" s="114">
        <f>tblAquisições[[#This Row],[VALOR UNITARIO COMPRADO]]*tblAquisições[[#This Row],[QUANTIDADE COMPRADA]]</f>
        <v>0</v>
      </c>
      <c r="N2932" s="110">
        <f>K2932-tblAquisições[[#This Row],[QUANTIDADE PLANEJADA]]</f>
        <v>-5</v>
      </c>
      <c r="O2932" s="106" t="str">
        <f t="shared" si="91"/>
        <v>Faltando Comprar</v>
      </c>
    </row>
    <row r="2933" spans="1:15" ht="31.5">
      <c r="A2933" s="16" t="s">
        <v>17</v>
      </c>
      <c r="B2933" s="16" t="s">
        <v>27</v>
      </c>
      <c r="C2933" s="17" t="s">
        <v>19</v>
      </c>
      <c r="D2933" s="18" t="s">
        <v>1642</v>
      </c>
      <c r="E2933" s="18">
        <v>10</v>
      </c>
      <c r="F2933" s="18" t="s">
        <v>30</v>
      </c>
      <c r="G2933" s="18" t="s">
        <v>22</v>
      </c>
      <c r="H2933" s="18" t="s">
        <v>23</v>
      </c>
      <c r="I2933" s="19">
        <v>2355.25</v>
      </c>
      <c r="J2933" s="20">
        <f t="shared" si="90"/>
        <v>23552.5</v>
      </c>
      <c r="K2933" s="106"/>
      <c r="L2933" s="114"/>
      <c r="M2933" s="114">
        <f>tblAquisições[[#This Row],[VALOR UNITARIO COMPRADO]]*tblAquisições[[#This Row],[QUANTIDADE COMPRADA]]</f>
        <v>0</v>
      </c>
      <c r="N2933" s="110">
        <f>K2933-tblAquisições[[#This Row],[QUANTIDADE PLANEJADA]]</f>
        <v>-10</v>
      </c>
      <c r="O2933" s="106" t="str">
        <f t="shared" si="91"/>
        <v>Faltando Comprar</v>
      </c>
    </row>
    <row r="2934" spans="1:15" ht="31.5">
      <c r="A2934" s="16" t="s">
        <v>17</v>
      </c>
      <c r="B2934" s="16" t="s">
        <v>80</v>
      </c>
      <c r="C2934" s="17" t="s">
        <v>19</v>
      </c>
      <c r="D2934" s="18" t="s">
        <v>1643</v>
      </c>
      <c r="E2934" s="18">
        <v>1</v>
      </c>
      <c r="F2934" s="18" t="s">
        <v>82</v>
      </c>
      <c r="G2934" s="18" t="s">
        <v>39</v>
      </c>
      <c r="H2934" s="21"/>
      <c r="I2934" s="19">
        <v>1949.52</v>
      </c>
      <c r="J2934" s="20">
        <f t="shared" si="90"/>
        <v>1949.52</v>
      </c>
      <c r="K2934" s="106"/>
      <c r="L2934" s="114"/>
      <c r="M2934" s="114">
        <f>tblAquisições[[#This Row],[VALOR UNITARIO COMPRADO]]*tblAquisições[[#This Row],[QUANTIDADE COMPRADA]]</f>
        <v>0</v>
      </c>
      <c r="N2934" s="110">
        <f>K2934-tblAquisições[[#This Row],[QUANTIDADE PLANEJADA]]</f>
        <v>-1</v>
      </c>
      <c r="O2934" s="106" t="str">
        <f t="shared" si="91"/>
        <v>Faltando Comprar</v>
      </c>
    </row>
    <row r="2935" spans="1:15" ht="31.5">
      <c r="A2935" s="16" t="s">
        <v>17</v>
      </c>
      <c r="B2935" s="16" t="s">
        <v>26</v>
      </c>
      <c r="C2935" s="17" t="s">
        <v>19</v>
      </c>
      <c r="D2935" s="18" t="s">
        <v>1644</v>
      </c>
      <c r="E2935" s="18">
        <v>5</v>
      </c>
      <c r="F2935" s="18" t="s">
        <v>30</v>
      </c>
      <c r="G2935" s="18" t="s">
        <v>22</v>
      </c>
      <c r="H2935" s="22"/>
      <c r="I2935" s="19">
        <v>1949.52</v>
      </c>
      <c r="J2935" s="20">
        <f t="shared" si="90"/>
        <v>9747.6</v>
      </c>
      <c r="K2935" s="106"/>
      <c r="L2935" s="114"/>
      <c r="M2935" s="114">
        <f>tblAquisições[[#This Row],[VALOR UNITARIO COMPRADO]]*tblAquisições[[#This Row],[QUANTIDADE COMPRADA]]</f>
        <v>0</v>
      </c>
      <c r="N2935" s="110">
        <f>K2935-tblAquisições[[#This Row],[QUANTIDADE PLANEJADA]]</f>
        <v>-5</v>
      </c>
      <c r="O2935" s="106" t="str">
        <f t="shared" si="91"/>
        <v>Faltando Comprar</v>
      </c>
    </row>
    <row r="2936" spans="1:15" ht="31.5">
      <c r="A2936" s="16" t="s">
        <v>17</v>
      </c>
      <c r="B2936" s="16" t="s">
        <v>26</v>
      </c>
      <c r="C2936" s="17" t="s">
        <v>19</v>
      </c>
      <c r="D2936" s="18" t="s">
        <v>1645</v>
      </c>
      <c r="E2936" s="18">
        <v>5</v>
      </c>
      <c r="F2936" s="18" t="s">
        <v>30</v>
      </c>
      <c r="G2936" s="18" t="s">
        <v>22</v>
      </c>
      <c r="H2936" s="22"/>
      <c r="I2936" s="19">
        <v>4067.9</v>
      </c>
      <c r="J2936" s="20">
        <f t="shared" si="90"/>
        <v>20339.5</v>
      </c>
      <c r="K2936" s="106"/>
      <c r="L2936" s="114"/>
      <c r="M2936" s="114">
        <f>tblAquisições[[#This Row],[VALOR UNITARIO COMPRADO]]*tblAquisições[[#This Row],[QUANTIDADE COMPRADA]]</f>
        <v>0</v>
      </c>
      <c r="N2936" s="110">
        <f>K2936-tblAquisições[[#This Row],[QUANTIDADE PLANEJADA]]</f>
        <v>-5</v>
      </c>
      <c r="O2936" s="106" t="str">
        <f t="shared" si="91"/>
        <v>Faltando Comprar</v>
      </c>
    </row>
    <row r="2937" spans="1:15" ht="31.5">
      <c r="A2937" s="16" t="s">
        <v>17</v>
      </c>
      <c r="B2937" s="16" t="s">
        <v>31</v>
      </c>
      <c r="C2937" s="17" t="s">
        <v>19</v>
      </c>
      <c r="D2937" s="18" t="s">
        <v>1646</v>
      </c>
      <c r="E2937" s="18">
        <v>20</v>
      </c>
      <c r="F2937" s="18" t="s">
        <v>30</v>
      </c>
      <c r="G2937" s="18" t="s">
        <v>22</v>
      </c>
      <c r="H2937" s="18" t="s">
        <v>23</v>
      </c>
      <c r="I2937" s="19">
        <v>450</v>
      </c>
      <c r="J2937" s="20">
        <f t="shared" si="90"/>
        <v>9000</v>
      </c>
      <c r="K2937" s="106"/>
      <c r="L2937" s="114"/>
      <c r="M2937" s="114">
        <f>tblAquisições[[#This Row],[VALOR UNITARIO COMPRADO]]*tblAquisições[[#This Row],[QUANTIDADE COMPRADA]]</f>
        <v>0</v>
      </c>
      <c r="N2937" s="110">
        <f>K2937-tblAquisições[[#This Row],[QUANTIDADE PLANEJADA]]</f>
        <v>-20</v>
      </c>
      <c r="O2937" s="106" t="str">
        <f t="shared" si="91"/>
        <v>Faltando Comprar</v>
      </c>
    </row>
    <row r="2938" spans="1:15" ht="31.5">
      <c r="A2938" s="16" t="s">
        <v>17</v>
      </c>
      <c r="B2938" s="16" t="s">
        <v>31</v>
      </c>
      <c r="C2938" s="17" t="s">
        <v>19</v>
      </c>
      <c r="D2938" s="18" t="s">
        <v>1647</v>
      </c>
      <c r="E2938" s="18">
        <v>20</v>
      </c>
      <c r="F2938" s="18" t="s">
        <v>30</v>
      </c>
      <c r="G2938" s="18" t="s">
        <v>22</v>
      </c>
      <c r="H2938" s="18" t="s">
        <v>23</v>
      </c>
      <c r="I2938" s="19">
        <v>900</v>
      </c>
      <c r="J2938" s="20">
        <f t="shared" si="90"/>
        <v>18000</v>
      </c>
      <c r="K2938" s="106"/>
      <c r="L2938" s="114"/>
      <c r="M2938" s="114">
        <f>tblAquisições[[#This Row],[VALOR UNITARIO COMPRADO]]*tblAquisições[[#This Row],[QUANTIDADE COMPRADA]]</f>
        <v>0</v>
      </c>
      <c r="N2938" s="110">
        <f>K2938-tblAquisições[[#This Row],[QUANTIDADE PLANEJADA]]</f>
        <v>-20</v>
      </c>
      <c r="O2938" s="106" t="str">
        <f t="shared" si="91"/>
        <v>Faltando Comprar</v>
      </c>
    </row>
    <row r="2939" spans="1:15" ht="31.5">
      <c r="A2939" s="16" t="s">
        <v>17</v>
      </c>
      <c r="B2939" s="16" t="s">
        <v>31</v>
      </c>
      <c r="C2939" s="17" t="s">
        <v>19</v>
      </c>
      <c r="D2939" s="18" t="s">
        <v>1648</v>
      </c>
      <c r="E2939" s="18">
        <v>15</v>
      </c>
      <c r="F2939" s="18" t="s">
        <v>30</v>
      </c>
      <c r="G2939" s="18" t="s">
        <v>22</v>
      </c>
      <c r="H2939" s="18" t="s">
        <v>23</v>
      </c>
      <c r="I2939" s="19">
        <v>1500</v>
      </c>
      <c r="J2939" s="20">
        <f t="shared" si="90"/>
        <v>22500</v>
      </c>
      <c r="K2939" s="106"/>
      <c r="L2939" s="114"/>
      <c r="M2939" s="114">
        <f>tblAquisições[[#This Row],[VALOR UNITARIO COMPRADO]]*tblAquisições[[#This Row],[QUANTIDADE COMPRADA]]</f>
        <v>0</v>
      </c>
      <c r="N2939" s="110">
        <f>K2939-tblAquisições[[#This Row],[QUANTIDADE PLANEJADA]]</f>
        <v>-15</v>
      </c>
      <c r="O2939" s="106" t="str">
        <f t="shared" si="91"/>
        <v>Faltando Comprar</v>
      </c>
    </row>
    <row r="2940" spans="1:15" ht="47.25">
      <c r="A2940" s="16" t="s">
        <v>17</v>
      </c>
      <c r="B2940" s="16" t="s">
        <v>80</v>
      </c>
      <c r="C2940" s="17" t="s">
        <v>19</v>
      </c>
      <c r="D2940" s="18" t="s">
        <v>1649</v>
      </c>
      <c r="E2940" s="18">
        <v>1</v>
      </c>
      <c r="F2940" s="18" t="s">
        <v>147</v>
      </c>
      <c r="G2940" s="18" t="s">
        <v>39</v>
      </c>
      <c r="H2940" s="18" t="s">
        <v>23</v>
      </c>
      <c r="I2940" s="19">
        <v>427.11</v>
      </c>
      <c r="J2940" s="20">
        <f t="shared" si="90"/>
        <v>427.11</v>
      </c>
      <c r="K2940" s="106"/>
      <c r="L2940" s="114"/>
      <c r="M2940" s="114">
        <f>tblAquisições[[#This Row],[VALOR UNITARIO COMPRADO]]*tblAquisições[[#This Row],[QUANTIDADE COMPRADA]]</f>
        <v>0</v>
      </c>
      <c r="N2940" s="110">
        <f>K2940-tblAquisições[[#This Row],[QUANTIDADE PLANEJADA]]</f>
        <v>-1</v>
      </c>
      <c r="O2940" s="106" t="str">
        <f t="shared" si="91"/>
        <v>Faltando Comprar</v>
      </c>
    </row>
    <row r="2941" spans="1:15" ht="47.25">
      <c r="A2941" s="16" t="s">
        <v>17</v>
      </c>
      <c r="B2941" s="16" t="s">
        <v>28</v>
      </c>
      <c r="C2941" s="17" t="s">
        <v>19</v>
      </c>
      <c r="D2941" s="18" t="s">
        <v>1650</v>
      </c>
      <c r="E2941" s="18">
        <v>1</v>
      </c>
      <c r="F2941" s="18" t="s">
        <v>78</v>
      </c>
      <c r="G2941" s="18" t="s">
        <v>22</v>
      </c>
      <c r="H2941" s="18" t="s">
        <v>23</v>
      </c>
      <c r="I2941" s="19">
        <v>427.11</v>
      </c>
      <c r="J2941" s="20">
        <f t="shared" si="90"/>
        <v>427.11</v>
      </c>
      <c r="K2941" s="106"/>
      <c r="L2941" s="114"/>
      <c r="M2941" s="114">
        <f>tblAquisições[[#This Row],[VALOR UNITARIO COMPRADO]]*tblAquisições[[#This Row],[QUANTIDADE COMPRADA]]</f>
        <v>0</v>
      </c>
      <c r="N2941" s="110">
        <f>K2941-tblAquisições[[#This Row],[QUANTIDADE PLANEJADA]]</f>
        <v>-1</v>
      </c>
      <c r="O2941" s="106" t="str">
        <f t="shared" si="91"/>
        <v>Faltando Comprar</v>
      </c>
    </row>
    <row r="2942" spans="1:15" ht="47.25">
      <c r="A2942" s="16" t="s">
        <v>17</v>
      </c>
      <c r="B2942" s="16" t="s">
        <v>41</v>
      </c>
      <c r="C2942" s="17" t="s">
        <v>19</v>
      </c>
      <c r="D2942" s="18" t="s">
        <v>1651</v>
      </c>
      <c r="E2942" s="18">
        <v>2</v>
      </c>
      <c r="F2942" s="18" t="s">
        <v>214</v>
      </c>
      <c r="G2942" s="18" t="s">
        <v>127</v>
      </c>
      <c r="H2942" s="18" t="s">
        <v>23</v>
      </c>
      <c r="I2942" s="19">
        <v>1860.3</v>
      </c>
      <c r="J2942" s="20">
        <f t="shared" si="90"/>
        <v>3720.6</v>
      </c>
      <c r="K2942" s="106"/>
      <c r="L2942" s="114"/>
      <c r="M2942" s="114">
        <f>tblAquisições[[#This Row],[VALOR UNITARIO COMPRADO]]*tblAquisições[[#This Row],[QUANTIDADE COMPRADA]]</f>
        <v>0</v>
      </c>
      <c r="N2942" s="110">
        <f>K2942-tblAquisições[[#This Row],[QUANTIDADE PLANEJADA]]</f>
        <v>-2</v>
      </c>
      <c r="O2942" s="106" t="str">
        <f t="shared" si="91"/>
        <v>Faltando Comprar</v>
      </c>
    </row>
    <row r="2943" spans="1:15" ht="47.25">
      <c r="A2943" s="16" t="s">
        <v>17</v>
      </c>
      <c r="B2943" s="16" t="s">
        <v>28</v>
      </c>
      <c r="C2943" s="17" t="s">
        <v>19</v>
      </c>
      <c r="D2943" s="18" t="s">
        <v>1651</v>
      </c>
      <c r="E2943" s="18">
        <v>5</v>
      </c>
      <c r="F2943" s="18" t="s">
        <v>214</v>
      </c>
      <c r="G2943" s="18" t="s">
        <v>127</v>
      </c>
      <c r="H2943" s="18" t="s">
        <v>23</v>
      </c>
      <c r="I2943" s="19">
        <v>1860.3</v>
      </c>
      <c r="J2943" s="20">
        <f t="shared" si="90"/>
        <v>9301.5</v>
      </c>
      <c r="K2943" s="106"/>
      <c r="L2943" s="114"/>
      <c r="M2943" s="114">
        <f>tblAquisições[[#This Row],[VALOR UNITARIO COMPRADO]]*tblAquisições[[#This Row],[QUANTIDADE COMPRADA]]</f>
        <v>0</v>
      </c>
      <c r="N2943" s="110">
        <f>K2943-tblAquisições[[#This Row],[QUANTIDADE PLANEJADA]]</f>
        <v>-5</v>
      </c>
      <c r="O2943" s="106" t="str">
        <f t="shared" si="91"/>
        <v>Faltando Comprar</v>
      </c>
    </row>
    <row r="2944" spans="1:15" ht="63">
      <c r="A2944" s="16" t="s">
        <v>17</v>
      </c>
      <c r="B2944" s="16" t="s">
        <v>80</v>
      </c>
      <c r="C2944" s="17" t="s">
        <v>19</v>
      </c>
      <c r="D2944" s="18" t="s">
        <v>1652</v>
      </c>
      <c r="E2944" s="18">
        <v>2</v>
      </c>
      <c r="F2944" s="18" t="s">
        <v>1158</v>
      </c>
      <c r="G2944" s="18" t="s">
        <v>775</v>
      </c>
      <c r="H2944" s="18" t="s">
        <v>23</v>
      </c>
      <c r="I2944" s="19">
        <v>12449.83</v>
      </c>
      <c r="J2944" s="20">
        <f t="shared" si="90"/>
        <v>24899.66</v>
      </c>
      <c r="K2944" s="106"/>
      <c r="L2944" s="114"/>
      <c r="M2944" s="114">
        <f>tblAquisições[[#This Row],[VALOR UNITARIO COMPRADO]]*tblAquisições[[#This Row],[QUANTIDADE COMPRADA]]</f>
        <v>0</v>
      </c>
      <c r="N2944" s="110">
        <f>K2944-tblAquisições[[#This Row],[QUANTIDADE PLANEJADA]]</f>
        <v>-2</v>
      </c>
      <c r="O2944" s="106" t="str">
        <f t="shared" si="91"/>
        <v>Faltando Comprar</v>
      </c>
    </row>
    <row r="2945" spans="1:15" ht="47.25">
      <c r="A2945" s="16" t="s">
        <v>17</v>
      </c>
      <c r="B2945" s="16" t="s">
        <v>18</v>
      </c>
      <c r="C2945" s="17" t="s">
        <v>19</v>
      </c>
      <c r="D2945" s="18" t="s">
        <v>1653</v>
      </c>
      <c r="E2945" s="18">
        <v>2</v>
      </c>
      <c r="F2945" s="18" t="s">
        <v>126</v>
      </c>
      <c r="G2945" s="18" t="s">
        <v>127</v>
      </c>
      <c r="H2945" s="18" t="s">
        <v>23</v>
      </c>
      <c r="I2945" s="19">
        <v>12449.83</v>
      </c>
      <c r="J2945" s="20">
        <f t="shared" si="90"/>
        <v>24899.66</v>
      </c>
      <c r="K2945" s="106"/>
      <c r="L2945" s="114"/>
      <c r="M2945" s="114">
        <f>tblAquisições[[#This Row],[VALOR UNITARIO COMPRADO]]*tblAquisições[[#This Row],[QUANTIDADE COMPRADA]]</f>
        <v>0</v>
      </c>
      <c r="N2945" s="110">
        <f>K2945-tblAquisições[[#This Row],[QUANTIDADE PLANEJADA]]</f>
        <v>-2</v>
      </c>
      <c r="O2945" s="106" t="str">
        <f t="shared" si="91"/>
        <v>Faltando Comprar</v>
      </c>
    </row>
    <row r="2946" spans="1:15" ht="47.25">
      <c r="A2946" s="16" t="s">
        <v>17</v>
      </c>
      <c r="B2946" s="16" t="s">
        <v>24</v>
      </c>
      <c r="C2946" s="17" t="s">
        <v>19</v>
      </c>
      <c r="D2946" s="18" t="s">
        <v>1653</v>
      </c>
      <c r="E2946" s="18">
        <v>2</v>
      </c>
      <c r="F2946" s="18" t="s">
        <v>126</v>
      </c>
      <c r="G2946" s="18" t="s">
        <v>127</v>
      </c>
      <c r="H2946" s="18" t="s">
        <v>23</v>
      </c>
      <c r="I2946" s="19">
        <v>12449.83</v>
      </c>
      <c r="J2946" s="20">
        <f t="shared" ref="J2946:J3009" si="92">E2946*I2946</f>
        <v>24899.66</v>
      </c>
      <c r="K2946" s="106"/>
      <c r="L2946" s="114"/>
      <c r="M2946" s="114">
        <f>tblAquisições[[#This Row],[VALOR UNITARIO COMPRADO]]*tblAquisições[[#This Row],[QUANTIDADE COMPRADA]]</f>
        <v>0</v>
      </c>
      <c r="N2946" s="110">
        <f>K2946-tblAquisições[[#This Row],[QUANTIDADE PLANEJADA]]</f>
        <v>-2</v>
      </c>
      <c r="O2946" s="106" t="str">
        <f t="shared" ref="O2946:O3009" si="93">IF(K2946=E2946,"OK",IF(K2946&lt;E2946,"Faltando Comprar","Excedente"))</f>
        <v>Faltando Comprar</v>
      </c>
    </row>
    <row r="2947" spans="1:15" ht="47.25">
      <c r="A2947" s="16" t="s">
        <v>17</v>
      </c>
      <c r="B2947" s="16" t="s">
        <v>26</v>
      </c>
      <c r="C2947" s="17" t="s">
        <v>19</v>
      </c>
      <c r="D2947" s="18" t="s">
        <v>1654</v>
      </c>
      <c r="E2947" s="18">
        <v>8</v>
      </c>
      <c r="F2947" s="18" t="s">
        <v>78</v>
      </c>
      <c r="G2947" s="18" t="s">
        <v>22</v>
      </c>
      <c r="H2947" s="18" t="s">
        <v>23</v>
      </c>
      <c r="I2947" s="19">
        <v>190</v>
      </c>
      <c r="J2947" s="20">
        <f t="shared" si="92"/>
        <v>1520</v>
      </c>
      <c r="K2947" s="106"/>
      <c r="L2947" s="114"/>
      <c r="M2947" s="114">
        <f>tblAquisições[[#This Row],[VALOR UNITARIO COMPRADO]]*tblAquisições[[#This Row],[QUANTIDADE COMPRADA]]</f>
        <v>0</v>
      </c>
      <c r="N2947" s="110">
        <f>K2947-tblAquisições[[#This Row],[QUANTIDADE PLANEJADA]]</f>
        <v>-8</v>
      </c>
      <c r="O2947" s="106" t="str">
        <f t="shared" si="93"/>
        <v>Faltando Comprar</v>
      </c>
    </row>
    <row r="2948" spans="1:15" ht="47.25">
      <c r="A2948" s="16" t="s">
        <v>17</v>
      </c>
      <c r="B2948" s="16" t="s">
        <v>26</v>
      </c>
      <c r="C2948" s="17" t="s">
        <v>19</v>
      </c>
      <c r="D2948" s="18" t="s">
        <v>1655</v>
      </c>
      <c r="E2948" s="18">
        <v>100</v>
      </c>
      <c r="F2948" s="18" t="s">
        <v>391</v>
      </c>
      <c r="G2948" s="18" t="s">
        <v>22</v>
      </c>
      <c r="H2948" s="18" t="s">
        <v>23</v>
      </c>
      <c r="I2948" s="19">
        <v>87.5</v>
      </c>
      <c r="J2948" s="20">
        <f t="shared" si="92"/>
        <v>8750</v>
      </c>
      <c r="K2948" s="106"/>
      <c r="L2948" s="114"/>
      <c r="M2948" s="114">
        <f>tblAquisições[[#This Row],[VALOR UNITARIO COMPRADO]]*tblAquisições[[#This Row],[QUANTIDADE COMPRADA]]</f>
        <v>0</v>
      </c>
      <c r="N2948" s="110">
        <f>K2948-tblAquisições[[#This Row],[QUANTIDADE PLANEJADA]]</f>
        <v>-100</v>
      </c>
      <c r="O2948" s="106" t="str">
        <f t="shared" si="93"/>
        <v>Faltando Comprar</v>
      </c>
    </row>
    <row r="2949" spans="1:15" ht="47.25">
      <c r="A2949" s="16" t="s">
        <v>17</v>
      </c>
      <c r="B2949" s="16" t="s">
        <v>26</v>
      </c>
      <c r="C2949" s="17" t="s">
        <v>19</v>
      </c>
      <c r="D2949" s="18" t="s">
        <v>1656</v>
      </c>
      <c r="E2949" s="18">
        <v>100</v>
      </c>
      <c r="F2949" s="18" t="s">
        <v>391</v>
      </c>
      <c r="G2949" s="18" t="s">
        <v>22</v>
      </c>
      <c r="H2949" s="18" t="s">
        <v>23</v>
      </c>
      <c r="I2949" s="19">
        <v>25.47</v>
      </c>
      <c r="J2949" s="20">
        <f t="shared" si="92"/>
        <v>2547</v>
      </c>
      <c r="K2949" s="106"/>
      <c r="L2949" s="114"/>
      <c r="M2949" s="114">
        <f>tblAquisições[[#This Row],[VALOR UNITARIO COMPRADO]]*tblAquisições[[#This Row],[QUANTIDADE COMPRADA]]</f>
        <v>0</v>
      </c>
      <c r="N2949" s="110">
        <f>K2949-tblAquisições[[#This Row],[QUANTIDADE PLANEJADA]]</f>
        <v>-100</v>
      </c>
      <c r="O2949" s="106" t="str">
        <f t="shared" si="93"/>
        <v>Faltando Comprar</v>
      </c>
    </row>
    <row r="2950" spans="1:15" ht="47.25">
      <c r="A2950" s="16" t="s">
        <v>17</v>
      </c>
      <c r="B2950" s="16" t="s">
        <v>26</v>
      </c>
      <c r="C2950" s="17" t="s">
        <v>19</v>
      </c>
      <c r="D2950" s="18" t="s">
        <v>1657</v>
      </c>
      <c r="E2950" s="18">
        <v>100</v>
      </c>
      <c r="F2950" s="18" t="s">
        <v>391</v>
      </c>
      <c r="G2950" s="18" t="s">
        <v>22</v>
      </c>
      <c r="H2950" s="18" t="s">
        <v>23</v>
      </c>
      <c r="I2950" s="19">
        <v>147.66999999999999</v>
      </c>
      <c r="J2950" s="20">
        <f t="shared" si="92"/>
        <v>14766.999999999998</v>
      </c>
      <c r="K2950" s="106"/>
      <c r="L2950" s="114"/>
      <c r="M2950" s="114">
        <f>tblAquisições[[#This Row],[VALOR UNITARIO COMPRADO]]*tblAquisições[[#This Row],[QUANTIDADE COMPRADA]]</f>
        <v>0</v>
      </c>
      <c r="N2950" s="110">
        <f>K2950-tblAquisições[[#This Row],[QUANTIDADE PLANEJADA]]</f>
        <v>-100</v>
      </c>
      <c r="O2950" s="106" t="str">
        <f t="shared" si="93"/>
        <v>Faltando Comprar</v>
      </c>
    </row>
    <row r="2951" spans="1:15" ht="31.5">
      <c r="A2951" s="16" t="s">
        <v>17</v>
      </c>
      <c r="B2951" s="16" t="s">
        <v>18</v>
      </c>
      <c r="C2951" s="17" t="s">
        <v>19</v>
      </c>
      <c r="D2951" s="18" t="s">
        <v>1658</v>
      </c>
      <c r="E2951" s="18">
        <v>200</v>
      </c>
      <c r="F2951" s="18" t="s">
        <v>30</v>
      </c>
      <c r="G2951" s="18" t="s">
        <v>22</v>
      </c>
      <c r="H2951" s="18" t="s">
        <v>23</v>
      </c>
      <c r="I2951" s="19">
        <v>11.78</v>
      </c>
      <c r="J2951" s="20">
        <f t="shared" si="92"/>
        <v>2356</v>
      </c>
      <c r="K2951" s="106"/>
      <c r="L2951" s="114"/>
      <c r="M2951" s="114">
        <f>tblAquisições[[#This Row],[VALOR UNITARIO COMPRADO]]*tblAquisições[[#This Row],[QUANTIDADE COMPRADA]]</f>
        <v>0</v>
      </c>
      <c r="N2951" s="110">
        <f>K2951-tblAquisições[[#This Row],[QUANTIDADE PLANEJADA]]</f>
        <v>-200</v>
      </c>
      <c r="O2951" s="106" t="str">
        <f t="shared" si="93"/>
        <v>Faltando Comprar</v>
      </c>
    </row>
    <row r="2952" spans="1:15" ht="31.5">
      <c r="A2952" s="16" t="s">
        <v>17</v>
      </c>
      <c r="B2952" s="16" t="s">
        <v>24</v>
      </c>
      <c r="C2952" s="17" t="s">
        <v>19</v>
      </c>
      <c r="D2952" s="18" t="s">
        <v>1658</v>
      </c>
      <c r="E2952" s="18">
        <v>200</v>
      </c>
      <c r="F2952" s="18" t="s">
        <v>30</v>
      </c>
      <c r="G2952" s="18" t="s">
        <v>22</v>
      </c>
      <c r="H2952" s="18" t="s">
        <v>23</v>
      </c>
      <c r="I2952" s="19">
        <v>11.78</v>
      </c>
      <c r="J2952" s="20">
        <f t="shared" si="92"/>
        <v>2356</v>
      </c>
      <c r="K2952" s="106"/>
      <c r="L2952" s="114"/>
      <c r="M2952" s="114">
        <f>tblAquisições[[#This Row],[VALOR UNITARIO COMPRADO]]*tblAquisições[[#This Row],[QUANTIDADE COMPRADA]]</f>
        <v>0</v>
      </c>
      <c r="N2952" s="110">
        <f>K2952-tblAquisições[[#This Row],[QUANTIDADE PLANEJADA]]</f>
        <v>-200</v>
      </c>
      <c r="O2952" s="106" t="str">
        <f t="shared" si="93"/>
        <v>Faltando Comprar</v>
      </c>
    </row>
    <row r="2953" spans="1:15" ht="31.5">
      <c r="A2953" s="16" t="s">
        <v>17</v>
      </c>
      <c r="B2953" s="16" t="s">
        <v>25</v>
      </c>
      <c r="C2953" s="17" t="s">
        <v>19</v>
      </c>
      <c r="D2953" s="18" t="s">
        <v>1658</v>
      </c>
      <c r="E2953" s="18">
        <v>200</v>
      </c>
      <c r="F2953" s="18" t="s">
        <v>30</v>
      </c>
      <c r="G2953" s="18" t="s">
        <v>22</v>
      </c>
      <c r="H2953" s="18" t="s">
        <v>23</v>
      </c>
      <c r="I2953" s="19">
        <v>11.78</v>
      </c>
      <c r="J2953" s="20">
        <f t="shared" si="92"/>
        <v>2356</v>
      </c>
      <c r="K2953" s="106"/>
      <c r="L2953" s="114"/>
      <c r="M2953" s="114">
        <f>tblAquisições[[#This Row],[VALOR UNITARIO COMPRADO]]*tblAquisições[[#This Row],[QUANTIDADE COMPRADA]]</f>
        <v>0</v>
      </c>
      <c r="N2953" s="110">
        <f>K2953-tblAquisições[[#This Row],[QUANTIDADE PLANEJADA]]</f>
        <v>-200</v>
      </c>
      <c r="O2953" s="106" t="str">
        <f t="shared" si="93"/>
        <v>Faltando Comprar</v>
      </c>
    </row>
    <row r="2954" spans="1:15" ht="31.5">
      <c r="A2954" s="16" t="s">
        <v>17</v>
      </c>
      <c r="B2954" s="16" t="s">
        <v>27</v>
      </c>
      <c r="C2954" s="17" t="s">
        <v>19</v>
      </c>
      <c r="D2954" s="18" t="s">
        <v>1658</v>
      </c>
      <c r="E2954" s="18">
        <v>200</v>
      </c>
      <c r="F2954" s="18" t="s">
        <v>30</v>
      </c>
      <c r="G2954" s="18" t="s">
        <v>22</v>
      </c>
      <c r="H2954" s="18" t="s">
        <v>83</v>
      </c>
      <c r="I2954" s="19">
        <v>11.78</v>
      </c>
      <c r="J2954" s="20">
        <f t="shared" si="92"/>
        <v>2356</v>
      </c>
      <c r="K2954" s="106"/>
      <c r="L2954" s="114"/>
      <c r="M2954" s="114">
        <f>tblAquisições[[#This Row],[VALOR UNITARIO COMPRADO]]*tblAquisições[[#This Row],[QUANTIDADE COMPRADA]]</f>
        <v>0</v>
      </c>
      <c r="N2954" s="110">
        <f>K2954-tblAquisições[[#This Row],[QUANTIDADE PLANEJADA]]</f>
        <v>-200</v>
      </c>
      <c r="O2954" s="106" t="str">
        <f t="shared" si="93"/>
        <v>Faltando Comprar</v>
      </c>
    </row>
    <row r="2955" spans="1:15" ht="47.25">
      <c r="A2955" s="16" t="s">
        <v>17</v>
      </c>
      <c r="B2955" s="16" t="s">
        <v>25</v>
      </c>
      <c r="C2955" s="17" t="s">
        <v>19</v>
      </c>
      <c r="D2955" s="18" t="s">
        <v>1659</v>
      </c>
      <c r="E2955" s="18">
        <v>200</v>
      </c>
      <c r="F2955" s="18" t="s">
        <v>78</v>
      </c>
      <c r="G2955" s="18" t="s">
        <v>22</v>
      </c>
      <c r="H2955" s="18" t="s">
        <v>23</v>
      </c>
      <c r="I2955" s="19">
        <v>1.86</v>
      </c>
      <c r="J2955" s="20">
        <f t="shared" si="92"/>
        <v>372</v>
      </c>
      <c r="K2955" s="106"/>
      <c r="L2955" s="114"/>
      <c r="M2955" s="114">
        <f>tblAquisições[[#This Row],[VALOR UNITARIO COMPRADO]]*tblAquisições[[#This Row],[QUANTIDADE COMPRADA]]</f>
        <v>0</v>
      </c>
      <c r="N2955" s="110">
        <f>K2955-tblAquisições[[#This Row],[QUANTIDADE PLANEJADA]]</f>
        <v>-200</v>
      </c>
      <c r="O2955" s="106" t="str">
        <f t="shared" si="93"/>
        <v>Faltando Comprar</v>
      </c>
    </row>
    <row r="2956" spans="1:15" ht="31.5">
      <c r="A2956" s="16" t="s">
        <v>17</v>
      </c>
      <c r="B2956" s="16" t="s">
        <v>18</v>
      </c>
      <c r="C2956" s="17" t="s">
        <v>19</v>
      </c>
      <c r="D2956" s="18" t="s">
        <v>1660</v>
      </c>
      <c r="E2956" s="18">
        <v>200</v>
      </c>
      <c r="F2956" s="18" t="s">
        <v>21</v>
      </c>
      <c r="G2956" s="18" t="s">
        <v>22</v>
      </c>
      <c r="H2956" s="18" t="s">
        <v>23</v>
      </c>
      <c r="I2956" s="19">
        <v>1.21</v>
      </c>
      <c r="J2956" s="20">
        <f t="shared" si="92"/>
        <v>242</v>
      </c>
      <c r="K2956" s="106"/>
      <c r="L2956" s="114"/>
      <c r="M2956" s="114">
        <f>tblAquisições[[#This Row],[VALOR UNITARIO COMPRADO]]*tblAquisições[[#This Row],[QUANTIDADE COMPRADA]]</f>
        <v>0</v>
      </c>
      <c r="N2956" s="110">
        <f>K2956-tblAquisições[[#This Row],[QUANTIDADE PLANEJADA]]</f>
        <v>-200</v>
      </c>
      <c r="O2956" s="106" t="str">
        <f t="shared" si="93"/>
        <v>Faltando Comprar</v>
      </c>
    </row>
    <row r="2957" spans="1:15" ht="31.5">
      <c r="A2957" s="16" t="s">
        <v>17</v>
      </c>
      <c r="B2957" s="16" t="s">
        <v>24</v>
      </c>
      <c r="C2957" s="17" t="s">
        <v>19</v>
      </c>
      <c r="D2957" s="18" t="s">
        <v>1660</v>
      </c>
      <c r="E2957" s="18">
        <v>200</v>
      </c>
      <c r="F2957" s="18" t="s">
        <v>21</v>
      </c>
      <c r="G2957" s="18" t="s">
        <v>22</v>
      </c>
      <c r="H2957" s="18" t="s">
        <v>23</v>
      </c>
      <c r="I2957" s="19">
        <v>1.21</v>
      </c>
      <c r="J2957" s="20">
        <f t="shared" si="92"/>
        <v>242</v>
      </c>
      <c r="K2957" s="106"/>
      <c r="L2957" s="114"/>
      <c r="M2957" s="114">
        <f>tblAquisições[[#This Row],[VALOR UNITARIO COMPRADO]]*tblAquisições[[#This Row],[QUANTIDADE COMPRADA]]</f>
        <v>0</v>
      </c>
      <c r="N2957" s="110">
        <f>K2957-tblAquisições[[#This Row],[QUANTIDADE PLANEJADA]]</f>
        <v>-200</v>
      </c>
      <c r="O2957" s="106" t="str">
        <f t="shared" si="93"/>
        <v>Faltando Comprar</v>
      </c>
    </row>
    <row r="2958" spans="1:15" ht="31.5">
      <c r="A2958" s="16" t="s">
        <v>17</v>
      </c>
      <c r="B2958" s="16" t="s">
        <v>25</v>
      </c>
      <c r="C2958" s="17" t="s">
        <v>19</v>
      </c>
      <c r="D2958" s="18" t="s">
        <v>1660</v>
      </c>
      <c r="E2958" s="18">
        <v>200</v>
      </c>
      <c r="F2958" s="18" t="s">
        <v>21</v>
      </c>
      <c r="G2958" s="18" t="s">
        <v>22</v>
      </c>
      <c r="H2958" s="18" t="s">
        <v>23</v>
      </c>
      <c r="I2958" s="19">
        <v>1.21</v>
      </c>
      <c r="J2958" s="20">
        <f t="shared" si="92"/>
        <v>242</v>
      </c>
      <c r="K2958" s="106"/>
      <c r="L2958" s="114"/>
      <c r="M2958" s="114">
        <f>tblAquisições[[#This Row],[VALOR UNITARIO COMPRADO]]*tblAquisições[[#This Row],[QUANTIDADE COMPRADA]]</f>
        <v>0</v>
      </c>
      <c r="N2958" s="110">
        <f>K2958-tblAquisições[[#This Row],[QUANTIDADE PLANEJADA]]</f>
        <v>-200</v>
      </c>
      <c r="O2958" s="106" t="str">
        <f t="shared" si="93"/>
        <v>Faltando Comprar</v>
      </c>
    </row>
    <row r="2959" spans="1:15" ht="31.5">
      <c r="A2959" s="16" t="s">
        <v>17</v>
      </c>
      <c r="B2959" s="16" t="s">
        <v>34</v>
      </c>
      <c r="C2959" s="17" t="s">
        <v>19</v>
      </c>
      <c r="D2959" s="18" t="s">
        <v>1661</v>
      </c>
      <c r="E2959" s="18">
        <v>20</v>
      </c>
      <c r="F2959" s="18" t="s">
        <v>21</v>
      </c>
      <c r="G2959" s="18" t="s">
        <v>22</v>
      </c>
      <c r="H2959" s="18" t="s">
        <v>23</v>
      </c>
      <c r="I2959" s="19">
        <v>8.41</v>
      </c>
      <c r="J2959" s="20">
        <f t="shared" si="92"/>
        <v>168.2</v>
      </c>
      <c r="K2959" s="106"/>
      <c r="L2959" s="114"/>
      <c r="M2959" s="114">
        <f>tblAquisições[[#This Row],[VALOR UNITARIO COMPRADO]]*tblAquisições[[#This Row],[QUANTIDADE COMPRADA]]</f>
        <v>0</v>
      </c>
      <c r="N2959" s="110">
        <f>K2959-tblAquisições[[#This Row],[QUANTIDADE PLANEJADA]]</f>
        <v>-20</v>
      </c>
      <c r="O2959" s="106" t="str">
        <f t="shared" si="93"/>
        <v>Faltando Comprar</v>
      </c>
    </row>
    <row r="2960" spans="1:15" ht="31.5">
      <c r="A2960" s="16" t="s">
        <v>17</v>
      </c>
      <c r="B2960" s="16" t="s">
        <v>31</v>
      </c>
      <c r="C2960" s="17" t="s">
        <v>19</v>
      </c>
      <c r="D2960" s="18" t="s">
        <v>1661</v>
      </c>
      <c r="E2960" s="18">
        <v>25</v>
      </c>
      <c r="F2960" s="18" t="s">
        <v>21</v>
      </c>
      <c r="G2960" s="18" t="s">
        <v>22</v>
      </c>
      <c r="H2960" s="18" t="s">
        <v>23</v>
      </c>
      <c r="I2960" s="19">
        <v>8.41</v>
      </c>
      <c r="J2960" s="20">
        <f t="shared" si="92"/>
        <v>210.25</v>
      </c>
      <c r="K2960" s="106"/>
      <c r="L2960" s="114"/>
      <c r="M2960" s="114">
        <f>tblAquisições[[#This Row],[VALOR UNITARIO COMPRADO]]*tblAquisições[[#This Row],[QUANTIDADE COMPRADA]]</f>
        <v>0</v>
      </c>
      <c r="N2960" s="110">
        <f>K2960-tblAquisições[[#This Row],[QUANTIDADE PLANEJADA]]</f>
        <v>-25</v>
      </c>
      <c r="O2960" s="106" t="str">
        <f t="shared" si="93"/>
        <v>Faltando Comprar</v>
      </c>
    </row>
    <row r="2961" spans="1:15" ht="31.5">
      <c r="A2961" s="16" t="s">
        <v>17</v>
      </c>
      <c r="B2961" s="16" t="s">
        <v>18</v>
      </c>
      <c r="C2961" s="17" t="s">
        <v>19</v>
      </c>
      <c r="D2961" s="18" t="s">
        <v>1661</v>
      </c>
      <c r="E2961" s="18">
        <v>200</v>
      </c>
      <c r="F2961" s="18" t="s">
        <v>21</v>
      </c>
      <c r="G2961" s="18" t="s">
        <v>22</v>
      </c>
      <c r="H2961" s="18" t="s">
        <v>23</v>
      </c>
      <c r="I2961" s="19">
        <v>8.41</v>
      </c>
      <c r="J2961" s="20">
        <f t="shared" si="92"/>
        <v>1682</v>
      </c>
      <c r="K2961" s="106"/>
      <c r="L2961" s="114"/>
      <c r="M2961" s="114">
        <f>tblAquisições[[#This Row],[VALOR UNITARIO COMPRADO]]*tblAquisições[[#This Row],[QUANTIDADE COMPRADA]]</f>
        <v>0</v>
      </c>
      <c r="N2961" s="110">
        <f>K2961-tblAquisições[[#This Row],[QUANTIDADE PLANEJADA]]</f>
        <v>-200</v>
      </c>
      <c r="O2961" s="106" t="str">
        <f t="shared" si="93"/>
        <v>Faltando Comprar</v>
      </c>
    </row>
    <row r="2962" spans="1:15" ht="31.5">
      <c r="A2962" s="16" t="s">
        <v>17</v>
      </c>
      <c r="B2962" s="16" t="s">
        <v>24</v>
      </c>
      <c r="C2962" s="17" t="s">
        <v>19</v>
      </c>
      <c r="D2962" s="18" t="s">
        <v>1661</v>
      </c>
      <c r="E2962" s="18">
        <v>200</v>
      </c>
      <c r="F2962" s="18" t="s">
        <v>21</v>
      </c>
      <c r="G2962" s="18" t="s">
        <v>22</v>
      </c>
      <c r="H2962" s="18" t="s">
        <v>23</v>
      </c>
      <c r="I2962" s="19">
        <v>8.41</v>
      </c>
      <c r="J2962" s="20">
        <f t="shared" si="92"/>
        <v>1682</v>
      </c>
      <c r="K2962" s="106"/>
      <c r="L2962" s="114"/>
      <c r="M2962" s="114">
        <f>tblAquisições[[#This Row],[VALOR UNITARIO COMPRADO]]*tblAquisições[[#This Row],[QUANTIDADE COMPRADA]]</f>
        <v>0</v>
      </c>
      <c r="N2962" s="110">
        <f>K2962-tblAquisições[[#This Row],[QUANTIDADE PLANEJADA]]</f>
        <v>-200</v>
      </c>
      <c r="O2962" s="106" t="str">
        <f t="shared" si="93"/>
        <v>Faltando Comprar</v>
      </c>
    </row>
    <row r="2963" spans="1:15" ht="31.5">
      <c r="A2963" s="16" t="s">
        <v>17</v>
      </c>
      <c r="B2963" s="16" t="s">
        <v>25</v>
      </c>
      <c r="C2963" s="17" t="s">
        <v>19</v>
      </c>
      <c r="D2963" s="18" t="s">
        <v>1661</v>
      </c>
      <c r="E2963" s="18">
        <v>200</v>
      </c>
      <c r="F2963" s="18" t="s">
        <v>21</v>
      </c>
      <c r="G2963" s="18" t="s">
        <v>22</v>
      </c>
      <c r="H2963" s="18" t="s">
        <v>23</v>
      </c>
      <c r="I2963" s="19">
        <v>8.41</v>
      </c>
      <c r="J2963" s="20">
        <f t="shared" si="92"/>
        <v>1682</v>
      </c>
      <c r="K2963" s="106"/>
      <c r="L2963" s="114"/>
      <c r="M2963" s="114">
        <f>tblAquisições[[#This Row],[VALOR UNITARIO COMPRADO]]*tblAquisições[[#This Row],[QUANTIDADE COMPRADA]]</f>
        <v>0</v>
      </c>
      <c r="N2963" s="110">
        <f>K2963-tblAquisições[[#This Row],[QUANTIDADE PLANEJADA]]</f>
        <v>-200</v>
      </c>
      <c r="O2963" s="106" t="str">
        <f t="shared" si="93"/>
        <v>Faltando Comprar</v>
      </c>
    </row>
    <row r="2964" spans="1:15" ht="31.5">
      <c r="A2964" s="16" t="s">
        <v>17</v>
      </c>
      <c r="B2964" s="16" t="s">
        <v>41</v>
      </c>
      <c r="C2964" s="17" t="s">
        <v>19</v>
      </c>
      <c r="D2964" s="18" t="s">
        <v>1661</v>
      </c>
      <c r="E2964" s="18">
        <v>100</v>
      </c>
      <c r="F2964" s="18" t="s">
        <v>21</v>
      </c>
      <c r="G2964" s="18" t="s">
        <v>22</v>
      </c>
      <c r="H2964" s="18" t="s">
        <v>23</v>
      </c>
      <c r="I2964" s="19">
        <v>8.41</v>
      </c>
      <c r="J2964" s="20">
        <f t="shared" si="92"/>
        <v>841</v>
      </c>
      <c r="K2964" s="106"/>
      <c r="L2964" s="114"/>
      <c r="M2964" s="114">
        <f>tblAquisições[[#This Row],[VALOR UNITARIO COMPRADO]]*tblAquisições[[#This Row],[QUANTIDADE COMPRADA]]</f>
        <v>0</v>
      </c>
      <c r="N2964" s="110">
        <f>K2964-tblAquisições[[#This Row],[QUANTIDADE PLANEJADA]]</f>
        <v>-100</v>
      </c>
      <c r="O2964" s="106" t="str">
        <f t="shared" si="93"/>
        <v>Faltando Comprar</v>
      </c>
    </row>
    <row r="2965" spans="1:15" ht="31.5">
      <c r="A2965" s="16" t="s">
        <v>17</v>
      </c>
      <c r="B2965" s="16" t="s">
        <v>27</v>
      </c>
      <c r="C2965" s="17" t="s">
        <v>19</v>
      </c>
      <c r="D2965" s="18" t="s">
        <v>1661</v>
      </c>
      <c r="E2965" s="18">
        <v>100</v>
      </c>
      <c r="F2965" s="18" t="s">
        <v>21</v>
      </c>
      <c r="G2965" s="18" t="s">
        <v>22</v>
      </c>
      <c r="H2965" s="18" t="s">
        <v>23</v>
      </c>
      <c r="I2965" s="19">
        <v>8.41</v>
      </c>
      <c r="J2965" s="20">
        <f t="shared" si="92"/>
        <v>841</v>
      </c>
      <c r="K2965" s="106"/>
      <c r="L2965" s="114"/>
      <c r="M2965" s="114">
        <f>tblAquisições[[#This Row],[VALOR UNITARIO COMPRADO]]*tblAquisições[[#This Row],[QUANTIDADE COMPRADA]]</f>
        <v>0</v>
      </c>
      <c r="N2965" s="110">
        <f>K2965-tblAquisições[[#This Row],[QUANTIDADE PLANEJADA]]</f>
        <v>-100</v>
      </c>
      <c r="O2965" s="106" t="str">
        <f t="shared" si="93"/>
        <v>Faltando Comprar</v>
      </c>
    </row>
    <row r="2966" spans="1:15" ht="31.5">
      <c r="A2966" s="16" t="s">
        <v>17</v>
      </c>
      <c r="B2966" s="16" t="s">
        <v>28</v>
      </c>
      <c r="C2966" s="17" t="s">
        <v>19</v>
      </c>
      <c r="D2966" s="18" t="s">
        <v>1661</v>
      </c>
      <c r="E2966" s="18">
        <v>60</v>
      </c>
      <c r="F2966" s="18" t="s">
        <v>21</v>
      </c>
      <c r="G2966" s="18" t="s">
        <v>22</v>
      </c>
      <c r="H2966" s="18" t="s">
        <v>23</v>
      </c>
      <c r="I2966" s="19">
        <v>8.41</v>
      </c>
      <c r="J2966" s="20">
        <f t="shared" si="92"/>
        <v>504.6</v>
      </c>
      <c r="K2966" s="106"/>
      <c r="L2966" s="114"/>
      <c r="M2966" s="114">
        <f>tblAquisições[[#This Row],[VALOR UNITARIO COMPRADO]]*tblAquisições[[#This Row],[QUANTIDADE COMPRADA]]</f>
        <v>0</v>
      </c>
      <c r="N2966" s="110">
        <f>K2966-tblAquisições[[#This Row],[QUANTIDADE PLANEJADA]]</f>
        <v>-60</v>
      </c>
      <c r="O2966" s="106" t="str">
        <f t="shared" si="93"/>
        <v>Faltando Comprar</v>
      </c>
    </row>
    <row r="2967" spans="1:15" ht="47.25">
      <c r="A2967" s="16" t="s">
        <v>17</v>
      </c>
      <c r="B2967" s="16" t="s">
        <v>28</v>
      </c>
      <c r="C2967" s="17" t="s">
        <v>19</v>
      </c>
      <c r="D2967" s="18" t="s">
        <v>1662</v>
      </c>
      <c r="E2967" s="18">
        <v>8</v>
      </c>
      <c r="F2967" s="18" t="s">
        <v>78</v>
      </c>
      <c r="G2967" s="18" t="s">
        <v>22</v>
      </c>
      <c r="H2967" s="18" t="s">
        <v>23</v>
      </c>
      <c r="I2967" s="19">
        <v>23.63</v>
      </c>
      <c r="J2967" s="20">
        <f t="shared" si="92"/>
        <v>189.04</v>
      </c>
      <c r="K2967" s="106"/>
      <c r="L2967" s="114"/>
      <c r="M2967" s="114">
        <f>tblAquisições[[#This Row],[VALOR UNITARIO COMPRADO]]*tblAquisições[[#This Row],[QUANTIDADE COMPRADA]]</f>
        <v>0</v>
      </c>
      <c r="N2967" s="110">
        <f>K2967-tblAquisições[[#This Row],[QUANTIDADE PLANEJADA]]</f>
        <v>-8</v>
      </c>
      <c r="O2967" s="106" t="str">
        <f t="shared" si="93"/>
        <v>Faltando Comprar</v>
      </c>
    </row>
    <row r="2968" spans="1:15" ht="31.5">
      <c r="A2968" s="16" t="s">
        <v>17</v>
      </c>
      <c r="B2968" s="16" t="s">
        <v>28</v>
      </c>
      <c r="C2968" s="17" t="s">
        <v>19</v>
      </c>
      <c r="D2968" s="18" t="s">
        <v>1663</v>
      </c>
      <c r="E2968" s="18">
        <v>2</v>
      </c>
      <c r="F2968" s="18" t="s">
        <v>328</v>
      </c>
      <c r="G2968" s="18" t="s">
        <v>22</v>
      </c>
      <c r="H2968" s="18" t="s">
        <v>23</v>
      </c>
      <c r="I2968" s="19">
        <v>13.75</v>
      </c>
      <c r="J2968" s="20">
        <f t="shared" si="92"/>
        <v>27.5</v>
      </c>
      <c r="K2968" s="106"/>
      <c r="L2968" s="114"/>
      <c r="M2968" s="114">
        <f>tblAquisições[[#This Row],[VALOR UNITARIO COMPRADO]]*tblAquisições[[#This Row],[QUANTIDADE COMPRADA]]</f>
        <v>0</v>
      </c>
      <c r="N2968" s="110">
        <f>K2968-tblAquisições[[#This Row],[QUANTIDADE PLANEJADA]]</f>
        <v>-2</v>
      </c>
      <c r="O2968" s="106" t="str">
        <f t="shared" si="93"/>
        <v>Faltando Comprar</v>
      </c>
    </row>
    <row r="2969" spans="1:15" ht="47.25">
      <c r="A2969" s="16" t="s">
        <v>17</v>
      </c>
      <c r="B2969" s="16" t="s">
        <v>80</v>
      </c>
      <c r="C2969" s="17" t="s">
        <v>19</v>
      </c>
      <c r="D2969" s="18" t="s">
        <v>1664</v>
      </c>
      <c r="E2969" s="18">
        <v>6</v>
      </c>
      <c r="F2969" s="18" t="s">
        <v>147</v>
      </c>
      <c r="G2969" s="18" t="s">
        <v>39</v>
      </c>
      <c r="H2969" s="21"/>
      <c r="I2969" s="19">
        <v>87.78</v>
      </c>
      <c r="J2969" s="20">
        <f t="shared" si="92"/>
        <v>526.68000000000006</v>
      </c>
      <c r="K2969" s="106"/>
      <c r="L2969" s="114"/>
      <c r="M2969" s="114">
        <f>tblAquisições[[#This Row],[VALOR UNITARIO COMPRADO]]*tblAquisições[[#This Row],[QUANTIDADE COMPRADA]]</f>
        <v>0</v>
      </c>
      <c r="N2969" s="110">
        <f>K2969-tblAquisições[[#This Row],[QUANTIDADE PLANEJADA]]</f>
        <v>-6</v>
      </c>
      <c r="O2969" s="106" t="str">
        <f t="shared" si="93"/>
        <v>Faltando Comprar</v>
      </c>
    </row>
    <row r="2970" spans="1:15" ht="31.5">
      <c r="A2970" s="16" t="s">
        <v>17</v>
      </c>
      <c r="B2970" s="16" t="s">
        <v>72</v>
      </c>
      <c r="C2970" s="17" t="s">
        <v>19</v>
      </c>
      <c r="D2970" s="18" t="s">
        <v>1665</v>
      </c>
      <c r="E2970" s="18">
        <v>4</v>
      </c>
      <c r="F2970" s="18" t="s">
        <v>21</v>
      </c>
      <c r="G2970" s="18" t="s">
        <v>22</v>
      </c>
      <c r="H2970" s="18" t="s">
        <v>23</v>
      </c>
      <c r="I2970" s="19">
        <v>50</v>
      </c>
      <c r="J2970" s="20">
        <f t="shared" si="92"/>
        <v>200</v>
      </c>
      <c r="K2970" s="106"/>
      <c r="L2970" s="114"/>
      <c r="M2970" s="114">
        <f>tblAquisições[[#This Row],[VALOR UNITARIO COMPRADO]]*tblAquisições[[#This Row],[QUANTIDADE COMPRADA]]</f>
        <v>0</v>
      </c>
      <c r="N2970" s="110">
        <f>K2970-tblAquisições[[#This Row],[QUANTIDADE PLANEJADA]]</f>
        <v>-4</v>
      </c>
      <c r="O2970" s="106" t="str">
        <f t="shared" si="93"/>
        <v>Faltando Comprar</v>
      </c>
    </row>
    <row r="2971" spans="1:15" ht="47.25">
      <c r="A2971" s="16" t="s">
        <v>17</v>
      </c>
      <c r="B2971" s="16" t="s">
        <v>28</v>
      </c>
      <c r="C2971" s="17" t="s">
        <v>19</v>
      </c>
      <c r="D2971" s="18" t="s">
        <v>1666</v>
      </c>
      <c r="E2971" s="18">
        <v>20</v>
      </c>
      <c r="F2971" s="18" t="s">
        <v>78</v>
      </c>
      <c r="G2971" s="18" t="s">
        <v>22</v>
      </c>
      <c r="H2971" s="18" t="s">
        <v>23</v>
      </c>
      <c r="I2971" s="19">
        <v>20.96</v>
      </c>
      <c r="J2971" s="20">
        <f t="shared" si="92"/>
        <v>419.20000000000005</v>
      </c>
      <c r="K2971" s="106"/>
      <c r="L2971" s="114"/>
      <c r="M2971" s="114">
        <f>tblAquisições[[#This Row],[VALOR UNITARIO COMPRADO]]*tblAquisições[[#This Row],[QUANTIDADE COMPRADA]]</f>
        <v>0</v>
      </c>
      <c r="N2971" s="110">
        <f>K2971-tblAquisições[[#This Row],[QUANTIDADE PLANEJADA]]</f>
        <v>-20</v>
      </c>
      <c r="O2971" s="106" t="str">
        <f t="shared" si="93"/>
        <v>Faltando Comprar</v>
      </c>
    </row>
    <row r="2972" spans="1:15" ht="31.5">
      <c r="A2972" s="16" t="s">
        <v>17</v>
      </c>
      <c r="B2972" s="16" t="s">
        <v>18</v>
      </c>
      <c r="C2972" s="17" t="s">
        <v>19</v>
      </c>
      <c r="D2972" s="18" t="s">
        <v>1667</v>
      </c>
      <c r="E2972" s="18">
        <v>12</v>
      </c>
      <c r="F2972" s="18" t="s">
        <v>30</v>
      </c>
      <c r="G2972" s="18" t="s">
        <v>22</v>
      </c>
      <c r="H2972" s="18" t="s">
        <v>23</v>
      </c>
      <c r="I2972" s="19">
        <v>4700</v>
      </c>
      <c r="J2972" s="20">
        <f t="shared" si="92"/>
        <v>56400</v>
      </c>
      <c r="K2972" s="106"/>
      <c r="L2972" s="114"/>
      <c r="M2972" s="114">
        <f>tblAquisições[[#This Row],[VALOR UNITARIO COMPRADO]]*tblAquisições[[#This Row],[QUANTIDADE COMPRADA]]</f>
        <v>0</v>
      </c>
      <c r="N2972" s="110">
        <f>K2972-tblAquisições[[#This Row],[QUANTIDADE PLANEJADA]]</f>
        <v>-12</v>
      </c>
      <c r="O2972" s="106" t="str">
        <f t="shared" si="93"/>
        <v>Faltando Comprar</v>
      </c>
    </row>
    <row r="2973" spans="1:15" ht="31.5">
      <c r="A2973" s="16" t="s">
        <v>17</v>
      </c>
      <c r="B2973" s="16" t="s">
        <v>24</v>
      </c>
      <c r="C2973" s="17" t="s">
        <v>19</v>
      </c>
      <c r="D2973" s="18" t="s">
        <v>1667</v>
      </c>
      <c r="E2973" s="18">
        <v>12</v>
      </c>
      <c r="F2973" s="18" t="s">
        <v>30</v>
      </c>
      <c r="G2973" s="18" t="s">
        <v>22</v>
      </c>
      <c r="H2973" s="18" t="s">
        <v>23</v>
      </c>
      <c r="I2973" s="19">
        <v>4700</v>
      </c>
      <c r="J2973" s="20">
        <f t="shared" si="92"/>
        <v>56400</v>
      </c>
      <c r="K2973" s="106"/>
      <c r="L2973" s="114"/>
      <c r="M2973" s="114">
        <f>tblAquisições[[#This Row],[VALOR UNITARIO COMPRADO]]*tblAquisições[[#This Row],[QUANTIDADE COMPRADA]]</f>
        <v>0</v>
      </c>
      <c r="N2973" s="110">
        <f>K2973-tblAquisições[[#This Row],[QUANTIDADE PLANEJADA]]</f>
        <v>-12</v>
      </c>
      <c r="O2973" s="106" t="str">
        <f t="shared" si="93"/>
        <v>Faltando Comprar</v>
      </c>
    </row>
    <row r="2974" spans="1:15" ht="31.5">
      <c r="A2974" s="16" t="s">
        <v>17</v>
      </c>
      <c r="B2974" s="16" t="s">
        <v>25</v>
      </c>
      <c r="C2974" s="17" t="s">
        <v>19</v>
      </c>
      <c r="D2974" s="18" t="s">
        <v>1667</v>
      </c>
      <c r="E2974" s="18">
        <v>12</v>
      </c>
      <c r="F2974" s="18" t="s">
        <v>30</v>
      </c>
      <c r="G2974" s="18" t="s">
        <v>22</v>
      </c>
      <c r="H2974" s="18" t="s">
        <v>23</v>
      </c>
      <c r="I2974" s="19">
        <v>4700</v>
      </c>
      <c r="J2974" s="20">
        <f t="shared" si="92"/>
        <v>56400</v>
      </c>
      <c r="K2974" s="106"/>
      <c r="L2974" s="114"/>
      <c r="M2974" s="114">
        <f>tblAquisições[[#This Row],[VALOR UNITARIO COMPRADO]]*tblAquisições[[#This Row],[QUANTIDADE COMPRADA]]</f>
        <v>0</v>
      </c>
      <c r="N2974" s="110">
        <f>K2974-tblAquisições[[#This Row],[QUANTIDADE PLANEJADA]]</f>
        <v>-12</v>
      </c>
      <c r="O2974" s="106" t="str">
        <f t="shared" si="93"/>
        <v>Faltando Comprar</v>
      </c>
    </row>
    <row r="2975" spans="1:15" ht="31.5">
      <c r="A2975" s="16" t="s">
        <v>17</v>
      </c>
      <c r="B2975" s="16" t="s">
        <v>27</v>
      </c>
      <c r="C2975" s="17" t="s">
        <v>19</v>
      </c>
      <c r="D2975" s="18" t="s">
        <v>1667</v>
      </c>
      <c r="E2975" s="18">
        <v>5</v>
      </c>
      <c r="F2975" s="18" t="s">
        <v>30</v>
      </c>
      <c r="G2975" s="18" t="s">
        <v>22</v>
      </c>
      <c r="H2975" s="18" t="s">
        <v>23</v>
      </c>
      <c r="I2975" s="19">
        <v>4700</v>
      </c>
      <c r="J2975" s="20">
        <f t="shared" si="92"/>
        <v>23500</v>
      </c>
      <c r="K2975" s="106"/>
      <c r="L2975" s="114"/>
      <c r="M2975" s="114">
        <f>tblAquisições[[#This Row],[VALOR UNITARIO COMPRADO]]*tblAquisições[[#This Row],[QUANTIDADE COMPRADA]]</f>
        <v>0</v>
      </c>
      <c r="N2975" s="110">
        <f>K2975-tblAquisições[[#This Row],[QUANTIDADE PLANEJADA]]</f>
        <v>-5</v>
      </c>
      <c r="O2975" s="106" t="str">
        <f t="shared" si="93"/>
        <v>Faltando Comprar</v>
      </c>
    </row>
    <row r="2976" spans="1:15" ht="31.5">
      <c r="A2976" s="16" t="s">
        <v>17</v>
      </c>
      <c r="B2976" s="16" t="s">
        <v>18</v>
      </c>
      <c r="C2976" s="17" t="s">
        <v>19</v>
      </c>
      <c r="D2976" s="18" t="s">
        <v>1668</v>
      </c>
      <c r="E2976" s="18">
        <v>10</v>
      </c>
      <c r="F2976" s="18" t="s">
        <v>30</v>
      </c>
      <c r="G2976" s="18" t="s">
        <v>22</v>
      </c>
      <c r="H2976" s="18" t="s">
        <v>23</v>
      </c>
      <c r="I2976" s="19">
        <v>189.46</v>
      </c>
      <c r="J2976" s="20">
        <f t="shared" si="92"/>
        <v>1894.6000000000001</v>
      </c>
      <c r="K2976" s="106"/>
      <c r="L2976" s="114"/>
      <c r="M2976" s="114">
        <f>tblAquisições[[#This Row],[VALOR UNITARIO COMPRADO]]*tblAquisições[[#This Row],[QUANTIDADE COMPRADA]]</f>
        <v>0</v>
      </c>
      <c r="N2976" s="110">
        <f>K2976-tblAquisições[[#This Row],[QUANTIDADE PLANEJADA]]</f>
        <v>-10</v>
      </c>
      <c r="O2976" s="106" t="str">
        <f t="shared" si="93"/>
        <v>Faltando Comprar</v>
      </c>
    </row>
    <row r="2977" spans="1:15" ht="31.5">
      <c r="A2977" s="16" t="s">
        <v>17</v>
      </c>
      <c r="B2977" s="16" t="s">
        <v>24</v>
      </c>
      <c r="C2977" s="17" t="s">
        <v>19</v>
      </c>
      <c r="D2977" s="18" t="s">
        <v>1668</v>
      </c>
      <c r="E2977" s="18">
        <v>10</v>
      </c>
      <c r="F2977" s="18" t="s">
        <v>30</v>
      </c>
      <c r="G2977" s="18" t="s">
        <v>22</v>
      </c>
      <c r="H2977" s="18" t="s">
        <v>23</v>
      </c>
      <c r="I2977" s="19">
        <v>189.46</v>
      </c>
      <c r="J2977" s="20">
        <f t="shared" si="92"/>
        <v>1894.6000000000001</v>
      </c>
      <c r="K2977" s="106"/>
      <c r="L2977" s="114"/>
      <c r="M2977" s="114">
        <f>tblAquisições[[#This Row],[VALOR UNITARIO COMPRADO]]*tblAquisições[[#This Row],[QUANTIDADE COMPRADA]]</f>
        <v>0</v>
      </c>
      <c r="N2977" s="110">
        <f>K2977-tblAquisições[[#This Row],[QUANTIDADE PLANEJADA]]</f>
        <v>-10</v>
      </c>
      <c r="O2977" s="106" t="str">
        <f t="shared" si="93"/>
        <v>Faltando Comprar</v>
      </c>
    </row>
    <row r="2978" spans="1:15" ht="31.5">
      <c r="A2978" s="16" t="s">
        <v>17</v>
      </c>
      <c r="B2978" s="16" t="s">
        <v>25</v>
      </c>
      <c r="C2978" s="17" t="s">
        <v>19</v>
      </c>
      <c r="D2978" s="18" t="s">
        <v>1668</v>
      </c>
      <c r="E2978" s="18">
        <v>10</v>
      </c>
      <c r="F2978" s="18" t="s">
        <v>30</v>
      </c>
      <c r="G2978" s="18" t="s">
        <v>22</v>
      </c>
      <c r="H2978" s="18" t="s">
        <v>23</v>
      </c>
      <c r="I2978" s="19">
        <v>189.46</v>
      </c>
      <c r="J2978" s="20">
        <f t="shared" si="92"/>
        <v>1894.6000000000001</v>
      </c>
      <c r="K2978" s="106"/>
      <c r="L2978" s="114"/>
      <c r="M2978" s="114">
        <f>tblAquisições[[#This Row],[VALOR UNITARIO COMPRADO]]*tblAquisições[[#This Row],[QUANTIDADE COMPRADA]]</f>
        <v>0</v>
      </c>
      <c r="N2978" s="110">
        <f>K2978-tblAquisições[[#This Row],[QUANTIDADE PLANEJADA]]</f>
        <v>-10</v>
      </c>
      <c r="O2978" s="106" t="str">
        <f t="shared" si="93"/>
        <v>Faltando Comprar</v>
      </c>
    </row>
    <row r="2979" spans="1:15" ht="31.5">
      <c r="A2979" s="16" t="s">
        <v>17</v>
      </c>
      <c r="B2979" s="16" t="s">
        <v>27</v>
      </c>
      <c r="C2979" s="17" t="s">
        <v>19</v>
      </c>
      <c r="D2979" s="18" t="s">
        <v>1668</v>
      </c>
      <c r="E2979" s="18">
        <v>10</v>
      </c>
      <c r="F2979" s="18" t="s">
        <v>30</v>
      </c>
      <c r="G2979" s="18" t="s">
        <v>22</v>
      </c>
      <c r="H2979" s="18" t="s">
        <v>23</v>
      </c>
      <c r="I2979" s="19">
        <v>189.46</v>
      </c>
      <c r="J2979" s="20">
        <f t="shared" si="92"/>
        <v>1894.6000000000001</v>
      </c>
      <c r="K2979" s="106"/>
      <c r="L2979" s="114"/>
      <c r="M2979" s="114">
        <f>tblAquisições[[#This Row],[VALOR UNITARIO COMPRADO]]*tblAquisições[[#This Row],[QUANTIDADE COMPRADA]]</f>
        <v>0</v>
      </c>
      <c r="N2979" s="110">
        <f>K2979-tblAquisições[[#This Row],[QUANTIDADE PLANEJADA]]</f>
        <v>-10</v>
      </c>
      <c r="O2979" s="106" t="str">
        <f t="shared" si="93"/>
        <v>Faltando Comprar</v>
      </c>
    </row>
    <row r="2980" spans="1:15" ht="31.5">
      <c r="A2980" s="16" t="s">
        <v>17</v>
      </c>
      <c r="B2980" s="16" t="s">
        <v>18</v>
      </c>
      <c r="C2980" s="17" t="s">
        <v>19</v>
      </c>
      <c r="D2980" s="18" t="s">
        <v>1669</v>
      </c>
      <c r="E2980" s="18">
        <v>15</v>
      </c>
      <c r="F2980" s="18" t="s">
        <v>30</v>
      </c>
      <c r="G2980" s="18" t="s">
        <v>22</v>
      </c>
      <c r="H2980" s="18" t="s">
        <v>23</v>
      </c>
      <c r="I2980" s="19">
        <v>13.28</v>
      </c>
      <c r="J2980" s="20">
        <f t="shared" si="92"/>
        <v>199.2</v>
      </c>
      <c r="K2980" s="106"/>
      <c r="L2980" s="114"/>
      <c r="M2980" s="114">
        <f>tblAquisições[[#This Row],[VALOR UNITARIO COMPRADO]]*tblAquisições[[#This Row],[QUANTIDADE COMPRADA]]</f>
        <v>0</v>
      </c>
      <c r="N2980" s="110">
        <f>K2980-tblAquisições[[#This Row],[QUANTIDADE PLANEJADA]]</f>
        <v>-15</v>
      </c>
      <c r="O2980" s="106" t="str">
        <f t="shared" si="93"/>
        <v>Faltando Comprar</v>
      </c>
    </row>
    <row r="2981" spans="1:15" ht="31.5">
      <c r="A2981" s="16" t="s">
        <v>17</v>
      </c>
      <c r="B2981" s="16" t="s">
        <v>24</v>
      </c>
      <c r="C2981" s="17" t="s">
        <v>19</v>
      </c>
      <c r="D2981" s="18" t="s">
        <v>1669</v>
      </c>
      <c r="E2981" s="18">
        <v>15</v>
      </c>
      <c r="F2981" s="18" t="s">
        <v>30</v>
      </c>
      <c r="G2981" s="18" t="s">
        <v>22</v>
      </c>
      <c r="H2981" s="18" t="s">
        <v>23</v>
      </c>
      <c r="I2981" s="19">
        <v>13.28</v>
      </c>
      <c r="J2981" s="20">
        <f t="shared" si="92"/>
        <v>199.2</v>
      </c>
      <c r="K2981" s="106"/>
      <c r="L2981" s="114"/>
      <c r="M2981" s="114">
        <f>tblAquisições[[#This Row],[VALOR UNITARIO COMPRADO]]*tblAquisições[[#This Row],[QUANTIDADE COMPRADA]]</f>
        <v>0</v>
      </c>
      <c r="N2981" s="110">
        <f>K2981-tblAquisições[[#This Row],[QUANTIDADE PLANEJADA]]</f>
        <v>-15</v>
      </c>
      <c r="O2981" s="106" t="str">
        <f t="shared" si="93"/>
        <v>Faltando Comprar</v>
      </c>
    </row>
    <row r="2982" spans="1:15" ht="31.5">
      <c r="A2982" s="16" t="s">
        <v>17</v>
      </c>
      <c r="B2982" s="16" t="s">
        <v>25</v>
      </c>
      <c r="C2982" s="17" t="s">
        <v>19</v>
      </c>
      <c r="D2982" s="18" t="s">
        <v>1669</v>
      </c>
      <c r="E2982" s="18">
        <v>15</v>
      </c>
      <c r="F2982" s="18" t="s">
        <v>30</v>
      </c>
      <c r="G2982" s="18" t="s">
        <v>22</v>
      </c>
      <c r="H2982" s="18" t="s">
        <v>23</v>
      </c>
      <c r="I2982" s="19">
        <v>13.28</v>
      </c>
      <c r="J2982" s="20">
        <f t="shared" si="92"/>
        <v>199.2</v>
      </c>
      <c r="K2982" s="106"/>
      <c r="L2982" s="114"/>
      <c r="M2982" s="114">
        <f>tblAquisições[[#This Row],[VALOR UNITARIO COMPRADO]]*tblAquisições[[#This Row],[QUANTIDADE COMPRADA]]</f>
        <v>0</v>
      </c>
      <c r="N2982" s="110">
        <f>K2982-tblAquisições[[#This Row],[QUANTIDADE PLANEJADA]]</f>
        <v>-15</v>
      </c>
      <c r="O2982" s="106" t="str">
        <f t="shared" si="93"/>
        <v>Faltando Comprar</v>
      </c>
    </row>
    <row r="2983" spans="1:15" ht="31.5">
      <c r="A2983" s="16" t="s">
        <v>17</v>
      </c>
      <c r="B2983" s="16" t="s">
        <v>27</v>
      </c>
      <c r="C2983" s="17" t="s">
        <v>19</v>
      </c>
      <c r="D2983" s="18" t="s">
        <v>1669</v>
      </c>
      <c r="E2983" s="18">
        <v>15</v>
      </c>
      <c r="F2983" s="18" t="s">
        <v>30</v>
      </c>
      <c r="G2983" s="18" t="s">
        <v>22</v>
      </c>
      <c r="H2983" s="18" t="s">
        <v>23</v>
      </c>
      <c r="I2983" s="19">
        <v>13.28</v>
      </c>
      <c r="J2983" s="20">
        <f t="shared" si="92"/>
        <v>199.2</v>
      </c>
      <c r="K2983" s="106"/>
      <c r="L2983" s="114"/>
      <c r="M2983" s="114">
        <f>tblAquisições[[#This Row],[VALOR UNITARIO COMPRADO]]*tblAquisições[[#This Row],[QUANTIDADE COMPRADA]]</f>
        <v>0</v>
      </c>
      <c r="N2983" s="110">
        <f>K2983-tblAquisições[[#This Row],[QUANTIDADE PLANEJADA]]</f>
        <v>-15</v>
      </c>
      <c r="O2983" s="106" t="str">
        <f t="shared" si="93"/>
        <v>Faltando Comprar</v>
      </c>
    </row>
    <row r="2984" spans="1:15" ht="31.5">
      <c r="A2984" s="16" t="s">
        <v>17</v>
      </c>
      <c r="B2984" s="16" t="s">
        <v>18</v>
      </c>
      <c r="C2984" s="17" t="s">
        <v>19</v>
      </c>
      <c r="D2984" s="18" t="s">
        <v>1670</v>
      </c>
      <c r="E2984" s="18">
        <v>15</v>
      </c>
      <c r="F2984" s="18" t="s">
        <v>30</v>
      </c>
      <c r="G2984" s="18" t="s">
        <v>22</v>
      </c>
      <c r="H2984" s="18" t="s">
        <v>23</v>
      </c>
      <c r="I2984" s="19">
        <v>11.79</v>
      </c>
      <c r="J2984" s="20">
        <f t="shared" si="92"/>
        <v>176.85</v>
      </c>
      <c r="K2984" s="106"/>
      <c r="L2984" s="114"/>
      <c r="M2984" s="114">
        <f>tblAquisições[[#This Row],[VALOR UNITARIO COMPRADO]]*tblAquisições[[#This Row],[QUANTIDADE COMPRADA]]</f>
        <v>0</v>
      </c>
      <c r="N2984" s="110">
        <f>K2984-tblAquisições[[#This Row],[QUANTIDADE PLANEJADA]]</f>
        <v>-15</v>
      </c>
      <c r="O2984" s="106" t="str">
        <f t="shared" si="93"/>
        <v>Faltando Comprar</v>
      </c>
    </row>
    <row r="2985" spans="1:15" ht="31.5">
      <c r="A2985" s="16" t="s">
        <v>17</v>
      </c>
      <c r="B2985" s="16" t="s">
        <v>24</v>
      </c>
      <c r="C2985" s="17" t="s">
        <v>19</v>
      </c>
      <c r="D2985" s="18" t="s">
        <v>1670</v>
      </c>
      <c r="E2985" s="18">
        <v>15</v>
      </c>
      <c r="F2985" s="18" t="s">
        <v>30</v>
      </c>
      <c r="G2985" s="18" t="s">
        <v>22</v>
      </c>
      <c r="H2985" s="18" t="s">
        <v>23</v>
      </c>
      <c r="I2985" s="19">
        <v>11.79</v>
      </c>
      <c r="J2985" s="20">
        <f t="shared" si="92"/>
        <v>176.85</v>
      </c>
      <c r="K2985" s="106"/>
      <c r="L2985" s="114"/>
      <c r="M2985" s="114">
        <f>tblAquisições[[#This Row],[VALOR UNITARIO COMPRADO]]*tblAquisições[[#This Row],[QUANTIDADE COMPRADA]]</f>
        <v>0</v>
      </c>
      <c r="N2985" s="110">
        <f>K2985-tblAquisições[[#This Row],[QUANTIDADE PLANEJADA]]</f>
        <v>-15</v>
      </c>
      <c r="O2985" s="106" t="str">
        <f t="shared" si="93"/>
        <v>Faltando Comprar</v>
      </c>
    </row>
    <row r="2986" spans="1:15" ht="31.5">
      <c r="A2986" s="16" t="s">
        <v>17</v>
      </c>
      <c r="B2986" s="16" t="s">
        <v>25</v>
      </c>
      <c r="C2986" s="17" t="s">
        <v>19</v>
      </c>
      <c r="D2986" s="18" t="s">
        <v>1670</v>
      </c>
      <c r="E2986" s="18">
        <v>15</v>
      </c>
      <c r="F2986" s="18" t="s">
        <v>30</v>
      </c>
      <c r="G2986" s="18" t="s">
        <v>22</v>
      </c>
      <c r="H2986" s="18" t="s">
        <v>23</v>
      </c>
      <c r="I2986" s="19">
        <v>11.79</v>
      </c>
      <c r="J2986" s="20">
        <f t="shared" si="92"/>
        <v>176.85</v>
      </c>
      <c r="K2986" s="106"/>
      <c r="L2986" s="114"/>
      <c r="M2986" s="114">
        <f>tblAquisições[[#This Row],[VALOR UNITARIO COMPRADO]]*tblAquisições[[#This Row],[QUANTIDADE COMPRADA]]</f>
        <v>0</v>
      </c>
      <c r="N2986" s="110">
        <f>K2986-tblAquisições[[#This Row],[QUANTIDADE PLANEJADA]]</f>
        <v>-15</v>
      </c>
      <c r="O2986" s="106" t="str">
        <f t="shared" si="93"/>
        <v>Faltando Comprar</v>
      </c>
    </row>
    <row r="2987" spans="1:15" ht="31.5">
      <c r="A2987" s="16" t="s">
        <v>17</v>
      </c>
      <c r="B2987" s="16" t="s">
        <v>27</v>
      </c>
      <c r="C2987" s="17" t="s">
        <v>19</v>
      </c>
      <c r="D2987" s="18" t="s">
        <v>1670</v>
      </c>
      <c r="E2987" s="18">
        <v>15</v>
      </c>
      <c r="F2987" s="18" t="s">
        <v>30</v>
      </c>
      <c r="G2987" s="18" t="s">
        <v>22</v>
      </c>
      <c r="H2987" s="18" t="s">
        <v>23</v>
      </c>
      <c r="I2987" s="19">
        <v>11.79</v>
      </c>
      <c r="J2987" s="20">
        <f t="shared" si="92"/>
        <v>176.85</v>
      </c>
      <c r="K2987" s="106"/>
      <c r="L2987" s="114"/>
      <c r="M2987" s="114">
        <f>tblAquisições[[#This Row],[VALOR UNITARIO COMPRADO]]*tblAquisições[[#This Row],[QUANTIDADE COMPRADA]]</f>
        <v>0</v>
      </c>
      <c r="N2987" s="110">
        <f>K2987-tblAquisições[[#This Row],[QUANTIDADE PLANEJADA]]</f>
        <v>-15</v>
      </c>
      <c r="O2987" s="106" t="str">
        <f t="shared" si="93"/>
        <v>Faltando Comprar</v>
      </c>
    </row>
    <row r="2988" spans="1:15" ht="31.5">
      <c r="A2988" s="16" t="s">
        <v>17</v>
      </c>
      <c r="B2988" s="16" t="s">
        <v>26</v>
      </c>
      <c r="C2988" s="17" t="s">
        <v>19</v>
      </c>
      <c r="D2988" s="18" t="s">
        <v>1671</v>
      </c>
      <c r="E2988" s="18">
        <v>15</v>
      </c>
      <c r="F2988" s="18" t="s">
        <v>30</v>
      </c>
      <c r="G2988" s="18" t="s">
        <v>22</v>
      </c>
      <c r="H2988" s="18" t="s">
        <v>23</v>
      </c>
      <c r="I2988" s="19">
        <v>301</v>
      </c>
      <c r="J2988" s="20">
        <f t="shared" si="92"/>
        <v>4515</v>
      </c>
      <c r="K2988" s="106"/>
      <c r="L2988" s="114"/>
      <c r="M2988" s="114">
        <f>tblAquisições[[#This Row],[VALOR UNITARIO COMPRADO]]*tblAquisições[[#This Row],[QUANTIDADE COMPRADA]]</f>
        <v>0</v>
      </c>
      <c r="N2988" s="110">
        <f>K2988-tblAquisições[[#This Row],[QUANTIDADE PLANEJADA]]</f>
        <v>-15</v>
      </c>
      <c r="O2988" s="106" t="str">
        <f t="shared" si="93"/>
        <v>Faltando Comprar</v>
      </c>
    </row>
    <row r="2989" spans="1:15" ht="31.5">
      <c r="A2989" s="16" t="s">
        <v>17</v>
      </c>
      <c r="B2989" s="16" t="s">
        <v>18</v>
      </c>
      <c r="C2989" s="17" t="s">
        <v>19</v>
      </c>
      <c r="D2989" s="18" t="s">
        <v>1672</v>
      </c>
      <c r="E2989" s="18">
        <v>10</v>
      </c>
      <c r="F2989" s="18" t="s">
        <v>21</v>
      </c>
      <c r="G2989" s="18" t="s">
        <v>22</v>
      </c>
      <c r="H2989" s="18" t="s">
        <v>23</v>
      </c>
      <c r="I2989" s="19">
        <v>75</v>
      </c>
      <c r="J2989" s="20">
        <f t="shared" si="92"/>
        <v>750</v>
      </c>
      <c r="K2989" s="106"/>
      <c r="L2989" s="114"/>
      <c r="M2989" s="114">
        <f>tblAquisições[[#This Row],[VALOR UNITARIO COMPRADO]]*tblAquisições[[#This Row],[QUANTIDADE COMPRADA]]</f>
        <v>0</v>
      </c>
      <c r="N2989" s="110">
        <f>K2989-tblAquisições[[#This Row],[QUANTIDADE PLANEJADA]]</f>
        <v>-10</v>
      </c>
      <c r="O2989" s="106" t="str">
        <f t="shared" si="93"/>
        <v>Faltando Comprar</v>
      </c>
    </row>
    <row r="2990" spans="1:15" ht="31.5">
      <c r="A2990" s="16" t="s">
        <v>17</v>
      </c>
      <c r="B2990" s="16" t="s">
        <v>24</v>
      </c>
      <c r="C2990" s="17" t="s">
        <v>19</v>
      </c>
      <c r="D2990" s="18" t="s">
        <v>1672</v>
      </c>
      <c r="E2990" s="18">
        <v>10</v>
      </c>
      <c r="F2990" s="18" t="s">
        <v>21</v>
      </c>
      <c r="G2990" s="18" t="s">
        <v>22</v>
      </c>
      <c r="H2990" s="18" t="s">
        <v>23</v>
      </c>
      <c r="I2990" s="19">
        <v>75</v>
      </c>
      <c r="J2990" s="20">
        <f t="shared" si="92"/>
        <v>750</v>
      </c>
      <c r="K2990" s="106"/>
      <c r="L2990" s="114"/>
      <c r="M2990" s="114">
        <f>tblAquisições[[#This Row],[VALOR UNITARIO COMPRADO]]*tblAquisições[[#This Row],[QUANTIDADE COMPRADA]]</f>
        <v>0</v>
      </c>
      <c r="N2990" s="110">
        <f>K2990-tblAquisições[[#This Row],[QUANTIDADE PLANEJADA]]</f>
        <v>-10</v>
      </c>
      <c r="O2990" s="106" t="str">
        <f t="shared" si="93"/>
        <v>Faltando Comprar</v>
      </c>
    </row>
    <row r="2991" spans="1:15" ht="31.5">
      <c r="A2991" s="16" t="s">
        <v>17</v>
      </c>
      <c r="B2991" s="16" t="s">
        <v>25</v>
      </c>
      <c r="C2991" s="17" t="s">
        <v>19</v>
      </c>
      <c r="D2991" s="18" t="s">
        <v>1672</v>
      </c>
      <c r="E2991" s="18">
        <v>10</v>
      </c>
      <c r="F2991" s="18" t="s">
        <v>21</v>
      </c>
      <c r="G2991" s="18" t="s">
        <v>22</v>
      </c>
      <c r="H2991" s="18" t="s">
        <v>23</v>
      </c>
      <c r="I2991" s="19">
        <v>75</v>
      </c>
      <c r="J2991" s="20">
        <f t="shared" si="92"/>
        <v>750</v>
      </c>
      <c r="K2991" s="106"/>
      <c r="L2991" s="114"/>
      <c r="M2991" s="114">
        <f>tblAquisições[[#This Row],[VALOR UNITARIO COMPRADO]]*tblAquisições[[#This Row],[QUANTIDADE COMPRADA]]</f>
        <v>0</v>
      </c>
      <c r="N2991" s="110">
        <f>K2991-tblAquisições[[#This Row],[QUANTIDADE PLANEJADA]]</f>
        <v>-10</v>
      </c>
      <c r="O2991" s="106" t="str">
        <f t="shared" si="93"/>
        <v>Faltando Comprar</v>
      </c>
    </row>
    <row r="2992" spans="1:15" ht="31.5">
      <c r="A2992" s="16" t="s">
        <v>17</v>
      </c>
      <c r="B2992" s="16" t="s">
        <v>27</v>
      </c>
      <c r="C2992" s="17" t="s">
        <v>19</v>
      </c>
      <c r="D2992" s="18" t="s">
        <v>1672</v>
      </c>
      <c r="E2992" s="18">
        <v>10</v>
      </c>
      <c r="F2992" s="18" t="s">
        <v>21</v>
      </c>
      <c r="G2992" s="18" t="s">
        <v>22</v>
      </c>
      <c r="H2992" s="18" t="s">
        <v>23</v>
      </c>
      <c r="I2992" s="19">
        <v>75</v>
      </c>
      <c r="J2992" s="20">
        <f t="shared" si="92"/>
        <v>750</v>
      </c>
      <c r="K2992" s="106"/>
      <c r="L2992" s="114"/>
      <c r="M2992" s="114">
        <f>tblAquisições[[#This Row],[VALOR UNITARIO COMPRADO]]*tblAquisições[[#This Row],[QUANTIDADE COMPRADA]]</f>
        <v>0</v>
      </c>
      <c r="N2992" s="110">
        <f>K2992-tblAquisições[[#This Row],[QUANTIDADE PLANEJADA]]</f>
        <v>-10</v>
      </c>
      <c r="O2992" s="106" t="str">
        <f t="shared" si="93"/>
        <v>Faltando Comprar</v>
      </c>
    </row>
    <row r="2993" spans="1:15" ht="31.5">
      <c r="A2993" s="16" t="s">
        <v>17</v>
      </c>
      <c r="B2993" s="16" t="s">
        <v>80</v>
      </c>
      <c r="C2993" s="17" t="s">
        <v>19</v>
      </c>
      <c r="D2993" s="18" t="s">
        <v>1673</v>
      </c>
      <c r="E2993" s="18">
        <v>10</v>
      </c>
      <c r="F2993" s="18" t="s">
        <v>38</v>
      </c>
      <c r="G2993" s="18" t="s">
        <v>39</v>
      </c>
      <c r="H2993" s="18" t="s">
        <v>23</v>
      </c>
      <c r="I2993" s="19">
        <v>19.100000000000001</v>
      </c>
      <c r="J2993" s="20">
        <f t="shared" si="92"/>
        <v>191</v>
      </c>
      <c r="K2993" s="106"/>
      <c r="L2993" s="114"/>
      <c r="M2993" s="114">
        <f>tblAquisições[[#This Row],[VALOR UNITARIO COMPRADO]]*tblAquisições[[#This Row],[QUANTIDADE COMPRADA]]</f>
        <v>0</v>
      </c>
      <c r="N2993" s="110">
        <f>K2993-tblAquisições[[#This Row],[QUANTIDADE PLANEJADA]]</f>
        <v>-10</v>
      </c>
      <c r="O2993" s="106" t="str">
        <f t="shared" si="93"/>
        <v>Faltando Comprar</v>
      </c>
    </row>
    <row r="2994" spans="1:15" ht="31.5">
      <c r="A2994" s="16" t="s">
        <v>17</v>
      </c>
      <c r="B2994" s="16" t="s">
        <v>26</v>
      </c>
      <c r="C2994" s="17" t="s">
        <v>19</v>
      </c>
      <c r="D2994" s="18" t="s">
        <v>1674</v>
      </c>
      <c r="E2994" s="18">
        <v>5</v>
      </c>
      <c r="F2994" s="18" t="s">
        <v>21</v>
      </c>
      <c r="G2994" s="18" t="s">
        <v>22</v>
      </c>
      <c r="H2994" s="18" t="s">
        <v>23</v>
      </c>
      <c r="I2994" s="19">
        <v>19.100000000000001</v>
      </c>
      <c r="J2994" s="20">
        <f t="shared" si="92"/>
        <v>95.5</v>
      </c>
      <c r="K2994" s="106"/>
      <c r="L2994" s="114"/>
      <c r="M2994" s="114">
        <f>tblAquisições[[#This Row],[VALOR UNITARIO COMPRADO]]*tblAquisições[[#This Row],[QUANTIDADE COMPRADA]]</f>
        <v>0</v>
      </c>
      <c r="N2994" s="110">
        <f>K2994-tblAquisições[[#This Row],[QUANTIDADE PLANEJADA]]</f>
        <v>-5</v>
      </c>
      <c r="O2994" s="106" t="str">
        <f t="shared" si="93"/>
        <v>Faltando Comprar</v>
      </c>
    </row>
    <row r="2995" spans="1:15" ht="31.5">
      <c r="A2995" s="16" t="s">
        <v>17</v>
      </c>
      <c r="B2995" s="16" t="s">
        <v>28</v>
      </c>
      <c r="C2995" s="17" t="s">
        <v>19</v>
      </c>
      <c r="D2995" s="18" t="s">
        <v>1674</v>
      </c>
      <c r="E2995" s="18">
        <v>20</v>
      </c>
      <c r="F2995" s="18" t="s">
        <v>21</v>
      </c>
      <c r="G2995" s="18" t="s">
        <v>22</v>
      </c>
      <c r="H2995" s="18" t="s">
        <v>23</v>
      </c>
      <c r="I2995" s="19">
        <v>19.100000000000001</v>
      </c>
      <c r="J2995" s="20">
        <f t="shared" si="92"/>
        <v>382</v>
      </c>
      <c r="K2995" s="106"/>
      <c r="L2995" s="114"/>
      <c r="M2995" s="114">
        <f>tblAquisições[[#This Row],[VALOR UNITARIO COMPRADO]]*tblAquisições[[#This Row],[QUANTIDADE COMPRADA]]</f>
        <v>0</v>
      </c>
      <c r="N2995" s="110">
        <f>K2995-tblAquisições[[#This Row],[QUANTIDADE PLANEJADA]]</f>
        <v>-20</v>
      </c>
      <c r="O2995" s="106" t="str">
        <f t="shared" si="93"/>
        <v>Faltando Comprar</v>
      </c>
    </row>
    <row r="2996" spans="1:15" ht="31.5">
      <c r="A2996" s="16" t="s">
        <v>17</v>
      </c>
      <c r="B2996" s="16" t="s">
        <v>17</v>
      </c>
      <c r="C2996" s="17" t="s">
        <v>19</v>
      </c>
      <c r="D2996" s="18" t="s">
        <v>1675</v>
      </c>
      <c r="E2996" s="18">
        <v>10</v>
      </c>
      <c r="F2996" s="18" t="s">
        <v>56</v>
      </c>
      <c r="G2996" s="18" t="s">
        <v>39</v>
      </c>
      <c r="H2996" s="18" t="s">
        <v>23</v>
      </c>
      <c r="I2996" s="19">
        <v>140</v>
      </c>
      <c r="J2996" s="20">
        <f t="shared" si="92"/>
        <v>1400</v>
      </c>
      <c r="K2996" s="106"/>
      <c r="L2996" s="114"/>
      <c r="M2996" s="114">
        <f>tblAquisições[[#This Row],[VALOR UNITARIO COMPRADO]]*tblAquisições[[#This Row],[QUANTIDADE COMPRADA]]</f>
        <v>0</v>
      </c>
      <c r="N2996" s="110">
        <f>K2996-tblAquisições[[#This Row],[QUANTIDADE PLANEJADA]]</f>
        <v>-10</v>
      </c>
      <c r="O2996" s="106" t="str">
        <f t="shared" si="93"/>
        <v>Faltando Comprar</v>
      </c>
    </row>
    <row r="2997" spans="1:15" ht="31.5">
      <c r="A2997" s="16" t="s">
        <v>17</v>
      </c>
      <c r="B2997" s="16" t="s">
        <v>28</v>
      </c>
      <c r="C2997" s="17" t="s">
        <v>19</v>
      </c>
      <c r="D2997" s="18" t="s">
        <v>1676</v>
      </c>
      <c r="E2997" s="18">
        <v>20</v>
      </c>
      <c r="F2997" s="18" t="s">
        <v>21</v>
      </c>
      <c r="G2997" s="18" t="s">
        <v>22</v>
      </c>
      <c r="H2997" s="18" t="s">
        <v>23</v>
      </c>
      <c r="I2997" s="19">
        <v>56.54</v>
      </c>
      <c r="J2997" s="20">
        <f t="shared" si="92"/>
        <v>1130.8</v>
      </c>
      <c r="K2997" s="106"/>
      <c r="L2997" s="114"/>
      <c r="M2997" s="114">
        <f>tblAquisições[[#This Row],[VALOR UNITARIO COMPRADO]]*tblAquisições[[#This Row],[QUANTIDADE COMPRADA]]</f>
        <v>0</v>
      </c>
      <c r="N2997" s="110">
        <f>K2997-tblAquisições[[#This Row],[QUANTIDADE PLANEJADA]]</f>
        <v>-20</v>
      </c>
      <c r="O2997" s="106" t="str">
        <f t="shared" si="93"/>
        <v>Faltando Comprar</v>
      </c>
    </row>
    <row r="2998" spans="1:15" ht="31.5">
      <c r="A2998" s="16" t="s">
        <v>17</v>
      </c>
      <c r="B2998" s="16" t="s">
        <v>18</v>
      </c>
      <c r="C2998" s="17" t="s">
        <v>19</v>
      </c>
      <c r="D2998" s="18" t="s">
        <v>1677</v>
      </c>
      <c r="E2998" s="18">
        <v>200</v>
      </c>
      <c r="F2998" s="18" t="s">
        <v>21</v>
      </c>
      <c r="G2998" s="18" t="s">
        <v>22</v>
      </c>
      <c r="H2998" s="18" t="s">
        <v>23</v>
      </c>
      <c r="I2998" s="19">
        <v>8.7799999999999994</v>
      </c>
      <c r="J2998" s="20">
        <f t="shared" si="92"/>
        <v>1755.9999999999998</v>
      </c>
      <c r="K2998" s="106"/>
      <c r="L2998" s="114"/>
      <c r="M2998" s="114">
        <f>tblAquisições[[#This Row],[VALOR UNITARIO COMPRADO]]*tblAquisições[[#This Row],[QUANTIDADE COMPRADA]]</f>
        <v>0</v>
      </c>
      <c r="N2998" s="110">
        <f>K2998-tblAquisições[[#This Row],[QUANTIDADE PLANEJADA]]</f>
        <v>-200</v>
      </c>
      <c r="O2998" s="106" t="str">
        <f t="shared" si="93"/>
        <v>Faltando Comprar</v>
      </c>
    </row>
    <row r="2999" spans="1:15" ht="31.5">
      <c r="A2999" s="16" t="s">
        <v>17</v>
      </c>
      <c r="B2999" s="16" t="s">
        <v>24</v>
      </c>
      <c r="C2999" s="17" t="s">
        <v>19</v>
      </c>
      <c r="D2999" s="18" t="s">
        <v>1677</v>
      </c>
      <c r="E2999" s="18">
        <v>200</v>
      </c>
      <c r="F2999" s="18" t="s">
        <v>21</v>
      </c>
      <c r="G2999" s="18" t="s">
        <v>22</v>
      </c>
      <c r="H2999" s="18" t="s">
        <v>23</v>
      </c>
      <c r="I2999" s="19">
        <v>8.7799999999999994</v>
      </c>
      <c r="J2999" s="20">
        <f t="shared" si="92"/>
        <v>1755.9999999999998</v>
      </c>
      <c r="K2999" s="106"/>
      <c r="L2999" s="114"/>
      <c r="M2999" s="114">
        <f>tblAquisições[[#This Row],[VALOR UNITARIO COMPRADO]]*tblAquisições[[#This Row],[QUANTIDADE COMPRADA]]</f>
        <v>0</v>
      </c>
      <c r="N2999" s="110">
        <f>K2999-tblAquisições[[#This Row],[QUANTIDADE PLANEJADA]]</f>
        <v>-200</v>
      </c>
      <c r="O2999" s="106" t="str">
        <f t="shared" si="93"/>
        <v>Faltando Comprar</v>
      </c>
    </row>
    <row r="3000" spans="1:15" ht="31.5">
      <c r="A3000" s="16" t="s">
        <v>17</v>
      </c>
      <c r="B3000" s="16" t="s">
        <v>25</v>
      </c>
      <c r="C3000" s="17" t="s">
        <v>19</v>
      </c>
      <c r="D3000" s="18" t="s">
        <v>1677</v>
      </c>
      <c r="E3000" s="18">
        <v>200</v>
      </c>
      <c r="F3000" s="18" t="s">
        <v>21</v>
      </c>
      <c r="G3000" s="18" t="s">
        <v>22</v>
      </c>
      <c r="H3000" s="18" t="s">
        <v>23</v>
      </c>
      <c r="I3000" s="19">
        <v>8.7799999999999994</v>
      </c>
      <c r="J3000" s="20">
        <f t="shared" si="92"/>
        <v>1755.9999999999998</v>
      </c>
      <c r="K3000" s="106"/>
      <c r="L3000" s="114"/>
      <c r="M3000" s="114">
        <f>tblAquisições[[#This Row],[VALOR UNITARIO COMPRADO]]*tblAquisições[[#This Row],[QUANTIDADE COMPRADA]]</f>
        <v>0</v>
      </c>
      <c r="N3000" s="110">
        <f>K3000-tblAquisições[[#This Row],[QUANTIDADE PLANEJADA]]</f>
        <v>-200</v>
      </c>
      <c r="O3000" s="106" t="str">
        <f t="shared" si="93"/>
        <v>Faltando Comprar</v>
      </c>
    </row>
    <row r="3001" spans="1:15" ht="31.5">
      <c r="A3001" s="16" t="s">
        <v>17</v>
      </c>
      <c r="B3001" s="16" t="s">
        <v>28</v>
      </c>
      <c r="C3001" s="17" t="s">
        <v>19</v>
      </c>
      <c r="D3001" s="18" t="s">
        <v>1677</v>
      </c>
      <c r="E3001" s="18">
        <v>100</v>
      </c>
      <c r="F3001" s="18" t="s">
        <v>21</v>
      </c>
      <c r="G3001" s="18" t="s">
        <v>22</v>
      </c>
      <c r="H3001" s="18" t="s">
        <v>23</v>
      </c>
      <c r="I3001" s="19">
        <v>8.7799999999999994</v>
      </c>
      <c r="J3001" s="20">
        <f t="shared" si="92"/>
        <v>877.99999999999989</v>
      </c>
      <c r="K3001" s="106"/>
      <c r="L3001" s="114"/>
      <c r="M3001" s="114">
        <f>tblAquisições[[#This Row],[VALOR UNITARIO COMPRADO]]*tblAquisições[[#This Row],[QUANTIDADE COMPRADA]]</f>
        <v>0</v>
      </c>
      <c r="N3001" s="110">
        <f>K3001-tblAquisições[[#This Row],[QUANTIDADE PLANEJADA]]</f>
        <v>-100</v>
      </c>
      <c r="O3001" s="106" t="str">
        <f t="shared" si="93"/>
        <v>Faltando Comprar</v>
      </c>
    </row>
    <row r="3002" spans="1:15" ht="31.5">
      <c r="A3002" s="16" t="s">
        <v>17</v>
      </c>
      <c r="B3002" s="16" t="s">
        <v>28</v>
      </c>
      <c r="C3002" s="17" t="s">
        <v>19</v>
      </c>
      <c r="D3002" s="18" t="s">
        <v>1678</v>
      </c>
      <c r="E3002" s="18">
        <v>150</v>
      </c>
      <c r="F3002" s="18" t="s">
        <v>21</v>
      </c>
      <c r="G3002" s="18" t="s">
        <v>22</v>
      </c>
      <c r="H3002" s="18" t="s">
        <v>23</v>
      </c>
      <c r="I3002" s="19">
        <v>17.510000000000002</v>
      </c>
      <c r="J3002" s="20">
        <f t="shared" si="92"/>
        <v>2626.5000000000005</v>
      </c>
      <c r="K3002" s="106"/>
      <c r="L3002" s="114"/>
      <c r="M3002" s="114">
        <f>tblAquisições[[#This Row],[VALOR UNITARIO COMPRADO]]*tblAquisições[[#This Row],[QUANTIDADE COMPRADA]]</f>
        <v>0</v>
      </c>
      <c r="N3002" s="110">
        <f>K3002-tblAquisições[[#This Row],[QUANTIDADE PLANEJADA]]</f>
        <v>-150</v>
      </c>
      <c r="O3002" s="106" t="str">
        <f t="shared" si="93"/>
        <v>Faltando Comprar</v>
      </c>
    </row>
    <row r="3003" spans="1:15" ht="47.25">
      <c r="A3003" s="16" t="s">
        <v>17</v>
      </c>
      <c r="B3003" s="16" t="s">
        <v>26</v>
      </c>
      <c r="C3003" s="17" t="s">
        <v>19</v>
      </c>
      <c r="D3003" s="18" t="s">
        <v>1679</v>
      </c>
      <c r="E3003" s="18">
        <v>10</v>
      </c>
      <c r="F3003" s="18" t="s">
        <v>78</v>
      </c>
      <c r="G3003" s="18" t="s">
        <v>22</v>
      </c>
      <c r="H3003" s="18" t="s">
        <v>23</v>
      </c>
      <c r="I3003" s="19">
        <v>15.83</v>
      </c>
      <c r="J3003" s="20">
        <f t="shared" si="92"/>
        <v>158.30000000000001</v>
      </c>
      <c r="K3003" s="106"/>
      <c r="L3003" s="114"/>
      <c r="M3003" s="114">
        <f>tblAquisições[[#This Row],[VALOR UNITARIO COMPRADO]]*tblAquisições[[#This Row],[QUANTIDADE COMPRADA]]</f>
        <v>0</v>
      </c>
      <c r="N3003" s="110">
        <f>K3003-tblAquisições[[#This Row],[QUANTIDADE PLANEJADA]]</f>
        <v>-10</v>
      </c>
      <c r="O3003" s="106" t="str">
        <f t="shared" si="93"/>
        <v>Faltando Comprar</v>
      </c>
    </row>
    <row r="3004" spans="1:15" ht="47.25">
      <c r="A3004" s="16" t="s">
        <v>17</v>
      </c>
      <c r="B3004" s="16" t="s">
        <v>28</v>
      </c>
      <c r="C3004" s="17" t="s">
        <v>19</v>
      </c>
      <c r="D3004" s="18" t="s">
        <v>1679</v>
      </c>
      <c r="E3004" s="18">
        <v>20</v>
      </c>
      <c r="F3004" s="18" t="s">
        <v>78</v>
      </c>
      <c r="G3004" s="18" t="s">
        <v>22</v>
      </c>
      <c r="H3004" s="18" t="s">
        <v>23</v>
      </c>
      <c r="I3004" s="19">
        <v>15.83</v>
      </c>
      <c r="J3004" s="20">
        <f t="shared" si="92"/>
        <v>316.60000000000002</v>
      </c>
      <c r="K3004" s="106"/>
      <c r="L3004" s="114"/>
      <c r="M3004" s="114">
        <f>tblAquisições[[#This Row],[VALOR UNITARIO COMPRADO]]*tblAquisições[[#This Row],[QUANTIDADE COMPRADA]]</f>
        <v>0</v>
      </c>
      <c r="N3004" s="110">
        <f>K3004-tblAquisições[[#This Row],[QUANTIDADE PLANEJADA]]</f>
        <v>-20</v>
      </c>
      <c r="O3004" s="106" t="str">
        <f t="shared" si="93"/>
        <v>Faltando Comprar</v>
      </c>
    </row>
    <row r="3005" spans="1:15" ht="47.25">
      <c r="A3005" s="16" t="s">
        <v>17</v>
      </c>
      <c r="B3005" s="16" t="s">
        <v>72</v>
      </c>
      <c r="C3005" s="17" t="s">
        <v>19</v>
      </c>
      <c r="D3005" s="18" t="s">
        <v>1679</v>
      </c>
      <c r="E3005" s="18">
        <v>10</v>
      </c>
      <c r="F3005" s="18" t="s">
        <v>78</v>
      </c>
      <c r="G3005" s="18" t="s">
        <v>22</v>
      </c>
      <c r="H3005" s="18" t="s">
        <v>23</v>
      </c>
      <c r="I3005" s="19">
        <v>15.83</v>
      </c>
      <c r="J3005" s="20">
        <f t="shared" si="92"/>
        <v>158.30000000000001</v>
      </c>
      <c r="K3005" s="106"/>
      <c r="L3005" s="114"/>
      <c r="M3005" s="114">
        <f>tblAquisições[[#This Row],[VALOR UNITARIO COMPRADO]]*tblAquisições[[#This Row],[QUANTIDADE COMPRADA]]</f>
        <v>0</v>
      </c>
      <c r="N3005" s="110">
        <f>K3005-tblAquisições[[#This Row],[QUANTIDADE PLANEJADA]]</f>
        <v>-10</v>
      </c>
      <c r="O3005" s="106" t="str">
        <f t="shared" si="93"/>
        <v>Faltando Comprar</v>
      </c>
    </row>
    <row r="3006" spans="1:15" ht="47.25">
      <c r="A3006" s="16" t="s">
        <v>17</v>
      </c>
      <c r="B3006" s="16" t="s">
        <v>80</v>
      </c>
      <c r="C3006" s="17" t="s">
        <v>19</v>
      </c>
      <c r="D3006" s="18" t="s">
        <v>1680</v>
      </c>
      <c r="E3006" s="18">
        <v>2</v>
      </c>
      <c r="F3006" s="18" t="s">
        <v>147</v>
      </c>
      <c r="G3006" s="18" t="s">
        <v>39</v>
      </c>
      <c r="H3006" s="21"/>
      <c r="I3006" s="19">
        <v>6.76</v>
      </c>
      <c r="J3006" s="20">
        <f t="shared" si="92"/>
        <v>13.52</v>
      </c>
      <c r="K3006" s="106"/>
      <c r="L3006" s="114"/>
      <c r="M3006" s="114">
        <f>tblAquisições[[#This Row],[VALOR UNITARIO COMPRADO]]*tblAquisições[[#This Row],[QUANTIDADE COMPRADA]]</f>
        <v>0</v>
      </c>
      <c r="N3006" s="110">
        <f>K3006-tblAquisições[[#This Row],[QUANTIDADE PLANEJADA]]</f>
        <v>-2</v>
      </c>
      <c r="O3006" s="106" t="str">
        <f t="shared" si="93"/>
        <v>Faltando Comprar</v>
      </c>
    </row>
    <row r="3007" spans="1:15" ht="47.25">
      <c r="A3007" s="16" t="s">
        <v>17</v>
      </c>
      <c r="B3007" s="16" t="s">
        <v>25</v>
      </c>
      <c r="C3007" s="17" t="s">
        <v>19</v>
      </c>
      <c r="D3007" s="18" t="s">
        <v>1681</v>
      </c>
      <c r="E3007" s="18">
        <v>5</v>
      </c>
      <c r="F3007" s="18" t="s">
        <v>78</v>
      </c>
      <c r="G3007" s="18" t="s">
        <v>22</v>
      </c>
      <c r="H3007" s="18" t="s">
        <v>23</v>
      </c>
      <c r="I3007" s="19">
        <v>6.76</v>
      </c>
      <c r="J3007" s="20">
        <f t="shared" si="92"/>
        <v>33.799999999999997</v>
      </c>
      <c r="K3007" s="106"/>
      <c r="L3007" s="114"/>
      <c r="M3007" s="114">
        <f>tblAquisições[[#This Row],[VALOR UNITARIO COMPRADO]]*tblAquisições[[#This Row],[QUANTIDADE COMPRADA]]</f>
        <v>0</v>
      </c>
      <c r="N3007" s="110">
        <f>K3007-tblAquisições[[#This Row],[QUANTIDADE PLANEJADA]]</f>
        <v>-5</v>
      </c>
      <c r="O3007" s="106" t="str">
        <f t="shared" si="93"/>
        <v>Faltando Comprar</v>
      </c>
    </row>
    <row r="3008" spans="1:15" ht="47.25">
      <c r="A3008" s="16" t="s">
        <v>17</v>
      </c>
      <c r="B3008" s="16" t="s">
        <v>27</v>
      </c>
      <c r="C3008" s="17" t="s">
        <v>19</v>
      </c>
      <c r="D3008" s="18" t="s">
        <v>1681</v>
      </c>
      <c r="E3008" s="18">
        <v>4</v>
      </c>
      <c r="F3008" s="18" t="s">
        <v>78</v>
      </c>
      <c r="G3008" s="18" t="s">
        <v>22</v>
      </c>
      <c r="H3008" s="18" t="s">
        <v>23</v>
      </c>
      <c r="I3008" s="19">
        <v>6.76</v>
      </c>
      <c r="J3008" s="20">
        <f t="shared" si="92"/>
        <v>27.04</v>
      </c>
      <c r="K3008" s="106"/>
      <c r="L3008" s="114"/>
      <c r="M3008" s="114">
        <f>tblAquisições[[#This Row],[VALOR UNITARIO COMPRADO]]*tblAquisições[[#This Row],[QUANTIDADE COMPRADA]]</f>
        <v>0</v>
      </c>
      <c r="N3008" s="110">
        <f>K3008-tblAquisições[[#This Row],[QUANTIDADE PLANEJADA]]</f>
        <v>-4</v>
      </c>
      <c r="O3008" s="106" t="str">
        <f t="shared" si="93"/>
        <v>Faltando Comprar</v>
      </c>
    </row>
    <row r="3009" spans="1:15" ht="47.25">
      <c r="A3009" s="16" t="s">
        <v>17</v>
      </c>
      <c r="B3009" s="16" t="s">
        <v>80</v>
      </c>
      <c r="C3009" s="17" t="s">
        <v>19</v>
      </c>
      <c r="D3009" s="18" t="s">
        <v>1682</v>
      </c>
      <c r="E3009" s="18">
        <v>2</v>
      </c>
      <c r="F3009" s="18" t="s">
        <v>147</v>
      </c>
      <c r="G3009" s="18" t="s">
        <v>39</v>
      </c>
      <c r="H3009" s="21"/>
      <c r="I3009" s="19">
        <v>10.31</v>
      </c>
      <c r="J3009" s="20">
        <f t="shared" si="92"/>
        <v>20.62</v>
      </c>
      <c r="K3009" s="106"/>
      <c r="L3009" s="114"/>
      <c r="M3009" s="114">
        <f>tblAquisições[[#This Row],[VALOR UNITARIO COMPRADO]]*tblAquisições[[#This Row],[QUANTIDADE COMPRADA]]</f>
        <v>0</v>
      </c>
      <c r="N3009" s="110">
        <f>K3009-tblAquisições[[#This Row],[QUANTIDADE PLANEJADA]]</f>
        <v>-2</v>
      </c>
      <c r="O3009" s="106" t="str">
        <f t="shared" si="93"/>
        <v>Faltando Comprar</v>
      </c>
    </row>
    <row r="3010" spans="1:15" ht="47.25">
      <c r="A3010" s="16" t="s">
        <v>17</v>
      </c>
      <c r="B3010" s="16" t="s">
        <v>18</v>
      </c>
      <c r="C3010" s="17" t="s">
        <v>19</v>
      </c>
      <c r="D3010" s="18" t="s">
        <v>1683</v>
      </c>
      <c r="E3010" s="18">
        <v>5</v>
      </c>
      <c r="F3010" s="18" t="s">
        <v>78</v>
      </c>
      <c r="G3010" s="18" t="s">
        <v>22</v>
      </c>
      <c r="H3010" s="18" t="s">
        <v>23</v>
      </c>
      <c r="I3010" s="19">
        <v>10.31</v>
      </c>
      <c r="J3010" s="20">
        <f t="shared" ref="J3010:J3073" si="94">E3010*I3010</f>
        <v>51.550000000000004</v>
      </c>
      <c r="K3010" s="106"/>
      <c r="L3010" s="114"/>
      <c r="M3010" s="114">
        <f>tblAquisições[[#This Row],[VALOR UNITARIO COMPRADO]]*tblAquisições[[#This Row],[QUANTIDADE COMPRADA]]</f>
        <v>0</v>
      </c>
      <c r="N3010" s="110">
        <f>K3010-tblAquisições[[#This Row],[QUANTIDADE PLANEJADA]]</f>
        <v>-5</v>
      </c>
      <c r="O3010" s="106" t="str">
        <f t="shared" ref="O3010:O3073" si="95">IF(K3010=E3010,"OK",IF(K3010&lt;E3010,"Faltando Comprar","Excedente"))</f>
        <v>Faltando Comprar</v>
      </c>
    </row>
    <row r="3011" spans="1:15" ht="47.25">
      <c r="A3011" s="16" t="s">
        <v>17</v>
      </c>
      <c r="B3011" s="16" t="s">
        <v>24</v>
      </c>
      <c r="C3011" s="17" t="s">
        <v>19</v>
      </c>
      <c r="D3011" s="18" t="s">
        <v>1683</v>
      </c>
      <c r="E3011" s="18">
        <v>5</v>
      </c>
      <c r="F3011" s="18" t="s">
        <v>78</v>
      </c>
      <c r="G3011" s="18" t="s">
        <v>22</v>
      </c>
      <c r="H3011" s="18" t="s">
        <v>23</v>
      </c>
      <c r="I3011" s="19">
        <v>10.31</v>
      </c>
      <c r="J3011" s="20">
        <f t="shared" si="94"/>
        <v>51.550000000000004</v>
      </c>
      <c r="K3011" s="106"/>
      <c r="L3011" s="114"/>
      <c r="M3011" s="114">
        <f>tblAquisições[[#This Row],[VALOR UNITARIO COMPRADO]]*tblAquisições[[#This Row],[QUANTIDADE COMPRADA]]</f>
        <v>0</v>
      </c>
      <c r="N3011" s="110">
        <f>K3011-tblAquisições[[#This Row],[QUANTIDADE PLANEJADA]]</f>
        <v>-5</v>
      </c>
      <c r="O3011" s="106" t="str">
        <f t="shared" si="95"/>
        <v>Faltando Comprar</v>
      </c>
    </row>
    <row r="3012" spans="1:15" ht="47.25">
      <c r="A3012" s="16" t="s">
        <v>17</v>
      </c>
      <c r="B3012" s="16" t="s">
        <v>25</v>
      </c>
      <c r="C3012" s="17" t="s">
        <v>19</v>
      </c>
      <c r="D3012" s="18" t="s">
        <v>1683</v>
      </c>
      <c r="E3012" s="18">
        <v>5</v>
      </c>
      <c r="F3012" s="18" t="s">
        <v>78</v>
      </c>
      <c r="G3012" s="18" t="s">
        <v>22</v>
      </c>
      <c r="H3012" s="18" t="s">
        <v>23</v>
      </c>
      <c r="I3012" s="19">
        <v>10.31</v>
      </c>
      <c r="J3012" s="20">
        <f t="shared" si="94"/>
        <v>51.550000000000004</v>
      </c>
      <c r="K3012" s="106"/>
      <c r="L3012" s="114"/>
      <c r="M3012" s="114">
        <f>tblAquisições[[#This Row],[VALOR UNITARIO COMPRADO]]*tblAquisições[[#This Row],[QUANTIDADE COMPRADA]]</f>
        <v>0</v>
      </c>
      <c r="N3012" s="110">
        <f>K3012-tblAquisições[[#This Row],[QUANTIDADE PLANEJADA]]</f>
        <v>-5</v>
      </c>
      <c r="O3012" s="106" t="str">
        <f t="shared" si="95"/>
        <v>Faltando Comprar</v>
      </c>
    </row>
    <row r="3013" spans="1:15" ht="47.25">
      <c r="A3013" s="16" t="s">
        <v>17</v>
      </c>
      <c r="B3013" s="16" t="s">
        <v>27</v>
      </c>
      <c r="C3013" s="17" t="s">
        <v>19</v>
      </c>
      <c r="D3013" s="18" t="s">
        <v>1683</v>
      </c>
      <c r="E3013" s="18">
        <v>5</v>
      </c>
      <c r="F3013" s="18" t="s">
        <v>78</v>
      </c>
      <c r="G3013" s="18" t="s">
        <v>22</v>
      </c>
      <c r="H3013" s="18" t="s">
        <v>23</v>
      </c>
      <c r="I3013" s="19">
        <v>10.31</v>
      </c>
      <c r="J3013" s="20">
        <f t="shared" si="94"/>
        <v>51.550000000000004</v>
      </c>
      <c r="K3013" s="106"/>
      <c r="L3013" s="114"/>
      <c r="M3013" s="114">
        <f>tblAquisições[[#This Row],[VALOR UNITARIO COMPRADO]]*tblAquisições[[#This Row],[QUANTIDADE COMPRADA]]</f>
        <v>0</v>
      </c>
      <c r="N3013" s="110">
        <f>K3013-tblAquisições[[#This Row],[QUANTIDADE PLANEJADA]]</f>
        <v>-5</v>
      </c>
      <c r="O3013" s="106" t="str">
        <f t="shared" si="95"/>
        <v>Faltando Comprar</v>
      </c>
    </row>
    <row r="3014" spans="1:15" ht="31.5">
      <c r="A3014" s="16" t="s">
        <v>17</v>
      </c>
      <c r="B3014" s="16" t="s">
        <v>28</v>
      </c>
      <c r="C3014" s="17" t="s">
        <v>19</v>
      </c>
      <c r="D3014" s="18" t="s">
        <v>1684</v>
      </c>
      <c r="E3014" s="18">
        <v>4</v>
      </c>
      <c r="F3014" s="18" t="s">
        <v>21</v>
      </c>
      <c r="G3014" s="18" t="s">
        <v>22</v>
      </c>
      <c r="H3014" s="18" t="s">
        <v>23</v>
      </c>
      <c r="I3014" s="19">
        <v>93.39</v>
      </c>
      <c r="J3014" s="20">
        <f t="shared" si="94"/>
        <v>373.56</v>
      </c>
      <c r="K3014" s="106"/>
      <c r="L3014" s="114"/>
      <c r="M3014" s="114">
        <f>tblAquisições[[#This Row],[VALOR UNITARIO COMPRADO]]*tblAquisições[[#This Row],[QUANTIDADE COMPRADA]]</f>
        <v>0</v>
      </c>
      <c r="N3014" s="110">
        <f>K3014-tblAquisições[[#This Row],[QUANTIDADE PLANEJADA]]</f>
        <v>-4</v>
      </c>
      <c r="O3014" s="106" t="str">
        <f t="shared" si="95"/>
        <v>Faltando Comprar</v>
      </c>
    </row>
    <row r="3015" spans="1:15" ht="31.5">
      <c r="A3015" s="16" t="s">
        <v>17</v>
      </c>
      <c r="B3015" s="16" t="s">
        <v>18</v>
      </c>
      <c r="C3015" s="17" t="s">
        <v>19</v>
      </c>
      <c r="D3015" s="18" t="s">
        <v>1685</v>
      </c>
      <c r="E3015" s="18">
        <v>200</v>
      </c>
      <c r="F3015" s="18" t="s">
        <v>30</v>
      </c>
      <c r="G3015" s="18" t="s">
        <v>22</v>
      </c>
      <c r="H3015" s="18" t="s">
        <v>23</v>
      </c>
      <c r="I3015" s="19">
        <v>3.21</v>
      </c>
      <c r="J3015" s="20">
        <f t="shared" si="94"/>
        <v>642</v>
      </c>
      <c r="K3015" s="106"/>
      <c r="L3015" s="114"/>
      <c r="M3015" s="114">
        <f>tblAquisições[[#This Row],[VALOR UNITARIO COMPRADO]]*tblAquisições[[#This Row],[QUANTIDADE COMPRADA]]</f>
        <v>0</v>
      </c>
      <c r="N3015" s="110">
        <f>K3015-tblAquisições[[#This Row],[QUANTIDADE PLANEJADA]]</f>
        <v>-200</v>
      </c>
      <c r="O3015" s="106" t="str">
        <f t="shared" si="95"/>
        <v>Faltando Comprar</v>
      </c>
    </row>
    <row r="3016" spans="1:15" ht="31.5">
      <c r="A3016" s="16" t="s">
        <v>17</v>
      </c>
      <c r="B3016" s="16" t="s">
        <v>24</v>
      </c>
      <c r="C3016" s="17" t="s">
        <v>19</v>
      </c>
      <c r="D3016" s="18" t="s">
        <v>1685</v>
      </c>
      <c r="E3016" s="18">
        <v>200</v>
      </c>
      <c r="F3016" s="18" t="s">
        <v>30</v>
      </c>
      <c r="G3016" s="18" t="s">
        <v>22</v>
      </c>
      <c r="H3016" s="18" t="s">
        <v>23</v>
      </c>
      <c r="I3016" s="19">
        <v>3.21</v>
      </c>
      <c r="J3016" s="20">
        <f t="shared" si="94"/>
        <v>642</v>
      </c>
      <c r="K3016" s="106"/>
      <c r="L3016" s="114"/>
      <c r="M3016" s="114">
        <f>tblAquisições[[#This Row],[VALOR UNITARIO COMPRADO]]*tblAquisições[[#This Row],[QUANTIDADE COMPRADA]]</f>
        <v>0</v>
      </c>
      <c r="N3016" s="110">
        <f>K3016-tblAquisições[[#This Row],[QUANTIDADE PLANEJADA]]</f>
        <v>-200</v>
      </c>
      <c r="O3016" s="106" t="str">
        <f t="shared" si="95"/>
        <v>Faltando Comprar</v>
      </c>
    </row>
    <row r="3017" spans="1:15" ht="31.5">
      <c r="A3017" s="16" t="s">
        <v>17</v>
      </c>
      <c r="B3017" s="16" t="s">
        <v>25</v>
      </c>
      <c r="C3017" s="17" t="s">
        <v>19</v>
      </c>
      <c r="D3017" s="18" t="s">
        <v>1685</v>
      </c>
      <c r="E3017" s="18">
        <v>200</v>
      </c>
      <c r="F3017" s="18" t="s">
        <v>30</v>
      </c>
      <c r="G3017" s="18" t="s">
        <v>22</v>
      </c>
      <c r="H3017" s="18" t="s">
        <v>23</v>
      </c>
      <c r="I3017" s="19">
        <v>3.21</v>
      </c>
      <c r="J3017" s="20">
        <f t="shared" si="94"/>
        <v>642</v>
      </c>
      <c r="K3017" s="106"/>
      <c r="L3017" s="114"/>
      <c r="M3017" s="114">
        <f>tblAquisições[[#This Row],[VALOR UNITARIO COMPRADO]]*tblAquisições[[#This Row],[QUANTIDADE COMPRADA]]</f>
        <v>0</v>
      </c>
      <c r="N3017" s="110">
        <f>K3017-tblAquisições[[#This Row],[QUANTIDADE PLANEJADA]]</f>
        <v>-200</v>
      </c>
      <c r="O3017" s="106" t="str">
        <f t="shared" si="95"/>
        <v>Faltando Comprar</v>
      </c>
    </row>
    <row r="3018" spans="1:15" ht="31.5">
      <c r="A3018" s="16" t="s">
        <v>17</v>
      </c>
      <c r="B3018" s="16" t="s">
        <v>27</v>
      </c>
      <c r="C3018" s="17" t="s">
        <v>19</v>
      </c>
      <c r="D3018" s="18" t="s">
        <v>1685</v>
      </c>
      <c r="E3018" s="18">
        <v>200</v>
      </c>
      <c r="F3018" s="18" t="s">
        <v>30</v>
      </c>
      <c r="G3018" s="18" t="s">
        <v>22</v>
      </c>
      <c r="H3018" s="18" t="s">
        <v>23</v>
      </c>
      <c r="I3018" s="19">
        <v>3.21</v>
      </c>
      <c r="J3018" s="20">
        <f t="shared" si="94"/>
        <v>642</v>
      </c>
      <c r="K3018" s="106"/>
      <c r="L3018" s="114"/>
      <c r="M3018" s="114">
        <f>tblAquisições[[#This Row],[VALOR UNITARIO COMPRADO]]*tblAquisições[[#This Row],[QUANTIDADE COMPRADA]]</f>
        <v>0</v>
      </c>
      <c r="N3018" s="110">
        <f>K3018-tblAquisições[[#This Row],[QUANTIDADE PLANEJADA]]</f>
        <v>-200</v>
      </c>
      <c r="O3018" s="106" t="str">
        <f t="shared" si="95"/>
        <v>Faltando Comprar</v>
      </c>
    </row>
    <row r="3019" spans="1:15" ht="31.5">
      <c r="A3019" s="16" t="s">
        <v>17</v>
      </c>
      <c r="B3019" s="16" t="s">
        <v>18</v>
      </c>
      <c r="C3019" s="17" t="s">
        <v>19</v>
      </c>
      <c r="D3019" s="18" t="s">
        <v>1686</v>
      </c>
      <c r="E3019" s="18">
        <v>200</v>
      </c>
      <c r="F3019" s="18" t="s">
        <v>30</v>
      </c>
      <c r="G3019" s="18" t="s">
        <v>22</v>
      </c>
      <c r="H3019" s="18" t="s">
        <v>23</v>
      </c>
      <c r="I3019" s="19">
        <v>4.49</v>
      </c>
      <c r="J3019" s="20">
        <f t="shared" si="94"/>
        <v>898</v>
      </c>
      <c r="K3019" s="106"/>
      <c r="L3019" s="114"/>
      <c r="M3019" s="114">
        <f>tblAquisições[[#This Row],[VALOR UNITARIO COMPRADO]]*tblAquisições[[#This Row],[QUANTIDADE COMPRADA]]</f>
        <v>0</v>
      </c>
      <c r="N3019" s="110">
        <f>K3019-tblAquisições[[#This Row],[QUANTIDADE PLANEJADA]]</f>
        <v>-200</v>
      </c>
      <c r="O3019" s="106" t="str">
        <f t="shared" si="95"/>
        <v>Faltando Comprar</v>
      </c>
    </row>
    <row r="3020" spans="1:15" ht="31.5">
      <c r="A3020" s="16" t="s">
        <v>17</v>
      </c>
      <c r="B3020" s="16" t="s">
        <v>24</v>
      </c>
      <c r="C3020" s="17" t="s">
        <v>19</v>
      </c>
      <c r="D3020" s="18" t="s">
        <v>1686</v>
      </c>
      <c r="E3020" s="18">
        <v>200</v>
      </c>
      <c r="F3020" s="18" t="s">
        <v>30</v>
      </c>
      <c r="G3020" s="18" t="s">
        <v>22</v>
      </c>
      <c r="H3020" s="18" t="s">
        <v>23</v>
      </c>
      <c r="I3020" s="19">
        <v>4.49</v>
      </c>
      <c r="J3020" s="20">
        <f t="shared" si="94"/>
        <v>898</v>
      </c>
      <c r="K3020" s="106"/>
      <c r="L3020" s="114"/>
      <c r="M3020" s="114">
        <f>tblAquisições[[#This Row],[VALOR UNITARIO COMPRADO]]*tblAquisições[[#This Row],[QUANTIDADE COMPRADA]]</f>
        <v>0</v>
      </c>
      <c r="N3020" s="110">
        <f>K3020-tblAquisições[[#This Row],[QUANTIDADE PLANEJADA]]</f>
        <v>-200</v>
      </c>
      <c r="O3020" s="106" t="str">
        <f t="shared" si="95"/>
        <v>Faltando Comprar</v>
      </c>
    </row>
    <row r="3021" spans="1:15" ht="31.5">
      <c r="A3021" s="16" t="s">
        <v>17</v>
      </c>
      <c r="B3021" s="16" t="s">
        <v>25</v>
      </c>
      <c r="C3021" s="17" t="s">
        <v>19</v>
      </c>
      <c r="D3021" s="18" t="s">
        <v>1686</v>
      </c>
      <c r="E3021" s="18">
        <v>200</v>
      </c>
      <c r="F3021" s="18" t="s">
        <v>30</v>
      </c>
      <c r="G3021" s="18" t="s">
        <v>22</v>
      </c>
      <c r="H3021" s="18" t="s">
        <v>23</v>
      </c>
      <c r="I3021" s="19">
        <v>4.49</v>
      </c>
      <c r="J3021" s="20">
        <f t="shared" si="94"/>
        <v>898</v>
      </c>
      <c r="K3021" s="106"/>
      <c r="L3021" s="114"/>
      <c r="M3021" s="114">
        <f>tblAquisições[[#This Row],[VALOR UNITARIO COMPRADO]]*tblAquisições[[#This Row],[QUANTIDADE COMPRADA]]</f>
        <v>0</v>
      </c>
      <c r="N3021" s="110">
        <f>K3021-tblAquisições[[#This Row],[QUANTIDADE PLANEJADA]]</f>
        <v>-200</v>
      </c>
      <c r="O3021" s="106" t="str">
        <f t="shared" si="95"/>
        <v>Faltando Comprar</v>
      </c>
    </row>
    <row r="3022" spans="1:15" ht="31.5">
      <c r="A3022" s="16" t="s">
        <v>17</v>
      </c>
      <c r="B3022" s="16" t="s">
        <v>27</v>
      </c>
      <c r="C3022" s="17" t="s">
        <v>19</v>
      </c>
      <c r="D3022" s="18" t="s">
        <v>1686</v>
      </c>
      <c r="E3022" s="18">
        <v>200</v>
      </c>
      <c r="F3022" s="18" t="s">
        <v>30</v>
      </c>
      <c r="G3022" s="18" t="s">
        <v>22</v>
      </c>
      <c r="H3022" s="18" t="s">
        <v>23</v>
      </c>
      <c r="I3022" s="19">
        <v>4.49</v>
      </c>
      <c r="J3022" s="20">
        <f t="shared" si="94"/>
        <v>898</v>
      </c>
      <c r="K3022" s="106"/>
      <c r="L3022" s="114"/>
      <c r="M3022" s="114">
        <f>tblAquisições[[#This Row],[VALOR UNITARIO COMPRADO]]*tblAquisições[[#This Row],[QUANTIDADE COMPRADA]]</f>
        <v>0</v>
      </c>
      <c r="N3022" s="110">
        <f>K3022-tblAquisições[[#This Row],[QUANTIDADE PLANEJADA]]</f>
        <v>-200</v>
      </c>
      <c r="O3022" s="106" t="str">
        <f t="shared" si="95"/>
        <v>Faltando Comprar</v>
      </c>
    </row>
    <row r="3023" spans="1:15" ht="31.5">
      <c r="A3023" s="16" t="s">
        <v>17</v>
      </c>
      <c r="B3023" s="16" t="s">
        <v>18</v>
      </c>
      <c r="C3023" s="17" t="s">
        <v>19</v>
      </c>
      <c r="D3023" s="18" t="s">
        <v>1687</v>
      </c>
      <c r="E3023" s="18">
        <v>200</v>
      </c>
      <c r="F3023" s="18" t="s">
        <v>30</v>
      </c>
      <c r="G3023" s="18" t="s">
        <v>22</v>
      </c>
      <c r="H3023" s="18" t="s">
        <v>23</v>
      </c>
      <c r="I3023" s="19">
        <v>1.69</v>
      </c>
      <c r="J3023" s="20">
        <f t="shared" si="94"/>
        <v>338</v>
      </c>
      <c r="K3023" s="106"/>
      <c r="L3023" s="114"/>
      <c r="M3023" s="114">
        <f>tblAquisições[[#This Row],[VALOR UNITARIO COMPRADO]]*tblAquisições[[#This Row],[QUANTIDADE COMPRADA]]</f>
        <v>0</v>
      </c>
      <c r="N3023" s="110">
        <f>K3023-tblAquisições[[#This Row],[QUANTIDADE PLANEJADA]]</f>
        <v>-200</v>
      </c>
      <c r="O3023" s="106" t="str">
        <f t="shared" si="95"/>
        <v>Faltando Comprar</v>
      </c>
    </row>
    <row r="3024" spans="1:15" ht="31.5">
      <c r="A3024" s="16" t="s">
        <v>17</v>
      </c>
      <c r="B3024" s="16" t="s">
        <v>24</v>
      </c>
      <c r="C3024" s="17" t="s">
        <v>19</v>
      </c>
      <c r="D3024" s="18" t="s">
        <v>1687</v>
      </c>
      <c r="E3024" s="18">
        <v>200</v>
      </c>
      <c r="F3024" s="18" t="s">
        <v>30</v>
      </c>
      <c r="G3024" s="18" t="s">
        <v>22</v>
      </c>
      <c r="H3024" s="18" t="s">
        <v>23</v>
      </c>
      <c r="I3024" s="19">
        <v>1.69</v>
      </c>
      <c r="J3024" s="20">
        <f t="shared" si="94"/>
        <v>338</v>
      </c>
      <c r="K3024" s="106"/>
      <c r="L3024" s="114"/>
      <c r="M3024" s="114">
        <f>tblAquisições[[#This Row],[VALOR UNITARIO COMPRADO]]*tblAquisições[[#This Row],[QUANTIDADE COMPRADA]]</f>
        <v>0</v>
      </c>
      <c r="N3024" s="110">
        <f>K3024-tblAquisições[[#This Row],[QUANTIDADE PLANEJADA]]</f>
        <v>-200</v>
      </c>
      <c r="O3024" s="106" t="str">
        <f t="shared" si="95"/>
        <v>Faltando Comprar</v>
      </c>
    </row>
    <row r="3025" spans="1:15" ht="31.5">
      <c r="A3025" s="16" t="s">
        <v>17</v>
      </c>
      <c r="B3025" s="16" t="s">
        <v>25</v>
      </c>
      <c r="C3025" s="17" t="s">
        <v>19</v>
      </c>
      <c r="D3025" s="18" t="s">
        <v>1687</v>
      </c>
      <c r="E3025" s="18">
        <v>200</v>
      </c>
      <c r="F3025" s="18" t="s">
        <v>30</v>
      </c>
      <c r="G3025" s="18" t="s">
        <v>22</v>
      </c>
      <c r="H3025" s="18" t="s">
        <v>23</v>
      </c>
      <c r="I3025" s="19">
        <v>1.69</v>
      </c>
      <c r="J3025" s="20">
        <f t="shared" si="94"/>
        <v>338</v>
      </c>
      <c r="K3025" s="106"/>
      <c r="L3025" s="114"/>
      <c r="M3025" s="114">
        <f>tblAquisições[[#This Row],[VALOR UNITARIO COMPRADO]]*tblAquisições[[#This Row],[QUANTIDADE COMPRADA]]</f>
        <v>0</v>
      </c>
      <c r="N3025" s="110">
        <f>K3025-tblAquisições[[#This Row],[QUANTIDADE PLANEJADA]]</f>
        <v>-200</v>
      </c>
      <c r="O3025" s="106" t="str">
        <f t="shared" si="95"/>
        <v>Faltando Comprar</v>
      </c>
    </row>
    <row r="3026" spans="1:15" ht="31.5">
      <c r="A3026" s="16" t="s">
        <v>17</v>
      </c>
      <c r="B3026" s="16" t="s">
        <v>27</v>
      </c>
      <c r="C3026" s="17" t="s">
        <v>19</v>
      </c>
      <c r="D3026" s="18" t="s">
        <v>1687</v>
      </c>
      <c r="E3026" s="18">
        <v>200</v>
      </c>
      <c r="F3026" s="18" t="s">
        <v>30</v>
      </c>
      <c r="G3026" s="18" t="s">
        <v>22</v>
      </c>
      <c r="H3026" s="18" t="s">
        <v>23</v>
      </c>
      <c r="I3026" s="19">
        <v>1.69</v>
      </c>
      <c r="J3026" s="20">
        <f t="shared" si="94"/>
        <v>338</v>
      </c>
      <c r="K3026" s="106"/>
      <c r="L3026" s="114"/>
      <c r="M3026" s="114">
        <f>tblAquisições[[#This Row],[VALOR UNITARIO COMPRADO]]*tblAquisições[[#This Row],[QUANTIDADE COMPRADA]]</f>
        <v>0</v>
      </c>
      <c r="N3026" s="110">
        <f>K3026-tblAquisições[[#This Row],[QUANTIDADE PLANEJADA]]</f>
        <v>-200</v>
      </c>
      <c r="O3026" s="106" t="str">
        <f t="shared" si="95"/>
        <v>Faltando Comprar</v>
      </c>
    </row>
    <row r="3027" spans="1:15" ht="31.5">
      <c r="A3027" s="16" t="s">
        <v>17</v>
      </c>
      <c r="B3027" s="16" t="s">
        <v>18</v>
      </c>
      <c r="C3027" s="17" t="s">
        <v>19</v>
      </c>
      <c r="D3027" s="18" t="s">
        <v>1688</v>
      </c>
      <c r="E3027" s="18">
        <v>15</v>
      </c>
      <c r="F3027" s="18" t="s">
        <v>30</v>
      </c>
      <c r="G3027" s="18" t="s">
        <v>22</v>
      </c>
      <c r="H3027" s="18" t="s">
        <v>23</v>
      </c>
      <c r="I3027" s="19">
        <v>132.80000000000001</v>
      </c>
      <c r="J3027" s="20">
        <f t="shared" si="94"/>
        <v>1992.0000000000002</v>
      </c>
      <c r="K3027" s="106"/>
      <c r="L3027" s="114"/>
      <c r="M3027" s="114">
        <f>tblAquisições[[#This Row],[VALOR UNITARIO COMPRADO]]*tblAquisições[[#This Row],[QUANTIDADE COMPRADA]]</f>
        <v>0</v>
      </c>
      <c r="N3027" s="110">
        <f>K3027-tblAquisições[[#This Row],[QUANTIDADE PLANEJADA]]</f>
        <v>-15</v>
      </c>
      <c r="O3027" s="106" t="str">
        <f t="shared" si="95"/>
        <v>Faltando Comprar</v>
      </c>
    </row>
    <row r="3028" spans="1:15" ht="31.5">
      <c r="A3028" s="16" t="s">
        <v>17</v>
      </c>
      <c r="B3028" s="16" t="s">
        <v>24</v>
      </c>
      <c r="C3028" s="17" t="s">
        <v>19</v>
      </c>
      <c r="D3028" s="18" t="s">
        <v>1688</v>
      </c>
      <c r="E3028" s="18">
        <v>15</v>
      </c>
      <c r="F3028" s="18" t="s">
        <v>30</v>
      </c>
      <c r="G3028" s="18" t="s">
        <v>22</v>
      </c>
      <c r="H3028" s="18" t="s">
        <v>23</v>
      </c>
      <c r="I3028" s="19">
        <v>132.80000000000001</v>
      </c>
      <c r="J3028" s="20">
        <f t="shared" si="94"/>
        <v>1992.0000000000002</v>
      </c>
      <c r="K3028" s="106"/>
      <c r="L3028" s="114"/>
      <c r="M3028" s="114">
        <f>tblAquisições[[#This Row],[VALOR UNITARIO COMPRADO]]*tblAquisições[[#This Row],[QUANTIDADE COMPRADA]]</f>
        <v>0</v>
      </c>
      <c r="N3028" s="110">
        <f>K3028-tblAquisições[[#This Row],[QUANTIDADE PLANEJADA]]</f>
        <v>-15</v>
      </c>
      <c r="O3028" s="106" t="str">
        <f t="shared" si="95"/>
        <v>Faltando Comprar</v>
      </c>
    </row>
    <row r="3029" spans="1:15" ht="31.5">
      <c r="A3029" s="16" t="s">
        <v>17</v>
      </c>
      <c r="B3029" s="16" t="s">
        <v>25</v>
      </c>
      <c r="C3029" s="17" t="s">
        <v>19</v>
      </c>
      <c r="D3029" s="18" t="s">
        <v>1688</v>
      </c>
      <c r="E3029" s="18">
        <v>15</v>
      </c>
      <c r="F3029" s="18" t="s">
        <v>30</v>
      </c>
      <c r="G3029" s="18" t="s">
        <v>22</v>
      </c>
      <c r="H3029" s="18" t="s">
        <v>23</v>
      </c>
      <c r="I3029" s="19">
        <v>132.80000000000001</v>
      </c>
      <c r="J3029" s="20">
        <f t="shared" si="94"/>
        <v>1992.0000000000002</v>
      </c>
      <c r="K3029" s="106"/>
      <c r="L3029" s="114"/>
      <c r="M3029" s="114">
        <f>tblAquisições[[#This Row],[VALOR UNITARIO COMPRADO]]*tblAquisições[[#This Row],[QUANTIDADE COMPRADA]]</f>
        <v>0</v>
      </c>
      <c r="N3029" s="110">
        <f>K3029-tblAquisições[[#This Row],[QUANTIDADE PLANEJADA]]</f>
        <v>-15</v>
      </c>
      <c r="O3029" s="106" t="str">
        <f t="shared" si="95"/>
        <v>Faltando Comprar</v>
      </c>
    </row>
    <row r="3030" spans="1:15" ht="31.5">
      <c r="A3030" s="16" t="s">
        <v>17</v>
      </c>
      <c r="B3030" s="16" t="s">
        <v>27</v>
      </c>
      <c r="C3030" s="17" t="s">
        <v>19</v>
      </c>
      <c r="D3030" s="18" t="s">
        <v>1688</v>
      </c>
      <c r="E3030" s="18">
        <v>10</v>
      </c>
      <c r="F3030" s="18" t="s">
        <v>30</v>
      </c>
      <c r="G3030" s="18" t="s">
        <v>22</v>
      </c>
      <c r="H3030" s="18" t="s">
        <v>23</v>
      </c>
      <c r="I3030" s="19">
        <v>132.80000000000001</v>
      </c>
      <c r="J3030" s="20">
        <f t="shared" si="94"/>
        <v>1328</v>
      </c>
      <c r="K3030" s="106"/>
      <c r="L3030" s="114"/>
      <c r="M3030" s="114">
        <f>tblAquisições[[#This Row],[VALOR UNITARIO COMPRADO]]*tblAquisições[[#This Row],[QUANTIDADE COMPRADA]]</f>
        <v>0</v>
      </c>
      <c r="N3030" s="110">
        <f>K3030-tblAquisições[[#This Row],[QUANTIDADE PLANEJADA]]</f>
        <v>-10</v>
      </c>
      <c r="O3030" s="106" t="str">
        <f t="shared" si="95"/>
        <v>Faltando Comprar</v>
      </c>
    </row>
    <row r="3031" spans="1:15" ht="31.5">
      <c r="A3031" s="16" t="s">
        <v>17</v>
      </c>
      <c r="B3031" s="16" t="s">
        <v>26</v>
      </c>
      <c r="C3031" s="17" t="s">
        <v>19</v>
      </c>
      <c r="D3031" s="18" t="s">
        <v>1689</v>
      </c>
      <c r="E3031" s="18">
        <v>5</v>
      </c>
      <c r="F3031" s="18" t="s">
        <v>30</v>
      </c>
      <c r="G3031" s="18" t="s">
        <v>22</v>
      </c>
      <c r="H3031" s="18" t="s">
        <v>23</v>
      </c>
      <c r="I3031" s="19">
        <v>75.349999999999994</v>
      </c>
      <c r="J3031" s="20">
        <f t="shared" si="94"/>
        <v>376.75</v>
      </c>
      <c r="K3031" s="106"/>
      <c r="L3031" s="114"/>
      <c r="M3031" s="114">
        <f>tblAquisições[[#This Row],[VALOR UNITARIO COMPRADO]]*tblAquisições[[#This Row],[QUANTIDADE COMPRADA]]</f>
        <v>0</v>
      </c>
      <c r="N3031" s="110">
        <f>K3031-tblAquisições[[#This Row],[QUANTIDADE PLANEJADA]]</f>
        <v>-5</v>
      </c>
      <c r="O3031" s="106" t="str">
        <f t="shared" si="95"/>
        <v>Faltando Comprar</v>
      </c>
    </row>
    <row r="3032" spans="1:15" ht="31.5">
      <c r="A3032" s="16" t="s">
        <v>17</v>
      </c>
      <c r="B3032" s="16" t="s">
        <v>26</v>
      </c>
      <c r="C3032" s="17" t="s">
        <v>19</v>
      </c>
      <c r="D3032" s="18" t="s">
        <v>1690</v>
      </c>
      <c r="E3032" s="18">
        <v>6</v>
      </c>
      <c r="F3032" s="18" t="s">
        <v>30</v>
      </c>
      <c r="G3032" s="18" t="s">
        <v>22</v>
      </c>
      <c r="H3032" s="18" t="s">
        <v>23</v>
      </c>
      <c r="I3032" s="19">
        <v>67.069999999999993</v>
      </c>
      <c r="J3032" s="20">
        <f t="shared" si="94"/>
        <v>402.41999999999996</v>
      </c>
      <c r="K3032" s="106"/>
      <c r="L3032" s="114"/>
      <c r="M3032" s="114">
        <f>tblAquisições[[#This Row],[VALOR UNITARIO COMPRADO]]*tblAquisições[[#This Row],[QUANTIDADE COMPRADA]]</f>
        <v>0</v>
      </c>
      <c r="N3032" s="110">
        <f>K3032-tblAquisições[[#This Row],[QUANTIDADE PLANEJADA]]</f>
        <v>-6</v>
      </c>
      <c r="O3032" s="106" t="str">
        <f t="shared" si="95"/>
        <v>Faltando Comprar</v>
      </c>
    </row>
    <row r="3033" spans="1:15" ht="47.25">
      <c r="A3033" s="16" t="s">
        <v>17</v>
      </c>
      <c r="B3033" s="16" t="s">
        <v>41</v>
      </c>
      <c r="C3033" s="17" t="s">
        <v>19</v>
      </c>
      <c r="D3033" s="18" t="s">
        <v>1691</v>
      </c>
      <c r="E3033" s="18">
        <v>30</v>
      </c>
      <c r="F3033" s="18" t="s">
        <v>214</v>
      </c>
      <c r="G3033" s="18" t="s">
        <v>127</v>
      </c>
      <c r="H3033" s="18" t="s">
        <v>23</v>
      </c>
      <c r="I3033" s="19">
        <v>365.04</v>
      </c>
      <c r="J3033" s="20">
        <f t="shared" si="94"/>
        <v>10951.2</v>
      </c>
      <c r="K3033" s="106"/>
      <c r="L3033" s="114"/>
      <c r="M3033" s="114">
        <f>tblAquisições[[#This Row],[VALOR UNITARIO COMPRADO]]*tblAquisições[[#This Row],[QUANTIDADE COMPRADA]]</f>
        <v>0</v>
      </c>
      <c r="N3033" s="110">
        <f>K3033-tblAquisições[[#This Row],[QUANTIDADE PLANEJADA]]</f>
        <v>-30</v>
      </c>
      <c r="O3033" s="106" t="str">
        <f t="shared" si="95"/>
        <v>Faltando Comprar</v>
      </c>
    </row>
    <row r="3034" spans="1:15" ht="47.25">
      <c r="A3034" s="16" t="s">
        <v>17</v>
      </c>
      <c r="B3034" s="16" t="s">
        <v>26</v>
      </c>
      <c r="C3034" s="17" t="s">
        <v>19</v>
      </c>
      <c r="D3034" s="18" t="s">
        <v>1692</v>
      </c>
      <c r="E3034" s="18">
        <v>5</v>
      </c>
      <c r="F3034" s="18" t="s">
        <v>58</v>
      </c>
      <c r="G3034" s="18" t="s">
        <v>22</v>
      </c>
      <c r="H3034" s="18" t="s">
        <v>23</v>
      </c>
      <c r="I3034" s="19">
        <v>17.38</v>
      </c>
      <c r="J3034" s="20">
        <f t="shared" si="94"/>
        <v>86.899999999999991</v>
      </c>
      <c r="K3034" s="106"/>
      <c r="L3034" s="114"/>
      <c r="M3034" s="114">
        <f>tblAquisições[[#This Row],[VALOR UNITARIO COMPRADO]]*tblAquisições[[#This Row],[QUANTIDADE COMPRADA]]</f>
        <v>0</v>
      </c>
      <c r="N3034" s="110">
        <f>K3034-tblAquisições[[#This Row],[QUANTIDADE PLANEJADA]]</f>
        <v>-5</v>
      </c>
      <c r="O3034" s="106" t="str">
        <f t="shared" si="95"/>
        <v>Faltando Comprar</v>
      </c>
    </row>
    <row r="3035" spans="1:15" ht="47.25">
      <c r="A3035" s="16" t="s">
        <v>17</v>
      </c>
      <c r="B3035" s="16" t="s">
        <v>28</v>
      </c>
      <c r="C3035" s="17" t="s">
        <v>19</v>
      </c>
      <c r="D3035" s="18" t="s">
        <v>1692</v>
      </c>
      <c r="E3035" s="18">
        <v>10</v>
      </c>
      <c r="F3035" s="18" t="s">
        <v>58</v>
      </c>
      <c r="G3035" s="18" t="s">
        <v>22</v>
      </c>
      <c r="H3035" s="18" t="s">
        <v>23</v>
      </c>
      <c r="I3035" s="19">
        <v>17.38</v>
      </c>
      <c r="J3035" s="20">
        <f t="shared" si="94"/>
        <v>173.79999999999998</v>
      </c>
      <c r="K3035" s="106"/>
      <c r="L3035" s="114"/>
      <c r="M3035" s="114">
        <f>tblAquisições[[#This Row],[VALOR UNITARIO COMPRADO]]*tblAquisições[[#This Row],[QUANTIDADE COMPRADA]]</f>
        <v>0</v>
      </c>
      <c r="N3035" s="110">
        <f>K3035-tblAquisições[[#This Row],[QUANTIDADE PLANEJADA]]</f>
        <v>-10</v>
      </c>
      <c r="O3035" s="106" t="str">
        <f t="shared" si="95"/>
        <v>Faltando Comprar</v>
      </c>
    </row>
    <row r="3036" spans="1:15" ht="47.25">
      <c r="A3036" s="16" t="s">
        <v>17</v>
      </c>
      <c r="B3036" s="16" t="s">
        <v>41</v>
      </c>
      <c r="C3036" s="17" t="s">
        <v>19</v>
      </c>
      <c r="D3036" s="18" t="s">
        <v>1693</v>
      </c>
      <c r="E3036" s="18">
        <v>30</v>
      </c>
      <c r="F3036" s="18" t="s">
        <v>214</v>
      </c>
      <c r="G3036" s="18" t="s">
        <v>127</v>
      </c>
      <c r="H3036" s="18" t="s">
        <v>23</v>
      </c>
      <c r="I3036" s="19">
        <v>239.46</v>
      </c>
      <c r="J3036" s="20">
        <f t="shared" si="94"/>
        <v>7183.8</v>
      </c>
      <c r="K3036" s="106"/>
      <c r="L3036" s="114"/>
      <c r="M3036" s="114">
        <f>tblAquisições[[#This Row],[VALOR UNITARIO COMPRADO]]*tblAquisições[[#This Row],[QUANTIDADE COMPRADA]]</f>
        <v>0</v>
      </c>
      <c r="N3036" s="110">
        <f>K3036-tblAquisições[[#This Row],[QUANTIDADE PLANEJADA]]</f>
        <v>-30</v>
      </c>
      <c r="O3036" s="106" t="str">
        <f t="shared" si="95"/>
        <v>Faltando Comprar</v>
      </c>
    </row>
    <row r="3037" spans="1:15" ht="63">
      <c r="A3037" s="16" t="s">
        <v>17</v>
      </c>
      <c r="B3037" s="16" t="s">
        <v>72</v>
      </c>
      <c r="C3037" s="17" t="s">
        <v>19</v>
      </c>
      <c r="D3037" s="18" t="s">
        <v>1694</v>
      </c>
      <c r="E3037" s="18">
        <v>12</v>
      </c>
      <c r="F3037" s="18" t="s">
        <v>1335</v>
      </c>
      <c r="G3037" s="18" t="s">
        <v>22</v>
      </c>
      <c r="H3037" s="18" t="s">
        <v>23</v>
      </c>
      <c r="I3037" s="19">
        <v>370</v>
      </c>
      <c r="J3037" s="20">
        <f t="shared" si="94"/>
        <v>4440</v>
      </c>
      <c r="K3037" s="106"/>
      <c r="L3037" s="114"/>
      <c r="M3037" s="114">
        <f>tblAquisições[[#This Row],[VALOR UNITARIO COMPRADO]]*tblAquisições[[#This Row],[QUANTIDADE COMPRADA]]</f>
        <v>0</v>
      </c>
      <c r="N3037" s="110">
        <f>K3037-tblAquisições[[#This Row],[QUANTIDADE PLANEJADA]]</f>
        <v>-12</v>
      </c>
      <c r="O3037" s="106" t="str">
        <f t="shared" si="95"/>
        <v>Faltando Comprar</v>
      </c>
    </row>
    <row r="3038" spans="1:15" ht="47.25">
      <c r="A3038" s="16" t="s">
        <v>17</v>
      </c>
      <c r="B3038" s="16" t="s">
        <v>28</v>
      </c>
      <c r="C3038" s="17" t="s">
        <v>19</v>
      </c>
      <c r="D3038" s="18" t="s">
        <v>1695</v>
      </c>
      <c r="E3038" s="18">
        <v>15</v>
      </c>
      <c r="F3038" s="18" t="s">
        <v>78</v>
      </c>
      <c r="G3038" s="18" t="s">
        <v>22</v>
      </c>
      <c r="H3038" s="18" t="s">
        <v>23</v>
      </c>
      <c r="I3038" s="19">
        <v>69.400000000000006</v>
      </c>
      <c r="J3038" s="20">
        <f t="shared" si="94"/>
        <v>1041</v>
      </c>
      <c r="K3038" s="106"/>
      <c r="L3038" s="114"/>
      <c r="M3038" s="114">
        <f>tblAquisições[[#This Row],[VALOR UNITARIO COMPRADO]]*tblAquisições[[#This Row],[QUANTIDADE COMPRADA]]</f>
        <v>0</v>
      </c>
      <c r="N3038" s="110">
        <f>K3038-tblAquisições[[#This Row],[QUANTIDADE PLANEJADA]]</f>
        <v>-15</v>
      </c>
      <c r="O3038" s="106" t="str">
        <f t="shared" si="95"/>
        <v>Faltando Comprar</v>
      </c>
    </row>
    <row r="3039" spans="1:15" ht="31.5">
      <c r="A3039" s="16" t="s">
        <v>17</v>
      </c>
      <c r="B3039" s="16" t="s">
        <v>28</v>
      </c>
      <c r="C3039" s="17" t="s">
        <v>19</v>
      </c>
      <c r="D3039" s="18" t="s">
        <v>1696</v>
      </c>
      <c r="E3039" s="18">
        <v>2</v>
      </c>
      <c r="F3039" s="18" t="s">
        <v>328</v>
      </c>
      <c r="G3039" s="18" t="s">
        <v>22</v>
      </c>
      <c r="H3039" s="18" t="s">
        <v>23</v>
      </c>
      <c r="I3039" s="19">
        <v>16.89</v>
      </c>
      <c r="J3039" s="20">
        <f t="shared" si="94"/>
        <v>33.78</v>
      </c>
      <c r="K3039" s="106"/>
      <c r="L3039" s="114"/>
      <c r="M3039" s="114">
        <f>tblAquisições[[#This Row],[VALOR UNITARIO COMPRADO]]*tblAquisições[[#This Row],[QUANTIDADE COMPRADA]]</f>
        <v>0</v>
      </c>
      <c r="N3039" s="110">
        <f>K3039-tblAquisições[[#This Row],[QUANTIDADE PLANEJADA]]</f>
        <v>-2</v>
      </c>
      <c r="O3039" s="106" t="str">
        <f t="shared" si="95"/>
        <v>Faltando Comprar</v>
      </c>
    </row>
    <row r="3040" spans="1:15" ht="47.25">
      <c r="A3040" s="16" t="s">
        <v>17</v>
      </c>
      <c r="B3040" s="16" t="s">
        <v>80</v>
      </c>
      <c r="C3040" s="17" t="s">
        <v>19</v>
      </c>
      <c r="D3040" s="18" t="s">
        <v>1697</v>
      </c>
      <c r="E3040" s="18">
        <v>4</v>
      </c>
      <c r="F3040" s="18" t="s">
        <v>82</v>
      </c>
      <c r="G3040" s="18" t="s">
        <v>39</v>
      </c>
      <c r="H3040" s="21"/>
      <c r="I3040" s="19">
        <v>265</v>
      </c>
      <c r="J3040" s="20">
        <f t="shared" si="94"/>
        <v>1060</v>
      </c>
      <c r="K3040" s="106"/>
      <c r="L3040" s="114"/>
      <c r="M3040" s="114">
        <f>tblAquisições[[#This Row],[VALOR UNITARIO COMPRADO]]*tblAquisições[[#This Row],[QUANTIDADE COMPRADA]]</f>
        <v>0</v>
      </c>
      <c r="N3040" s="110">
        <f>K3040-tblAquisições[[#This Row],[QUANTIDADE PLANEJADA]]</f>
        <v>-4</v>
      </c>
      <c r="O3040" s="106" t="str">
        <f t="shared" si="95"/>
        <v>Faltando Comprar</v>
      </c>
    </row>
    <row r="3041" spans="1:15" ht="47.25">
      <c r="A3041" s="16" t="s">
        <v>17</v>
      </c>
      <c r="B3041" s="16" t="s">
        <v>26</v>
      </c>
      <c r="C3041" s="17" t="s">
        <v>19</v>
      </c>
      <c r="D3041" s="18" t="s">
        <v>1698</v>
      </c>
      <c r="E3041" s="18">
        <v>10</v>
      </c>
      <c r="F3041" s="18" t="s">
        <v>30</v>
      </c>
      <c r="G3041" s="18" t="s">
        <v>22</v>
      </c>
      <c r="H3041" s="18" t="s">
        <v>23</v>
      </c>
      <c r="I3041" s="19">
        <v>265</v>
      </c>
      <c r="J3041" s="20">
        <f t="shared" si="94"/>
        <v>2650</v>
      </c>
      <c r="K3041" s="106"/>
      <c r="L3041" s="114"/>
      <c r="M3041" s="114">
        <f>tblAquisições[[#This Row],[VALOR UNITARIO COMPRADO]]*tblAquisições[[#This Row],[QUANTIDADE COMPRADA]]</f>
        <v>0</v>
      </c>
      <c r="N3041" s="110">
        <f>K3041-tblAquisições[[#This Row],[QUANTIDADE PLANEJADA]]</f>
        <v>-10</v>
      </c>
      <c r="O3041" s="106" t="str">
        <f t="shared" si="95"/>
        <v>Faltando Comprar</v>
      </c>
    </row>
    <row r="3042" spans="1:15" ht="47.25">
      <c r="A3042" s="16" t="s">
        <v>17</v>
      </c>
      <c r="B3042" s="16" t="s">
        <v>80</v>
      </c>
      <c r="C3042" s="17" t="s">
        <v>19</v>
      </c>
      <c r="D3042" s="18" t="s">
        <v>1699</v>
      </c>
      <c r="E3042" s="18">
        <v>4</v>
      </c>
      <c r="F3042" s="18" t="s">
        <v>82</v>
      </c>
      <c r="G3042" s="18" t="s">
        <v>39</v>
      </c>
      <c r="H3042" s="21"/>
      <c r="I3042" s="19">
        <v>325</v>
      </c>
      <c r="J3042" s="20">
        <f t="shared" si="94"/>
        <v>1300</v>
      </c>
      <c r="K3042" s="106"/>
      <c r="L3042" s="114"/>
      <c r="M3042" s="114">
        <f>tblAquisições[[#This Row],[VALOR UNITARIO COMPRADO]]*tblAquisições[[#This Row],[QUANTIDADE COMPRADA]]</f>
        <v>0</v>
      </c>
      <c r="N3042" s="110">
        <f>K3042-tblAquisições[[#This Row],[QUANTIDADE PLANEJADA]]</f>
        <v>-4</v>
      </c>
      <c r="O3042" s="106" t="str">
        <f t="shared" si="95"/>
        <v>Faltando Comprar</v>
      </c>
    </row>
    <row r="3043" spans="1:15" ht="47.25">
      <c r="A3043" s="16" t="s">
        <v>17</v>
      </c>
      <c r="B3043" s="16" t="s">
        <v>26</v>
      </c>
      <c r="C3043" s="17" t="s">
        <v>19</v>
      </c>
      <c r="D3043" s="18" t="s">
        <v>1700</v>
      </c>
      <c r="E3043" s="18">
        <v>8</v>
      </c>
      <c r="F3043" s="18" t="s">
        <v>30</v>
      </c>
      <c r="G3043" s="18" t="s">
        <v>22</v>
      </c>
      <c r="H3043" s="18" t="s">
        <v>23</v>
      </c>
      <c r="I3043" s="19">
        <v>325</v>
      </c>
      <c r="J3043" s="20">
        <f t="shared" si="94"/>
        <v>2600</v>
      </c>
      <c r="K3043" s="106"/>
      <c r="L3043" s="114"/>
      <c r="M3043" s="114">
        <f>tblAquisições[[#This Row],[VALOR UNITARIO COMPRADO]]*tblAquisições[[#This Row],[QUANTIDADE COMPRADA]]</f>
        <v>0</v>
      </c>
      <c r="N3043" s="110">
        <f>K3043-tblAquisições[[#This Row],[QUANTIDADE PLANEJADA]]</f>
        <v>-8</v>
      </c>
      <c r="O3043" s="106" t="str">
        <f t="shared" si="95"/>
        <v>Faltando Comprar</v>
      </c>
    </row>
    <row r="3044" spans="1:15" ht="47.25">
      <c r="A3044" s="16" t="s">
        <v>17</v>
      </c>
      <c r="B3044" s="16" t="s">
        <v>80</v>
      </c>
      <c r="C3044" s="17" t="s">
        <v>19</v>
      </c>
      <c r="D3044" s="18" t="s">
        <v>1701</v>
      </c>
      <c r="E3044" s="18">
        <v>4</v>
      </c>
      <c r="F3044" s="18" t="s">
        <v>82</v>
      </c>
      <c r="G3044" s="18" t="s">
        <v>39</v>
      </c>
      <c r="H3044" s="21"/>
      <c r="I3044" s="19">
        <v>375</v>
      </c>
      <c r="J3044" s="20">
        <f t="shared" si="94"/>
        <v>1500</v>
      </c>
      <c r="K3044" s="106"/>
      <c r="L3044" s="114"/>
      <c r="M3044" s="114">
        <f>tblAquisições[[#This Row],[VALOR UNITARIO COMPRADO]]*tblAquisições[[#This Row],[QUANTIDADE COMPRADA]]</f>
        <v>0</v>
      </c>
      <c r="N3044" s="110">
        <f>K3044-tblAquisições[[#This Row],[QUANTIDADE PLANEJADA]]</f>
        <v>-4</v>
      </c>
      <c r="O3044" s="106" t="str">
        <f t="shared" si="95"/>
        <v>Faltando Comprar</v>
      </c>
    </row>
    <row r="3045" spans="1:15" ht="47.25">
      <c r="A3045" s="16" t="s">
        <v>17</v>
      </c>
      <c r="B3045" s="16" t="s">
        <v>26</v>
      </c>
      <c r="C3045" s="17" t="s">
        <v>19</v>
      </c>
      <c r="D3045" s="18" t="s">
        <v>1702</v>
      </c>
      <c r="E3045" s="18">
        <v>8</v>
      </c>
      <c r="F3045" s="18" t="s">
        <v>30</v>
      </c>
      <c r="G3045" s="18" t="s">
        <v>22</v>
      </c>
      <c r="H3045" s="18" t="s">
        <v>23</v>
      </c>
      <c r="I3045" s="19">
        <v>375</v>
      </c>
      <c r="J3045" s="20">
        <f t="shared" si="94"/>
        <v>3000</v>
      </c>
      <c r="K3045" s="106"/>
      <c r="L3045" s="114"/>
      <c r="M3045" s="114">
        <f>tblAquisições[[#This Row],[VALOR UNITARIO COMPRADO]]*tblAquisições[[#This Row],[QUANTIDADE COMPRADA]]</f>
        <v>0</v>
      </c>
      <c r="N3045" s="110">
        <f>K3045-tblAquisições[[#This Row],[QUANTIDADE PLANEJADA]]</f>
        <v>-8</v>
      </c>
      <c r="O3045" s="106" t="str">
        <f t="shared" si="95"/>
        <v>Faltando Comprar</v>
      </c>
    </row>
    <row r="3046" spans="1:15" ht="47.25">
      <c r="A3046" s="16" t="s">
        <v>17</v>
      </c>
      <c r="B3046" s="16" t="s">
        <v>80</v>
      </c>
      <c r="C3046" s="17" t="s">
        <v>19</v>
      </c>
      <c r="D3046" s="18" t="s">
        <v>1703</v>
      </c>
      <c r="E3046" s="18">
        <v>3</v>
      </c>
      <c r="F3046" s="18" t="s">
        <v>82</v>
      </c>
      <c r="G3046" s="18" t="s">
        <v>39</v>
      </c>
      <c r="H3046" s="21"/>
      <c r="I3046" s="19">
        <v>425</v>
      </c>
      <c r="J3046" s="20">
        <f t="shared" si="94"/>
        <v>1275</v>
      </c>
      <c r="K3046" s="106"/>
      <c r="L3046" s="114"/>
      <c r="M3046" s="114">
        <f>tblAquisições[[#This Row],[VALOR UNITARIO COMPRADO]]*tblAquisições[[#This Row],[QUANTIDADE COMPRADA]]</f>
        <v>0</v>
      </c>
      <c r="N3046" s="110">
        <f>K3046-tblAquisições[[#This Row],[QUANTIDADE PLANEJADA]]</f>
        <v>-3</v>
      </c>
      <c r="O3046" s="106" t="str">
        <f t="shared" si="95"/>
        <v>Faltando Comprar</v>
      </c>
    </row>
    <row r="3047" spans="1:15" ht="47.25">
      <c r="A3047" s="16" t="s">
        <v>17</v>
      </c>
      <c r="B3047" s="16" t="s">
        <v>26</v>
      </c>
      <c r="C3047" s="17" t="s">
        <v>19</v>
      </c>
      <c r="D3047" s="18" t="s">
        <v>1704</v>
      </c>
      <c r="E3047" s="18">
        <v>8</v>
      </c>
      <c r="F3047" s="18" t="s">
        <v>30</v>
      </c>
      <c r="G3047" s="18" t="s">
        <v>22</v>
      </c>
      <c r="H3047" s="18" t="s">
        <v>23</v>
      </c>
      <c r="I3047" s="19">
        <v>425</v>
      </c>
      <c r="J3047" s="20">
        <f t="shared" si="94"/>
        <v>3400</v>
      </c>
      <c r="K3047" s="106"/>
      <c r="L3047" s="114"/>
      <c r="M3047" s="114">
        <f>tblAquisições[[#This Row],[VALOR UNITARIO COMPRADO]]*tblAquisições[[#This Row],[QUANTIDADE COMPRADA]]</f>
        <v>0</v>
      </c>
      <c r="N3047" s="110">
        <f>K3047-tblAquisições[[#This Row],[QUANTIDADE PLANEJADA]]</f>
        <v>-8</v>
      </c>
      <c r="O3047" s="106" t="str">
        <f t="shared" si="95"/>
        <v>Faltando Comprar</v>
      </c>
    </row>
    <row r="3048" spans="1:15" ht="47.25">
      <c r="A3048" s="16" t="s">
        <v>17</v>
      </c>
      <c r="B3048" s="16" t="s">
        <v>80</v>
      </c>
      <c r="C3048" s="17" t="s">
        <v>19</v>
      </c>
      <c r="D3048" s="18" t="s">
        <v>1705</v>
      </c>
      <c r="E3048" s="18">
        <v>3</v>
      </c>
      <c r="F3048" s="18" t="s">
        <v>82</v>
      </c>
      <c r="G3048" s="18" t="s">
        <v>39</v>
      </c>
      <c r="H3048" s="21"/>
      <c r="I3048" s="19">
        <v>475</v>
      </c>
      <c r="J3048" s="20">
        <f t="shared" si="94"/>
        <v>1425</v>
      </c>
      <c r="K3048" s="106"/>
      <c r="L3048" s="114"/>
      <c r="M3048" s="114">
        <f>tblAquisições[[#This Row],[VALOR UNITARIO COMPRADO]]*tblAquisições[[#This Row],[QUANTIDADE COMPRADA]]</f>
        <v>0</v>
      </c>
      <c r="N3048" s="110">
        <f>K3048-tblAquisições[[#This Row],[QUANTIDADE PLANEJADA]]</f>
        <v>-3</v>
      </c>
      <c r="O3048" s="106" t="str">
        <f t="shared" si="95"/>
        <v>Faltando Comprar</v>
      </c>
    </row>
    <row r="3049" spans="1:15" ht="47.25">
      <c r="A3049" s="16" t="s">
        <v>17</v>
      </c>
      <c r="B3049" s="16" t="s">
        <v>26</v>
      </c>
      <c r="C3049" s="17" t="s">
        <v>19</v>
      </c>
      <c r="D3049" s="18" t="s">
        <v>1706</v>
      </c>
      <c r="E3049" s="18">
        <v>5</v>
      </c>
      <c r="F3049" s="18" t="s">
        <v>30</v>
      </c>
      <c r="G3049" s="18" t="s">
        <v>22</v>
      </c>
      <c r="H3049" s="18" t="s">
        <v>23</v>
      </c>
      <c r="I3049" s="19">
        <v>475</v>
      </c>
      <c r="J3049" s="20">
        <f t="shared" si="94"/>
        <v>2375</v>
      </c>
      <c r="K3049" s="106"/>
      <c r="L3049" s="114"/>
      <c r="M3049" s="114">
        <f>tblAquisições[[#This Row],[VALOR UNITARIO COMPRADO]]*tblAquisições[[#This Row],[QUANTIDADE COMPRADA]]</f>
        <v>0</v>
      </c>
      <c r="N3049" s="110">
        <f>K3049-tblAquisições[[#This Row],[QUANTIDADE PLANEJADA]]</f>
        <v>-5</v>
      </c>
      <c r="O3049" s="106" t="str">
        <f t="shared" si="95"/>
        <v>Faltando Comprar</v>
      </c>
    </row>
    <row r="3050" spans="1:15" ht="31.5">
      <c r="A3050" s="16" t="s">
        <v>17</v>
      </c>
      <c r="B3050" s="16" t="s">
        <v>18</v>
      </c>
      <c r="C3050" s="17" t="s">
        <v>19</v>
      </c>
      <c r="D3050" s="18" t="s">
        <v>1707</v>
      </c>
      <c r="E3050" s="18">
        <v>5</v>
      </c>
      <c r="F3050" s="18" t="s">
        <v>21</v>
      </c>
      <c r="G3050" s="18" t="s">
        <v>22</v>
      </c>
      <c r="H3050" s="18" t="s">
        <v>23</v>
      </c>
      <c r="I3050" s="19">
        <v>27.92</v>
      </c>
      <c r="J3050" s="20">
        <f t="shared" si="94"/>
        <v>139.60000000000002</v>
      </c>
      <c r="K3050" s="106"/>
      <c r="L3050" s="114"/>
      <c r="M3050" s="114">
        <f>tblAquisições[[#This Row],[VALOR UNITARIO COMPRADO]]*tblAquisições[[#This Row],[QUANTIDADE COMPRADA]]</f>
        <v>0</v>
      </c>
      <c r="N3050" s="110">
        <f>K3050-tblAquisições[[#This Row],[QUANTIDADE PLANEJADA]]</f>
        <v>-5</v>
      </c>
      <c r="O3050" s="106" t="str">
        <f t="shared" si="95"/>
        <v>Faltando Comprar</v>
      </c>
    </row>
    <row r="3051" spans="1:15" ht="31.5">
      <c r="A3051" s="16" t="s">
        <v>17</v>
      </c>
      <c r="B3051" s="16" t="s">
        <v>24</v>
      </c>
      <c r="C3051" s="17" t="s">
        <v>19</v>
      </c>
      <c r="D3051" s="18" t="s">
        <v>1707</v>
      </c>
      <c r="E3051" s="18">
        <v>5</v>
      </c>
      <c r="F3051" s="18" t="s">
        <v>21</v>
      </c>
      <c r="G3051" s="18" t="s">
        <v>22</v>
      </c>
      <c r="H3051" s="18" t="s">
        <v>23</v>
      </c>
      <c r="I3051" s="19">
        <v>27.92</v>
      </c>
      <c r="J3051" s="20">
        <f t="shared" si="94"/>
        <v>139.60000000000002</v>
      </c>
      <c r="K3051" s="106"/>
      <c r="L3051" s="114"/>
      <c r="M3051" s="114">
        <f>tblAquisições[[#This Row],[VALOR UNITARIO COMPRADO]]*tblAquisições[[#This Row],[QUANTIDADE COMPRADA]]</f>
        <v>0</v>
      </c>
      <c r="N3051" s="110">
        <f>K3051-tblAquisições[[#This Row],[QUANTIDADE PLANEJADA]]</f>
        <v>-5</v>
      </c>
      <c r="O3051" s="106" t="str">
        <f t="shared" si="95"/>
        <v>Faltando Comprar</v>
      </c>
    </row>
    <row r="3052" spans="1:15" ht="31.5">
      <c r="A3052" s="16" t="s">
        <v>17</v>
      </c>
      <c r="B3052" s="16" t="s">
        <v>25</v>
      </c>
      <c r="C3052" s="17" t="s">
        <v>19</v>
      </c>
      <c r="D3052" s="18" t="s">
        <v>1707</v>
      </c>
      <c r="E3052" s="18">
        <v>5</v>
      </c>
      <c r="F3052" s="18" t="s">
        <v>21</v>
      </c>
      <c r="G3052" s="18" t="s">
        <v>22</v>
      </c>
      <c r="H3052" s="18" t="s">
        <v>23</v>
      </c>
      <c r="I3052" s="19">
        <v>27.92</v>
      </c>
      <c r="J3052" s="20">
        <f t="shared" si="94"/>
        <v>139.60000000000002</v>
      </c>
      <c r="K3052" s="106"/>
      <c r="L3052" s="114"/>
      <c r="M3052" s="114">
        <f>tblAquisições[[#This Row],[VALOR UNITARIO COMPRADO]]*tblAquisições[[#This Row],[QUANTIDADE COMPRADA]]</f>
        <v>0</v>
      </c>
      <c r="N3052" s="110">
        <f>K3052-tblAquisições[[#This Row],[QUANTIDADE PLANEJADA]]</f>
        <v>-5</v>
      </c>
      <c r="O3052" s="106" t="str">
        <f t="shared" si="95"/>
        <v>Faltando Comprar</v>
      </c>
    </row>
    <row r="3053" spans="1:15" ht="31.5">
      <c r="A3053" s="16" t="s">
        <v>17</v>
      </c>
      <c r="B3053" s="16" t="s">
        <v>34</v>
      </c>
      <c r="C3053" s="17" t="s">
        <v>19</v>
      </c>
      <c r="D3053" s="18" t="s">
        <v>1708</v>
      </c>
      <c r="E3053" s="18">
        <v>1</v>
      </c>
      <c r="F3053" s="18" t="s">
        <v>328</v>
      </c>
      <c r="G3053" s="18" t="s">
        <v>22</v>
      </c>
      <c r="H3053" s="18" t="s">
        <v>23</v>
      </c>
      <c r="I3053" s="19">
        <v>167.42</v>
      </c>
      <c r="J3053" s="20">
        <f t="shared" si="94"/>
        <v>167.42</v>
      </c>
      <c r="K3053" s="106"/>
      <c r="L3053" s="114"/>
      <c r="M3053" s="114">
        <f>tblAquisições[[#This Row],[VALOR UNITARIO COMPRADO]]*tblAquisições[[#This Row],[QUANTIDADE COMPRADA]]</f>
        <v>0</v>
      </c>
      <c r="N3053" s="110">
        <f>K3053-tblAquisições[[#This Row],[QUANTIDADE PLANEJADA]]</f>
        <v>-1</v>
      </c>
      <c r="O3053" s="106" t="str">
        <f t="shared" si="95"/>
        <v>Faltando Comprar</v>
      </c>
    </row>
    <row r="3054" spans="1:15" ht="31.5">
      <c r="A3054" s="16" t="s">
        <v>17</v>
      </c>
      <c r="B3054" s="16" t="s">
        <v>28</v>
      </c>
      <c r="C3054" s="17" t="s">
        <v>19</v>
      </c>
      <c r="D3054" s="18" t="s">
        <v>1708</v>
      </c>
      <c r="E3054" s="18">
        <v>1</v>
      </c>
      <c r="F3054" s="18" t="s">
        <v>328</v>
      </c>
      <c r="G3054" s="18" t="s">
        <v>22</v>
      </c>
      <c r="H3054" s="18" t="s">
        <v>23</v>
      </c>
      <c r="I3054" s="19">
        <v>167.42</v>
      </c>
      <c r="J3054" s="20">
        <f t="shared" si="94"/>
        <v>167.42</v>
      </c>
      <c r="K3054" s="106"/>
      <c r="L3054" s="114"/>
      <c r="M3054" s="114">
        <f>tblAquisições[[#This Row],[VALOR UNITARIO COMPRADO]]*tblAquisições[[#This Row],[QUANTIDADE COMPRADA]]</f>
        <v>0</v>
      </c>
      <c r="N3054" s="110">
        <f>K3054-tblAquisições[[#This Row],[QUANTIDADE PLANEJADA]]</f>
        <v>-1</v>
      </c>
      <c r="O3054" s="106" t="str">
        <f t="shared" si="95"/>
        <v>Faltando Comprar</v>
      </c>
    </row>
    <row r="3055" spans="1:15" ht="31.5">
      <c r="A3055" s="16" t="s">
        <v>17</v>
      </c>
      <c r="B3055" s="16" t="s">
        <v>34</v>
      </c>
      <c r="C3055" s="17" t="s">
        <v>19</v>
      </c>
      <c r="D3055" s="18" t="s">
        <v>1709</v>
      </c>
      <c r="E3055" s="18">
        <v>20</v>
      </c>
      <c r="F3055" s="18" t="s">
        <v>30</v>
      </c>
      <c r="G3055" s="18" t="s">
        <v>22</v>
      </c>
      <c r="H3055" s="18" t="s">
        <v>23</v>
      </c>
      <c r="I3055" s="19">
        <v>50</v>
      </c>
      <c r="J3055" s="20">
        <f t="shared" si="94"/>
        <v>1000</v>
      </c>
      <c r="K3055" s="106"/>
      <c r="L3055" s="114"/>
      <c r="M3055" s="114">
        <f>tblAquisições[[#This Row],[VALOR UNITARIO COMPRADO]]*tblAquisições[[#This Row],[QUANTIDADE COMPRADA]]</f>
        <v>0</v>
      </c>
      <c r="N3055" s="110">
        <f>K3055-tblAquisições[[#This Row],[QUANTIDADE PLANEJADA]]</f>
        <v>-20</v>
      </c>
      <c r="O3055" s="106" t="str">
        <f t="shared" si="95"/>
        <v>Faltando Comprar</v>
      </c>
    </row>
    <row r="3056" spans="1:15" ht="31.5">
      <c r="A3056" s="16" t="s">
        <v>17</v>
      </c>
      <c r="B3056" s="16" t="s">
        <v>18</v>
      </c>
      <c r="C3056" s="17" t="s">
        <v>19</v>
      </c>
      <c r="D3056" s="18" t="s">
        <v>1709</v>
      </c>
      <c r="E3056" s="18">
        <v>20</v>
      </c>
      <c r="F3056" s="18" t="s">
        <v>30</v>
      </c>
      <c r="G3056" s="18" t="s">
        <v>22</v>
      </c>
      <c r="H3056" s="18" t="s">
        <v>23</v>
      </c>
      <c r="I3056" s="19">
        <v>50</v>
      </c>
      <c r="J3056" s="20">
        <f t="shared" si="94"/>
        <v>1000</v>
      </c>
      <c r="K3056" s="106"/>
      <c r="L3056" s="114"/>
      <c r="M3056" s="114">
        <f>tblAquisições[[#This Row],[VALOR UNITARIO COMPRADO]]*tblAquisições[[#This Row],[QUANTIDADE COMPRADA]]</f>
        <v>0</v>
      </c>
      <c r="N3056" s="110">
        <f>K3056-tblAquisições[[#This Row],[QUANTIDADE PLANEJADA]]</f>
        <v>-20</v>
      </c>
      <c r="O3056" s="106" t="str">
        <f t="shared" si="95"/>
        <v>Faltando Comprar</v>
      </c>
    </row>
    <row r="3057" spans="1:15" ht="31.5">
      <c r="A3057" s="16" t="s">
        <v>17</v>
      </c>
      <c r="B3057" s="16" t="s">
        <v>24</v>
      </c>
      <c r="C3057" s="17" t="s">
        <v>19</v>
      </c>
      <c r="D3057" s="18" t="s">
        <v>1709</v>
      </c>
      <c r="E3057" s="18">
        <v>20</v>
      </c>
      <c r="F3057" s="18" t="s">
        <v>30</v>
      </c>
      <c r="G3057" s="18" t="s">
        <v>22</v>
      </c>
      <c r="H3057" s="18" t="s">
        <v>23</v>
      </c>
      <c r="I3057" s="19">
        <v>50</v>
      </c>
      <c r="J3057" s="20">
        <f t="shared" si="94"/>
        <v>1000</v>
      </c>
      <c r="K3057" s="106"/>
      <c r="L3057" s="114"/>
      <c r="M3057" s="114">
        <f>tblAquisições[[#This Row],[VALOR UNITARIO COMPRADO]]*tblAquisições[[#This Row],[QUANTIDADE COMPRADA]]</f>
        <v>0</v>
      </c>
      <c r="N3057" s="110">
        <f>K3057-tblAquisições[[#This Row],[QUANTIDADE PLANEJADA]]</f>
        <v>-20</v>
      </c>
      <c r="O3057" s="106" t="str">
        <f t="shared" si="95"/>
        <v>Faltando Comprar</v>
      </c>
    </row>
    <row r="3058" spans="1:15" ht="31.5">
      <c r="A3058" s="16" t="s">
        <v>17</v>
      </c>
      <c r="B3058" s="16" t="s">
        <v>25</v>
      </c>
      <c r="C3058" s="17" t="s">
        <v>19</v>
      </c>
      <c r="D3058" s="18" t="s">
        <v>1709</v>
      </c>
      <c r="E3058" s="18">
        <v>20</v>
      </c>
      <c r="F3058" s="18" t="s">
        <v>30</v>
      </c>
      <c r="G3058" s="18" t="s">
        <v>22</v>
      </c>
      <c r="H3058" s="18" t="s">
        <v>23</v>
      </c>
      <c r="I3058" s="19">
        <v>50</v>
      </c>
      <c r="J3058" s="20">
        <f t="shared" si="94"/>
        <v>1000</v>
      </c>
      <c r="K3058" s="106"/>
      <c r="L3058" s="114"/>
      <c r="M3058" s="114">
        <f>tblAquisições[[#This Row],[VALOR UNITARIO COMPRADO]]*tblAquisições[[#This Row],[QUANTIDADE COMPRADA]]</f>
        <v>0</v>
      </c>
      <c r="N3058" s="110">
        <f>K3058-tblAquisições[[#This Row],[QUANTIDADE PLANEJADA]]</f>
        <v>-20</v>
      </c>
      <c r="O3058" s="106" t="str">
        <f t="shared" si="95"/>
        <v>Faltando Comprar</v>
      </c>
    </row>
    <row r="3059" spans="1:15" ht="31.5">
      <c r="A3059" s="16" t="s">
        <v>17</v>
      </c>
      <c r="B3059" s="16" t="s">
        <v>27</v>
      </c>
      <c r="C3059" s="17" t="s">
        <v>19</v>
      </c>
      <c r="D3059" s="18" t="s">
        <v>1710</v>
      </c>
      <c r="E3059" s="18">
        <v>200</v>
      </c>
      <c r="F3059" s="18" t="s">
        <v>30</v>
      </c>
      <c r="G3059" s="18" t="s">
        <v>22</v>
      </c>
      <c r="H3059" s="18" t="s">
        <v>23</v>
      </c>
      <c r="I3059" s="19">
        <v>3.36</v>
      </c>
      <c r="J3059" s="20">
        <f t="shared" si="94"/>
        <v>672</v>
      </c>
      <c r="K3059" s="106"/>
      <c r="L3059" s="114"/>
      <c r="M3059" s="114">
        <f>tblAquisições[[#This Row],[VALOR UNITARIO COMPRADO]]*tblAquisições[[#This Row],[QUANTIDADE COMPRADA]]</f>
        <v>0</v>
      </c>
      <c r="N3059" s="110">
        <f>K3059-tblAquisições[[#This Row],[QUANTIDADE PLANEJADA]]</f>
        <v>-200</v>
      </c>
      <c r="O3059" s="106" t="str">
        <f t="shared" si="95"/>
        <v>Faltando Comprar</v>
      </c>
    </row>
    <row r="3060" spans="1:15" ht="47.25">
      <c r="A3060" s="16" t="s">
        <v>17</v>
      </c>
      <c r="B3060" s="16" t="s">
        <v>80</v>
      </c>
      <c r="C3060" s="17" t="s">
        <v>19</v>
      </c>
      <c r="D3060" s="18" t="s">
        <v>1711</v>
      </c>
      <c r="E3060" s="18">
        <v>2</v>
      </c>
      <c r="F3060" s="18" t="s">
        <v>147</v>
      </c>
      <c r="G3060" s="18" t="s">
        <v>39</v>
      </c>
      <c r="H3060" s="21"/>
      <c r="I3060" s="19">
        <v>249.98</v>
      </c>
      <c r="J3060" s="20">
        <f t="shared" si="94"/>
        <v>499.96</v>
      </c>
      <c r="K3060" s="106"/>
      <c r="L3060" s="114"/>
      <c r="M3060" s="114">
        <f>tblAquisições[[#This Row],[VALOR UNITARIO COMPRADO]]*tblAquisições[[#This Row],[QUANTIDADE COMPRADA]]</f>
        <v>0</v>
      </c>
      <c r="N3060" s="110">
        <f>K3060-tblAquisições[[#This Row],[QUANTIDADE PLANEJADA]]</f>
        <v>-2</v>
      </c>
      <c r="O3060" s="106" t="str">
        <f t="shared" si="95"/>
        <v>Faltando Comprar</v>
      </c>
    </row>
    <row r="3061" spans="1:15" ht="47.25">
      <c r="A3061" s="16" t="s">
        <v>17</v>
      </c>
      <c r="B3061" s="16" t="s">
        <v>28</v>
      </c>
      <c r="C3061" s="17" t="s">
        <v>19</v>
      </c>
      <c r="D3061" s="18" t="s">
        <v>1712</v>
      </c>
      <c r="E3061" s="18">
        <v>1</v>
      </c>
      <c r="F3061" s="18" t="s">
        <v>78</v>
      </c>
      <c r="G3061" s="18" t="s">
        <v>22</v>
      </c>
      <c r="H3061" s="22"/>
      <c r="I3061" s="19">
        <v>249.98</v>
      </c>
      <c r="J3061" s="20">
        <f t="shared" si="94"/>
        <v>249.98</v>
      </c>
      <c r="K3061" s="106"/>
      <c r="L3061" s="114"/>
      <c r="M3061" s="114">
        <f>tblAquisições[[#This Row],[VALOR UNITARIO COMPRADO]]*tblAquisições[[#This Row],[QUANTIDADE COMPRADA]]</f>
        <v>0</v>
      </c>
      <c r="N3061" s="110">
        <f>K3061-tblAquisições[[#This Row],[QUANTIDADE PLANEJADA]]</f>
        <v>-1</v>
      </c>
      <c r="O3061" s="106" t="str">
        <f t="shared" si="95"/>
        <v>Faltando Comprar</v>
      </c>
    </row>
    <row r="3062" spans="1:15" ht="31.5">
      <c r="A3062" s="16" t="s">
        <v>17</v>
      </c>
      <c r="B3062" s="16" t="s">
        <v>34</v>
      </c>
      <c r="C3062" s="17" t="s">
        <v>19</v>
      </c>
      <c r="D3062" s="18" t="s">
        <v>1713</v>
      </c>
      <c r="E3062" s="18">
        <v>20</v>
      </c>
      <c r="F3062" s="18" t="s">
        <v>21</v>
      </c>
      <c r="G3062" s="18" t="s">
        <v>22</v>
      </c>
      <c r="H3062" s="18" t="s">
        <v>23</v>
      </c>
      <c r="I3062" s="19">
        <v>11.84</v>
      </c>
      <c r="J3062" s="20">
        <f t="shared" si="94"/>
        <v>236.8</v>
      </c>
      <c r="K3062" s="106"/>
      <c r="L3062" s="114"/>
      <c r="M3062" s="114">
        <f>tblAquisições[[#This Row],[VALOR UNITARIO COMPRADO]]*tblAquisições[[#This Row],[QUANTIDADE COMPRADA]]</f>
        <v>0</v>
      </c>
      <c r="N3062" s="110">
        <f>K3062-tblAquisições[[#This Row],[QUANTIDADE PLANEJADA]]</f>
        <v>-20</v>
      </c>
      <c r="O3062" s="106" t="str">
        <f t="shared" si="95"/>
        <v>Faltando Comprar</v>
      </c>
    </row>
    <row r="3063" spans="1:15" ht="31.5">
      <c r="A3063" s="16" t="s">
        <v>17</v>
      </c>
      <c r="B3063" s="16" t="s">
        <v>26</v>
      </c>
      <c r="C3063" s="17" t="s">
        <v>19</v>
      </c>
      <c r="D3063" s="18" t="s">
        <v>1714</v>
      </c>
      <c r="E3063" s="18">
        <v>40</v>
      </c>
      <c r="F3063" s="18" t="s">
        <v>229</v>
      </c>
      <c r="G3063" s="18" t="s">
        <v>22</v>
      </c>
      <c r="H3063" s="18" t="s">
        <v>23</v>
      </c>
      <c r="I3063" s="19">
        <v>65.099999999999994</v>
      </c>
      <c r="J3063" s="20">
        <f t="shared" si="94"/>
        <v>2604</v>
      </c>
      <c r="K3063" s="106"/>
      <c r="L3063" s="114"/>
      <c r="M3063" s="114">
        <f>tblAquisições[[#This Row],[VALOR UNITARIO COMPRADO]]*tblAquisições[[#This Row],[QUANTIDADE COMPRADA]]</f>
        <v>0</v>
      </c>
      <c r="N3063" s="110">
        <f>K3063-tblAquisições[[#This Row],[QUANTIDADE PLANEJADA]]</f>
        <v>-40</v>
      </c>
      <c r="O3063" s="106" t="str">
        <f t="shared" si="95"/>
        <v>Faltando Comprar</v>
      </c>
    </row>
    <row r="3064" spans="1:15" ht="31.5">
      <c r="A3064" s="16" t="s">
        <v>17</v>
      </c>
      <c r="B3064" s="16" t="s">
        <v>80</v>
      </c>
      <c r="C3064" s="17" t="s">
        <v>19</v>
      </c>
      <c r="D3064" s="18" t="s">
        <v>1715</v>
      </c>
      <c r="E3064" s="18">
        <v>15</v>
      </c>
      <c r="F3064" s="18" t="s">
        <v>38</v>
      </c>
      <c r="G3064" s="18" t="s">
        <v>39</v>
      </c>
      <c r="H3064" s="18" t="s">
        <v>23</v>
      </c>
      <c r="I3064" s="19">
        <v>375</v>
      </c>
      <c r="J3064" s="20">
        <f t="shared" si="94"/>
        <v>5625</v>
      </c>
      <c r="K3064" s="106"/>
      <c r="L3064" s="114"/>
      <c r="M3064" s="114">
        <f>tblAquisições[[#This Row],[VALOR UNITARIO COMPRADO]]*tblAquisições[[#This Row],[QUANTIDADE COMPRADA]]</f>
        <v>0</v>
      </c>
      <c r="N3064" s="110">
        <f>K3064-tblAquisições[[#This Row],[QUANTIDADE PLANEJADA]]</f>
        <v>-15</v>
      </c>
      <c r="O3064" s="106" t="str">
        <f t="shared" si="95"/>
        <v>Faltando Comprar</v>
      </c>
    </row>
    <row r="3065" spans="1:15" ht="31.5">
      <c r="A3065" s="16" t="s">
        <v>17</v>
      </c>
      <c r="B3065" s="16" t="s">
        <v>31</v>
      </c>
      <c r="C3065" s="17" t="s">
        <v>19</v>
      </c>
      <c r="D3065" s="18" t="s">
        <v>1716</v>
      </c>
      <c r="E3065" s="18">
        <v>10</v>
      </c>
      <c r="F3065" s="18" t="s">
        <v>21</v>
      </c>
      <c r="G3065" s="18" t="s">
        <v>22</v>
      </c>
      <c r="H3065" s="18" t="s">
        <v>23</v>
      </c>
      <c r="I3065" s="19">
        <v>375</v>
      </c>
      <c r="J3065" s="20">
        <f t="shared" si="94"/>
        <v>3750</v>
      </c>
      <c r="K3065" s="106"/>
      <c r="L3065" s="114"/>
      <c r="M3065" s="114">
        <f>tblAquisições[[#This Row],[VALOR UNITARIO COMPRADO]]*tblAquisições[[#This Row],[QUANTIDADE COMPRADA]]</f>
        <v>0</v>
      </c>
      <c r="N3065" s="110">
        <f>K3065-tblAquisições[[#This Row],[QUANTIDADE PLANEJADA]]</f>
        <v>-10</v>
      </c>
      <c r="O3065" s="106" t="str">
        <f t="shared" si="95"/>
        <v>Faltando Comprar</v>
      </c>
    </row>
    <row r="3066" spans="1:15" ht="31.5">
      <c r="A3066" s="16" t="s">
        <v>17</v>
      </c>
      <c r="B3066" s="16" t="s">
        <v>18</v>
      </c>
      <c r="C3066" s="17" t="s">
        <v>19</v>
      </c>
      <c r="D3066" s="18" t="s">
        <v>1716</v>
      </c>
      <c r="E3066" s="18">
        <v>15</v>
      </c>
      <c r="F3066" s="18" t="s">
        <v>21</v>
      </c>
      <c r="G3066" s="18" t="s">
        <v>22</v>
      </c>
      <c r="H3066" s="18" t="s">
        <v>23</v>
      </c>
      <c r="I3066" s="19">
        <v>375</v>
      </c>
      <c r="J3066" s="20">
        <f t="shared" si="94"/>
        <v>5625</v>
      </c>
      <c r="K3066" s="106"/>
      <c r="L3066" s="114"/>
      <c r="M3066" s="114">
        <f>tblAquisições[[#This Row],[VALOR UNITARIO COMPRADO]]*tblAquisições[[#This Row],[QUANTIDADE COMPRADA]]</f>
        <v>0</v>
      </c>
      <c r="N3066" s="110">
        <f>K3066-tblAquisições[[#This Row],[QUANTIDADE PLANEJADA]]</f>
        <v>-15</v>
      </c>
      <c r="O3066" s="106" t="str">
        <f t="shared" si="95"/>
        <v>Faltando Comprar</v>
      </c>
    </row>
    <row r="3067" spans="1:15" ht="31.5">
      <c r="A3067" s="16" t="s">
        <v>17</v>
      </c>
      <c r="B3067" s="16" t="s">
        <v>24</v>
      </c>
      <c r="C3067" s="17" t="s">
        <v>19</v>
      </c>
      <c r="D3067" s="18" t="s">
        <v>1716</v>
      </c>
      <c r="E3067" s="18">
        <v>15</v>
      </c>
      <c r="F3067" s="18" t="s">
        <v>21</v>
      </c>
      <c r="G3067" s="18" t="s">
        <v>22</v>
      </c>
      <c r="H3067" s="18" t="s">
        <v>23</v>
      </c>
      <c r="I3067" s="19">
        <v>375</v>
      </c>
      <c r="J3067" s="20">
        <f t="shared" si="94"/>
        <v>5625</v>
      </c>
      <c r="K3067" s="106"/>
      <c r="L3067" s="114"/>
      <c r="M3067" s="114">
        <f>tblAquisições[[#This Row],[VALOR UNITARIO COMPRADO]]*tblAquisições[[#This Row],[QUANTIDADE COMPRADA]]</f>
        <v>0</v>
      </c>
      <c r="N3067" s="110">
        <f>K3067-tblAquisições[[#This Row],[QUANTIDADE PLANEJADA]]</f>
        <v>-15</v>
      </c>
      <c r="O3067" s="106" t="str">
        <f t="shared" si="95"/>
        <v>Faltando Comprar</v>
      </c>
    </row>
    <row r="3068" spans="1:15" ht="31.5">
      <c r="A3068" s="16" t="s">
        <v>17</v>
      </c>
      <c r="B3068" s="16" t="s">
        <v>25</v>
      </c>
      <c r="C3068" s="17" t="s">
        <v>19</v>
      </c>
      <c r="D3068" s="18" t="s">
        <v>1716</v>
      </c>
      <c r="E3068" s="18">
        <v>15</v>
      </c>
      <c r="F3068" s="18" t="s">
        <v>21</v>
      </c>
      <c r="G3068" s="18" t="s">
        <v>22</v>
      </c>
      <c r="H3068" s="18" t="s">
        <v>23</v>
      </c>
      <c r="I3068" s="19">
        <v>375</v>
      </c>
      <c r="J3068" s="20">
        <f t="shared" si="94"/>
        <v>5625</v>
      </c>
      <c r="K3068" s="106"/>
      <c r="L3068" s="114"/>
      <c r="M3068" s="114">
        <f>tblAquisições[[#This Row],[VALOR UNITARIO COMPRADO]]*tblAquisições[[#This Row],[QUANTIDADE COMPRADA]]</f>
        <v>0</v>
      </c>
      <c r="N3068" s="110">
        <f>K3068-tblAquisições[[#This Row],[QUANTIDADE PLANEJADA]]</f>
        <v>-15</v>
      </c>
      <c r="O3068" s="106" t="str">
        <f t="shared" si="95"/>
        <v>Faltando Comprar</v>
      </c>
    </row>
    <row r="3069" spans="1:15" ht="31.5">
      <c r="A3069" s="16" t="s">
        <v>17</v>
      </c>
      <c r="B3069" s="16" t="s">
        <v>28</v>
      </c>
      <c r="C3069" s="17" t="s">
        <v>19</v>
      </c>
      <c r="D3069" s="18" t="s">
        <v>1716</v>
      </c>
      <c r="E3069" s="18">
        <v>30</v>
      </c>
      <c r="F3069" s="18" t="s">
        <v>21</v>
      </c>
      <c r="G3069" s="18" t="s">
        <v>22</v>
      </c>
      <c r="H3069" s="18" t="s">
        <v>23</v>
      </c>
      <c r="I3069" s="19">
        <v>375</v>
      </c>
      <c r="J3069" s="20">
        <f t="shared" si="94"/>
        <v>11250</v>
      </c>
      <c r="K3069" s="106"/>
      <c r="L3069" s="114"/>
      <c r="M3069" s="114">
        <f>tblAquisições[[#This Row],[VALOR UNITARIO COMPRADO]]*tblAquisições[[#This Row],[QUANTIDADE COMPRADA]]</f>
        <v>0</v>
      </c>
      <c r="N3069" s="110">
        <f>K3069-tblAquisições[[#This Row],[QUANTIDADE PLANEJADA]]</f>
        <v>-30</v>
      </c>
      <c r="O3069" s="106" t="str">
        <f t="shared" si="95"/>
        <v>Faltando Comprar</v>
      </c>
    </row>
    <row r="3070" spans="1:15" ht="31.5">
      <c r="A3070" s="16" t="s">
        <v>17</v>
      </c>
      <c r="B3070" s="16" t="s">
        <v>18</v>
      </c>
      <c r="C3070" s="17" t="s">
        <v>19</v>
      </c>
      <c r="D3070" s="18" t="s">
        <v>1717</v>
      </c>
      <c r="E3070" s="18">
        <v>15</v>
      </c>
      <c r="F3070" s="18" t="s">
        <v>21</v>
      </c>
      <c r="G3070" s="18" t="s">
        <v>22</v>
      </c>
      <c r="H3070" s="18" t="s">
        <v>23</v>
      </c>
      <c r="I3070" s="19">
        <v>1000</v>
      </c>
      <c r="J3070" s="20">
        <f t="shared" si="94"/>
        <v>15000</v>
      </c>
      <c r="K3070" s="106"/>
      <c r="L3070" s="114"/>
      <c r="M3070" s="114">
        <f>tblAquisições[[#This Row],[VALOR UNITARIO COMPRADO]]*tblAquisições[[#This Row],[QUANTIDADE COMPRADA]]</f>
        <v>0</v>
      </c>
      <c r="N3070" s="110">
        <f>K3070-tblAquisições[[#This Row],[QUANTIDADE PLANEJADA]]</f>
        <v>-15</v>
      </c>
      <c r="O3070" s="106" t="str">
        <f t="shared" si="95"/>
        <v>Faltando Comprar</v>
      </c>
    </row>
    <row r="3071" spans="1:15" ht="31.5">
      <c r="A3071" s="16" t="s">
        <v>17</v>
      </c>
      <c r="B3071" s="16" t="s">
        <v>24</v>
      </c>
      <c r="C3071" s="17" t="s">
        <v>19</v>
      </c>
      <c r="D3071" s="18" t="s">
        <v>1717</v>
      </c>
      <c r="E3071" s="18">
        <v>15</v>
      </c>
      <c r="F3071" s="18" t="s">
        <v>21</v>
      </c>
      <c r="G3071" s="18" t="s">
        <v>22</v>
      </c>
      <c r="H3071" s="18" t="s">
        <v>23</v>
      </c>
      <c r="I3071" s="19">
        <v>1000</v>
      </c>
      <c r="J3071" s="20">
        <f t="shared" si="94"/>
        <v>15000</v>
      </c>
      <c r="K3071" s="106"/>
      <c r="L3071" s="114"/>
      <c r="M3071" s="114">
        <f>tblAquisições[[#This Row],[VALOR UNITARIO COMPRADO]]*tblAquisições[[#This Row],[QUANTIDADE COMPRADA]]</f>
        <v>0</v>
      </c>
      <c r="N3071" s="110">
        <f>K3071-tblAquisições[[#This Row],[QUANTIDADE PLANEJADA]]</f>
        <v>-15</v>
      </c>
      <c r="O3071" s="106" t="str">
        <f t="shared" si="95"/>
        <v>Faltando Comprar</v>
      </c>
    </row>
    <row r="3072" spans="1:15" ht="31.5">
      <c r="A3072" s="16" t="s">
        <v>17</v>
      </c>
      <c r="B3072" s="16" t="s">
        <v>25</v>
      </c>
      <c r="C3072" s="17" t="s">
        <v>19</v>
      </c>
      <c r="D3072" s="18" t="s">
        <v>1717</v>
      </c>
      <c r="E3072" s="18">
        <v>15</v>
      </c>
      <c r="F3072" s="18" t="s">
        <v>21</v>
      </c>
      <c r="G3072" s="18" t="s">
        <v>22</v>
      </c>
      <c r="H3072" s="18" t="s">
        <v>23</v>
      </c>
      <c r="I3072" s="19">
        <v>1000</v>
      </c>
      <c r="J3072" s="20">
        <f t="shared" si="94"/>
        <v>15000</v>
      </c>
      <c r="K3072" s="106"/>
      <c r="L3072" s="114"/>
      <c r="M3072" s="114">
        <f>tblAquisições[[#This Row],[VALOR UNITARIO COMPRADO]]*tblAquisições[[#This Row],[QUANTIDADE COMPRADA]]</f>
        <v>0</v>
      </c>
      <c r="N3072" s="110">
        <f>K3072-tblAquisições[[#This Row],[QUANTIDADE PLANEJADA]]</f>
        <v>-15</v>
      </c>
      <c r="O3072" s="106" t="str">
        <f t="shared" si="95"/>
        <v>Faltando Comprar</v>
      </c>
    </row>
    <row r="3073" spans="1:15" ht="31.5">
      <c r="A3073" s="16" t="s">
        <v>17</v>
      </c>
      <c r="B3073" s="16" t="s">
        <v>41</v>
      </c>
      <c r="C3073" s="17" t="s">
        <v>19</v>
      </c>
      <c r="D3073" s="18" t="s">
        <v>1717</v>
      </c>
      <c r="E3073" s="18">
        <v>10</v>
      </c>
      <c r="F3073" s="18" t="s">
        <v>21</v>
      </c>
      <c r="G3073" s="18" t="s">
        <v>22</v>
      </c>
      <c r="H3073" s="18" t="s">
        <v>23</v>
      </c>
      <c r="I3073" s="19">
        <v>1000</v>
      </c>
      <c r="J3073" s="20">
        <f t="shared" si="94"/>
        <v>10000</v>
      </c>
      <c r="K3073" s="106"/>
      <c r="L3073" s="114"/>
      <c r="M3073" s="114">
        <f>tblAquisições[[#This Row],[VALOR UNITARIO COMPRADO]]*tblAquisições[[#This Row],[QUANTIDADE COMPRADA]]</f>
        <v>0</v>
      </c>
      <c r="N3073" s="110">
        <f>K3073-tblAquisições[[#This Row],[QUANTIDADE PLANEJADA]]</f>
        <v>-10</v>
      </c>
      <c r="O3073" s="106" t="str">
        <f t="shared" si="95"/>
        <v>Faltando Comprar</v>
      </c>
    </row>
    <row r="3074" spans="1:15" ht="31.5">
      <c r="A3074" s="16" t="s">
        <v>17</v>
      </c>
      <c r="B3074" s="16" t="s">
        <v>28</v>
      </c>
      <c r="C3074" s="17" t="s">
        <v>19</v>
      </c>
      <c r="D3074" s="18" t="s">
        <v>1717</v>
      </c>
      <c r="E3074" s="18">
        <v>12</v>
      </c>
      <c r="F3074" s="18" t="s">
        <v>21</v>
      </c>
      <c r="G3074" s="18" t="s">
        <v>22</v>
      </c>
      <c r="H3074" s="18" t="s">
        <v>23</v>
      </c>
      <c r="I3074" s="19">
        <v>1000</v>
      </c>
      <c r="J3074" s="20">
        <f t="shared" ref="J3074:J3137" si="96">E3074*I3074</f>
        <v>12000</v>
      </c>
      <c r="K3074" s="106"/>
      <c r="L3074" s="114"/>
      <c r="M3074" s="114">
        <f>tblAquisições[[#This Row],[VALOR UNITARIO COMPRADO]]*tblAquisições[[#This Row],[QUANTIDADE COMPRADA]]</f>
        <v>0</v>
      </c>
      <c r="N3074" s="110">
        <f>K3074-tblAquisições[[#This Row],[QUANTIDADE PLANEJADA]]</f>
        <v>-12</v>
      </c>
      <c r="O3074" s="106" t="str">
        <f t="shared" ref="O3074:O3137" si="97">IF(K3074=E3074,"OK",IF(K3074&lt;E3074,"Faltando Comprar","Excedente"))</f>
        <v>Faltando Comprar</v>
      </c>
    </row>
    <row r="3075" spans="1:15" ht="31.5">
      <c r="A3075" s="16" t="s">
        <v>17</v>
      </c>
      <c r="B3075" s="16" t="s">
        <v>80</v>
      </c>
      <c r="C3075" s="17" t="s">
        <v>19</v>
      </c>
      <c r="D3075" s="18" t="s">
        <v>1718</v>
      </c>
      <c r="E3075" s="18">
        <v>60</v>
      </c>
      <c r="F3075" s="18" t="s">
        <v>38</v>
      </c>
      <c r="G3075" s="18" t="s">
        <v>39</v>
      </c>
      <c r="H3075" s="18" t="s">
        <v>23</v>
      </c>
      <c r="I3075" s="19">
        <v>173.05</v>
      </c>
      <c r="J3075" s="20">
        <f t="shared" si="96"/>
        <v>10383</v>
      </c>
      <c r="K3075" s="106"/>
      <c r="L3075" s="114"/>
      <c r="M3075" s="114">
        <f>tblAquisições[[#This Row],[VALOR UNITARIO COMPRADO]]*tblAquisições[[#This Row],[QUANTIDADE COMPRADA]]</f>
        <v>0</v>
      </c>
      <c r="N3075" s="110">
        <f>K3075-tblAquisições[[#This Row],[QUANTIDADE PLANEJADA]]</f>
        <v>-60</v>
      </c>
      <c r="O3075" s="106" t="str">
        <f t="shared" si="97"/>
        <v>Faltando Comprar</v>
      </c>
    </row>
    <row r="3076" spans="1:15" ht="31.5">
      <c r="A3076" s="16" t="s">
        <v>17</v>
      </c>
      <c r="B3076" s="16" t="s">
        <v>26</v>
      </c>
      <c r="C3076" s="17" t="s">
        <v>19</v>
      </c>
      <c r="D3076" s="18" t="s">
        <v>1719</v>
      </c>
      <c r="E3076" s="18">
        <v>25</v>
      </c>
      <c r="F3076" s="18" t="s">
        <v>21</v>
      </c>
      <c r="G3076" s="18" t="s">
        <v>22</v>
      </c>
      <c r="H3076" s="18" t="s">
        <v>23</v>
      </c>
      <c r="I3076" s="19">
        <v>173.05</v>
      </c>
      <c r="J3076" s="20">
        <f t="shared" si="96"/>
        <v>4326.25</v>
      </c>
      <c r="K3076" s="106"/>
      <c r="L3076" s="114"/>
      <c r="M3076" s="114">
        <f>tblAquisições[[#This Row],[VALOR UNITARIO COMPRADO]]*tblAquisições[[#This Row],[QUANTIDADE COMPRADA]]</f>
        <v>0</v>
      </c>
      <c r="N3076" s="110">
        <f>K3076-tblAquisições[[#This Row],[QUANTIDADE PLANEJADA]]</f>
        <v>-25</v>
      </c>
      <c r="O3076" s="106" t="str">
        <f t="shared" si="97"/>
        <v>Faltando Comprar</v>
      </c>
    </row>
    <row r="3077" spans="1:15" ht="31.5">
      <c r="A3077" s="16" t="s">
        <v>17</v>
      </c>
      <c r="B3077" s="16" t="s">
        <v>28</v>
      </c>
      <c r="C3077" s="17" t="s">
        <v>19</v>
      </c>
      <c r="D3077" s="18" t="s">
        <v>1719</v>
      </c>
      <c r="E3077" s="18">
        <v>200</v>
      </c>
      <c r="F3077" s="18" t="s">
        <v>21</v>
      </c>
      <c r="G3077" s="18" t="s">
        <v>22</v>
      </c>
      <c r="H3077" s="18" t="s">
        <v>23</v>
      </c>
      <c r="I3077" s="19">
        <v>173.05</v>
      </c>
      <c r="J3077" s="20">
        <f t="shared" si="96"/>
        <v>34610</v>
      </c>
      <c r="K3077" s="106"/>
      <c r="L3077" s="114"/>
      <c r="M3077" s="114">
        <f>tblAquisições[[#This Row],[VALOR UNITARIO COMPRADO]]*tblAquisições[[#This Row],[QUANTIDADE COMPRADA]]</f>
        <v>0</v>
      </c>
      <c r="N3077" s="110">
        <f>K3077-tblAquisições[[#This Row],[QUANTIDADE PLANEJADA]]</f>
        <v>-200</v>
      </c>
      <c r="O3077" s="106" t="str">
        <f t="shared" si="97"/>
        <v>Faltando Comprar</v>
      </c>
    </row>
    <row r="3078" spans="1:15" ht="31.5">
      <c r="A3078" s="16" t="s">
        <v>17</v>
      </c>
      <c r="B3078" s="16" t="s">
        <v>26</v>
      </c>
      <c r="C3078" s="17" t="s">
        <v>19</v>
      </c>
      <c r="D3078" s="18" t="s">
        <v>1720</v>
      </c>
      <c r="E3078" s="18">
        <v>100</v>
      </c>
      <c r="F3078" s="18" t="s">
        <v>30</v>
      </c>
      <c r="G3078" s="18" t="s">
        <v>22</v>
      </c>
      <c r="H3078" s="18" t="s">
        <v>23</v>
      </c>
      <c r="I3078" s="19">
        <v>2.14</v>
      </c>
      <c r="J3078" s="20">
        <f t="shared" si="96"/>
        <v>214</v>
      </c>
      <c r="K3078" s="106"/>
      <c r="L3078" s="114"/>
      <c r="M3078" s="114">
        <f>tblAquisições[[#This Row],[VALOR UNITARIO COMPRADO]]*tblAquisições[[#This Row],[QUANTIDADE COMPRADA]]</f>
        <v>0</v>
      </c>
      <c r="N3078" s="110">
        <f>K3078-tblAquisições[[#This Row],[QUANTIDADE PLANEJADA]]</f>
        <v>-100</v>
      </c>
      <c r="O3078" s="106" t="str">
        <f t="shared" si="97"/>
        <v>Faltando Comprar</v>
      </c>
    </row>
    <row r="3079" spans="1:15" ht="31.5">
      <c r="A3079" s="16" t="s">
        <v>17</v>
      </c>
      <c r="B3079" s="16" t="s">
        <v>28</v>
      </c>
      <c r="C3079" s="17" t="s">
        <v>19</v>
      </c>
      <c r="D3079" s="18" t="s">
        <v>1720</v>
      </c>
      <c r="E3079" s="18">
        <v>300</v>
      </c>
      <c r="F3079" s="18" t="s">
        <v>30</v>
      </c>
      <c r="G3079" s="18" t="s">
        <v>22</v>
      </c>
      <c r="H3079" s="18" t="s">
        <v>83</v>
      </c>
      <c r="I3079" s="19">
        <v>2.14</v>
      </c>
      <c r="J3079" s="20">
        <f t="shared" si="96"/>
        <v>642</v>
      </c>
      <c r="K3079" s="106"/>
      <c r="L3079" s="114"/>
      <c r="M3079" s="114">
        <f>tblAquisições[[#This Row],[VALOR UNITARIO COMPRADO]]*tblAquisições[[#This Row],[QUANTIDADE COMPRADA]]</f>
        <v>0</v>
      </c>
      <c r="N3079" s="110">
        <f>K3079-tblAquisições[[#This Row],[QUANTIDADE PLANEJADA]]</f>
        <v>-300</v>
      </c>
      <c r="O3079" s="106" t="str">
        <f t="shared" si="97"/>
        <v>Faltando Comprar</v>
      </c>
    </row>
    <row r="3080" spans="1:15" ht="47.25">
      <c r="A3080" s="16" t="s">
        <v>17</v>
      </c>
      <c r="B3080" s="16" t="s">
        <v>26</v>
      </c>
      <c r="C3080" s="17" t="s">
        <v>19</v>
      </c>
      <c r="D3080" s="18" t="s">
        <v>1721</v>
      </c>
      <c r="E3080" s="18">
        <v>50</v>
      </c>
      <c r="F3080" s="18" t="s">
        <v>78</v>
      </c>
      <c r="G3080" s="18" t="s">
        <v>22</v>
      </c>
      <c r="H3080" s="18" t="s">
        <v>23</v>
      </c>
      <c r="I3080" s="19">
        <v>4.26</v>
      </c>
      <c r="J3080" s="20">
        <f t="shared" si="96"/>
        <v>213</v>
      </c>
      <c r="K3080" s="106"/>
      <c r="L3080" s="114"/>
      <c r="M3080" s="114">
        <f>tblAquisições[[#This Row],[VALOR UNITARIO COMPRADO]]*tblAquisições[[#This Row],[QUANTIDADE COMPRADA]]</f>
        <v>0</v>
      </c>
      <c r="N3080" s="110">
        <f>K3080-tblAquisições[[#This Row],[QUANTIDADE PLANEJADA]]</f>
        <v>-50</v>
      </c>
      <c r="O3080" s="106" t="str">
        <f t="shared" si="97"/>
        <v>Faltando Comprar</v>
      </c>
    </row>
    <row r="3081" spans="1:15" ht="47.25">
      <c r="A3081" s="16" t="s">
        <v>17</v>
      </c>
      <c r="B3081" s="16" t="s">
        <v>28</v>
      </c>
      <c r="C3081" s="17" t="s">
        <v>19</v>
      </c>
      <c r="D3081" s="18" t="s">
        <v>1721</v>
      </c>
      <c r="E3081" s="18">
        <v>350</v>
      </c>
      <c r="F3081" s="18" t="s">
        <v>78</v>
      </c>
      <c r="G3081" s="18" t="s">
        <v>22</v>
      </c>
      <c r="H3081" s="18" t="s">
        <v>83</v>
      </c>
      <c r="I3081" s="19">
        <v>4.26</v>
      </c>
      <c r="J3081" s="20">
        <f t="shared" si="96"/>
        <v>1491</v>
      </c>
      <c r="K3081" s="106"/>
      <c r="L3081" s="114"/>
      <c r="M3081" s="114">
        <f>tblAquisições[[#This Row],[VALOR UNITARIO COMPRADO]]*tblAquisições[[#This Row],[QUANTIDADE COMPRADA]]</f>
        <v>0</v>
      </c>
      <c r="N3081" s="110">
        <f>K3081-tblAquisições[[#This Row],[QUANTIDADE PLANEJADA]]</f>
        <v>-350</v>
      </c>
      <c r="O3081" s="106" t="str">
        <f t="shared" si="97"/>
        <v>Faltando Comprar</v>
      </c>
    </row>
    <row r="3082" spans="1:15" ht="31.5">
      <c r="A3082" s="16" t="s">
        <v>17</v>
      </c>
      <c r="B3082" s="16" t="s">
        <v>17</v>
      </c>
      <c r="C3082" s="17" t="s">
        <v>19</v>
      </c>
      <c r="D3082" s="18" t="s">
        <v>1722</v>
      </c>
      <c r="E3082" s="18">
        <v>100</v>
      </c>
      <c r="F3082" s="18" t="s">
        <v>272</v>
      </c>
      <c r="G3082" s="18" t="s">
        <v>39</v>
      </c>
      <c r="H3082" s="18" t="s">
        <v>23</v>
      </c>
      <c r="I3082" s="19">
        <v>10.98</v>
      </c>
      <c r="J3082" s="20">
        <f t="shared" si="96"/>
        <v>1098</v>
      </c>
      <c r="K3082" s="106"/>
      <c r="L3082" s="114"/>
      <c r="M3082" s="114">
        <f>tblAquisições[[#This Row],[VALOR UNITARIO COMPRADO]]*tblAquisições[[#This Row],[QUANTIDADE COMPRADA]]</f>
        <v>0</v>
      </c>
      <c r="N3082" s="110">
        <f>K3082-tblAquisições[[#This Row],[QUANTIDADE PLANEJADA]]</f>
        <v>-100</v>
      </c>
      <c r="O3082" s="106" t="str">
        <f t="shared" si="97"/>
        <v>Faltando Comprar</v>
      </c>
    </row>
    <row r="3083" spans="1:15" ht="31.5">
      <c r="A3083" s="16" t="s">
        <v>17</v>
      </c>
      <c r="B3083" s="16" t="s">
        <v>34</v>
      </c>
      <c r="C3083" s="17" t="s">
        <v>19</v>
      </c>
      <c r="D3083" s="18" t="s">
        <v>1723</v>
      </c>
      <c r="E3083" s="18">
        <v>48</v>
      </c>
      <c r="F3083" s="18" t="s">
        <v>324</v>
      </c>
      <c r="G3083" s="18" t="s">
        <v>22</v>
      </c>
      <c r="H3083" s="18" t="s">
        <v>23</v>
      </c>
      <c r="I3083" s="19">
        <v>10.98</v>
      </c>
      <c r="J3083" s="20">
        <f t="shared" si="96"/>
        <v>527.04</v>
      </c>
      <c r="K3083" s="106"/>
      <c r="L3083" s="114"/>
      <c r="M3083" s="114">
        <f>tblAquisições[[#This Row],[VALOR UNITARIO COMPRADO]]*tblAquisições[[#This Row],[QUANTIDADE COMPRADA]]</f>
        <v>0</v>
      </c>
      <c r="N3083" s="110">
        <f>K3083-tblAquisições[[#This Row],[QUANTIDADE PLANEJADA]]</f>
        <v>-48</v>
      </c>
      <c r="O3083" s="106" t="str">
        <f t="shared" si="97"/>
        <v>Faltando Comprar</v>
      </c>
    </row>
    <row r="3084" spans="1:15" ht="31.5">
      <c r="A3084" s="16" t="s">
        <v>17</v>
      </c>
      <c r="B3084" s="16" t="s">
        <v>18</v>
      </c>
      <c r="C3084" s="17" t="s">
        <v>19</v>
      </c>
      <c r="D3084" s="18" t="s">
        <v>1723</v>
      </c>
      <c r="E3084" s="18">
        <v>100</v>
      </c>
      <c r="F3084" s="18" t="s">
        <v>324</v>
      </c>
      <c r="G3084" s="18" t="s">
        <v>22</v>
      </c>
      <c r="H3084" s="18" t="s">
        <v>23</v>
      </c>
      <c r="I3084" s="19">
        <v>10.98</v>
      </c>
      <c r="J3084" s="20">
        <f t="shared" si="96"/>
        <v>1098</v>
      </c>
      <c r="K3084" s="106"/>
      <c r="L3084" s="114"/>
      <c r="M3084" s="114">
        <f>tblAquisições[[#This Row],[VALOR UNITARIO COMPRADO]]*tblAquisições[[#This Row],[QUANTIDADE COMPRADA]]</f>
        <v>0</v>
      </c>
      <c r="N3084" s="110">
        <f>K3084-tblAquisições[[#This Row],[QUANTIDADE PLANEJADA]]</f>
        <v>-100</v>
      </c>
      <c r="O3084" s="106" t="str">
        <f t="shared" si="97"/>
        <v>Faltando Comprar</v>
      </c>
    </row>
    <row r="3085" spans="1:15" ht="31.5">
      <c r="A3085" s="16" t="s">
        <v>17</v>
      </c>
      <c r="B3085" s="16" t="s">
        <v>24</v>
      </c>
      <c r="C3085" s="17" t="s">
        <v>19</v>
      </c>
      <c r="D3085" s="18" t="s">
        <v>1723</v>
      </c>
      <c r="E3085" s="18">
        <v>100</v>
      </c>
      <c r="F3085" s="18" t="s">
        <v>324</v>
      </c>
      <c r="G3085" s="18" t="s">
        <v>22</v>
      </c>
      <c r="H3085" s="18" t="s">
        <v>23</v>
      </c>
      <c r="I3085" s="19">
        <v>10.98</v>
      </c>
      <c r="J3085" s="20">
        <f t="shared" si="96"/>
        <v>1098</v>
      </c>
      <c r="K3085" s="106"/>
      <c r="L3085" s="114"/>
      <c r="M3085" s="114">
        <f>tblAquisições[[#This Row],[VALOR UNITARIO COMPRADO]]*tblAquisições[[#This Row],[QUANTIDADE COMPRADA]]</f>
        <v>0</v>
      </c>
      <c r="N3085" s="110">
        <f>K3085-tblAquisições[[#This Row],[QUANTIDADE PLANEJADA]]</f>
        <v>-100</v>
      </c>
      <c r="O3085" s="106" t="str">
        <f t="shared" si="97"/>
        <v>Faltando Comprar</v>
      </c>
    </row>
    <row r="3086" spans="1:15" ht="31.5">
      <c r="A3086" s="16" t="s">
        <v>17</v>
      </c>
      <c r="B3086" s="16" t="s">
        <v>25</v>
      </c>
      <c r="C3086" s="17" t="s">
        <v>19</v>
      </c>
      <c r="D3086" s="18" t="s">
        <v>1723</v>
      </c>
      <c r="E3086" s="18">
        <v>100</v>
      </c>
      <c r="F3086" s="18" t="s">
        <v>324</v>
      </c>
      <c r="G3086" s="18" t="s">
        <v>22</v>
      </c>
      <c r="H3086" s="18" t="s">
        <v>23</v>
      </c>
      <c r="I3086" s="19">
        <v>10.98</v>
      </c>
      <c r="J3086" s="20">
        <f t="shared" si="96"/>
        <v>1098</v>
      </c>
      <c r="K3086" s="106"/>
      <c r="L3086" s="114"/>
      <c r="M3086" s="114">
        <f>tblAquisições[[#This Row],[VALOR UNITARIO COMPRADO]]*tblAquisições[[#This Row],[QUANTIDADE COMPRADA]]</f>
        <v>0</v>
      </c>
      <c r="N3086" s="110">
        <f>K3086-tblAquisições[[#This Row],[QUANTIDADE PLANEJADA]]</f>
        <v>-100</v>
      </c>
      <c r="O3086" s="106" t="str">
        <f t="shared" si="97"/>
        <v>Faltando Comprar</v>
      </c>
    </row>
    <row r="3087" spans="1:15" ht="31.5">
      <c r="A3087" s="16" t="s">
        <v>17</v>
      </c>
      <c r="B3087" s="16" t="s">
        <v>27</v>
      </c>
      <c r="C3087" s="17" t="s">
        <v>19</v>
      </c>
      <c r="D3087" s="18" t="s">
        <v>1723</v>
      </c>
      <c r="E3087" s="18">
        <v>100</v>
      </c>
      <c r="F3087" s="18" t="s">
        <v>324</v>
      </c>
      <c r="G3087" s="18" t="s">
        <v>22</v>
      </c>
      <c r="H3087" s="18" t="s">
        <v>23</v>
      </c>
      <c r="I3087" s="19">
        <v>10.98</v>
      </c>
      <c r="J3087" s="20">
        <f t="shared" si="96"/>
        <v>1098</v>
      </c>
      <c r="K3087" s="106"/>
      <c r="L3087" s="114"/>
      <c r="M3087" s="114">
        <f>tblAquisições[[#This Row],[VALOR UNITARIO COMPRADO]]*tblAquisições[[#This Row],[QUANTIDADE COMPRADA]]</f>
        <v>0</v>
      </c>
      <c r="N3087" s="110">
        <f>K3087-tblAquisições[[#This Row],[QUANTIDADE PLANEJADA]]</f>
        <v>-100</v>
      </c>
      <c r="O3087" s="106" t="str">
        <f t="shared" si="97"/>
        <v>Faltando Comprar</v>
      </c>
    </row>
    <row r="3088" spans="1:15" ht="31.5">
      <c r="A3088" s="16" t="s">
        <v>17</v>
      </c>
      <c r="B3088" s="16" t="s">
        <v>28</v>
      </c>
      <c r="C3088" s="17" t="s">
        <v>19</v>
      </c>
      <c r="D3088" s="18" t="s">
        <v>1723</v>
      </c>
      <c r="E3088" s="18">
        <v>24</v>
      </c>
      <c r="F3088" s="18" t="s">
        <v>324</v>
      </c>
      <c r="G3088" s="18" t="s">
        <v>22</v>
      </c>
      <c r="H3088" s="18" t="s">
        <v>23</v>
      </c>
      <c r="I3088" s="19">
        <v>10.98</v>
      </c>
      <c r="J3088" s="20">
        <f t="shared" si="96"/>
        <v>263.52</v>
      </c>
      <c r="K3088" s="106"/>
      <c r="L3088" s="114"/>
      <c r="M3088" s="114">
        <f>tblAquisições[[#This Row],[VALOR UNITARIO COMPRADO]]*tblAquisições[[#This Row],[QUANTIDADE COMPRADA]]</f>
        <v>0</v>
      </c>
      <c r="N3088" s="110">
        <f>K3088-tblAquisições[[#This Row],[QUANTIDADE PLANEJADA]]</f>
        <v>-24</v>
      </c>
      <c r="O3088" s="106" t="str">
        <f t="shared" si="97"/>
        <v>Faltando Comprar</v>
      </c>
    </row>
    <row r="3089" spans="1:15" ht="47.25">
      <c r="A3089" s="16" t="s">
        <v>17</v>
      </c>
      <c r="B3089" s="16" t="s">
        <v>34</v>
      </c>
      <c r="C3089" s="17" t="s">
        <v>19</v>
      </c>
      <c r="D3089" s="18" t="s">
        <v>1724</v>
      </c>
      <c r="E3089" s="18">
        <v>2</v>
      </c>
      <c r="F3089" s="18" t="s">
        <v>78</v>
      </c>
      <c r="G3089" s="18" t="s">
        <v>22</v>
      </c>
      <c r="H3089" s="18" t="s">
        <v>23</v>
      </c>
      <c r="I3089" s="19">
        <v>43.49</v>
      </c>
      <c r="J3089" s="20">
        <f t="shared" si="96"/>
        <v>86.98</v>
      </c>
      <c r="K3089" s="106"/>
      <c r="L3089" s="114"/>
      <c r="M3089" s="114">
        <f>tblAquisições[[#This Row],[VALOR UNITARIO COMPRADO]]*tblAquisições[[#This Row],[QUANTIDADE COMPRADA]]</f>
        <v>0</v>
      </c>
      <c r="N3089" s="110">
        <f>K3089-tblAquisições[[#This Row],[QUANTIDADE PLANEJADA]]</f>
        <v>-2</v>
      </c>
      <c r="O3089" s="106" t="str">
        <f t="shared" si="97"/>
        <v>Faltando Comprar</v>
      </c>
    </row>
    <row r="3090" spans="1:15" ht="47.25">
      <c r="A3090" s="16" t="s">
        <v>17</v>
      </c>
      <c r="B3090" s="16" t="s">
        <v>25</v>
      </c>
      <c r="C3090" s="17" t="s">
        <v>19</v>
      </c>
      <c r="D3090" s="18" t="s">
        <v>1725</v>
      </c>
      <c r="E3090" s="18">
        <v>10</v>
      </c>
      <c r="F3090" s="18" t="s">
        <v>78</v>
      </c>
      <c r="G3090" s="18" t="s">
        <v>22</v>
      </c>
      <c r="H3090" s="18" t="s">
        <v>23</v>
      </c>
      <c r="I3090" s="19">
        <v>152.18</v>
      </c>
      <c r="J3090" s="20">
        <f t="shared" si="96"/>
        <v>1521.8000000000002</v>
      </c>
      <c r="K3090" s="106"/>
      <c r="L3090" s="114"/>
      <c r="M3090" s="114">
        <f>tblAquisições[[#This Row],[VALOR UNITARIO COMPRADO]]*tblAquisições[[#This Row],[QUANTIDADE COMPRADA]]</f>
        <v>0</v>
      </c>
      <c r="N3090" s="110">
        <f>K3090-tblAquisições[[#This Row],[QUANTIDADE PLANEJADA]]</f>
        <v>-10</v>
      </c>
      <c r="O3090" s="106" t="str">
        <f t="shared" si="97"/>
        <v>Faltando Comprar</v>
      </c>
    </row>
    <row r="3091" spans="1:15" ht="47.25">
      <c r="A3091" s="16" t="s">
        <v>17</v>
      </c>
      <c r="B3091" s="16" t="s">
        <v>34</v>
      </c>
      <c r="C3091" s="17" t="s">
        <v>19</v>
      </c>
      <c r="D3091" s="18" t="s">
        <v>1726</v>
      </c>
      <c r="E3091" s="18">
        <v>200</v>
      </c>
      <c r="F3091" s="18" t="s">
        <v>78</v>
      </c>
      <c r="G3091" s="18" t="s">
        <v>22</v>
      </c>
      <c r="H3091" s="18" t="s">
        <v>83</v>
      </c>
      <c r="I3091" s="19">
        <v>1.47</v>
      </c>
      <c r="J3091" s="20">
        <f t="shared" si="96"/>
        <v>294</v>
      </c>
      <c r="K3091" s="106"/>
      <c r="L3091" s="114"/>
      <c r="M3091" s="114">
        <f>tblAquisições[[#This Row],[VALOR UNITARIO COMPRADO]]*tblAquisições[[#This Row],[QUANTIDADE COMPRADA]]</f>
        <v>0</v>
      </c>
      <c r="N3091" s="110">
        <f>K3091-tblAquisições[[#This Row],[QUANTIDADE PLANEJADA]]</f>
        <v>-200</v>
      </c>
      <c r="O3091" s="106" t="str">
        <f t="shared" si="97"/>
        <v>Faltando Comprar</v>
      </c>
    </row>
    <row r="3092" spans="1:15" ht="47.25">
      <c r="A3092" s="16" t="s">
        <v>17</v>
      </c>
      <c r="B3092" s="16" t="s">
        <v>28</v>
      </c>
      <c r="C3092" s="17" t="s">
        <v>19</v>
      </c>
      <c r="D3092" s="18" t="s">
        <v>1726</v>
      </c>
      <c r="E3092" s="18">
        <v>50</v>
      </c>
      <c r="F3092" s="18" t="s">
        <v>78</v>
      </c>
      <c r="G3092" s="18" t="s">
        <v>22</v>
      </c>
      <c r="H3092" s="18" t="s">
        <v>100</v>
      </c>
      <c r="I3092" s="19">
        <v>1.47</v>
      </c>
      <c r="J3092" s="20">
        <f t="shared" si="96"/>
        <v>73.5</v>
      </c>
      <c r="K3092" s="106"/>
      <c r="L3092" s="114"/>
      <c r="M3092" s="114">
        <f>tblAquisições[[#This Row],[VALOR UNITARIO COMPRADO]]*tblAquisições[[#This Row],[QUANTIDADE COMPRADA]]</f>
        <v>0</v>
      </c>
      <c r="N3092" s="110">
        <f>K3092-tblAquisições[[#This Row],[QUANTIDADE PLANEJADA]]</f>
        <v>-50</v>
      </c>
      <c r="O3092" s="106" t="str">
        <f t="shared" si="97"/>
        <v>Faltando Comprar</v>
      </c>
    </row>
    <row r="3093" spans="1:15" ht="47.25">
      <c r="A3093" s="16" t="s">
        <v>17</v>
      </c>
      <c r="B3093" s="16" t="s">
        <v>28</v>
      </c>
      <c r="C3093" s="17" t="s">
        <v>19</v>
      </c>
      <c r="D3093" s="18" t="s">
        <v>1727</v>
      </c>
      <c r="E3093" s="18">
        <v>3</v>
      </c>
      <c r="F3093" s="18" t="s">
        <v>78</v>
      </c>
      <c r="G3093" s="18" t="s">
        <v>22</v>
      </c>
      <c r="H3093" s="18" t="s">
        <v>65</v>
      </c>
      <c r="I3093" s="19">
        <v>19.88</v>
      </c>
      <c r="J3093" s="20">
        <f t="shared" si="96"/>
        <v>59.64</v>
      </c>
      <c r="K3093" s="106"/>
      <c r="L3093" s="114"/>
      <c r="M3093" s="114">
        <f>tblAquisições[[#This Row],[VALOR UNITARIO COMPRADO]]*tblAquisições[[#This Row],[QUANTIDADE COMPRADA]]</f>
        <v>0</v>
      </c>
      <c r="N3093" s="110">
        <f>K3093-tblAquisições[[#This Row],[QUANTIDADE PLANEJADA]]</f>
        <v>-3</v>
      </c>
      <c r="O3093" s="106" t="str">
        <f t="shared" si="97"/>
        <v>Faltando Comprar</v>
      </c>
    </row>
    <row r="3094" spans="1:15" ht="47.25">
      <c r="A3094" s="16" t="s">
        <v>17</v>
      </c>
      <c r="B3094" s="16" t="s">
        <v>26</v>
      </c>
      <c r="C3094" s="17" t="s">
        <v>19</v>
      </c>
      <c r="D3094" s="18" t="s">
        <v>1728</v>
      </c>
      <c r="E3094" s="18">
        <v>12</v>
      </c>
      <c r="F3094" s="18" t="s">
        <v>239</v>
      </c>
      <c r="G3094" s="18" t="s">
        <v>22</v>
      </c>
      <c r="H3094" s="18" t="s">
        <v>23</v>
      </c>
      <c r="I3094" s="19">
        <v>14.27</v>
      </c>
      <c r="J3094" s="20">
        <f t="shared" si="96"/>
        <v>171.24</v>
      </c>
      <c r="K3094" s="106"/>
      <c r="L3094" s="114"/>
      <c r="M3094" s="114">
        <f>tblAquisições[[#This Row],[VALOR UNITARIO COMPRADO]]*tblAquisições[[#This Row],[QUANTIDADE COMPRADA]]</f>
        <v>0</v>
      </c>
      <c r="N3094" s="110">
        <f>K3094-tblAquisições[[#This Row],[QUANTIDADE PLANEJADA]]</f>
        <v>-12</v>
      </c>
      <c r="O3094" s="106" t="str">
        <f t="shared" si="97"/>
        <v>Faltando Comprar</v>
      </c>
    </row>
    <row r="3095" spans="1:15" ht="47.25">
      <c r="A3095" s="16" t="s">
        <v>17</v>
      </c>
      <c r="B3095" s="16" t="s">
        <v>28</v>
      </c>
      <c r="C3095" s="17" t="s">
        <v>19</v>
      </c>
      <c r="D3095" s="18" t="s">
        <v>1728</v>
      </c>
      <c r="E3095" s="18">
        <v>10</v>
      </c>
      <c r="F3095" s="18" t="s">
        <v>239</v>
      </c>
      <c r="G3095" s="18" t="s">
        <v>22</v>
      </c>
      <c r="H3095" s="18" t="s">
        <v>23</v>
      </c>
      <c r="I3095" s="19">
        <v>14.27</v>
      </c>
      <c r="J3095" s="20">
        <f t="shared" si="96"/>
        <v>142.69999999999999</v>
      </c>
      <c r="K3095" s="106"/>
      <c r="L3095" s="114"/>
      <c r="M3095" s="114">
        <f>tblAquisições[[#This Row],[VALOR UNITARIO COMPRADO]]*tblAquisições[[#This Row],[QUANTIDADE COMPRADA]]</f>
        <v>0</v>
      </c>
      <c r="N3095" s="110">
        <f>K3095-tblAquisições[[#This Row],[QUANTIDADE PLANEJADA]]</f>
        <v>-10</v>
      </c>
      <c r="O3095" s="106" t="str">
        <f t="shared" si="97"/>
        <v>Faltando Comprar</v>
      </c>
    </row>
    <row r="3096" spans="1:15" ht="31.5">
      <c r="A3096" s="16" t="s">
        <v>17</v>
      </c>
      <c r="B3096" s="16" t="s">
        <v>41</v>
      </c>
      <c r="C3096" s="17" t="s">
        <v>19</v>
      </c>
      <c r="D3096" s="18" t="s">
        <v>1729</v>
      </c>
      <c r="E3096" s="18">
        <v>100</v>
      </c>
      <c r="F3096" s="18" t="s">
        <v>21</v>
      </c>
      <c r="G3096" s="18" t="s">
        <v>22</v>
      </c>
      <c r="H3096" s="18" t="s">
        <v>23</v>
      </c>
      <c r="I3096" s="19">
        <v>13.56</v>
      </c>
      <c r="J3096" s="20">
        <f t="shared" si="96"/>
        <v>1356</v>
      </c>
      <c r="K3096" s="106"/>
      <c r="L3096" s="114"/>
      <c r="M3096" s="114">
        <f>tblAquisições[[#This Row],[VALOR UNITARIO COMPRADO]]*tblAquisições[[#This Row],[QUANTIDADE COMPRADA]]</f>
        <v>0</v>
      </c>
      <c r="N3096" s="110">
        <f>K3096-tblAquisições[[#This Row],[QUANTIDADE PLANEJADA]]</f>
        <v>-100</v>
      </c>
      <c r="O3096" s="106" t="str">
        <f t="shared" si="97"/>
        <v>Faltando Comprar</v>
      </c>
    </row>
    <row r="3097" spans="1:15" ht="47.25">
      <c r="A3097" s="16" t="s">
        <v>17</v>
      </c>
      <c r="B3097" s="16" t="s">
        <v>34</v>
      </c>
      <c r="C3097" s="17" t="s">
        <v>19</v>
      </c>
      <c r="D3097" s="18" t="s">
        <v>1730</v>
      </c>
      <c r="E3097" s="18">
        <v>1</v>
      </c>
      <c r="F3097" s="18" t="s">
        <v>78</v>
      </c>
      <c r="G3097" s="18" t="s">
        <v>22</v>
      </c>
      <c r="H3097" s="18" t="s">
        <v>23</v>
      </c>
      <c r="I3097" s="19">
        <v>26.83</v>
      </c>
      <c r="J3097" s="20">
        <f t="shared" si="96"/>
        <v>26.83</v>
      </c>
      <c r="K3097" s="106"/>
      <c r="L3097" s="114"/>
      <c r="M3097" s="114">
        <f>tblAquisições[[#This Row],[VALOR UNITARIO COMPRADO]]*tblAquisições[[#This Row],[QUANTIDADE COMPRADA]]</f>
        <v>0</v>
      </c>
      <c r="N3097" s="110">
        <f>K3097-tblAquisições[[#This Row],[QUANTIDADE PLANEJADA]]</f>
        <v>-1</v>
      </c>
      <c r="O3097" s="106" t="str">
        <f t="shared" si="97"/>
        <v>Faltando Comprar</v>
      </c>
    </row>
    <row r="3098" spans="1:15" ht="47.25">
      <c r="A3098" s="16" t="s">
        <v>17</v>
      </c>
      <c r="B3098" s="16" t="s">
        <v>41</v>
      </c>
      <c r="C3098" s="17" t="s">
        <v>19</v>
      </c>
      <c r="D3098" s="18" t="s">
        <v>1730</v>
      </c>
      <c r="E3098" s="18">
        <v>5</v>
      </c>
      <c r="F3098" s="18" t="s">
        <v>78</v>
      </c>
      <c r="G3098" s="18" t="s">
        <v>22</v>
      </c>
      <c r="H3098" s="18" t="s">
        <v>23</v>
      </c>
      <c r="I3098" s="19">
        <v>26.83</v>
      </c>
      <c r="J3098" s="20">
        <f t="shared" si="96"/>
        <v>134.14999999999998</v>
      </c>
      <c r="K3098" s="106"/>
      <c r="L3098" s="114"/>
      <c r="M3098" s="114">
        <f>tblAquisições[[#This Row],[VALOR UNITARIO COMPRADO]]*tblAquisições[[#This Row],[QUANTIDADE COMPRADA]]</f>
        <v>0</v>
      </c>
      <c r="N3098" s="110">
        <f>K3098-tblAquisições[[#This Row],[QUANTIDADE PLANEJADA]]</f>
        <v>-5</v>
      </c>
      <c r="O3098" s="106" t="str">
        <f t="shared" si="97"/>
        <v>Faltando Comprar</v>
      </c>
    </row>
    <row r="3099" spans="1:15" ht="47.25">
      <c r="A3099" s="16" t="s">
        <v>17</v>
      </c>
      <c r="B3099" s="16" t="s">
        <v>28</v>
      </c>
      <c r="C3099" s="17" t="s">
        <v>19</v>
      </c>
      <c r="D3099" s="18" t="s">
        <v>1730</v>
      </c>
      <c r="E3099" s="18">
        <v>3</v>
      </c>
      <c r="F3099" s="18" t="s">
        <v>78</v>
      </c>
      <c r="G3099" s="18" t="s">
        <v>22</v>
      </c>
      <c r="H3099" s="18" t="s">
        <v>23</v>
      </c>
      <c r="I3099" s="19">
        <v>26.83</v>
      </c>
      <c r="J3099" s="20">
        <f t="shared" si="96"/>
        <v>80.489999999999995</v>
      </c>
      <c r="K3099" s="106"/>
      <c r="L3099" s="114"/>
      <c r="M3099" s="114">
        <f>tblAquisições[[#This Row],[VALOR UNITARIO COMPRADO]]*tblAquisições[[#This Row],[QUANTIDADE COMPRADA]]</f>
        <v>0</v>
      </c>
      <c r="N3099" s="110">
        <f>K3099-tblAquisições[[#This Row],[QUANTIDADE PLANEJADA]]</f>
        <v>-3</v>
      </c>
      <c r="O3099" s="106" t="str">
        <f t="shared" si="97"/>
        <v>Faltando Comprar</v>
      </c>
    </row>
    <row r="3100" spans="1:15" ht="47.25">
      <c r="A3100" s="16" t="s">
        <v>17</v>
      </c>
      <c r="B3100" s="16" t="s">
        <v>28</v>
      </c>
      <c r="C3100" s="17" t="s">
        <v>19</v>
      </c>
      <c r="D3100" s="18" t="s">
        <v>1731</v>
      </c>
      <c r="E3100" s="18">
        <v>15</v>
      </c>
      <c r="F3100" s="18" t="s">
        <v>78</v>
      </c>
      <c r="G3100" s="18" t="s">
        <v>22</v>
      </c>
      <c r="H3100" s="18" t="s">
        <v>23</v>
      </c>
      <c r="I3100" s="19">
        <v>6.66</v>
      </c>
      <c r="J3100" s="20">
        <f t="shared" si="96"/>
        <v>99.9</v>
      </c>
      <c r="K3100" s="106"/>
      <c r="L3100" s="114"/>
      <c r="M3100" s="114">
        <f>tblAquisições[[#This Row],[VALOR UNITARIO COMPRADO]]*tblAquisições[[#This Row],[QUANTIDADE COMPRADA]]</f>
        <v>0</v>
      </c>
      <c r="N3100" s="110">
        <f>K3100-tblAquisições[[#This Row],[QUANTIDADE PLANEJADA]]</f>
        <v>-15</v>
      </c>
      <c r="O3100" s="106" t="str">
        <f t="shared" si="97"/>
        <v>Faltando Comprar</v>
      </c>
    </row>
    <row r="3101" spans="1:15" ht="47.25">
      <c r="A3101" s="16" t="s">
        <v>17</v>
      </c>
      <c r="B3101" s="16" t="s">
        <v>34</v>
      </c>
      <c r="C3101" s="17" t="s">
        <v>19</v>
      </c>
      <c r="D3101" s="18" t="s">
        <v>1732</v>
      </c>
      <c r="E3101" s="18">
        <v>3</v>
      </c>
      <c r="F3101" s="18" t="s">
        <v>78</v>
      </c>
      <c r="G3101" s="18" t="s">
        <v>22</v>
      </c>
      <c r="H3101" s="18" t="s">
        <v>23</v>
      </c>
      <c r="I3101" s="19">
        <v>12.16</v>
      </c>
      <c r="J3101" s="20">
        <f t="shared" si="96"/>
        <v>36.480000000000004</v>
      </c>
      <c r="K3101" s="106"/>
      <c r="L3101" s="114"/>
      <c r="M3101" s="114">
        <f>tblAquisições[[#This Row],[VALOR UNITARIO COMPRADO]]*tblAquisições[[#This Row],[QUANTIDADE COMPRADA]]</f>
        <v>0</v>
      </c>
      <c r="N3101" s="110">
        <f>K3101-tblAquisições[[#This Row],[QUANTIDADE PLANEJADA]]</f>
        <v>-3</v>
      </c>
      <c r="O3101" s="106" t="str">
        <f t="shared" si="97"/>
        <v>Faltando Comprar</v>
      </c>
    </row>
    <row r="3102" spans="1:15" ht="31.5">
      <c r="A3102" s="16" t="s">
        <v>17</v>
      </c>
      <c r="B3102" s="16" t="s">
        <v>41</v>
      </c>
      <c r="C3102" s="17" t="s">
        <v>19</v>
      </c>
      <c r="D3102" s="18" t="s">
        <v>1733</v>
      </c>
      <c r="E3102" s="18">
        <v>10</v>
      </c>
      <c r="F3102" s="18" t="s">
        <v>1455</v>
      </c>
      <c r="G3102" s="18" t="s">
        <v>127</v>
      </c>
      <c r="H3102" s="18" t="s">
        <v>23</v>
      </c>
      <c r="I3102" s="19">
        <v>914.67</v>
      </c>
      <c r="J3102" s="20">
        <f t="shared" si="96"/>
        <v>9146.6999999999989</v>
      </c>
      <c r="K3102" s="106"/>
      <c r="L3102" s="114"/>
      <c r="M3102" s="114">
        <f>tblAquisições[[#This Row],[VALOR UNITARIO COMPRADO]]*tblAquisições[[#This Row],[QUANTIDADE COMPRADA]]</f>
        <v>0</v>
      </c>
      <c r="N3102" s="110">
        <f>K3102-tblAquisições[[#This Row],[QUANTIDADE PLANEJADA]]</f>
        <v>-10</v>
      </c>
      <c r="O3102" s="106" t="str">
        <f t="shared" si="97"/>
        <v>Faltando Comprar</v>
      </c>
    </row>
    <row r="3103" spans="1:15" ht="47.25">
      <c r="A3103" s="16" t="s">
        <v>17</v>
      </c>
      <c r="B3103" s="16" t="s">
        <v>17</v>
      </c>
      <c r="C3103" s="17" t="s">
        <v>19</v>
      </c>
      <c r="D3103" s="18" t="s">
        <v>1734</v>
      </c>
      <c r="E3103" s="18">
        <v>15</v>
      </c>
      <c r="F3103" s="18" t="s">
        <v>147</v>
      </c>
      <c r="G3103" s="18" t="s">
        <v>39</v>
      </c>
      <c r="H3103" s="18" t="s">
        <v>65</v>
      </c>
      <c r="I3103" s="24">
        <v>200</v>
      </c>
      <c r="J3103" s="20">
        <f t="shared" si="96"/>
        <v>3000</v>
      </c>
      <c r="K3103" s="106"/>
      <c r="L3103" s="114"/>
      <c r="M3103" s="114">
        <f>tblAquisições[[#This Row],[VALOR UNITARIO COMPRADO]]*tblAquisições[[#This Row],[QUANTIDADE COMPRADA]]</f>
        <v>0</v>
      </c>
      <c r="N3103" s="110">
        <f>K3103-tblAquisições[[#This Row],[QUANTIDADE PLANEJADA]]</f>
        <v>-15</v>
      </c>
      <c r="O3103" s="106" t="str">
        <f t="shared" si="97"/>
        <v>Faltando Comprar</v>
      </c>
    </row>
    <row r="3104" spans="1:15" ht="47.25">
      <c r="A3104" s="16" t="s">
        <v>17</v>
      </c>
      <c r="B3104" s="16" t="s">
        <v>31</v>
      </c>
      <c r="C3104" s="17" t="s">
        <v>19</v>
      </c>
      <c r="D3104" s="18" t="s">
        <v>1735</v>
      </c>
      <c r="E3104" s="18">
        <v>25</v>
      </c>
      <c r="F3104" s="18" t="s">
        <v>78</v>
      </c>
      <c r="G3104" s="18" t="s">
        <v>22</v>
      </c>
      <c r="H3104" s="18" t="s">
        <v>23</v>
      </c>
      <c r="I3104" s="19">
        <v>2.2799999999999998</v>
      </c>
      <c r="J3104" s="20">
        <f t="shared" si="96"/>
        <v>56.999999999999993</v>
      </c>
      <c r="K3104" s="106"/>
      <c r="L3104" s="114"/>
      <c r="M3104" s="114">
        <f>tblAquisições[[#This Row],[VALOR UNITARIO COMPRADO]]*tblAquisições[[#This Row],[QUANTIDADE COMPRADA]]</f>
        <v>0</v>
      </c>
      <c r="N3104" s="110">
        <f>K3104-tblAquisições[[#This Row],[QUANTIDADE PLANEJADA]]</f>
        <v>-25</v>
      </c>
      <c r="O3104" s="106" t="str">
        <f t="shared" si="97"/>
        <v>Faltando Comprar</v>
      </c>
    </row>
    <row r="3105" spans="1:15" ht="47.25">
      <c r="A3105" s="16" t="s">
        <v>17</v>
      </c>
      <c r="B3105" s="16" t="s">
        <v>18</v>
      </c>
      <c r="C3105" s="17" t="s">
        <v>19</v>
      </c>
      <c r="D3105" s="18" t="s">
        <v>1735</v>
      </c>
      <c r="E3105" s="18">
        <v>200</v>
      </c>
      <c r="F3105" s="18" t="s">
        <v>78</v>
      </c>
      <c r="G3105" s="18" t="s">
        <v>22</v>
      </c>
      <c r="H3105" s="18" t="s">
        <v>23</v>
      </c>
      <c r="I3105" s="19">
        <v>2.2799999999999998</v>
      </c>
      <c r="J3105" s="20">
        <f t="shared" si="96"/>
        <v>455.99999999999994</v>
      </c>
      <c r="K3105" s="106"/>
      <c r="L3105" s="114"/>
      <c r="M3105" s="114">
        <f>tblAquisições[[#This Row],[VALOR UNITARIO COMPRADO]]*tblAquisições[[#This Row],[QUANTIDADE COMPRADA]]</f>
        <v>0</v>
      </c>
      <c r="N3105" s="110">
        <f>K3105-tblAquisições[[#This Row],[QUANTIDADE PLANEJADA]]</f>
        <v>-200</v>
      </c>
      <c r="O3105" s="106" t="str">
        <f t="shared" si="97"/>
        <v>Faltando Comprar</v>
      </c>
    </row>
    <row r="3106" spans="1:15" ht="47.25">
      <c r="A3106" s="16" t="s">
        <v>17</v>
      </c>
      <c r="B3106" s="16" t="s">
        <v>24</v>
      </c>
      <c r="C3106" s="17" t="s">
        <v>19</v>
      </c>
      <c r="D3106" s="18" t="s">
        <v>1735</v>
      </c>
      <c r="E3106" s="18">
        <v>200</v>
      </c>
      <c r="F3106" s="18" t="s">
        <v>78</v>
      </c>
      <c r="G3106" s="18" t="s">
        <v>22</v>
      </c>
      <c r="H3106" s="18" t="s">
        <v>23</v>
      </c>
      <c r="I3106" s="19">
        <v>2.2799999999999998</v>
      </c>
      <c r="J3106" s="20">
        <f t="shared" si="96"/>
        <v>455.99999999999994</v>
      </c>
      <c r="K3106" s="106"/>
      <c r="L3106" s="114"/>
      <c r="M3106" s="114">
        <f>tblAquisições[[#This Row],[VALOR UNITARIO COMPRADO]]*tblAquisições[[#This Row],[QUANTIDADE COMPRADA]]</f>
        <v>0</v>
      </c>
      <c r="N3106" s="110">
        <f>K3106-tblAquisições[[#This Row],[QUANTIDADE PLANEJADA]]</f>
        <v>-200</v>
      </c>
      <c r="O3106" s="106" t="str">
        <f t="shared" si="97"/>
        <v>Faltando Comprar</v>
      </c>
    </row>
    <row r="3107" spans="1:15" ht="47.25">
      <c r="A3107" s="16" t="s">
        <v>17</v>
      </c>
      <c r="B3107" s="16" t="s">
        <v>25</v>
      </c>
      <c r="C3107" s="17" t="s">
        <v>19</v>
      </c>
      <c r="D3107" s="18" t="s">
        <v>1735</v>
      </c>
      <c r="E3107" s="18">
        <v>200</v>
      </c>
      <c r="F3107" s="18" t="s">
        <v>78</v>
      </c>
      <c r="G3107" s="18" t="s">
        <v>22</v>
      </c>
      <c r="H3107" s="18" t="s">
        <v>23</v>
      </c>
      <c r="I3107" s="19">
        <v>2.2799999999999998</v>
      </c>
      <c r="J3107" s="20">
        <f t="shared" si="96"/>
        <v>455.99999999999994</v>
      </c>
      <c r="K3107" s="106"/>
      <c r="L3107" s="114"/>
      <c r="M3107" s="114">
        <f>tblAquisições[[#This Row],[VALOR UNITARIO COMPRADO]]*tblAquisições[[#This Row],[QUANTIDADE COMPRADA]]</f>
        <v>0</v>
      </c>
      <c r="N3107" s="110">
        <f>K3107-tblAquisições[[#This Row],[QUANTIDADE PLANEJADA]]</f>
        <v>-200</v>
      </c>
      <c r="O3107" s="106" t="str">
        <f t="shared" si="97"/>
        <v>Faltando Comprar</v>
      </c>
    </row>
    <row r="3108" spans="1:15" ht="47.25">
      <c r="A3108" s="16" t="s">
        <v>17</v>
      </c>
      <c r="B3108" s="16" t="s">
        <v>28</v>
      </c>
      <c r="C3108" s="17" t="s">
        <v>19</v>
      </c>
      <c r="D3108" s="18" t="s">
        <v>1735</v>
      </c>
      <c r="E3108" s="18">
        <v>24</v>
      </c>
      <c r="F3108" s="18" t="s">
        <v>78</v>
      </c>
      <c r="G3108" s="18" t="s">
        <v>22</v>
      </c>
      <c r="H3108" s="18" t="s">
        <v>23</v>
      </c>
      <c r="I3108" s="19">
        <v>2.2799999999999998</v>
      </c>
      <c r="J3108" s="20">
        <f t="shared" si="96"/>
        <v>54.72</v>
      </c>
      <c r="K3108" s="106"/>
      <c r="L3108" s="114"/>
      <c r="M3108" s="114">
        <f>tblAquisições[[#This Row],[VALOR UNITARIO COMPRADO]]*tblAquisições[[#This Row],[QUANTIDADE COMPRADA]]</f>
        <v>0</v>
      </c>
      <c r="N3108" s="110">
        <f>K3108-tblAquisições[[#This Row],[QUANTIDADE PLANEJADA]]</f>
        <v>-24</v>
      </c>
      <c r="O3108" s="106" t="str">
        <f t="shared" si="97"/>
        <v>Faltando Comprar</v>
      </c>
    </row>
    <row r="3109" spans="1:15" ht="47.25">
      <c r="A3109" s="16" t="s">
        <v>17</v>
      </c>
      <c r="B3109" s="16" t="s">
        <v>28</v>
      </c>
      <c r="C3109" s="17" t="s">
        <v>19</v>
      </c>
      <c r="D3109" s="18" t="s">
        <v>1736</v>
      </c>
      <c r="E3109" s="18">
        <v>5</v>
      </c>
      <c r="F3109" s="18" t="s">
        <v>78</v>
      </c>
      <c r="G3109" s="18" t="s">
        <v>22</v>
      </c>
      <c r="H3109" s="18" t="s">
        <v>65</v>
      </c>
      <c r="I3109" s="19">
        <v>26.05</v>
      </c>
      <c r="J3109" s="20">
        <f t="shared" si="96"/>
        <v>130.25</v>
      </c>
      <c r="K3109" s="106"/>
      <c r="L3109" s="114"/>
      <c r="M3109" s="114">
        <f>tblAquisições[[#This Row],[VALOR UNITARIO COMPRADO]]*tblAquisições[[#This Row],[QUANTIDADE COMPRADA]]</f>
        <v>0</v>
      </c>
      <c r="N3109" s="110">
        <f>K3109-tblAquisições[[#This Row],[QUANTIDADE PLANEJADA]]</f>
        <v>-5</v>
      </c>
      <c r="O3109" s="106" t="str">
        <f t="shared" si="97"/>
        <v>Faltando Comprar</v>
      </c>
    </row>
    <row r="3110" spans="1:15" ht="47.25">
      <c r="A3110" s="16" t="s">
        <v>17</v>
      </c>
      <c r="B3110" s="16" t="s">
        <v>18</v>
      </c>
      <c r="C3110" s="17" t="s">
        <v>19</v>
      </c>
      <c r="D3110" s="18" t="s">
        <v>1737</v>
      </c>
      <c r="E3110" s="18">
        <v>20</v>
      </c>
      <c r="F3110" s="18" t="s">
        <v>78</v>
      </c>
      <c r="G3110" s="18" t="s">
        <v>22</v>
      </c>
      <c r="H3110" s="18" t="s">
        <v>23</v>
      </c>
      <c r="I3110" s="19">
        <v>4.03</v>
      </c>
      <c r="J3110" s="20">
        <f t="shared" si="96"/>
        <v>80.600000000000009</v>
      </c>
      <c r="K3110" s="106"/>
      <c r="L3110" s="114"/>
      <c r="M3110" s="114">
        <f>tblAquisições[[#This Row],[VALOR UNITARIO COMPRADO]]*tblAquisições[[#This Row],[QUANTIDADE COMPRADA]]</f>
        <v>0</v>
      </c>
      <c r="N3110" s="110">
        <f>K3110-tblAquisições[[#This Row],[QUANTIDADE PLANEJADA]]</f>
        <v>-20</v>
      </c>
      <c r="O3110" s="106" t="str">
        <f t="shared" si="97"/>
        <v>Faltando Comprar</v>
      </c>
    </row>
    <row r="3111" spans="1:15" ht="47.25">
      <c r="A3111" s="16" t="s">
        <v>17</v>
      </c>
      <c r="B3111" s="16" t="s">
        <v>24</v>
      </c>
      <c r="C3111" s="17" t="s">
        <v>19</v>
      </c>
      <c r="D3111" s="18" t="s">
        <v>1737</v>
      </c>
      <c r="E3111" s="18">
        <v>20</v>
      </c>
      <c r="F3111" s="18" t="s">
        <v>78</v>
      </c>
      <c r="G3111" s="18" t="s">
        <v>22</v>
      </c>
      <c r="H3111" s="18" t="s">
        <v>23</v>
      </c>
      <c r="I3111" s="19">
        <v>4.03</v>
      </c>
      <c r="J3111" s="20">
        <f t="shared" si="96"/>
        <v>80.600000000000009</v>
      </c>
      <c r="K3111" s="106"/>
      <c r="L3111" s="114"/>
      <c r="M3111" s="114">
        <f>tblAquisições[[#This Row],[VALOR UNITARIO COMPRADO]]*tblAquisições[[#This Row],[QUANTIDADE COMPRADA]]</f>
        <v>0</v>
      </c>
      <c r="N3111" s="110">
        <f>K3111-tblAquisições[[#This Row],[QUANTIDADE PLANEJADA]]</f>
        <v>-20</v>
      </c>
      <c r="O3111" s="106" t="str">
        <f t="shared" si="97"/>
        <v>Faltando Comprar</v>
      </c>
    </row>
    <row r="3112" spans="1:15" ht="47.25">
      <c r="A3112" s="16" t="s">
        <v>17</v>
      </c>
      <c r="B3112" s="16" t="s">
        <v>25</v>
      </c>
      <c r="C3112" s="17" t="s">
        <v>19</v>
      </c>
      <c r="D3112" s="18" t="s">
        <v>1737</v>
      </c>
      <c r="E3112" s="18">
        <v>20</v>
      </c>
      <c r="F3112" s="18" t="s">
        <v>78</v>
      </c>
      <c r="G3112" s="18" t="s">
        <v>22</v>
      </c>
      <c r="H3112" s="18" t="s">
        <v>23</v>
      </c>
      <c r="I3112" s="19">
        <v>4.03</v>
      </c>
      <c r="J3112" s="20">
        <f t="shared" si="96"/>
        <v>80.600000000000009</v>
      </c>
      <c r="K3112" s="106"/>
      <c r="L3112" s="114"/>
      <c r="M3112" s="114">
        <f>tblAquisições[[#This Row],[VALOR UNITARIO COMPRADO]]*tblAquisições[[#This Row],[QUANTIDADE COMPRADA]]</f>
        <v>0</v>
      </c>
      <c r="N3112" s="110">
        <f>K3112-tblAquisições[[#This Row],[QUANTIDADE PLANEJADA]]</f>
        <v>-20</v>
      </c>
      <c r="O3112" s="106" t="str">
        <f t="shared" si="97"/>
        <v>Faltando Comprar</v>
      </c>
    </row>
    <row r="3113" spans="1:15" ht="47.25">
      <c r="A3113" s="16" t="s">
        <v>17</v>
      </c>
      <c r="B3113" s="16" t="s">
        <v>27</v>
      </c>
      <c r="C3113" s="17" t="s">
        <v>19</v>
      </c>
      <c r="D3113" s="18" t="s">
        <v>1737</v>
      </c>
      <c r="E3113" s="18">
        <v>25</v>
      </c>
      <c r="F3113" s="18" t="s">
        <v>78</v>
      </c>
      <c r="G3113" s="18" t="s">
        <v>22</v>
      </c>
      <c r="H3113" s="18" t="s">
        <v>23</v>
      </c>
      <c r="I3113" s="19">
        <v>4.03</v>
      </c>
      <c r="J3113" s="20">
        <f t="shared" si="96"/>
        <v>100.75</v>
      </c>
      <c r="K3113" s="106"/>
      <c r="L3113" s="114"/>
      <c r="M3113" s="114">
        <f>tblAquisições[[#This Row],[VALOR UNITARIO COMPRADO]]*tblAquisições[[#This Row],[QUANTIDADE COMPRADA]]</f>
        <v>0</v>
      </c>
      <c r="N3113" s="110">
        <f>K3113-tblAquisições[[#This Row],[QUANTIDADE PLANEJADA]]</f>
        <v>-25</v>
      </c>
      <c r="O3113" s="106" t="str">
        <f t="shared" si="97"/>
        <v>Faltando Comprar</v>
      </c>
    </row>
    <row r="3114" spans="1:15" ht="47.25">
      <c r="A3114" s="16" t="s">
        <v>17</v>
      </c>
      <c r="B3114" s="16" t="s">
        <v>18</v>
      </c>
      <c r="C3114" s="17" t="s">
        <v>19</v>
      </c>
      <c r="D3114" s="18" t="s">
        <v>1738</v>
      </c>
      <c r="E3114" s="18">
        <v>20</v>
      </c>
      <c r="F3114" s="18" t="s">
        <v>78</v>
      </c>
      <c r="G3114" s="18" t="s">
        <v>22</v>
      </c>
      <c r="H3114" s="18" t="s">
        <v>23</v>
      </c>
      <c r="I3114" s="19">
        <v>3.28</v>
      </c>
      <c r="J3114" s="20">
        <f t="shared" si="96"/>
        <v>65.599999999999994</v>
      </c>
      <c r="K3114" s="106"/>
      <c r="L3114" s="114"/>
      <c r="M3114" s="114">
        <f>tblAquisições[[#This Row],[VALOR UNITARIO COMPRADO]]*tblAquisições[[#This Row],[QUANTIDADE COMPRADA]]</f>
        <v>0</v>
      </c>
      <c r="N3114" s="110">
        <f>K3114-tblAquisições[[#This Row],[QUANTIDADE PLANEJADA]]</f>
        <v>-20</v>
      </c>
      <c r="O3114" s="106" t="str">
        <f t="shared" si="97"/>
        <v>Faltando Comprar</v>
      </c>
    </row>
    <row r="3115" spans="1:15" ht="47.25">
      <c r="A3115" s="16" t="s">
        <v>17</v>
      </c>
      <c r="B3115" s="16" t="s">
        <v>24</v>
      </c>
      <c r="C3115" s="17" t="s">
        <v>19</v>
      </c>
      <c r="D3115" s="18" t="s">
        <v>1738</v>
      </c>
      <c r="E3115" s="18">
        <v>20</v>
      </c>
      <c r="F3115" s="18" t="s">
        <v>78</v>
      </c>
      <c r="G3115" s="18" t="s">
        <v>22</v>
      </c>
      <c r="H3115" s="18" t="s">
        <v>23</v>
      </c>
      <c r="I3115" s="19">
        <v>3.28</v>
      </c>
      <c r="J3115" s="20">
        <f t="shared" si="96"/>
        <v>65.599999999999994</v>
      </c>
      <c r="K3115" s="106"/>
      <c r="L3115" s="114"/>
      <c r="M3115" s="114">
        <f>tblAquisições[[#This Row],[VALOR UNITARIO COMPRADO]]*tblAquisições[[#This Row],[QUANTIDADE COMPRADA]]</f>
        <v>0</v>
      </c>
      <c r="N3115" s="110">
        <f>K3115-tblAquisições[[#This Row],[QUANTIDADE PLANEJADA]]</f>
        <v>-20</v>
      </c>
      <c r="O3115" s="106" t="str">
        <f t="shared" si="97"/>
        <v>Faltando Comprar</v>
      </c>
    </row>
    <row r="3116" spans="1:15" ht="47.25">
      <c r="A3116" s="16" t="s">
        <v>17</v>
      </c>
      <c r="B3116" s="16" t="s">
        <v>25</v>
      </c>
      <c r="C3116" s="17" t="s">
        <v>19</v>
      </c>
      <c r="D3116" s="18" t="s">
        <v>1738</v>
      </c>
      <c r="E3116" s="18">
        <v>20</v>
      </c>
      <c r="F3116" s="18" t="s">
        <v>78</v>
      </c>
      <c r="G3116" s="18" t="s">
        <v>22</v>
      </c>
      <c r="H3116" s="18" t="s">
        <v>23</v>
      </c>
      <c r="I3116" s="19">
        <v>3.28</v>
      </c>
      <c r="J3116" s="20">
        <f t="shared" si="96"/>
        <v>65.599999999999994</v>
      </c>
      <c r="K3116" s="106"/>
      <c r="L3116" s="114"/>
      <c r="M3116" s="114">
        <f>tblAquisições[[#This Row],[VALOR UNITARIO COMPRADO]]*tblAquisições[[#This Row],[QUANTIDADE COMPRADA]]</f>
        <v>0</v>
      </c>
      <c r="N3116" s="110">
        <f>K3116-tblAquisições[[#This Row],[QUANTIDADE PLANEJADA]]</f>
        <v>-20</v>
      </c>
      <c r="O3116" s="106" t="str">
        <f t="shared" si="97"/>
        <v>Faltando Comprar</v>
      </c>
    </row>
    <row r="3117" spans="1:15" ht="47.25">
      <c r="A3117" s="16" t="s">
        <v>17</v>
      </c>
      <c r="B3117" s="16" t="s">
        <v>27</v>
      </c>
      <c r="C3117" s="17" t="s">
        <v>19</v>
      </c>
      <c r="D3117" s="18" t="s">
        <v>1738</v>
      </c>
      <c r="E3117" s="18">
        <v>25</v>
      </c>
      <c r="F3117" s="18" t="s">
        <v>78</v>
      </c>
      <c r="G3117" s="18" t="s">
        <v>22</v>
      </c>
      <c r="H3117" s="18" t="s">
        <v>23</v>
      </c>
      <c r="I3117" s="19">
        <v>3.28</v>
      </c>
      <c r="J3117" s="20">
        <f t="shared" si="96"/>
        <v>82</v>
      </c>
      <c r="K3117" s="106"/>
      <c r="L3117" s="114"/>
      <c r="M3117" s="114">
        <f>tblAquisições[[#This Row],[VALOR UNITARIO COMPRADO]]*tblAquisições[[#This Row],[QUANTIDADE COMPRADA]]</f>
        <v>0</v>
      </c>
      <c r="N3117" s="110">
        <f>K3117-tblAquisições[[#This Row],[QUANTIDADE PLANEJADA]]</f>
        <v>-25</v>
      </c>
      <c r="O3117" s="106" t="str">
        <f t="shared" si="97"/>
        <v>Faltando Comprar</v>
      </c>
    </row>
    <row r="3118" spans="1:15" ht="47.25">
      <c r="A3118" s="16" t="s">
        <v>17</v>
      </c>
      <c r="B3118" s="16" t="s">
        <v>28</v>
      </c>
      <c r="C3118" s="17" t="s">
        <v>19</v>
      </c>
      <c r="D3118" s="18" t="s">
        <v>1739</v>
      </c>
      <c r="E3118" s="18">
        <v>5</v>
      </c>
      <c r="F3118" s="18" t="s">
        <v>78</v>
      </c>
      <c r="G3118" s="18" t="s">
        <v>22</v>
      </c>
      <c r="H3118" s="18" t="s">
        <v>65</v>
      </c>
      <c r="I3118" s="19">
        <v>76.959999999999994</v>
      </c>
      <c r="J3118" s="20">
        <f t="shared" si="96"/>
        <v>384.79999999999995</v>
      </c>
      <c r="K3118" s="106"/>
      <c r="L3118" s="114"/>
      <c r="M3118" s="114">
        <f>tblAquisições[[#This Row],[VALOR UNITARIO COMPRADO]]*tblAquisições[[#This Row],[QUANTIDADE COMPRADA]]</f>
        <v>0</v>
      </c>
      <c r="N3118" s="110">
        <f>K3118-tblAquisições[[#This Row],[QUANTIDADE PLANEJADA]]</f>
        <v>-5</v>
      </c>
      <c r="O3118" s="106" t="str">
        <f t="shared" si="97"/>
        <v>Faltando Comprar</v>
      </c>
    </row>
    <row r="3119" spans="1:15" ht="63">
      <c r="A3119" s="16" t="s">
        <v>17</v>
      </c>
      <c r="B3119" s="16" t="s">
        <v>80</v>
      </c>
      <c r="C3119" s="17" t="s">
        <v>19</v>
      </c>
      <c r="D3119" s="18" t="s">
        <v>1740</v>
      </c>
      <c r="E3119" s="18">
        <v>6</v>
      </c>
      <c r="F3119" s="18" t="s">
        <v>1158</v>
      </c>
      <c r="G3119" s="18" t="s">
        <v>775</v>
      </c>
      <c r="H3119" s="18" t="s">
        <v>23</v>
      </c>
      <c r="I3119" s="19">
        <v>3920.6</v>
      </c>
      <c r="J3119" s="20">
        <f t="shared" si="96"/>
        <v>23523.599999999999</v>
      </c>
      <c r="K3119" s="106"/>
      <c r="L3119" s="114"/>
      <c r="M3119" s="114">
        <f>tblAquisições[[#This Row],[VALOR UNITARIO COMPRADO]]*tblAquisições[[#This Row],[QUANTIDADE COMPRADA]]</f>
        <v>0</v>
      </c>
      <c r="N3119" s="110">
        <f>K3119-tblAquisições[[#This Row],[QUANTIDADE PLANEJADA]]</f>
        <v>-6</v>
      </c>
      <c r="O3119" s="106" t="str">
        <f t="shared" si="97"/>
        <v>Faltando Comprar</v>
      </c>
    </row>
    <row r="3120" spans="1:15" ht="63">
      <c r="A3120" s="16" t="s">
        <v>17</v>
      </c>
      <c r="B3120" s="16" t="s">
        <v>80</v>
      </c>
      <c r="C3120" s="17" t="s">
        <v>19</v>
      </c>
      <c r="D3120" s="18" t="s">
        <v>1741</v>
      </c>
      <c r="E3120" s="18">
        <v>6</v>
      </c>
      <c r="F3120" s="18" t="s">
        <v>1158</v>
      </c>
      <c r="G3120" s="18" t="s">
        <v>775</v>
      </c>
      <c r="H3120" s="18" t="s">
        <v>23</v>
      </c>
      <c r="I3120" s="19">
        <v>4496.8</v>
      </c>
      <c r="J3120" s="20">
        <f t="shared" si="96"/>
        <v>26980.800000000003</v>
      </c>
      <c r="K3120" s="106"/>
      <c r="L3120" s="114"/>
      <c r="M3120" s="114">
        <f>tblAquisições[[#This Row],[VALOR UNITARIO COMPRADO]]*tblAquisições[[#This Row],[QUANTIDADE COMPRADA]]</f>
        <v>0</v>
      </c>
      <c r="N3120" s="110">
        <f>K3120-tblAquisições[[#This Row],[QUANTIDADE PLANEJADA]]</f>
        <v>-6</v>
      </c>
      <c r="O3120" s="106" t="str">
        <f t="shared" si="97"/>
        <v>Faltando Comprar</v>
      </c>
    </row>
    <row r="3121" spans="1:15" ht="63">
      <c r="A3121" s="16" t="s">
        <v>17</v>
      </c>
      <c r="B3121" s="16" t="s">
        <v>80</v>
      </c>
      <c r="C3121" s="17" t="s">
        <v>19</v>
      </c>
      <c r="D3121" s="18" t="s">
        <v>1742</v>
      </c>
      <c r="E3121" s="18">
        <v>3</v>
      </c>
      <c r="F3121" s="18" t="s">
        <v>1158</v>
      </c>
      <c r="G3121" s="18" t="s">
        <v>775</v>
      </c>
      <c r="H3121" s="18" t="s">
        <v>23</v>
      </c>
      <c r="I3121" s="19">
        <v>5943.2</v>
      </c>
      <c r="J3121" s="20">
        <f t="shared" si="96"/>
        <v>17829.599999999999</v>
      </c>
      <c r="K3121" s="106"/>
      <c r="L3121" s="114"/>
      <c r="M3121" s="114">
        <f>tblAquisições[[#This Row],[VALOR UNITARIO COMPRADO]]*tblAquisições[[#This Row],[QUANTIDADE COMPRADA]]</f>
        <v>0</v>
      </c>
      <c r="N3121" s="110">
        <f>K3121-tblAquisições[[#This Row],[QUANTIDADE PLANEJADA]]</f>
        <v>-3</v>
      </c>
      <c r="O3121" s="106" t="str">
        <f t="shared" si="97"/>
        <v>Faltando Comprar</v>
      </c>
    </row>
    <row r="3122" spans="1:15" ht="31.5">
      <c r="A3122" s="16" t="s">
        <v>17</v>
      </c>
      <c r="B3122" s="16" t="s">
        <v>26</v>
      </c>
      <c r="C3122" s="17" t="s">
        <v>19</v>
      </c>
      <c r="D3122" s="18" t="s">
        <v>1743</v>
      </c>
      <c r="E3122" s="18">
        <v>50</v>
      </c>
      <c r="F3122" s="18" t="s">
        <v>30</v>
      </c>
      <c r="G3122" s="18" t="s">
        <v>22</v>
      </c>
      <c r="H3122" s="18" t="s">
        <v>83</v>
      </c>
      <c r="I3122" s="19">
        <v>16.8</v>
      </c>
      <c r="J3122" s="20">
        <f t="shared" si="96"/>
        <v>840</v>
      </c>
      <c r="K3122" s="106"/>
      <c r="L3122" s="114"/>
      <c r="M3122" s="114">
        <f>tblAquisições[[#This Row],[VALOR UNITARIO COMPRADO]]*tblAquisições[[#This Row],[QUANTIDADE COMPRADA]]</f>
        <v>0</v>
      </c>
      <c r="N3122" s="110">
        <f>K3122-tblAquisições[[#This Row],[QUANTIDADE PLANEJADA]]</f>
        <v>-50</v>
      </c>
      <c r="O3122" s="106" t="str">
        <f t="shared" si="97"/>
        <v>Faltando Comprar</v>
      </c>
    </row>
    <row r="3123" spans="1:15" ht="31.5">
      <c r="A3123" s="16" t="s">
        <v>17</v>
      </c>
      <c r="B3123" s="16" t="s">
        <v>25</v>
      </c>
      <c r="C3123" s="17" t="s">
        <v>19</v>
      </c>
      <c r="D3123" s="18" t="s">
        <v>1744</v>
      </c>
      <c r="E3123" s="18">
        <v>6</v>
      </c>
      <c r="F3123" s="18" t="s">
        <v>30</v>
      </c>
      <c r="G3123" s="18" t="s">
        <v>22</v>
      </c>
      <c r="H3123" s="18" t="s">
        <v>23</v>
      </c>
      <c r="I3123" s="19">
        <v>48.49</v>
      </c>
      <c r="J3123" s="20">
        <f t="shared" si="96"/>
        <v>290.94</v>
      </c>
      <c r="K3123" s="106"/>
      <c r="L3123" s="114"/>
      <c r="M3123" s="114">
        <f>tblAquisições[[#This Row],[VALOR UNITARIO COMPRADO]]*tblAquisições[[#This Row],[QUANTIDADE COMPRADA]]</f>
        <v>0</v>
      </c>
      <c r="N3123" s="110">
        <f>K3123-tblAquisições[[#This Row],[QUANTIDADE PLANEJADA]]</f>
        <v>-6</v>
      </c>
      <c r="O3123" s="106" t="str">
        <f t="shared" si="97"/>
        <v>Faltando Comprar</v>
      </c>
    </row>
    <row r="3124" spans="1:15" ht="31.5">
      <c r="A3124" s="16" t="s">
        <v>17</v>
      </c>
      <c r="B3124" s="16" t="s">
        <v>27</v>
      </c>
      <c r="C3124" s="17" t="s">
        <v>19</v>
      </c>
      <c r="D3124" s="18" t="s">
        <v>1744</v>
      </c>
      <c r="E3124" s="18">
        <v>5</v>
      </c>
      <c r="F3124" s="18" t="s">
        <v>30</v>
      </c>
      <c r="G3124" s="18" t="s">
        <v>22</v>
      </c>
      <c r="H3124" s="18" t="s">
        <v>23</v>
      </c>
      <c r="I3124" s="19">
        <v>48.49</v>
      </c>
      <c r="J3124" s="20">
        <f t="shared" si="96"/>
        <v>242.45000000000002</v>
      </c>
      <c r="K3124" s="106"/>
      <c r="L3124" s="114"/>
      <c r="M3124" s="114">
        <f>tblAquisições[[#This Row],[VALOR UNITARIO COMPRADO]]*tblAquisições[[#This Row],[QUANTIDADE COMPRADA]]</f>
        <v>0</v>
      </c>
      <c r="N3124" s="110">
        <f>K3124-tblAquisições[[#This Row],[QUANTIDADE PLANEJADA]]</f>
        <v>-5</v>
      </c>
      <c r="O3124" s="106" t="str">
        <f t="shared" si="97"/>
        <v>Faltando Comprar</v>
      </c>
    </row>
    <row r="3125" spans="1:15" ht="47.25">
      <c r="A3125" s="16" t="s">
        <v>17</v>
      </c>
      <c r="B3125" s="16" t="s">
        <v>26</v>
      </c>
      <c r="C3125" s="17" t="s">
        <v>19</v>
      </c>
      <c r="D3125" s="18" t="s">
        <v>1745</v>
      </c>
      <c r="E3125" s="18">
        <v>10</v>
      </c>
      <c r="F3125" s="18" t="s">
        <v>222</v>
      </c>
      <c r="G3125" s="18" t="s">
        <v>127</v>
      </c>
      <c r="H3125" s="18" t="s">
        <v>23</v>
      </c>
      <c r="I3125" s="19">
        <v>5.5</v>
      </c>
      <c r="J3125" s="20">
        <f t="shared" si="96"/>
        <v>55</v>
      </c>
      <c r="K3125" s="106"/>
      <c r="L3125" s="114"/>
      <c r="M3125" s="114">
        <f>tblAquisições[[#This Row],[VALOR UNITARIO COMPRADO]]*tblAquisições[[#This Row],[QUANTIDADE COMPRADA]]</f>
        <v>0</v>
      </c>
      <c r="N3125" s="110">
        <f>K3125-tblAquisições[[#This Row],[QUANTIDADE PLANEJADA]]</f>
        <v>-10</v>
      </c>
      <c r="O3125" s="106" t="str">
        <f t="shared" si="97"/>
        <v>Faltando Comprar</v>
      </c>
    </row>
    <row r="3126" spans="1:15" ht="47.25">
      <c r="A3126" s="16" t="s">
        <v>17</v>
      </c>
      <c r="B3126" s="16" t="s">
        <v>18</v>
      </c>
      <c r="C3126" s="17" t="s">
        <v>19</v>
      </c>
      <c r="D3126" s="18" t="s">
        <v>1746</v>
      </c>
      <c r="E3126" s="18">
        <v>15</v>
      </c>
      <c r="F3126" s="18" t="s">
        <v>222</v>
      </c>
      <c r="G3126" s="18" t="s">
        <v>127</v>
      </c>
      <c r="H3126" s="18" t="s">
        <v>23</v>
      </c>
      <c r="I3126" s="19">
        <v>12.58</v>
      </c>
      <c r="J3126" s="20">
        <f t="shared" si="96"/>
        <v>188.7</v>
      </c>
      <c r="K3126" s="106"/>
      <c r="L3126" s="114"/>
      <c r="M3126" s="114">
        <f>tblAquisições[[#This Row],[VALOR UNITARIO COMPRADO]]*tblAquisições[[#This Row],[QUANTIDADE COMPRADA]]</f>
        <v>0</v>
      </c>
      <c r="N3126" s="110">
        <f>K3126-tblAquisições[[#This Row],[QUANTIDADE PLANEJADA]]</f>
        <v>-15</v>
      </c>
      <c r="O3126" s="106" t="str">
        <f t="shared" si="97"/>
        <v>Faltando Comprar</v>
      </c>
    </row>
    <row r="3127" spans="1:15" ht="47.25">
      <c r="A3127" s="16" t="s">
        <v>17</v>
      </c>
      <c r="B3127" s="16" t="s">
        <v>24</v>
      </c>
      <c r="C3127" s="17" t="s">
        <v>19</v>
      </c>
      <c r="D3127" s="18" t="s">
        <v>1746</v>
      </c>
      <c r="E3127" s="18">
        <v>15</v>
      </c>
      <c r="F3127" s="18" t="s">
        <v>222</v>
      </c>
      <c r="G3127" s="18" t="s">
        <v>127</v>
      </c>
      <c r="H3127" s="18" t="s">
        <v>23</v>
      </c>
      <c r="I3127" s="19">
        <v>12.58</v>
      </c>
      <c r="J3127" s="20">
        <f t="shared" si="96"/>
        <v>188.7</v>
      </c>
      <c r="K3127" s="106"/>
      <c r="L3127" s="114"/>
      <c r="M3127" s="114">
        <f>tblAquisições[[#This Row],[VALOR UNITARIO COMPRADO]]*tblAquisições[[#This Row],[QUANTIDADE COMPRADA]]</f>
        <v>0</v>
      </c>
      <c r="N3127" s="110">
        <f>K3127-tblAquisições[[#This Row],[QUANTIDADE PLANEJADA]]</f>
        <v>-15</v>
      </c>
      <c r="O3127" s="106" t="str">
        <f t="shared" si="97"/>
        <v>Faltando Comprar</v>
      </c>
    </row>
    <row r="3128" spans="1:15" ht="47.25">
      <c r="A3128" s="16" t="s">
        <v>17</v>
      </c>
      <c r="B3128" s="16" t="s">
        <v>25</v>
      </c>
      <c r="C3128" s="17" t="s">
        <v>19</v>
      </c>
      <c r="D3128" s="18" t="s">
        <v>1746</v>
      </c>
      <c r="E3128" s="18">
        <v>15</v>
      </c>
      <c r="F3128" s="18" t="s">
        <v>222</v>
      </c>
      <c r="G3128" s="18" t="s">
        <v>127</v>
      </c>
      <c r="H3128" s="18" t="s">
        <v>23</v>
      </c>
      <c r="I3128" s="19">
        <v>12.58</v>
      </c>
      <c r="J3128" s="20">
        <f t="shared" si="96"/>
        <v>188.7</v>
      </c>
      <c r="K3128" s="106"/>
      <c r="L3128" s="114"/>
      <c r="M3128" s="114">
        <f>tblAquisições[[#This Row],[VALOR UNITARIO COMPRADO]]*tblAquisições[[#This Row],[QUANTIDADE COMPRADA]]</f>
        <v>0</v>
      </c>
      <c r="N3128" s="110">
        <f>K3128-tblAquisições[[#This Row],[QUANTIDADE PLANEJADA]]</f>
        <v>-15</v>
      </c>
      <c r="O3128" s="106" t="str">
        <f t="shared" si="97"/>
        <v>Faltando Comprar</v>
      </c>
    </row>
    <row r="3129" spans="1:15" ht="47.25">
      <c r="A3129" s="16" t="s">
        <v>17</v>
      </c>
      <c r="B3129" s="16" t="s">
        <v>26</v>
      </c>
      <c r="C3129" s="17" t="s">
        <v>19</v>
      </c>
      <c r="D3129" s="18" t="s">
        <v>1746</v>
      </c>
      <c r="E3129" s="18">
        <v>20</v>
      </c>
      <c r="F3129" s="18" t="s">
        <v>222</v>
      </c>
      <c r="G3129" s="18" t="s">
        <v>127</v>
      </c>
      <c r="H3129" s="18" t="s">
        <v>23</v>
      </c>
      <c r="I3129" s="19">
        <v>12.58</v>
      </c>
      <c r="J3129" s="20">
        <f t="shared" si="96"/>
        <v>251.6</v>
      </c>
      <c r="K3129" s="106"/>
      <c r="L3129" s="114"/>
      <c r="M3129" s="114">
        <f>tblAquisições[[#This Row],[VALOR UNITARIO COMPRADO]]*tblAquisições[[#This Row],[QUANTIDADE COMPRADA]]</f>
        <v>0</v>
      </c>
      <c r="N3129" s="110">
        <f>K3129-tblAquisições[[#This Row],[QUANTIDADE PLANEJADA]]</f>
        <v>-20</v>
      </c>
      <c r="O3129" s="106" t="str">
        <f t="shared" si="97"/>
        <v>Faltando Comprar</v>
      </c>
    </row>
    <row r="3130" spans="1:15" ht="31.5">
      <c r="A3130" s="16" t="s">
        <v>17</v>
      </c>
      <c r="B3130" s="16" t="s">
        <v>26</v>
      </c>
      <c r="C3130" s="17" t="s">
        <v>19</v>
      </c>
      <c r="D3130" s="18" t="s">
        <v>1747</v>
      </c>
      <c r="E3130" s="18">
        <v>50</v>
      </c>
      <c r="F3130" s="18" t="s">
        <v>21</v>
      </c>
      <c r="G3130" s="18" t="s">
        <v>22</v>
      </c>
      <c r="H3130" s="18" t="s">
        <v>23</v>
      </c>
      <c r="I3130" s="19">
        <v>0.71</v>
      </c>
      <c r="J3130" s="20">
        <f t="shared" si="96"/>
        <v>35.5</v>
      </c>
      <c r="K3130" s="106"/>
      <c r="L3130" s="114"/>
      <c r="M3130" s="114">
        <f>tblAquisições[[#This Row],[VALOR UNITARIO COMPRADO]]*tblAquisições[[#This Row],[QUANTIDADE COMPRADA]]</f>
        <v>0</v>
      </c>
      <c r="N3130" s="110">
        <f>K3130-tblAquisições[[#This Row],[QUANTIDADE PLANEJADA]]</f>
        <v>-50</v>
      </c>
      <c r="O3130" s="106" t="str">
        <f t="shared" si="97"/>
        <v>Faltando Comprar</v>
      </c>
    </row>
    <row r="3131" spans="1:15" ht="31.5">
      <c r="A3131" s="16" t="s">
        <v>17</v>
      </c>
      <c r="B3131" s="16" t="s">
        <v>28</v>
      </c>
      <c r="C3131" s="17" t="s">
        <v>19</v>
      </c>
      <c r="D3131" s="18" t="s">
        <v>1747</v>
      </c>
      <c r="E3131" s="18">
        <v>30</v>
      </c>
      <c r="F3131" s="18" t="s">
        <v>21</v>
      </c>
      <c r="G3131" s="18" t="s">
        <v>22</v>
      </c>
      <c r="H3131" s="18" t="s">
        <v>65</v>
      </c>
      <c r="I3131" s="24">
        <v>150</v>
      </c>
      <c r="J3131" s="20">
        <f t="shared" si="96"/>
        <v>4500</v>
      </c>
      <c r="K3131" s="106"/>
      <c r="L3131" s="114"/>
      <c r="M3131" s="114">
        <f>tblAquisições[[#This Row],[VALOR UNITARIO COMPRADO]]*tblAquisições[[#This Row],[QUANTIDADE COMPRADA]]</f>
        <v>0</v>
      </c>
      <c r="N3131" s="110">
        <f>K3131-tblAquisições[[#This Row],[QUANTIDADE PLANEJADA]]</f>
        <v>-30</v>
      </c>
      <c r="O3131" s="106" t="str">
        <f t="shared" si="97"/>
        <v>Faltando Comprar</v>
      </c>
    </row>
    <row r="3132" spans="1:15" ht="31.5">
      <c r="A3132" s="16" t="s">
        <v>17</v>
      </c>
      <c r="B3132" s="16" t="s">
        <v>18</v>
      </c>
      <c r="C3132" s="17" t="s">
        <v>19</v>
      </c>
      <c r="D3132" s="18" t="s">
        <v>1748</v>
      </c>
      <c r="E3132" s="18">
        <v>600</v>
      </c>
      <c r="F3132" s="18" t="s">
        <v>21</v>
      </c>
      <c r="G3132" s="18" t="s">
        <v>22</v>
      </c>
      <c r="H3132" s="18" t="s">
        <v>23</v>
      </c>
      <c r="I3132" s="19">
        <v>2.36</v>
      </c>
      <c r="J3132" s="20">
        <f t="shared" si="96"/>
        <v>1416</v>
      </c>
      <c r="K3132" s="106"/>
      <c r="L3132" s="114"/>
      <c r="M3132" s="114">
        <f>tblAquisições[[#This Row],[VALOR UNITARIO COMPRADO]]*tblAquisições[[#This Row],[QUANTIDADE COMPRADA]]</f>
        <v>0</v>
      </c>
      <c r="N3132" s="110">
        <f>K3132-tblAquisições[[#This Row],[QUANTIDADE PLANEJADA]]</f>
        <v>-600</v>
      </c>
      <c r="O3132" s="106" t="str">
        <f t="shared" si="97"/>
        <v>Faltando Comprar</v>
      </c>
    </row>
    <row r="3133" spans="1:15" ht="31.5">
      <c r="A3133" s="16" t="s">
        <v>17</v>
      </c>
      <c r="B3133" s="16" t="s">
        <v>24</v>
      </c>
      <c r="C3133" s="17" t="s">
        <v>19</v>
      </c>
      <c r="D3133" s="18" t="s">
        <v>1748</v>
      </c>
      <c r="E3133" s="18">
        <v>600</v>
      </c>
      <c r="F3133" s="18" t="s">
        <v>21</v>
      </c>
      <c r="G3133" s="18" t="s">
        <v>22</v>
      </c>
      <c r="H3133" s="18" t="s">
        <v>23</v>
      </c>
      <c r="I3133" s="19">
        <v>2.36</v>
      </c>
      <c r="J3133" s="20">
        <f t="shared" si="96"/>
        <v>1416</v>
      </c>
      <c r="K3133" s="106"/>
      <c r="L3133" s="114"/>
      <c r="M3133" s="114">
        <f>tblAquisições[[#This Row],[VALOR UNITARIO COMPRADO]]*tblAquisições[[#This Row],[QUANTIDADE COMPRADA]]</f>
        <v>0</v>
      </c>
      <c r="N3133" s="110">
        <f>K3133-tblAquisições[[#This Row],[QUANTIDADE PLANEJADA]]</f>
        <v>-600</v>
      </c>
      <c r="O3133" s="106" t="str">
        <f t="shared" si="97"/>
        <v>Faltando Comprar</v>
      </c>
    </row>
    <row r="3134" spans="1:15" ht="31.5">
      <c r="A3134" s="16" t="s">
        <v>17</v>
      </c>
      <c r="B3134" s="16" t="s">
        <v>25</v>
      </c>
      <c r="C3134" s="17" t="s">
        <v>19</v>
      </c>
      <c r="D3134" s="18" t="s">
        <v>1748</v>
      </c>
      <c r="E3134" s="18">
        <v>600</v>
      </c>
      <c r="F3134" s="18" t="s">
        <v>21</v>
      </c>
      <c r="G3134" s="18" t="s">
        <v>22</v>
      </c>
      <c r="H3134" s="18" t="s">
        <v>23</v>
      </c>
      <c r="I3134" s="19">
        <v>2.36</v>
      </c>
      <c r="J3134" s="20">
        <f t="shared" si="96"/>
        <v>1416</v>
      </c>
      <c r="K3134" s="106"/>
      <c r="L3134" s="114"/>
      <c r="M3134" s="114">
        <f>tblAquisições[[#This Row],[VALOR UNITARIO COMPRADO]]*tblAquisições[[#This Row],[QUANTIDADE COMPRADA]]</f>
        <v>0</v>
      </c>
      <c r="N3134" s="110">
        <f>K3134-tblAquisições[[#This Row],[QUANTIDADE PLANEJADA]]</f>
        <v>-600</v>
      </c>
      <c r="O3134" s="106" t="str">
        <f t="shared" si="97"/>
        <v>Faltando Comprar</v>
      </c>
    </row>
    <row r="3135" spans="1:15" ht="31.5">
      <c r="A3135" s="16" t="s">
        <v>17</v>
      </c>
      <c r="B3135" s="16" t="s">
        <v>28</v>
      </c>
      <c r="C3135" s="17" t="s">
        <v>19</v>
      </c>
      <c r="D3135" s="18" t="s">
        <v>1748</v>
      </c>
      <c r="E3135" s="18">
        <v>50</v>
      </c>
      <c r="F3135" s="18" t="s">
        <v>21</v>
      </c>
      <c r="G3135" s="18" t="s">
        <v>22</v>
      </c>
      <c r="H3135" s="18" t="s">
        <v>23</v>
      </c>
      <c r="I3135" s="19">
        <v>2.36</v>
      </c>
      <c r="J3135" s="20">
        <f t="shared" si="96"/>
        <v>118</v>
      </c>
      <c r="K3135" s="106"/>
      <c r="L3135" s="114"/>
      <c r="M3135" s="114">
        <f>tblAquisições[[#This Row],[VALOR UNITARIO COMPRADO]]*tblAquisições[[#This Row],[QUANTIDADE COMPRADA]]</f>
        <v>0</v>
      </c>
      <c r="N3135" s="110">
        <f>K3135-tblAquisições[[#This Row],[QUANTIDADE PLANEJADA]]</f>
        <v>-50</v>
      </c>
      <c r="O3135" s="106" t="str">
        <f t="shared" si="97"/>
        <v>Faltando Comprar</v>
      </c>
    </row>
    <row r="3136" spans="1:15" ht="31.5">
      <c r="A3136" s="16" t="s">
        <v>17</v>
      </c>
      <c r="B3136" s="16" t="s">
        <v>26</v>
      </c>
      <c r="C3136" s="17" t="s">
        <v>19</v>
      </c>
      <c r="D3136" s="18" t="s">
        <v>1749</v>
      </c>
      <c r="E3136" s="18">
        <v>5</v>
      </c>
      <c r="F3136" s="18" t="s">
        <v>21</v>
      </c>
      <c r="G3136" s="18" t="s">
        <v>22</v>
      </c>
      <c r="H3136" s="18" t="s">
        <v>23</v>
      </c>
      <c r="I3136" s="19">
        <v>6.39</v>
      </c>
      <c r="J3136" s="20">
        <f t="shared" si="96"/>
        <v>31.95</v>
      </c>
      <c r="K3136" s="106"/>
      <c r="L3136" s="114"/>
      <c r="M3136" s="114">
        <f>tblAquisições[[#This Row],[VALOR UNITARIO COMPRADO]]*tblAquisições[[#This Row],[QUANTIDADE COMPRADA]]</f>
        <v>0</v>
      </c>
      <c r="N3136" s="110">
        <f>K3136-tblAquisições[[#This Row],[QUANTIDADE PLANEJADA]]</f>
        <v>-5</v>
      </c>
      <c r="O3136" s="106" t="str">
        <f t="shared" si="97"/>
        <v>Faltando Comprar</v>
      </c>
    </row>
    <row r="3137" spans="1:15" ht="31.5">
      <c r="A3137" s="16" t="s">
        <v>17</v>
      </c>
      <c r="B3137" s="16" t="s">
        <v>28</v>
      </c>
      <c r="C3137" s="17" t="s">
        <v>19</v>
      </c>
      <c r="D3137" s="18" t="s">
        <v>1749</v>
      </c>
      <c r="E3137" s="18">
        <v>50</v>
      </c>
      <c r="F3137" s="18" t="s">
        <v>21</v>
      </c>
      <c r="G3137" s="18" t="s">
        <v>22</v>
      </c>
      <c r="H3137" s="18" t="s">
        <v>23</v>
      </c>
      <c r="I3137" s="19">
        <v>6.39</v>
      </c>
      <c r="J3137" s="20">
        <f t="shared" si="96"/>
        <v>319.5</v>
      </c>
      <c r="K3137" s="106"/>
      <c r="L3137" s="114"/>
      <c r="M3137" s="114">
        <f>tblAquisições[[#This Row],[VALOR UNITARIO COMPRADO]]*tblAquisições[[#This Row],[QUANTIDADE COMPRADA]]</f>
        <v>0</v>
      </c>
      <c r="N3137" s="110">
        <f>K3137-tblAquisições[[#This Row],[QUANTIDADE PLANEJADA]]</f>
        <v>-50</v>
      </c>
      <c r="O3137" s="106" t="str">
        <f t="shared" si="97"/>
        <v>Faltando Comprar</v>
      </c>
    </row>
    <row r="3138" spans="1:15" ht="31.5">
      <c r="A3138" s="16" t="s">
        <v>17</v>
      </c>
      <c r="B3138" s="16" t="s">
        <v>26</v>
      </c>
      <c r="C3138" s="17" t="s">
        <v>19</v>
      </c>
      <c r="D3138" s="18" t="s">
        <v>1750</v>
      </c>
      <c r="E3138" s="18">
        <v>5</v>
      </c>
      <c r="F3138" s="18" t="s">
        <v>21</v>
      </c>
      <c r="G3138" s="18" t="s">
        <v>22</v>
      </c>
      <c r="H3138" s="18" t="s">
        <v>23</v>
      </c>
      <c r="I3138" s="19">
        <v>5.27</v>
      </c>
      <c r="J3138" s="20">
        <f t="shared" ref="J3138:J3201" si="98">E3138*I3138</f>
        <v>26.349999999999998</v>
      </c>
      <c r="K3138" s="106"/>
      <c r="L3138" s="114"/>
      <c r="M3138" s="114">
        <f>tblAquisições[[#This Row],[VALOR UNITARIO COMPRADO]]*tblAquisições[[#This Row],[QUANTIDADE COMPRADA]]</f>
        <v>0</v>
      </c>
      <c r="N3138" s="110">
        <f>K3138-tblAquisições[[#This Row],[QUANTIDADE PLANEJADA]]</f>
        <v>-5</v>
      </c>
      <c r="O3138" s="106" t="str">
        <f t="shared" ref="O3138:O3201" si="99">IF(K3138=E3138,"OK",IF(K3138&lt;E3138,"Faltando Comprar","Excedente"))</f>
        <v>Faltando Comprar</v>
      </c>
    </row>
    <row r="3139" spans="1:15" ht="31.5">
      <c r="A3139" s="16" t="s">
        <v>17</v>
      </c>
      <c r="B3139" s="16" t="s">
        <v>28</v>
      </c>
      <c r="C3139" s="17" t="s">
        <v>19</v>
      </c>
      <c r="D3139" s="18" t="s">
        <v>1750</v>
      </c>
      <c r="E3139" s="18">
        <v>50</v>
      </c>
      <c r="F3139" s="18" t="s">
        <v>21</v>
      </c>
      <c r="G3139" s="18" t="s">
        <v>22</v>
      </c>
      <c r="H3139" s="18" t="s">
        <v>23</v>
      </c>
      <c r="I3139" s="19">
        <v>5.27</v>
      </c>
      <c r="J3139" s="20">
        <f t="shared" si="98"/>
        <v>263.5</v>
      </c>
      <c r="K3139" s="106"/>
      <c r="L3139" s="114"/>
      <c r="M3139" s="114">
        <f>tblAquisições[[#This Row],[VALOR UNITARIO COMPRADO]]*tblAquisições[[#This Row],[QUANTIDADE COMPRADA]]</f>
        <v>0</v>
      </c>
      <c r="N3139" s="110">
        <f>K3139-tblAquisições[[#This Row],[QUANTIDADE PLANEJADA]]</f>
        <v>-50</v>
      </c>
      <c r="O3139" s="106" t="str">
        <f t="shared" si="99"/>
        <v>Faltando Comprar</v>
      </c>
    </row>
    <row r="3140" spans="1:15" ht="31.5">
      <c r="A3140" s="16" t="s">
        <v>17</v>
      </c>
      <c r="B3140" s="16" t="s">
        <v>80</v>
      </c>
      <c r="C3140" s="17" t="s">
        <v>19</v>
      </c>
      <c r="D3140" s="18" t="s">
        <v>1751</v>
      </c>
      <c r="E3140" s="18">
        <v>10</v>
      </c>
      <c r="F3140" s="18" t="s">
        <v>38</v>
      </c>
      <c r="G3140" s="18" t="s">
        <v>39</v>
      </c>
      <c r="H3140" s="18" t="s">
        <v>23</v>
      </c>
      <c r="I3140" s="19">
        <v>20</v>
      </c>
      <c r="J3140" s="20">
        <f t="shared" si="98"/>
        <v>200</v>
      </c>
      <c r="K3140" s="106"/>
      <c r="L3140" s="114"/>
      <c r="M3140" s="114">
        <f>tblAquisições[[#This Row],[VALOR UNITARIO COMPRADO]]*tblAquisições[[#This Row],[QUANTIDADE COMPRADA]]</f>
        <v>0</v>
      </c>
      <c r="N3140" s="110">
        <f>K3140-tblAquisições[[#This Row],[QUANTIDADE PLANEJADA]]</f>
        <v>-10</v>
      </c>
      <c r="O3140" s="106" t="str">
        <f t="shared" si="99"/>
        <v>Faltando Comprar</v>
      </c>
    </row>
    <row r="3141" spans="1:15" ht="31.5">
      <c r="A3141" s="16" t="s">
        <v>17</v>
      </c>
      <c r="B3141" s="16" t="s">
        <v>28</v>
      </c>
      <c r="C3141" s="17" t="s">
        <v>19</v>
      </c>
      <c r="D3141" s="18" t="s">
        <v>1752</v>
      </c>
      <c r="E3141" s="18">
        <v>30</v>
      </c>
      <c r="F3141" s="18" t="s">
        <v>21</v>
      </c>
      <c r="G3141" s="18" t="s">
        <v>22</v>
      </c>
      <c r="H3141" s="18" t="s">
        <v>23</v>
      </c>
      <c r="I3141" s="19">
        <v>20</v>
      </c>
      <c r="J3141" s="20">
        <f t="shared" si="98"/>
        <v>600</v>
      </c>
      <c r="K3141" s="106"/>
      <c r="L3141" s="114"/>
      <c r="M3141" s="114">
        <f>tblAquisições[[#This Row],[VALOR UNITARIO COMPRADO]]*tblAquisições[[#This Row],[QUANTIDADE COMPRADA]]</f>
        <v>0</v>
      </c>
      <c r="N3141" s="110">
        <f>K3141-tblAquisições[[#This Row],[QUANTIDADE PLANEJADA]]</f>
        <v>-30</v>
      </c>
      <c r="O3141" s="106" t="str">
        <f t="shared" si="99"/>
        <v>Faltando Comprar</v>
      </c>
    </row>
    <row r="3142" spans="1:15" ht="47.25">
      <c r="A3142" s="16" t="s">
        <v>17</v>
      </c>
      <c r="B3142" s="16" t="s">
        <v>28</v>
      </c>
      <c r="C3142" s="17" t="s">
        <v>19</v>
      </c>
      <c r="D3142" s="18" t="s">
        <v>1753</v>
      </c>
      <c r="E3142" s="18">
        <v>30</v>
      </c>
      <c r="F3142" s="18" t="s">
        <v>78</v>
      </c>
      <c r="G3142" s="18" t="s">
        <v>22</v>
      </c>
      <c r="H3142" s="18" t="s">
        <v>23</v>
      </c>
      <c r="I3142" s="19">
        <v>5.93</v>
      </c>
      <c r="J3142" s="20">
        <f t="shared" si="98"/>
        <v>177.89999999999998</v>
      </c>
      <c r="K3142" s="106"/>
      <c r="L3142" s="114"/>
      <c r="M3142" s="114">
        <f>tblAquisições[[#This Row],[VALOR UNITARIO COMPRADO]]*tblAquisições[[#This Row],[QUANTIDADE COMPRADA]]</f>
        <v>0</v>
      </c>
      <c r="N3142" s="110">
        <f>K3142-tblAquisições[[#This Row],[QUANTIDADE PLANEJADA]]</f>
        <v>-30</v>
      </c>
      <c r="O3142" s="106" t="str">
        <f t="shared" si="99"/>
        <v>Faltando Comprar</v>
      </c>
    </row>
    <row r="3143" spans="1:15" ht="31.5">
      <c r="A3143" s="16" t="s">
        <v>17</v>
      </c>
      <c r="B3143" s="16" t="s">
        <v>18</v>
      </c>
      <c r="C3143" s="17" t="s">
        <v>19</v>
      </c>
      <c r="D3143" s="18" t="s">
        <v>1754</v>
      </c>
      <c r="E3143" s="18">
        <v>100</v>
      </c>
      <c r="F3143" s="18" t="s">
        <v>30</v>
      </c>
      <c r="G3143" s="18" t="s">
        <v>22</v>
      </c>
      <c r="H3143" s="18" t="s">
        <v>23</v>
      </c>
      <c r="I3143" s="19">
        <v>19.57</v>
      </c>
      <c r="J3143" s="20">
        <f t="shared" si="98"/>
        <v>1957</v>
      </c>
      <c r="K3143" s="106"/>
      <c r="L3143" s="114"/>
      <c r="M3143" s="114">
        <f>tblAquisições[[#This Row],[VALOR UNITARIO COMPRADO]]*tblAquisições[[#This Row],[QUANTIDADE COMPRADA]]</f>
        <v>0</v>
      </c>
      <c r="N3143" s="110">
        <f>K3143-tblAquisições[[#This Row],[QUANTIDADE PLANEJADA]]</f>
        <v>-100</v>
      </c>
      <c r="O3143" s="106" t="str">
        <f t="shared" si="99"/>
        <v>Faltando Comprar</v>
      </c>
    </row>
    <row r="3144" spans="1:15" ht="31.5">
      <c r="A3144" s="16" t="s">
        <v>17</v>
      </c>
      <c r="B3144" s="16" t="s">
        <v>24</v>
      </c>
      <c r="C3144" s="17" t="s">
        <v>19</v>
      </c>
      <c r="D3144" s="18" t="s">
        <v>1754</v>
      </c>
      <c r="E3144" s="18">
        <v>100</v>
      </c>
      <c r="F3144" s="18" t="s">
        <v>30</v>
      </c>
      <c r="G3144" s="18" t="s">
        <v>22</v>
      </c>
      <c r="H3144" s="18" t="s">
        <v>23</v>
      </c>
      <c r="I3144" s="19">
        <v>19.57</v>
      </c>
      <c r="J3144" s="20">
        <f t="shared" si="98"/>
        <v>1957</v>
      </c>
      <c r="K3144" s="106"/>
      <c r="L3144" s="114"/>
      <c r="M3144" s="114">
        <f>tblAquisições[[#This Row],[VALOR UNITARIO COMPRADO]]*tblAquisições[[#This Row],[QUANTIDADE COMPRADA]]</f>
        <v>0</v>
      </c>
      <c r="N3144" s="110">
        <f>K3144-tblAquisições[[#This Row],[QUANTIDADE PLANEJADA]]</f>
        <v>-100</v>
      </c>
      <c r="O3144" s="106" t="str">
        <f t="shared" si="99"/>
        <v>Faltando Comprar</v>
      </c>
    </row>
    <row r="3145" spans="1:15" ht="31.5">
      <c r="A3145" s="16" t="s">
        <v>17</v>
      </c>
      <c r="B3145" s="16" t="s">
        <v>25</v>
      </c>
      <c r="C3145" s="17" t="s">
        <v>19</v>
      </c>
      <c r="D3145" s="18" t="s">
        <v>1754</v>
      </c>
      <c r="E3145" s="18">
        <v>100</v>
      </c>
      <c r="F3145" s="18" t="s">
        <v>30</v>
      </c>
      <c r="G3145" s="18" t="s">
        <v>22</v>
      </c>
      <c r="H3145" s="18" t="s">
        <v>23</v>
      </c>
      <c r="I3145" s="19">
        <v>19.57</v>
      </c>
      <c r="J3145" s="20">
        <f t="shared" si="98"/>
        <v>1957</v>
      </c>
      <c r="K3145" s="106"/>
      <c r="L3145" s="114"/>
      <c r="M3145" s="114">
        <f>tblAquisições[[#This Row],[VALOR UNITARIO COMPRADO]]*tblAquisições[[#This Row],[QUANTIDADE COMPRADA]]</f>
        <v>0</v>
      </c>
      <c r="N3145" s="110">
        <f>K3145-tblAquisições[[#This Row],[QUANTIDADE PLANEJADA]]</f>
        <v>-100</v>
      </c>
      <c r="O3145" s="106" t="str">
        <f t="shared" si="99"/>
        <v>Faltando Comprar</v>
      </c>
    </row>
    <row r="3146" spans="1:15" ht="47.25">
      <c r="A3146" s="16" t="s">
        <v>17</v>
      </c>
      <c r="B3146" s="16" t="s">
        <v>80</v>
      </c>
      <c r="C3146" s="17" t="s">
        <v>19</v>
      </c>
      <c r="D3146" s="18" t="s">
        <v>1755</v>
      </c>
      <c r="E3146" s="18">
        <v>12</v>
      </c>
      <c r="F3146" s="18" t="s">
        <v>96</v>
      </c>
      <c r="G3146" s="18" t="s">
        <v>39</v>
      </c>
      <c r="H3146" s="18" t="s">
        <v>23</v>
      </c>
      <c r="I3146" s="19">
        <v>9.33</v>
      </c>
      <c r="J3146" s="20">
        <f t="shared" si="98"/>
        <v>111.96000000000001</v>
      </c>
      <c r="K3146" s="106"/>
      <c r="L3146" s="114"/>
      <c r="M3146" s="114">
        <f>tblAquisições[[#This Row],[VALOR UNITARIO COMPRADO]]*tblAquisições[[#This Row],[QUANTIDADE COMPRADA]]</f>
        <v>0</v>
      </c>
      <c r="N3146" s="110">
        <f>K3146-tblAquisições[[#This Row],[QUANTIDADE PLANEJADA]]</f>
        <v>-12</v>
      </c>
      <c r="O3146" s="106" t="str">
        <f t="shared" si="99"/>
        <v>Faltando Comprar</v>
      </c>
    </row>
    <row r="3147" spans="1:15" ht="47.25">
      <c r="A3147" s="16" t="s">
        <v>17</v>
      </c>
      <c r="B3147" s="16" t="s">
        <v>80</v>
      </c>
      <c r="C3147" s="17" t="s">
        <v>19</v>
      </c>
      <c r="D3147" s="18" t="s">
        <v>1756</v>
      </c>
      <c r="E3147" s="18">
        <v>4</v>
      </c>
      <c r="F3147" s="18" t="s">
        <v>147</v>
      </c>
      <c r="G3147" s="18" t="s">
        <v>39</v>
      </c>
      <c r="H3147" s="18" t="s">
        <v>23</v>
      </c>
      <c r="I3147" s="19">
        <v>108.98</v>
      </c>
      <c r="J3147" s="20">
        <f t="shared" si="98"/>
        <v>435.92</v>
      </c>
      <c r="K3147" s="106"/>
      <c r="L3147" s="114"/>
      <c r="M3147" s="114">
        <f>tblAquisições[[#This Row],[VALOR UNITARIO COMPRADO]]*tblAquisições[[#This Row],[QUANTIDADE COMPRADA]]</f>
        <v>0</v>
      </c>
      <c r="N3147" s="110">
        <f>K3147-tblAquisições[[#This Row],[QUANTIDADE PLANEJADA]]</f>
        <v>-4</v>
      </c>
      <c r="O3147" s="106" t="str">
        <f t="shared" si="99"/>
        <v>Faltando Comprar</v>
      </c>
    </row>
    <row r="3148" spans="1:15" ht="31.5">
      <c r="A3148" s="16" t="s">
        <v>17</v>
      </c>
      <c r="B3148" s="16" t="s">
        <v>80</v>
      </c>
      <c r="C3148" s="17" t="s">
        <v>19</v>
      </c>
      <c r="D3148" s="18" t="s">
        <v>1757</v>
      </c>
      <c r="E3148" s="18">
        <v>2</v>
      </c>
      <c r="F3148" s="18" t="s">
        <v>468</v>
      </c>
      <c r="G3148" s="18" t="s">
        <v>39</v>
      </c>
      <c r="H3148" s="21"/>
      <c r="I3148" s="19">
        <v>17.93</v>
      </c>
      <c r="J3148" s="20">
        <f t="shared" si="98"/>
        <v>35.86</v>
      </c>
      <c r="K3148" s="106"/>
      <c r="L3148" s="114"/>
      <c r="M3148" s="114">
        <f>tblAquisições[[#This Row],[VALOR UNITARIO COMPRADO]]*tblAquisições[[#This Row],[QUANTIDADE COMPRADA]]</f>
        <v>0</v>
      </c>
      <c r="N3148" s="110">
        <f>K3148-tblAquisições[[#This Row],[QUANTIDADE PLANEJADA]]</f>
        <v>-2</v>
      </c>
      <c r="O3148" s="106" t="str">
        <f t="shared" si="99"/>
        <v>Faltando Comprar</v>
      </c>
    </row>
    <row r="3149" spans="1:15" ht="31.5">
      <c r="A3149" s="16" t="s">
        <v>17</v>
      </c>
      <c r="B3149" s="16" t="s">
        <v>80</v>
      </c>
      <c r="C3149" s="17" t="s">
        <v>19</v>
      </c>
      <c r="D3149" s="18" t="s">
        <v>1758</v>
      </c>
      <c r="E3149" s="18">
        <v>2</v>
      </c>
      <c r="F3149" s="18" t="s">
        <v>468</v>
      </c>
      <c r="G3149" s="18" t="s">
        <v>39</v>
      </c>
      <c r="H3149" s="21"/>
      <c r="I3149" s="19">
        <v>5.68</v>
      </c>
      <c r="J3149" s="20">
        <f t="shared" si="98"/>
        <v>11.36</v>
      </c>
      <c r="K3149" s="106"/>
      <c r="L3149" s="114"/>
      <c r="M3149" s="114">
        <f>tblAquisições[[#This Row],[VALOR UNITARIO COMPRADO]]*tblAquisições[[#This Row],[QUANTIDADE COMPRADA]]</f>
        <v>0</v>
      </c>
      <c r="N3149" s="110">
        <f>K3149-tblAquisições[[#This Row],[QUANTIDADE PLANEJADA]]</f>
        <v>-2</v>
      </c>
      <c r="O3149" s="106" t="str">
        <f t="shared" si="99"/>
        <v>Faltando Comprar</v>
      </c>
    </row>
    <row r="3150" spans="1:15" ht="31.5">
      <c r="A3150" s="16" t="s">
        <v>17</v>
      </c>
      <c r="B3150" s="16" t="s">
        <v>18</v>
      </c>
      <c r="C3150" s="17" t="s">
        <v>19</v>
      </c>
      <c r="D3150" s="18" t="s">
        <v>1759</v>
      </c>
      <c r="E3150" s="18">
        <v>5</v>
      </c>
      <c r="F3150" s="18" t="s">
        <v>328</v>
      </c>
      <c r="G3150" s="18" t="s">
        <v>22</v>
      </c>
      <c r="H3150" s="18" t="s">
        <v>23</v>
      </c>
      <c r="I3150" s="19">
        <v>5.68</v>
      </c>
      <c r="J3150" s="20">
        <f t="shared" si="98"/>
        <v>28.4</v>
      </c>
      <c r="K3150" s="106"/>
      <c r="L3150" s="114"/>
      <c r="M3150" s="114">
        <f>tblAquisições[[#This Row],[VALOR UNITARIO COMPRADO]]*tblAquisições[[#This Row],[QUANTIDADE COMPRADA]]</f>
        <v>0</v>
      </c>
      <c r="N3150" s="110">
        <f>K3150-tblAquisições[[#This Row],[QUANTIDADE PLANEJADA]]</f>
        <v>-5</v>
      </c>
      <c r="O3150" s="106" t="str">
        <f t="shared" si="99"/>
        <v>Faltando Comprar</v>
      </c>
    </row>
    <row r="3151" spans="1:15" ht="31.5">
      <c r="A3151" s="16" t="s">
        <v>17</v>
      </c>
      <c r="B3151" s="16" t="s">
        <v>24</v>
      </c>
      <c r="C3151" s="17" t="s">
        <v>19</v>
      </c>
      <c r="D3151" s="18" t="s">
        <v>1759</v>
      </c>
      <c r="E3151" s="18">
        <v>5</v>
      </c>
      <c r="F3151" s="18" t="s">
        <v>328</v>
      </c>
      <c r="G3151" s="18" t="s">
        <v>22</v>
      </c>
      <c r="H3151" s="18" t="s">
        <v>23</v>
      </c>
      <c r="I3151" s="19">
        <v>5.68</v>
      </c>
      <c r="J3151" s="20">
        <f t="shared" si="98"/>
        <v>28.4</v>
      </c>
      <c r="K3151" s="106"/>
      <c r="L3151" s="114"/>
      <c r="M3151" s="114">
        <f>tblAquisições[[#This Row],[VALOR UNITARIO COMPRADO]]*tblAquisições[[#This Row],[QUANTIDADE COMPRADA]]</f>
        <v>0</v>
      </c>
      <c r="N3151" s="110">
        <f>K3151-tblAquisições[[#This Row],[QUANTIDADE PLANEJADA]]</f>
        <v>-5</v>
      </c>
      <c r="O3151" s="106" t="str">
        <f t="shared" si="99"/>
        <v>Faltando Comprar</v>
      </c>
    </row>
    <row r="3152" spans="1:15" ht="31.5">
      <c r="A3152" s="16" t="s">
        <v>17</v>
      </c>
      <c r="B3152" s="16" t="s">
        <v>25</v>
      </c>
      <c r="C3152" s="17" t="s">
        <v>19</v>
      </c>
      <c r="D3152" s="18" t="s">
        <v>1759</v>
      </c>
      <c r="E3152" s="18">
        <v>5</v>
      </c>
      <c r="F3152" s="18" t="s">
        <v>328</v>
      </c>
      <c r="G3152" s="18" t="s">
        <v>22</v>
      </c>
      <c r="H3152" s="18" t="s">
        <v>23</v>
      </c>
      <c r="I3152" s="19">
        <v>5.68</v>
      </c>
      <c r="J3152" s="20">
        <f t="shared" si="98"/>
        <v>28.4</v>
      </c>
      <c r="K3152" s="106"/>
      <c r="L3152" s="114"/>
      <c r="M3152" s="114">
        <f>tblAquisições[[#This Row],[VALOR UNITARIO COMPRADO]]*tblAquisições[[#This Row],[QUANTIDADE COMPRADA]]</f>
        <v>0</v>
      </c>
      <c r="N3152" s="110">
        <f>K3152-tblAquisições[[#This Row],[QUANTIDADE PLANEJADA]]</f>
        <v>-5</v>
      </c>
      <c r="O3152" s="106" t="str">
        <f t="shared" si="99"/>
        <v>Faltando Comprar</v>
      </c>
    </row>
    <row r="3153" spans="1:15" ht="31.5">
      <c r="A3153" s="16" t="s">
        <v>17</v>
      </c>
      <c r="B3153" s="16" t="s">
        <v>27</v>
      </c>
      <c r="C3153" s="17" t="s">
        <v>19</v>
      </c>
      <c r="D3153" s="18" t="s">
        <v>1759</v>
      </c>
      <c r="E3153" s="18">
        <v>4</v>
      </c>
      <c r="F3153" s="18" t="s">
        <v>328</v>
      </c>
      <c r="G3153" s="18" t="s">
        <v>22</v>
      </c>
      <c r="H3153" s="18" t="s">
        <v>23</v>
      </c>
      <c r="I3153" s="19">
        <v>5.68</v>
      </c>
      <c r="J3153" s="20">
        <f t="shared" si="98"/>
        <v>22.72</v>
      </c>
      <c r="K3153" s="106"/>
      <c r="L3153" s="114"/>
      <c r="M3153" s="114">
        <f>tblAquisições[[#This Row],[VALOR UNITARIO COMPRADO]]*tblAquisições[[#This Row],[QUANTIDADE COMPRADA]]</f>
        <v>0</v>
      </c>
      <c r="N3153" s="110">
        <f>K3153-tblAquisições[[#This Row],[QUANTIDADE PLANEJADA]]</f>
        <v>-4</v>
      </c>
      <c r="O3153" s="106" t="str">
        <f t="shared" si="99"/>
        <v>Faltando Comprar</v>
      </c>
    </row>
    <row r="3154" spans="1:15" ht="31.5">
      <c r="A3154" s="16" t="s">
        <v>17</v>
      </c>
      <c r="B3154" s="16" t="s">
        <v>28</v>
      </c>
      <c r="C3154" s="17" t="s">
        <v>19</v>
      </c>
      <c r="D3154" s="18" t="s">
        <v>1759</v>
      </c>
      <c r="E3154" s="18">
        <v>10</v>
      </c>
      <c r="F3154" s="18" t="s">
        <v>328</v>
      </c>
      <c r="G3154" s="18" t="s">
        <v>22</v>
      </c>
      <c r="H3154" s="18" t="s">
        <v>23</v>
      </c>
      <c r="I3154" s="19">
        <v>5.68</v>
      </c>
      <c r="J3154" s="20">
        <f t="shared" si="98"/>
        <v>56.8</v>
      </c>
      <c r="K3154" s="106"/>
      <c r="L3154" s="114"/>
      <c r="M3154" s="114">
        <f>tblAquisições[[#This Row],[VALOR UNITARIO COMPRADO]]*tblAquisições[[#This Row],[QUANTIDADE COMPRADA]]</f>
        <v>0</v>
      </c>
      <c r="N3154" s="110">
        <f>K3154-tblAquisições[[#This Row],[QUANTIDADE PLANEJADA]]</f>
        <v>-10</v>
      </c>
      <c r="O3154" s="106" t="str">
        <f t="shared" si="99"/>
        <v>Faltando Comprar</v>
      </c>
    </row>
    <row r="3155" spans="1:15" ht="47.25">
      <c r="A3155" s="16" t="s">
        <v>17</v>
      </c>
      <c r="B3155" s="16" t="s">
        <v>28</v>
      </c>
      <c r="C3155" s="17" t="s">
        <v>19</v>
      </c>
      <c r="D3155" s="18" t="s">
        <v>1760</v>
      </c>
      <c r="E3155" s="18">
        <v>2</v>
      </c>
      <c r="F3155" s="18" t="s">
        <v>78</v>
      </c>
      <c r="G3155" s="18" t="s">
        <v>22</v>
      </c>
      <c r="H3155" s="18" t="s">
        <v>23</v>
      </c>
      <c r="I3155" s="19">
        <v>142.57</v>
      </c>
      <c r="J3155" s="20">
        <f t="shared" si="98"/>
        <v>285.14</v>
      </c>
      <c r="K3155" s="106"/>
      <c r="L3155" s="114"/>
      <c r="M3155" s="114">
        <f>tblAquisições[[#This Row],[VALOR UNITARIO COMPRADO]]*tblAquisições[[#This Row],[QUANTIDADE COMPRADA]]</f>
        <v>0</v>
      </c>
      <c r="N3155" s="110">
        <f>K3155-tblAquisições[[#This Row],[QUANTIDADE PLANEJADA]]</f>
        <v>-2</v>
      </c>
      <c r="O3155" s="106" t="str">
        <f t="shared" si="99"/>
        <v>Faltando Comprar</v>
      </c>
    </row>
    <row r="3156" spans="1:15" ht="47.25">
      <c r="A3156" s="16" t="s">
        <v>17</v>
      </c>
      <c r="B3156" s="16" t="s">
        <v>28</v>
      </c>
      <c r="C3156" s="17" t="s">
        <v>19</v>
      </c>
      <c r="D3156" s="18" t="s">
        <v>1761</v>
      </c>
      <c r="E3156" s="18">
        <v>15</v>
      </c>
      <c r="F3156" s="18" t="s">
        <v>78</v>
      </c>
      <c r="G3156" s="18" t="s">
        <v>22</v>
      </c>
      <c r="H3156" s="18" t="s">
        <v>23</v>
      </c>
      <c r="I3156" s="19">
        <v>14.51</v>
      </c>
      <c r="J3156" s="20">
        <f t="shared" si="98"/>
        <v>217.65</v>
      </c>
      <c r="K3156" s="106"/>
      <c r="L3156" s="114"/>
      <c r="M3156" s="114">
        <f>tblAquisições[[#This Row],[VALOR UNITARIO COMPRADO]]*tblAquisições[[#This Row],[QUANTIDADE COMPRADA]]</f>
        <v>0</v>
      </c>
      <c r="N3156" s="110">
        <f>K3156-tblAquisições[[#This Row],[QUANTIDADE PLANEJADA]]</f>
        <v>-15</v>
      </c>
      <c r="O3156" s="106" t="str">
        <f t="shared" si="99"/>
        <v>Faltando Comprar</v>
      </c>
    </row>
    <row r="3157" spans="1:15" ht="47.25">
      <c r="A3157" s="16" t="s">
        <v>17</v>
      </c>
      <c r="B3157" s="16" t="s">
        <v>28</v>
      </c>
      <c r="C3157" s="17" t="s">
        <v>19</v>
      </c>
      <c r="D3157" s="18" t="s">
        <v>1762</v>
      </c>
      <c r="E3157" s="18">
        <v>4</v>
      </c>
      <c r="F3157" s="18" t="s">
        <v>78</v>
      </c>
      <c r="G3157" s="18" t="s">
        <v>22</v>
      </c>
      <c r="H3157" s="18" t="s">
        <v>23</v>
      </c>
      <c r="I3157" s="19">
        <v>17.7</v>
      </c>
      <c r="J3157" s="20">
        <f t="shared" si="98"/>
        <v>70.8</v>
      </c>
      <c r="K3157" s="106"/>
      <c r="L3157" s="114"/>
      <c r="M3157" s="114">
        <f>tblAquisições[[#This Row],[VALOR UNITARIO COMPRADO]]*tblAquisições[[#This Row],[QUANTIDADE COMPRADA]]</f>
        <v>0</v>
      </c>
      <c r="N3157" s="110">
        <f>K3157-tblAquisições[[#This Row],[QUANTIDADE PLANEJADA]]</f>
        <v>-4</v>
      </c>
      <c r="O3157" s="106" t="str">
        <f t="shared" si="99"/>
        <v>Faltando Comprar</v>
      </c>
    </row>
    <row r="3158" spans="1:15" ht="47.25">
      <c r="A3158" s="16" t="s">
        <v>17</v>
      </c>
      <c r="B3158" s="16" t="s">
        <v>26</v>
      </c>
      <c r="C3158" s="17" t="s">
        <v>19</v>
      </c>
      <c r="D3158" s="18" t="s">
        <v>1763</v>
      </c>
      <c r="E3158" s="18">
        <v>50</v>
      </c>
      <c r="F3158" s="18" t="s">
        <v>30</v>
      </c>
      <c r="G3158" s="18" t="s">
        <v>22</v>
      </c>
      <c r="H3158" s="18" t="s">
        <v>83</v>
      </c>
      <c r="I3158" s="19">
        <v>117.83</v>
      </c>
      <c r="J3158" s="20">
        <f t="shared" si="98"/>
        <v>5891.5</v>
      </c>
      <c r="K3158" s="106"/>
      <c r="L3158" s="114"/>
      <c r="M3158" s="114">
        <f>tblAquisições[[#This Row],[VALOR UNITARIO COMPRADO]]*tblAquisições[[#This Row],[QUANTIDADE COMPRADA]]</f>
        <v>0</v>
      </c>
      <c r="N3158" s="110">
        <f>K3158-tblAquisições[[#This Row],[QUANTIDADE PLANEJADA]]</f>
        <v>-50</v>
      </c>
      <c r="O3158" s="106" t="str">
        <f t="shared" si="99"/>
        <v>Faltando Comprar</v>
      </c>
    </row>
    <row r="3159" spans="1:15" ht="47.25">
      <c r="A3159" s="16" t="s">
        <v>17</v>
      </c>
      <c r="B3159" s="16" t="s">
        <v>80</v>
      </c>
      <c r="C3159" s="17" t="s">
        <v>19</v>
      </c>
      <c r="D3159" s="18" t="s">
        <v>1764</v>
      </c>
      <c r="E3159" s="18">
        <v>30</v>
      </c>
      <c r="F3159" s="18" t="s">
        <v>82</v>
      </c>
      <c r="G3159" s="18" t="s">
        <v>39</v>
      </c>
      <c r="H3159" s="18" t="s">
        <v>83</v>
      </c>
      <c r="I3159" s="19">
        <v>56.5</v>
      </c>
      <c r="J3159" s="20">
        <f t="shared" si="98"/>
        <v>1695</v>
      </c>
      <c r="K3159" s="106"/>
      <c r="L3159" s="114"/>
      <c r="M3159" s="114">
        <f>tblAquisições[[#This Row],[VALOR UNITARIO COMPRADO]]*tblAquisições[[#This Row],[QUANTIDADE COMPRADA]]</f>
        <v>0</v>
      </c>
      <c r="N3159" s="110">
        <f>K3159-tblAquisições[[#This Row],[QUANTIDADE PLANEJADA]]</f>
        <v>-30</v>
      </c>
      <c r="O3159" s="106" t="str">
        <f t="shared" si="99"/>
        <v>Faltando Comprar</v>
      </c>
    </row>
    <row r="3160" spans="1:15" ht="47.25">
      <c r="A3160" s="16" t="s">
        <v>17</v>
      </c>
      <c r="B3160" s="16" t="s">
        <v>26</v>
      </c>
      <c r="C3160" s="17" t="s">
        <v>19</v>
      </c>
      <c r="D3160" s="18" t="s">
        <v>1765</v>
      </c>
      <c r="E3160" s="18">
        <v>80</v>
      </c>
      <c r="F3160" s="18" t="s">
        <v>30</v>
      </c>
      <c r="G3160" s="18" t="s">
        <v>22</v>
      </c>
      <c r="H3160" s="18" t="s">
        <v>83</v>
      </c>
      <c r="I3160" s="19">
        <v>167.67</v>
      </c>
      <c r="J3160" s="20">
        <f t="shared" si="98"/>
        <v>13413.599999999999</v>
      </c>
      <c r="K3160" s="106"/>
      <c r="L3160" s="114"/>
      <c r="M3160" s="114">
        <f>tblAquisições[[#This Row],[VALOR UNITARIO COMPRADO]]*tblAquisições[[#This Row],[QUANTIDADE COMPRADA]]</f>
        <v>0</v>
      </c>
      <c r="N3160" s="110">
        <f>K3160-tblAquisições[[#This Row],[QUANTIDADE PLANEJADA]]</f>
        <v>-80</v>
      </c>
      <c r="O3160" s="106" t="str">
        <f t="shared" si="99"/>
        <v>Faltando Comprar</v>
      </c>
    </row>
    <row r="3161" spans="1:15" ht="31.5">
      <c r="A3161" s="16" t="s">
        <v>17</v>
      </c>
      <c r="B3161" s="16" t="s">
        <v>28</v>
      </c>
      <c r="C3161" s="17" t="s">
        <v>19</v>
      </c>
      <c r="D3161" s="18" t="s">
        <v>1766</v>
      </c>
      <c r="E3161" s="18">
        <v>10</v>
      </c>
      <c r="F3161" s="18" t="s">
        <v>21</v>
      </c>
      <c r="G3161" s="18" t="s">
        <v>22</v>
      </c>
      <c r="H3161" s="18" t="s">
        <v>23</v>
      </c>
      <c r="I3161" s="19">
        <v>123.97</v>
      </c>
      <c r="J3161" s="20">
        <f t="shared" si="98"/>
        <v>1239.7</v>
      </c>
      <c r="K3161" s="106"/>
      <c r="L3161" s="114"/>
      <c r="M3161" s="114">
        <f>tblAquisições[[#This Row],[VALOR UNITARIO COMPRADO]]*tblAquisições[[#This Row],[QUANTIDADE COMPRADA]]</f>
        <v>0</v>
      </c>
      <c r="N3161" s="110">
        <f>K3161-tblAquisições[[#This Row],[QUANTIDADE PLANEJADA]]</f>
        <v>-10</v>
      </c>
      <c r="O3161" s="106" t="str">
        <f t="shared" si="99"/>
        <v>Faltando Comprar</v>
      </c>
    </row>
    <row r="3162" spans="1:15" ht="31.5">
      <c r="A3162" s="16" t="s">
        <v>17</v>
      </c>
      <c r="B3162" s="16" t="s">
        <v>41</v>
      </c>
      <c r="C3162" s="17" t="s">
        <v>19</v>
      </c>
      <c r="D3162" s="18" t="s">
        <v>1767</v>
      </c>
      <c r="E3162" s="18">
        <v>300</v>
      </c>
      <c r="F3162" s="18" t="s">
        <v>21</v>
      </c>
      <c r="G3162" s="18" t="s">
        <v>22</v>
      </c>
      <c r="H3162" s="18" t="s">
        <v>83</v>
      </c>
      <c r="I3162" s="19">
        <v>591.66999999999996</v>
      </c>
      <c r="J3162" s="20">
        <f t="shared" si="98"/>
        <v>177501</v>
      </c>
      <c r="K3162" s="106"/>
      <c r="L3162" s="114"/>
      <c r="M3162" s="114">
        <f>tblAquisições[[#This Row],[VALOR UNITARIO COMPRADO]]*tblAquisições[[#This Row],[QUANTIDADE COMPRADA]]</f>
        <v>0</v>
      </c>
      <c r="N3162" s="110">
        <f>K3162-tblAquisições[[#This Row],[QUANTIDADE PLANEJADA]]</f>
        <v>-300</v>
      </c>
      <c r="O3162" s="106" t="str">
        <f t="shared" si="99"/>
        <v>Faltando Comprar</v>
      </c>
    </row>
    <row r="3163" spans="1:15" ht="31.5">
      <c r="A3163" s="16" t="s">
        <v>17</v>
      </c>
      <c r="B3163" s="16" t="s">
        <v>26</v>
      </c>
      <c r="C3163" s="17" t="s">
        <v>19</v>
      </c>
      <c r="D3163" s="18" t="s">
        <v>1767</v>
      </c>
      <c r="E3163" s="18">
        <v>30</v>
      </c>
      <c r="F3163" s="18" t="s">
        <v>21</v>
      </c>
      <c r="G3163" s="18" t="s">
        <v>22</v>
      </c>
      <c r="H3163" s="18" t="s">
        <v>23</v>
      </c>
      <c r="I3163" s="19">
        <v>591.66999999999996</v>
      </c>
      <c r="J3163" s="20">
        <f t="shared" si="98"/>
        <v>17750.099999999999</v>
      </c>
      <c r="K3163" s="106"/>
      <c r="L3163" s="114"/>
      <c r="M3163" s="114">
        <f>tblAquisições[[#This Row],[VALOR UNITARIO COMPRADO]]*tblAquisições[[#This Row],[QUANTIDADE COMPRADA]]</f>
        <v>0</v>
      </c>
      <c r="N3163" s="110">
        <f>K3163-tblAquisições[[#This Row],[QUANTIDADE PLANEJADA]]</f>
        <v>-30</v>
      </c>
      <c r="O3163" s="106" t="str">
        <f t="shared" si="99"/>
        <v>Faltando Comprar</v>
      </c>
    </row>
    <row r="3164" spans="1:15" ht="31.5">
      <c r="A3164" s="16" t="s">
        <v>17</v>
      </c>
      <c r="B3164" s="16" t="s">
        <v>28</v>
      </c>
      <c r="C3164" s="17" t="s">
        <v>19</v>
      </c>
      <c r="D3164" s="18" t="s">
        <v>1767</v>
      </c>
      <c r="E3164" s="18">
        <v>120</v>
      </c>
      <c r="F3164" s="18" t="s">
        <v>21</v>
      </c>
      <c r="G3164" s="18" t="s">
        <v>22</v>
      </c>
      <c r="H3164" s="18" t="s">
        <v>23</v>
      </c>
      <c r="I3164" s="19">
        <v>591.66999999999996</v>
      </c>
      <c r="J3164" s="20">
        <f t="shared" si="98"/>
        <v>71000.399999999994</v>
      </c>
      <c r="K3164" s="106"/>
      <c r="L3164" s="114"/>
      <c r="M3164" s="114">
        <f>tblAquisições[[#This Row],[VALOR UNITARIO COMPRADO]]*tblAquisições[[#This Row],[QUANTIDADE COMPRADA]]</f>
        <v>0</v>
      </c>
      <c r="N3164" s="110">
        <f>K3164-tblAquisições[[#This Row],[QUANTIDADE PLANEJADA]]</f>
        <v>-120</v>
      </c>
      <c r="O3164" s="106" t="str">
        <f t="shared" si="99"/>
        <v>Faltando Comprar</v>
      </c>
    </row>
    <row r="3165" spans="1:15" ht="31.5">
      <c r="A3165" s="16" t="s">
        <v>17</v>
      </c>
      <c r="B3165" s="16" t="s">
        <v>26</v>
      </c>
      <c r="C3165" s="17" t="s">
        <v>19</v>
      </c>
      <c r="D3165" s="18" t="s">
        <v>1768</v>
      </c>
      <c r="E3165" s="18">
        <v>50</v>
      </c>
      <c r="F3165" s="18" t="s">
        <v>21</v>
      </c>
      <c r="G3165" s="18" t="s">
        <v>22</v>
      </c>
      <c r="H3165" s="18" t="s">
        <v>23</v>
      </c>
      <c r="I3165" s="19">
        <v>17.079999999999998</v>
      </c>
      <c r="J3165" s="20">
        <f t="shared" si="98"/>
        <v>853.99999999999989</v>
      </c>
      <c r="K3165" s="106"/>
      <c r="L3165" s="114"/>
      <c r="M3165" s="114">
        <f>tblAquisições[[#This Row],[VALOR UNITARIO COMPRADO]]*tblAquisições[[#This Row],[QUANTIDADE COMPRADA]]</f>
        <v>0</v>
      </c>
      <c r="N3165" s="110">
        <f>K3165-tblAquisições[[#This Row],[QUANTIDADE PLANEJADA]]</f>
        <v>-50</v>
      </c>
      <c r="O3165" s="106" t="str">
        <f t="shared" si="99"/>
        <v>Faltando Comprar</v>
      </c>
    </row>
    <row r="3166" spans="1:15" ht="47.25">
      <c r="A3166" s="16" t="s">
        <v>17</v>
      </c>
      <c r="B3166" s="16" t="s">
        <v>26</v>
      </c>
      <c r="C3166" s="17" t="s">
        <v>19</v>
      </c>
      <c r="D3166" s="18" t="s">
        <v>1769</v>
      </c>
      <c r="E3166" s="18">
        <v>3</v>
      </c>
      <c r="F3166" s="18" t="s">
        <v>78</v>
      </c>
      <c r="G3166" s="18" t="s">
        <v>22</v>
      </c>
      <c r="H3166" s="18" t="s">
        <v>23</v>
      </c>
      <c r="I3166" s="19">
        <v>59.53</v>
      </c>
      <c r="J3166" s="20">
        <f t="shared" si="98"/>
        <v>178.59</v>
      </c>
      <c r="K3166" s="106"/>
      <c r="L3166" s="114"/>
      <c r="M3166" s="114">
        <f>tblAquisições[[#This Row],[VALOR UNITARIO COMPRADO]]*tblAquisições[[#This Row],[QUANTIDADE COMPRADA]]</f>
        <v>0</v>
      </c>
      <c r="N3166" s="110">
        <f>K3166-tblAquisições[[#This Row],[QUANTIDADE PLANEJADA]]</f>
        <v>-3</v>
      </c>
      <c r="O3166" s="106" t="str">
        <f t="shared" si="99"/>
        <v>Faltando Comprar</v>
      </c>
    </row>
    <row r="3167" spans="1:15" ht="31.5">
      <c r="A3167" s="16" t="s">
        <v>17</v>
      </c>
      <c r="B3167" s="16" t="s">
        <v>17</v>
      </c>
      <c r="C3167" s="17" t="s">
        <v>19</v>
      </c>
      <c r="D3167" s="18" t="s">
        <v>1770</v>
      </c>
      <c r="E3167" s="18">
        <v>300</v>
      </c>
      <c r="F3167" s="18" t="s">
        <v>38</v>
      </c>
      <c r="G3167" s="18" t="s">
        <v>39</v>
      </c>
      <c r="H3167" s="18" t="s">
        <v>23</v>
      </c>
      <c r="I3167" s="19">
        <v>1.4</v>
      </c>
      <c r="J3167" s="20">
        <f t="shared" si="98"/>
        <v>420</v>
      </c>
      <c r="K3167" s="106"/>
      <c r="L3167" s="114"/>
      <c r="M3167" s="114">
        <f>tblAquisições[[#This Row],[VALOR UNITARIO COMPRADO]]*tblAquisições[[#This Row],[QUANTIDADE COMPRADA]]</f>
        <v>0</v>
      </c>
      <c r="N3167" s="110">
        <f>K3167-tblAquisições[[#This Row],[QUANTIDADE PLANEJADA]]</f>
        <v>-300</v>
      </c>
      <c r="O3167" s="106" t="str">
        <f t="shared" si="99"/>
        <v>Faltando Comprar</v>
      </c>
    </row>
    <row r="3168" spans="1:15" ht="31.5">
      <c r="A3168" s="16" t="s">
        <v>17</v>
      </c>
      <c r="B3168" s="16" t="s">
        <v>959</v>
      </c>
      <c r="C3168" s="17" t="s">
        <v>19</v>
      </c>
      <c r="D3168" s="18" t="s">
        <v>1770</v>
      </c>
      <c r="E3168" s="18">
        <v>1000</v>
      </c>
      <c r="F3168" s="18" t="s">
        <v>38</v>
      </c>
      <c r="G3168" s="18" t="s">
        <v>39</v>
      </c>
      <c r="H3168" s="18" t="s">
        <v>23</v>
      </c>
      <c r="I3168" s="19">
        <v>1.4</v>
      </c>
      <c r="J3168" s="20">
        <f t="shared" si="98"/>
        <v>1400</v>
      </c>
      <c r="K3168" s="106"/>
      <c r="L3168" s="114"/>
      <c r="M3168" s="114">
        <f>tblAquisições[[#This Row],[VALOR UNITARIO COMPRADO]]*tblAquisições[[#This Row],[QUANTIDADE COMPRADA]]</f>
        <v>0</v>
      </c>
      <c r="N3168" s="110">
        <f>K3168-tblAquisições[[#This Row],[QUANTIDADE PLANEJADA]]</f>
        <v>-1000</v>
      </c>
      <c r="O3168" s="106" t="str">
        <f t="shared" si="99"/>
        <v>Faltando Comprar</v>
      </c>
    </row>
    <row r="3169" spans="1:15" ht="31.5">
      <c r="A3169" s="16" t="s">
        <v>17</v>
      </c>
      <c r="B3169" s="16" t="s">
        <v>34</v>
      </c>
      <c r="C3169" s="17" t="s">
        <v>19</v>
      </c>
      <c r="D3169" s="18" t="s">
        <v>1771</v>
      </c>
      <c r="E3169" s="18">
        <v>20</v>
      </c>
      <c r="F3169" s="18" t="s">
        <v>21</v>
      </c>
      <c r="G3169" s="18" t="s">
        <v>22</v>
      </c>
      <c r="H3169" s="18" t="s">
        <v>23</v>
      </c>
      <c r="I3169" s="19">
        <v>1.4</v>
      </c>
      <c r="J3169" s="20">
        <f t="shared" si="98"/>
        <v>28</v>
      </c>
      <c r="K3169" s="106"/>
      <c r="L3169" s="114"/>
      <c r="M3169" s="114">
        <f>tblAquisições[[#This Row],[VALOR UNITARIO COMPRADO]]*tblAquisições[[#This Row],[QUANTIDADE COMPRADA]]</f>
        <v>0</v>
      </c>
      <c r="N3169" s="110">
        <f>K3169-tblAquisições[[#This Row],[QUANTIDADE PLANEJADA]]</f>
        <v>-20</v>
      </c>
      <c r="O3169" s="106" t="str">
        <f t="shared" si="99"/>
        <v>Faltando Comprar</v>
      </c>
    </row>
    <row r="3170" spans="1:15" ht="31.5">
      <c r="A3170" s="16" t="s">
        <v>17</v>
      </c>
      <c r="B3170" s="16" t="s">
        <v>31</v>
      </c>
      <c r="C3170" s="17" t="s">
        <v>19</v>
      </c>
      <c r="D3170" s="18" t="s">
        <v>1771</v>
      </c>
      <c r="E3170" s="18">
        <v>50</v>
      </c>
      <c r="F3170" s="18" t="s">
        <v>21</v>
      </c>
      <c r="G3170" s="18" t="s">
        <v>22</v>
      </c>
      <c r="H3170" s="18" t="s">
        <v>23</v>
      </c>
      <c r="I3170" s="19">
        <v>1.4</v>
      </c>
      <c r="J3170" s="20">
        <f t="shared" si="98"/>
        <v>70</v>
      </c>
      <c r="K3170" s="106"/>
      <c r="L3170" s="114"/>
      <c r="M3170" s="114">
        <f>tblAquisições[[#This Row],[VALOR UNITARIO COMPRADO]]*tblAquisições[[#This Row],[QUANTIDADE COMPRADA]]</f>
        <v>0</v>
      </c>
      <c r="N3170" s="110">
        <f>K3170-tblAquisições[[#This Row],[QUANTIDADE PLANEJADA]]</f>
        <v>-50</v>
      </c>
      <c r="O3170" s="106" t="str">
        <f t="shared" si="99"/>
        <v>Faltando Comprar</v>
      </c>
    </row>
    <row r="3171" spans="1:15" ht="31.5">
      <c r="A3171" s="16" t="s">
        <v>17</v>
      </c>
      <c r="B3171" s="16" t="s">
        <v>18</v>
      </c>
      <c r="C3171" s="17" t="s">
        <v>19</v>
      </c>
      <c r="D3171" s="18" t="s">
        <v>1771</v>
      </c>
      <c r="E3171" s="18">
        <v>300</v>
      </c>
      <c r="F3171" s="18" t="s">
        <v>21</v>
      </c>
      <c r="G3171" s="18" t="s">
        <v>22</v>
      </c>
      <c r="H3171" s="18" t="s">
        <v>23</v>
      </c>
      <c r="I3171" s="19">
        <v>1.4</v>
      </c>
      <c r="J3171" s="20">
        <f t="shared" si="98"/>
        <v>420</v>
      </c>
      <c r="K3171" s="106"/>
      <c r="L3171" s="114"/>
      <c r="M3171" s="114">
        <f>tblAquisições[[#This Row],[VALOR UNITARIO COMPRADO]]*tblAquisições[[#This Row],[QUANTIDADE COMPRADA]]</f>
        <v>0</v>
      </c>
      <c r="N3171" s="110">
        <f>K3171-tblAquisições[[#This Row],[QUANTIDADE PLANEJADA]]</f>
        <v>-300</v>
      </c>
      <c r="O3171" s="106" t="str">
        <f t="shared" si="99"/>
        <v>Faltando Comprar</v>
      </c>
    </row>
    <row r="3172" spans="1:15" ht="31.5">
      <c r="A3172" s="16" t="s">
        <v>17</v>
      </c>
      <c r="B3172" s="16" t="s">
        <v>24</v>
      </c>
      <c r="C3172" s="17" t="s">
        <v>19</v>
      </c>
      <c r="D3172" s="18" t="s">
        <v>1771</v>
      </c>
      <c r="E3172" s="18">
        <v>300</v>
      </c>
      <c r="F3172" s="18" t="s">
        <v>21</v>
      </c>
      <c r="G3172" s="18" t="s">
        <v>22</v>
      </c>
      <c r="H3172" s="18" t="s">
        <v>23</v>
      </c>
      <c r="I3172" s="19">
        <v>1.4</v>
      </c>
      <c r="J3172" s="20">
        <f t="shared" si="98"/>
        <v>420</v>
      </c>
      <c r="K3172" s="106"/>
      <c r="L3172" s="114"/>
      <c r="M3172" s="114">
        <f>tblAquisições[[#This Row],[VALOR UNITARIO COMPRADO]]*tblAquisições[[#This Row],[QUANTIDADE COMPRADA]]</f>
        <v>0</v>
      </c>
      <c r="N3172" s="110">
        <f>K3172-tblAquisições[[#This Row],[QUANTIDADE PLANEJADA]]</f>
        <v>-300</v>
      </c>
      <c r="O3172" s="106" t="str">
        <f t="shared" si="99"/>
        <v>Faltando Comprar</v>
      </c>
    </row>
    <row r="3173" spans="1:15" ht="31.5">
      <c r="A3173" s="16" t="s">
        <v>17</v>
      </c>
      <c r="B3173" s="16" t="s">
        <v>25</v>
      </c>
      <c r="C3173" s="17" t="s">
        <v>19</v>
      </c>
      <c r="D3173" s="18" t="s">
        <v>1771</v>
      </c>
      <c r="E3173" s="18">
        <v>300</v>
      </c>
      <c r="F3173" s="18" t="s">
        <v>21</v>
      </c>
      <c r="G3173" s="18" t="s">
        <v>22</v>
      </c>
      <c r="H3173" s="18" t="s">
        <v>23</v>
      </c>
      <c r="I3173" s="19">
        <v>1.4</v>
      </c>
      <c r="J3173" s="20">
        <f t="shared" si="98"/>
        <v>420</v>
      </c>
      <c r="K3173" s="106"/>
      <c r="L3173" s="114"/>
      <c r="M3173" s="114">
        <f>tblAquisições[[#This Row],[VALOR UNITARIO COMPRADO]]*tblAquisições[[#This Row],[QUANTIDADE COMPRADA]]</f>
        <v>0</v>
      </c>
      <c r="N3173" s="110">
        <f>K3173-tblAquisições[[#This Row],[QUANTIDADE PLANEJADA]]</f>
        <v>-300</v>
      </c>
      <c r="O3173" s="106" t="str">
        <f t="shared" si="99"/>
        <v>Faltando Comprar</v>
      </c>
    </row>
    <row r="3174" spans="1:15" ht="31.5">
      <c r="A3174" s="16" t="s">
        <v>17</v>
      </c>
      <c r="B3174" s="16" t="s">
        <v>26</v>
      </c>
      <c r="C3174" s="17" t="s">
        <v>19</v>
      </c>
      <c r="D3174" s="18" t="s">
        <v>1771</v>
      </c>
      <c r="E3174" s="18">
        <v>1000</v>
      </c>
      <c r="F3174" s="18" t="s">
        <v>21</v>
      </c>
      <c r="G3174" s="18" t="s">
        <v>22</v>
      </c>
      <c r="H3174" s="18" t="s">
        <v>23</v>
      </c>
      <c r="I3174" s="19">
        <v>1.4</v>
      </c>
      <c r="J3174" s="20">
        <f t="shared" si="98"/>
        <v>1400</v>
      </c>
      <c r="K3174" s="106"/>
      <c r="L3174" s="114"/>
      <c r="M3174" s="114">
        <f>tblAquisições[[#This Row],[VALOR UNITARIO COMPRADO]]*tblAquisições[[#This Row],[QUANTIDADE COMPRADA]]</f>
        <v>0</v>
      </c>
      <c r="N3174" s="110">
        <f>K3174-tblAquisições[[#This Row],[QUANTIDADE PLANEJADA]]</f>
        <v>-1000</v>
      </c>
      <c r="O3174" s="106" t="str">
        <f t="shared" si="99"/>
        <v>Faltando Comprar</v>
      </c>
    </row>
    <row r="3175" spans="1:15" ht="31.5">
      <c r="A3175" s="16" t="s">
        <v>17</v>
      </c>
      <c r="B3175" s="16" t="s">
        <v>27</v>
      </c>
      <c r="C3175" s="17" t="s">
        <v>19</v>
      </c>
      <c r="D3175" s="18" t="s">
        <v>1771</v>
      </c>
      <c r="E3175" s="18">
        <v>300</v>
      </c>
      <c r="F3175" s="18" t="s">
        <v>21</v>
      </c>
      <c r="G3175" s="18" t="s">
        <v>22</v>
      </c>
      <c r="H3175" s="18" t="s">
        <v>23</v>
      </c>
      <c r="I3175" s="19">
        <v>1.4</v>
      </c>
      <c r="J3175" s="20">
        <f t="shared" si="98"/>
        <v>420</v>
      </c>
      <c r="K3175" s="106"/>
      <c r="L3175" s="114"/>
      <c r="M3175" s="114">
        <f>tblAquisições[[#This Row],[VALOR UNITARIO COMPRADO]]*tblAquisições[[#This Row],[QUANTIDADE COMPRADA]]</f>
        <v>0</v>
      </c>
      <c r="N3175" s="110">
        <f>K3175-tblAquisições[[#This Row],[QUANTIDADE PLANEJADA]]</f>
        <v>-300</v>
      </c>
      <c r="O3175" s="106" t="str">
        <f t="shared" si="99"/>
        <v>Faltando Comprar</v>
      </c>
    </row>
    <row r="3176" spans="1:15" ht="31.5">
      <c r="A3176" s="16" t="s">
        <v>17</v>
      </c>
      <c r="B3176" s="16" t="s">
        <v>28</v>
      </c>
      <c r="C3176" s="17" t="s">
        <v>19</v>
      </c>
      <c r="D3176" s="18" t="s">
        <v>1771</v>
      </c>
      <c r="E3176" s="18">
        <v>300</v>
      </c>
      <c r="F3176" s="18" t="s">
        <v>21</v>
      </c>
      <c r="G3176" s="18" t="s">
        <v>22</v>
      </c>
      <c r="H3176" s="18" t="s">
        <v>23</v>
      </c>
      <c r="I3176" s="19">
        <v>1.4</v>
      </c>
      <c r="J3176" s="20">
        <f t="shared" si="98"/>
        <v>420</v>
      </c>
      <c r="K3176" s="106"/>
      <c r="L3176" s="114"/>
      <c r="M3176" s="114">
        <f>tblAquisições[[#This Row],[VALOR UNITARIO COMPRADO]]*tblAquisições[[#This Row],[QUANTIDADE COMPRADA]]</f>
        <v>0</v>
      </c>
      <c r="N3176" s="110">
        <f>K3176-tblAquisições[[#This Row],[QUANTIDADE PLANEJADA]]</f>
        <v>-300</v>
      </c>
      <c r="O3176" s="106" t="str">
        <f t="shared" si="99"/>
        <v>Faltando Comprar</v>
      </c>
    </row>
    <row r="3177" spans="1:15" ht="31.5">
      <c r="A3177" s="16" t="s">
        <v>17</v>
      </c>
      <c r="B3177" s="16" t="s">
        <v>959</v>
      </c>
      <c r="C3177" s="17" t="s">
        <v>19</v>
      </c>
      <c r="D3177" s="18" t="s">
        <v>1772</v>
      </c>
      <c r="E3177" s="18">
        <v>2</v>
      </c>
      <c r="F3177" s="18" t="s">
        <v>56</v>
      </c>
      <c r="G3177" s="18" t="s">
        <v>39</v>
      </c>
      <c r="H3177" s="18" t="s">
        <v>23</v>
      </c>
      <c r="I3177" s="19">
        <v>265.23</v>
      </c>
      <c r="J3177" s="20">
        <f t="shared" si="98"/>
        <v>530.46</v>
      </c>
      <c r="K3177" s="106"/>
      <c r="L3177" s="114"/>
      <c r="M3177" s="114">
        <f>tblAquisições[[#This Row],[VALOR UNITARIO COMPRADO]]*tblAquisições[[#This Row],[QUANTIDADE COMPRADA]]</f>
        <v>0</v>
      </c>
      <c r="N3177" s="110">
        <f>K3177-tblAquisições[[#This Row],[QUANTIDADE PLANEJADA]]</f>
        <v>-2</v>
      </c>
      <c r="O3177" s="106" t="str">
        <f t="shared" si="99"/>
        <v>Faltando Comprar</v>
      </c>
    </row>
    <row r="3178" spans="1:15" ht="31.5">
      <c r="A3178" s="16" t="s">
        <v>17</v>
      </c>
      <c r="B3178" s="16" t="s">
        <v>31</v>
      </c>
      <c r="C3178" s="17" t="s">
        <v>19</v>
      </c>
      <c r="D3178" s="18" t="s">
        <v>1773</v>
      </c>
      <c r="E3178" s="18">
        <v>5</v>
      </c>
      <c r="F3178" s="18" t="s">
        <v>170</v>
      </c>
      <c r="G3178" s="18" t="s">
        <v>22</v>
      </c>
      <c r="H3178" s="18" t="s">
        <v>23</v>
      </c>
      <c r="I3178" s="19">
        <v>265.23</v>
      </c>
      <c r="J3178" s="20">
        <f t="shared" si="98"/>
        <v>1326.15</v>
      </c>
      <c r="K3178" s="106"/>
      <c r="L3178" s="114"/>
      <c r="M3178" s="114">
        <f>tblAquisições[[#This Row],[VALOR UNITARIO COMPRADO]]*tblAquisições[[#This Row],[QUANTIDADE COMPRADA]]</f>
        <v>0</v>
      </c>
      <c r="N3178" s="110">
        <f>K3178-tblAquisições[[#This Row],[QUANTIDADE PLANEJADA]]</f>
        <v>-5</v>
      </c>
      <c r="O3178" s="106" t="str">
        <f t="shared" si="99"/>
        <v>Faltando Comprar</v>
      </c>
    </row>
    <row r="3179" spans="1:15" ht="31.5">
      <c r="A3179" s="16" t="s">
        <v>17</v>
      </c>
      <c r="B3179" s="16" t="s">
        <v>26</v>
      </c>
      <c r="C3179" s="17" t="s">
        <v>19</v>
      </c>
      <c r="D3179" s="18" t="s">
        <v>1773</v>
      </c>
      <c r="E3179" s="18">
        <v>5</v>
      </c>
      <c r="F3179" s="18" t="s">
        <v>170</v>
      </c>
      <c r="G3179" s="18" t="s">
        <v>22</v>
      </c>
      <c r="H3179" s="18" t="s">
        <v>23</v>
      </c>
      <c r="I3179" s="19">
        <v>265.23</v>
      </c>
      <c r="J3179" s="20">
        <f t="shared" si="98"/>
        <v>1326.15</v>
      </c>
      <c r="K3179" s="106"/>
      <c r="L3179" s="114"/>
      <c r="M3179" s="114">
        <f>tblAquisições[[#This Row],[VALOR UNITARIO COMPRADO]]*tblAquisições[[#This Row],[QUANTIDADE COMPRADA]]</f>
        <v>0</v>
      </c>
      <c r="N3179" s="110">
        <f>K3179-tblAquisições[[#This Row],[QUANTIDADE PLANEJADA]]</f>
        <v>-5</v>
      </c>
      <c r="O3179" s="106" t="str">
        <f t="shared" si="99"/>
        <v>Faltando Comprar</v>
      </c>
    </row>
    <row r="3180" spans="1:15" ht="47.25">
      <c r="A3180" s="16" t="s">
        <v>17</v>
      </c>
      <c r="B3180" s="16" t="s">
        <v>28</v>
      </c>
      <c r="C3180" s="17" t="s">
        <v>19</v>
      </c>
      <c r="D3180" s="18" t="s">
        <v>1774</v>
      </c>
      <c r="E3180" s="18">
        <v>50</v>
      </c>
      <c r="F3180" s="18" t="s">
        <v>78</v>
      </c>
      <c r="G3180" s="18" t="s">
        <v>22</v>
      </c>
      <c r="H3180" s="18" t="s">
        <v>100</v>
      </c>
      <c r="I3180" s="19">
        <v>228.82</v>
      </c>
      <c r="J3180" s="20">
        <f t="shared" si="98"/>
        <v>11441</v>
      </c>
      <c r="K3180" s="106"/>
      <c r="L3180" s="114"/>
      <c r="M3180" s="114">
        <f>tblAquisições[[#This Row],[VALOR UNITARIO COMPRADO]]*tblAquisições[[#This Row],[QUANTIDADE COMPRADA]]</f>
        <v>0</v>
      </c>
      <c r="N3180" s="110">
        <f>K3180-tblAquisições[[#This Row],[QUANTIDADE PLANEJADA]]</f>
        <v>-50</v>
      </c>
      <c r="O3180" s="106" t="str">
        <f t="shared" si="99"/>
        <v>Faltando Comprar</v>
      </c>
    </row>
    <row r="3181" spans="1:15" ht="47.25">
      <c r="A3181" s="16" t="s">
        <v>17</v>
      </c>
      <c r="B3181" s="16" t="s">
        <v>28</v>
      </c>
      <c r="C3181" s="17" t="s">
        <v>19</v>
      </c>
      <c r="D3181" s="18" t="s">
        <v>1775</v>
      </c>
      <c r="E3181" s="18">
        <v>1</v>
      </c>
      <c r="F3181" s="18" t="s">
        <v>78</v>
      </c>
      <c r="G3181" s="18" t="s">
        <v>22</v>
      </c>
      <c r="H3181" s="18" t="s">
        <v>53</v>
      </c>
      <c r="I3181" s="19">
        <v>118.28</v>
      </c>
      <c r="J3181" s="20">
        <f t="shared" si="98"/>
        <v>118.28</v>
      </c>
      <c r="K3181" s="106"/>
      <c r="L3181" s="114"/>
      <c r="M3181" s="114">
        <f>tblAquisições[[#This Row],[VALOR UNITARIO COMPRADO]]*tblAquisições[[#This Row],[QUANTIDADE COMPRADA]]</f>
        <v>0</v>
      </c>
      <c r="N3181" s="110">
        <f>K3181-tblAquisições[[#This Row],[QUANTIDADE PLANEJADA]]</f>
        <v>-1</v>
      </c>
      <c r="O3181" s="106" t="str">
        <f t="shared" si="99"/>
        <v>Faltando Comprar</v>
      </c>
    </row>
    <row r="3182" spans="1:15" ht="47.25">
      <c r="A3182" s="16" t="s">
        <v>17</v>
      </c>
      <c r="B3182" s="16" t="s">
        <v>26</v>
      </c>
      <c r="C3182" s="17" t="s">
        <v>19</v>
      </c>
      <c r="D3182" s="18" t="s">
        <v>1776</v>
      </c>
      <c r="E3182" s="18">
        <v>2</v>
      </c>
      <c r="F3182" s="18" t="s">
        <v>78</v>
      </c>
      <c r="G3182" s="18" t="s">
        <v>22</v>
      </c>
      <c r="H3182" s="18" t="s">
        <v>23</v>
      </c>
      <c r="I3182" s="19">
        <v>23.41</v>
      </c>
      <c r="J3182" s="20">
        <f t="shared" si="98"/>
        <v>46.82</v>
      </c>
      <c r="K3182" s="106"/>
      <c r="L3182" s="114"/>
      <c r="M3182" s="114">
        <f>tblAquisições[[#This Row],[VALOR UNITARIO COMPRADO]]*tblAquisições[[#This Row],[QUANTIDADE COMPRADA]]</f>
        <v>0</v>
      </c>
      <c r="N3182" s="110">
        <f>K3182-tblAquisições[[#This Row],[QUANTIDADE PLANEJADA]]</f>
        <v>-2</v>
      </c>
      <c r="O3182" s="106" t="str">
        <f t="shared" si="99"/>
        <v>Faltando Comprar</v>
      </c>
    </row>
    <row r="3183" spans="1:15" ht="47.25">
      <c r="A3183" s="16" t="s">
        <v>17</v>
      </c>
      <c r="B3183" s="16" t="s">
        <v>26</v>
      </c>
      <c r="C3183" s="17" t="s">
        <v>19</v>
      </c>
      <c r="D3183" s="18" t="s">
        <v>1777</v>
      </c>
      <c r="E3183" s="18">
        <v>10</v>
      </c>
      <c r="F3183" s="18" t="s">
        <v>78</v>
      </c>
      <c r="G3183" s="18" t="s">
        <v>22</v>
      </c>
      <c r="H3183" s="18" t="s">
        <v>23</v>
      </c>
      <c r="I3183" s="19">
        <v>7.33</v>
      </c>
      <c r="J3183" s="20">
        <f t="shared" si="98"/>
        <v>73.3</v>
      </c>
      <c r="K3183" s="106"/>
      <c r="L3183" s="114"/>
      <c r="M3183" s="114">
        <f>tblAquisições[[#This Row],[VALOR UNITARIO COMPRADO]]*tblAquisições[[#This Row],[QUANTIDADE COMPRADA]]</f>
        <v>0</v>
      </c>
      <c r="N3183" s="110">
        <f>K3183-tblAquisições[[#This Row],[QUANTIDADE PLANEJADA]]</f>
        <v>-10</v>
      </c>
      <c r="O3183" s="106" t="str">
        <f t="shared" si="99"/>
        <v>Faltando Comprar</v>
      </c>
    </row>
    <row r="3184" spans="1:15" ht="31.5">
      <c r="A3184" s="16" t="s">
        <v>17</v>
      </c>
      <c r="B3184" s="16" t="s">
        <v>17</v>
      </c>
      <c r="C3184" s="17" t="s">
        <v>19</v>
      </c>
      <c r="D3184" s="18" t="s">
        <v>1778</v>
      </c>
      <c r="E3184" s="18">
        <v>1000</v>
      </c>
      <c r="F3184" s="18" t="s">
        <v>38</v>
      </c>
      <c r="G3184" s="18" t="s">
        <v>39</v>
      </c>
      <c r="H3184" s="18" t="s">
        <v>23</v>
      </c>
      <c r="I3184" s="19">
        <v>4.93</v>
      </c>
      <c r="J3184" s="20">
        <f t="shared" si="98"/>
        <v>4930</v>
      </c>
      <c r="K3184" s="106"/>
      <c r="L3184" s="114"/>
      <c r="M3184" s="114">
        <f>tblAquisições[[#This Row],[VALOR UNITARIO COMPRADO]]*tblAquisições[[#This Row],[QUANTIDADE COMPRADA]]</f>
        <v>0</v>
      </c>
      <c r="N3184" s="110">
        <f>K3184-tblAquisições[[#This Row],[QUANTIDADE PLANEJADA]]</f>
        <v>-1000</v>
      </c>
      <c r="O3184" s="106" t="str">
        <f t="shared" si="99"/>
        <v>Faltando Comprar</v>
      </c>
    </row>
    <row r="3185" spans="1:15" ht="31.5">
      <c r="A3185" s="16" t="s">
        <v>17</v>
      </c>
      <c r="B3185" s="16" t="s">
        <v>80</v>
      </c>
      <c r="C3185" s="17" t="s">
        <v>19</v>
      </c>
      <c r="D3185" s="18" t="s">
        <v>1778</v>
      </c>
      <c r="E3185" s="18">
        <v>50</v>
      </c>
      <c r="F3185" s="18" t="s">
        <v>38</v>
      </c>
      <c r="G3185" s="18" t="s">
        <v>39</v>
      </c>
      <c r="H3185" s="18" t="s">
        <v>23</v>
      </c>
      <c r="I3185" s="19">
        <v>4.93</v>
      </c>
      <c r="J3185" s="20">
        <f t="shared" si="98"/>
        <v>246.5</v>
      </c>
      <c r="K3185" s="106"/>
      <c r="L3185" s="114"/>
      <c r="M3185" s="114">
        <f>tblAquisições[[#This Row],[VALOR UNITARIO COMPRADO]]*tblAquisições[[#This Row],[QUANTIDADE COMPRADA]]</f>
        <v>0</v>
      </c>
      <c r="N3185" s="110">
        <f>K3185-tblAquisições[[#This Row],[QUANTIDADE PLANEJADA]]</f>
        <v>-50</v>
      </c>
      <c r="O3185" s="106" t="str">
        <f t="shared" si="99"/>
        <v>Faltando Comprar</v>
      </c>
    </row>
    <row r="3186" spans="1:15" ht="31.5">
      <c r="A3186" s="16" t="s">
        <v>17</v>
      </c>
      <c r="B3186" s="16" t="s">
        <v>34</v>
      </c>
      <c r="C3186" s="17" t="s">
        <v>19</v>
      </c>
      <c r="D3186" s="18" t="s">
        <v>1779</v>
      </c>
      <c r="E3186" s="18">
        <v>48</v>
      </c>
      <c r="F3186" s="18" t="s">
        <v>21</v>
      </c>
      <c r="G3186" s="18" t="s">
        <v>22</v>
      </c>
      <c r="H3186" s="18" t="s">
        <v>23</v>
      </c>
      <c r="I3186" s="19">
        <v>4.93</v>
      </c>
      <c r="J3186" s="20">
        <f t="shared" si="98"/>
        <v>236.64</v>
      </c>
      <c r="K3186" s="106"/>
      <c r="L3186" s="114"/>
      <c r="M3186" s="114">
        <f>tblAquisições[[#This Row],[VALOR UNITARIO COMPRADO]]*tblAquisições[[#This Row],[QUANTIDADE COMPRADA]]</f>
        <v>0</v>
      </c>
      <c r="N3186" s="110">
        <f>K3186-tblAquisições[[#This Row],[QUANTIDADE PLANEJADA]]</f>
        <v>-48</v>
      </c>
      <c r="O3186" s="106" t="str">
        <f t="shared" si="99"/>
        <v>Faltando Comprar</v>
      </c>
    </row>
    <row r="3187" spans="1:15" ht="31.5">
      <c r="A3187" s="16" t="s">
        <v>17</v>
      </c>
      <c r="B3187" s="16" t="s">
        <v>31</v>
      </c>
      <c r="C3187" s="17" t="s">
        <v>19</v>
      </c>
      <c r="D3187" s="18" t="s">
        <v>1779</v>
      </c>
      <c r="E3187" s="18">
        <v>34</v>
      </c>
      <c r="F3187" s="18" t="s">
        <v>21</v>
      </c>
      <c r="G3187" s="18" t="s">
        <v>22</v>
      </c>
      <c r="H3187" s="18" t="s">
        <v>23</v>
      </c>
      <c r="I3187" s="19">
        <v>4.93</v>
      </c>
      <c r="J3187" s="20">
        <f t="shared" si="98"/>
        <v>167.62</v>
      </c>
      <c r="K3187" s="106"/>
      <c r="L3187" s="114"/>
      <c r="M3187" s="114">
        <f>tblAquisições[[#This Row],[VALOR UNITARIO COMPRADO]]*tblAquisições[[#This Row],[QUANTIDADE COMPRADA]]</f>
        <v>0</v>
      </c>
      <c r="N3187" s="110">
        <f>K3187-tblAquisições[[#This Row],[QUANTIDADE PLANEJADA]]</f>
        <v>-34</v>
      </c>
      <c r="O3187" s="106" t="str">
        <f t="shared" si="99"/>
        <v>Faltando Comprar</v>
      </c>
    </row>
    <row r="3188" spans="1:15" ht="31.5">
      <c r="A3188" s="16" t="s">
        <v>17</v>
      </c>
      <c r="B3188" s="16" t="s">
        <v>18</v>
      </c>
      <c r="C3188" s="17" t="s">
        <v>19</v>
      </c>
      <c r="D3188" s="18" t="s">
        <v>1779</v>
      </c>
      <c r="E3188" s="18">
        <v>200</v>
      </c>
      <c r="F3188" s="18" t="s">
        <v>21</v>
      </c>
      <c r="G3188" s="18" t="s">
        <v>22</v>
      </c>
      <c r="H3188" s="18" t="s">
        <v>23</v>
      </c>
      <c r="I3188" s="19">
        <v>4.93</v>
      </c>
      <c r="J3188" s="20">
        <f t="shared" si="98"/>
        <v>986</v>
      </c>
      <c r="K3188" s="106"/>
      <c r="L3188" s="114"/>
      <c r="M3188" s="114">
        <f>tblAquisições[[#This Row],[VALOR UNITARIO COMPRADO]]*tblAquisições[[#This Row],[QUANTIDADE COMPRADA]]</f>
        <v>0</v>
      </c>
      <c r="N3188" s="110">
        <f>K3188-tblAquisições[[#This Row],[QUANTIDADE PLANEJADA]]</f>
        <v>-200</v>
      </c>
      <c r="O3188" s="106" t="str">
        <f t="shared" si="99"/>
        <v>Faltando Comprar</v>
      </c>
    </row>
    <row r="3189" spans="1:15" ht="31.5">
      <c r="A3189" s="16" t="s">
        <v>17</v>
      </c>
      <c r="B3189" s="16" t="s">
        <v>24</v>
      </c>
      <c r="C3189" s="17" t="s">
        <v>19</v>
      </c>
      <c r="D3189" s="18" t="s">
        <v>1779</v>
      </c>
      <c r="E3189" s="18">
        <v>200</v>
      </c>
      <c r="F3189" s="18" t="s">
        <v>21</v>
      </c>
      <c r="G3189" s="18" t="s">
        <v>22</v>
      </c>
      <c r="H3189" s="18" t="s">
        <v>23</v>
      </c>
      <c r="I3189" s="19">
        <v>4.93</v>
      </c>
      <c r="J3189" s="20">
        <f t="shared" si="98"/>
        <v>986</v>
      </c>
      <c r="K3189" s="106"/>
      <c r="L3189" s="114"/>
      <c r="M3189" s="114">
        <f>tblAquisições[[#This Row],[VALOR UNITARIO COMPRADO]]*tblAquisições[[#This Row],[QUANTIDADE COMPRADA]]</f>
        <v>0</v>
      </c>
      <c r="N3189" s="110">
        <f>K3189-tblAquisições[[#This Row],[QUANTIDADE PLANEJADA]]</f>
        <v>-200</v>
      </c>
      <c r="O3189" s="106" t="str">
        <f t="shared" si="99"/>
        <v>Faltando Comprar</v>
      </c>
    </row>
    <row r="3190" spans="1:15" ht="31.5">
      <c r="A3190" s="16" t="s">
        <v>17</v>
      </c>
      <c r="B3190" s="16" t="s">
        <v>25</v>
      </c>
      <c r="C3190" s="17" t="s">
        <v>19</v>
      </c>
      <c r="D3190" s="18" t="s">
        <v>1779</v>
      </c>
      <c r="E3190" s="18">
        <v>200</v>
      </c>
      <c r="F3190" s="18" t="s">
        <v>21</v>
      </c>
      <c r="G3190" s="18" t="s">
        <v>22</v>
      </c>
      <c r="H3190" s="18" t="s">
        <v>23</v>
      </c>
      <c r="I3190" s="19">
        <v>4.93</v>
      </c>
      <c r="J3190" s="20">
        <f t="shared" si="98"/>
        <v>986</v>
      </c>
      <c r="K3190" s="106"/>
      <c r="L3190" s="114"/>
      <c r="M3190" s="114">
        <f>tblAquisições[[#This Row],[VALOR UNITARIO COMPRADO]]*tblAquisições[[#This Row],[QUANTIDADE COMPRADA]]</f>
        <v>0</v>
      </c>
      <c r="N3190" s="110">
        <f>K3190-tblAquisições[[#This Row],[QUANTIDADE PLANEJADA]]</f>
        <v>-200</v>
      </c>
      <c r="O3190" s="106" t="str">
        <f t="shared" si="99"/>
        <v>Faltando Comprar</v>
      </c>
    </row>
    <row r="3191" spans="1:15" ht="31.5">
      <c r="A3191" s="16" t="s">
        <v>17</v>
      </c>
      <c r="B3191" s="16" t="s">
        <v>41</v>
      </c>
      <c r="C3191" s="17" t="s">
        <v>19</v>
      </c>
      <c r="D3191" s="18" t="s">
        <v>1779</v>
      </c>
      <c r="E3191" s="18">
        <v>1000</v>
      </c>
      <c r="F3191" s="18" t="s">
        <v>21</v>
      </c>
      <c r="G3191" s="18" t="s">
        <v>22</v>
      </c>
      <c r="H3191" s="18" t="s">
        <v>23</v>
      </c>
      <c r="I3191" s="19">
        <v>4.93</v>
      </c>
      <c r="J3191" s="20">
        <f t="shared" si="98"/>
        <v>4930</v>
      </c>
      <c r="K3191" s="106"/>
      <c r="L3191" s="114"/>
      <c r="M3191" s="114">
        <f>tblAquisições[[#This Row],[VALOR UNITARIO COMPRADO]]*tblAquisições[[#This Row],[QUANTIDADE COMPRADA]]</f>
        <v>0</v>
      </c>
      <c r="N3191" s="110">
        <f>K3191-tblAquisições[[#This Row],[QUANTIDADE PLANEJADA]]</f>
        <v>-1000</v>
      </c>
      <c r="O3191" s="106" t="str">
        <f t="shared" si="99"/>
        <v>Faltando Comprar</v>
      </c>
    </row>
    <row r="3192" spans="1:15" ht="31.5">
      <c r="A3192" s="16" t="s">
        <v>17</v>
      </c>
      <c r="B3192" s="16" t="s">
        <v>26</v>
      </c>
      <c r="C3192" s="17" t="s">
        <v>19</v>
      </c>
      <c r="D3192" s="18" t="s">
        <v>1779</v>
      </c>
      <c r="E3192" s="18">
        <v>20</v>
      </c>
      <c r="F3192" s="18" t="s">
        <v>21</v>
      </c>
      <c r="G3192" s="18" t="s">
        <v>22</v>
      </c>
      <c r="H3192" s="18" t="s">
        <v>23</v>
      </c>
      <c r="I3192" s="19">
        <v>4.93</v>
      </c>
      <c r="J3192" s="20">
        <f t="shared" si="98"/>
        <v>98.6</v>
      </c>
      <c r="K3192" s="106"/>
      <c r="L3192" s="114"/>
      <c r="M3192" s="114">
        <f>tblAquisições[[#This Row],[VALOR UNITARIO COMPRADO]]*tblAquisições[[#This Row],[QUANTIDADE COMPRADA]]</f>
        <v>0</v>
      </c>
      <c r="N3192" s="110">
        <f>K3192-tblAquisições[[#This Row],[QUANTIDADE PLANEJADA]]</f>
        <v>-20</v>
      </c>
      <c r="O3192" s="106" t="str">
        <f t="shared" si="99"/>
        <v>Faltando Comprar</v>
      </c>
    </row>
    <row r="3193" spans="1:15" ht="31.5">
      <c r="A3193" s="16" t="s">
        <v>17</v>
      </c>
      <c r="B3193" s="16" t="s">
        <v>27</v>
      </c>
      <c r="C3193" s="17" t="s">
        <v>19</v>
      </c>
      <c r="D3193" s="18" t="s">
        <v>1779</v>
      </c>
      <c r="E3193" s="18">
        <v>200</v>
      </c>
      <c r="F3193" s="18" t="s">
        <v>21</v>
      </c>
      <c r="G3193" s="18" t="s">
        <v>22</v>
      </c>
      <c r="H3193" s="18" t="s">
        <v>23</v>
      </c>
      <c r="I3193" s="19">
        <v>4.93</v>
      </c>
      <c r="J3193" s="20">
        <f t="shared" si="98"/>
        <v>986</v>
      </c>
      <c r="K3193" s="106"/>
      <c r="L3193" s="114"/>
      <c r="M3193" s="114">
        <f>tblAquisições[[#This Row],[VALOR UNITARIO COMPRADO]]*tblAquisições[[#This Row],[QUANTIDADE COMPRADA]]</f>
        <v>0</v>
      </c>
      <c r="N3193" s="110">
        <f>K3193-tblAquisições[[#This Row],[QUANTIDADE PLANEJADA]]</f>
        <v>-200</v>
      </c>
      <c r="O3193" s="106" t="str">
        <f t="shared" si="99"/>
        <v>Faltando Comprar</v>
      </c>
    </row>
    <row r="3194" spans="1:15" ht="31.5">
      <c r="A3194" s="16" t="s">
        <v>17</v>
      </c>
      <c r="B3194" s="16" t="s">
        <v>28</v>
      </c>
      <c r="C3194" s="17" t="s">
        <v>19</v>
      </c>
      <c r="D3194" s="18" t="s">
        <v>1779</v>
      </c>
      <c r="E3194" s="18">
        <v>1000</v>
      </c>
      <c r="F3194" s="18" t="s">
        <v>21</v>
      </c>
      <c r="G3194" s="18" t="s">
        <v>22</v>
      </c>
      <c r="H3194" s="18" t="s">
        <v>23</v>
      </c>
      <c r="I3194" s="19">
        <v>4.93</v>
      </c>
      <c r="J3194" s="20">
        <f t="shared" si="98"/>
        <v>4930</v>
      </c>
      <c r="K3194" s="106"/>
      <c r="L3194" s="114"/>
      <c r="M3194" s="114">
        <f>tblAquisições[[#This Row],[VALOR UNITARIO COMPRADO]]*tblAquisições[[#This Row],[QUANTIDADE COMPRADA]]</f>
        <v>0</v>
      </c>
      <c r="N3194" s="110">
        <f>K3194-tblAquisições[[#This Row],[QUANTIDADE PLANEJADA]]</f>
        <v>-1000</v>
      </c>
      <c r="O3194" s="106" t="str">
        <f t="shared" si="99"/>
        <v>Faltando Comprar</v>
      </c>
    </row>
    <row r="3195" spans="1:15" ht="31.5">
      <c r="A3195" s="16" t="s">
        <v>17</v>
      </c>
      <c r="B3195" s="16" t="s">
        <v>28</v>
      </c>
      <c r="C3195" s="17" t="s">
        <v>19</v>
      </c>
      <c r="D3195" s="18" t="s">
        <v>1780</v>
      </c>
      <c r="E3195" s="18">
        <v>2</v>
      </c>
      <c r="F3195" s="18" t="s">
        <v>328</v>
      </c>
      <c r="G3195" s="18" t="s">
        <v>22</v>
      </c>
      <c r="H3195" s="18" t="s">
        <v>23</v>
      </c>
      <c r="I3195" s="19">
        <v>10.82</v>
      </c>
      <c r="J3195" s="20">
        <f t="shared" si="98"/>
        <v>21.64</v>
      </c>
      <c r="K3195" s="106"/>
      <c r="L3195" s="114"/>
      <c r="M3195" s="114">
        <f>tblAquisições[[#This Row],[VALOR UNITARIO COMPRADO]]*tblAquisições[[#This Row],[QUANTIDADE COMPRADA]]</f>
        <v>0</v>
      </c>
      <c r="N3195" s="110">
        <f>K3195-tblAquisições[[#This Row],[QUANTIDADE PLANEJADA]]</f>
        <v>-2</v>
      </c>
      <c r="O3195" s="106" t="str">
        <f t="shared" si="99"/>
        <v>Faltando Comprar</v>
      </c>
    </row>
    <row r="3196" spans="1:15" ht="47.25">
      <c r="A3196" s="16" t="s">
        <v>17</v>
      </c>
      <c r="B3196" s="16" t="s">
        <v>28</v>
      </c>
      <c r="C3196" s="17" t="s">
        <v>19</v>
      </c>
      <c r="D3196" s="18" t="s">
        <v>1781</v>
      </c>
      <c r="E3196" s="18">
        <v>3</v>
      </c>
      <c r="F3196" s="18" t="s">
        <v>78</v>
      </c>
      <c r="G3196" s="18" t="s">
        <v>22</v>
      </c>
      <c r="H3196" s="18" t="s">
        <v>23</v>
      </c>
      <c r="I3196" s="19">
        <v>19.38</v>
      </c>
      <c r="J3196" s="20">
        <f t="shared" si="98"/>
        <v>58.14</v>
      </c>
      <c r="K3196" s="106"/>
      <c r="L3196" s="114"/>
      <c r="M3196" s="114">
        <f>tblAquisições[[#This Row],[VALOR UNITARIO COMPRADO]]*tblAquisições[[#This Row],[QUANTIDADE COMPRADA]]</f>
        <v>0</v>
      </c>
      <c r="N3196" s="110">
        <f>K3196-tblAquisições[[#This Row],[QUANTIDADE PLANEJADA]]</f>
        <v>-3</v>
      </c>
      <c r="O3196" s="106" t="str">
        <f t="shared" si="99"/>
        <v>Faltando Comprar</v>
      </c>
    </row>
    <row r="3197" spans="1:15" ht="31.5">
      <c r="A3197" s="16" t="s">
        <v>17</v>
      </c>
      <c r="B3197" s="16" t="s">
        <v>31</v>
      </c>
      <c r="C3197" s="17" t="s">
        <v>19</v>
      </c>
      <c r="D3197" s="18" t="s">
        <v>1782</v>
      </c>
      <c r="E3197" s="18">
        <v>5</v>
      </c>
      <c r="F3197" s="18" t="s">
        <v>328</v>
      </c>
      <c r="G3197" s="18" t="s">
        <v>22</v>
      </c>
      <c r="H3197" s="18" t="s">
        <v>23</v>
      </c>
      <c r="I3197" s="19">
        <v>18.079999999999998</v>
      </c>
      <c r="J3197" s="20">
        <f t="shared" si="98"/>
        <v>90.399999999999991</v>
      </c>
      <c r="K3197" s="106"/>
      <c r="L3197" s="114"/>
      <c r="M3197" s="114">
        <f>tblAquisições[[#This Row],[VALOR UNITARIO COMPRADO]]*tblAquisições[[#This Row],[QUANTIDADE COMPRADA]]</f>
        <v>0</v>
      </c>
      <c r="N3197" s="110">
        <f>K3197-tblAquisições[[#This Row],[QUANTIDADE PLANEJADA]]</f>
        <v>-5</v>
      </c>
      <c r="O3197" s="106" t="str">
        <f t="shared" si="99"/>
        <v>Faltando Comprar</v>
      </c>
    </row>
    <row r="3198" spans="1:15" ht="31.5">
      <c r="A3198" s="16" t="s">
        <v>17</v>
      </c>
      <c r="B3198" s="16" t="s">
        <v>28</v>
      </c>
      <c r="C3198" s="17" t="s">
        <v>19</v>
      </c>
      <c r="D3198" s="18" t="s">
        <v>1782</v>
      </c>
      <c r="E3198" s="18">
        <v>2</v>
      </c>
      <c r="F3198" s="18" t="s">
        <v>328</v>
      </c>
      <c r="G3198" s="18" t="s">
        <v>22</v>
      </c>
      <c r="H3198" s="18" t="s">
        <v>23</v>
      </c>
      <c r="I3198" s="19">
        <v>18.079999999999998</v>
      </c>
      <c r="J3198" s="20">
        <f t="shared" si="98"/>
        <v>36.159999999999997</v>
      </c>
      <c r="K3198" s="106"/>
      <c r="L3198" s="114"/>
      <c r="M3198" s="114">
        <f>tblAquisições[[#This Row],[VALOR UNITARIO COMPRADO]]*tblAquisições[[#This Row],[QUANTIDADE COMPRADA]]</f>
        <v>0</v>
      </c>
      <c r="N3198" s="110">
        <f>K3198-tblAquisições[[#This Row],[QUANTIDADE PLANEJADA]]</f>
        <v>-2</v>
      </c>
      <c r="O3198" s="106" t="str">
        <f t="shared" si="99"/>
        <v>Faltando Comprar</v>
      </c>
    </row>
    <row r="3199" spans="1:15" ht="31.5">
      <c r="A3199" s="16" t="s">
        <v>17</v>
      </c>
      <c r="B3199" s="16" t="s">
        <v>28</v>
      </c>
      <c r="C3199" s="17" t="s">
        <v>19</v>
      </c>
      <c r="D3199" s="18" t="s">
        <v>1783</v>
      </c>
      <c r="E3199" s="18">
        <v>25</v>
      </c>
      <c r="F3199" s="18" t="s">
        <v>21</v>
      </c>
      <c r="G3199" s="18" t="s">
        <v>22</v>
      </c>
      <c r="H3199" s="18" t="s">
        <v>53</v>
      </c>
      <c r="I3199" s="19">
        <v>57.17</v>
      </c>
      <c r="J3199" s="20">
        <f t="shared" si="98"/>
        <v>1429.25</v>
      </c>
      <c r="K3199" s="106"/>
      <c r="L3199" s="114"/>
      <c r="M3199" s="114">
        <f>tblAquisições[[#This Row],[VALOR UNITARIO COMPRADO]]*tblAquisições[[#This Row],[QUANTIDADE COMPRADA]]</f>
        <v>0</v>
      </c>
      <c r="N3199" s="110">
        <f>K3199-tblAquisições[[#This Row],[QUANTIDADE PLANEJADA]]</f>
        <v>-25</v>
      </c>
      <c r="O3199" s="106" t="str">
        <f t="shared" si="99"/>
        <v>Faltando Comprar</v>
      </c>
    </row>
    <row r="3200" spans="1:15" ht="47.25">
      <c r="A3200" s="16" t="s">
        <v>17</v>
      </c>
      <c r="B3200" s="16" t="s">
        <v>25</v>
      </c>
      <c r="C3200" s="17" t="s">
        <v>19</v>
      </c>
      <c r="D3200" s="18" t="s">
        <v>1784</v>
      </c>
      <c r="E3200" s="18">
        <v>10</v>
      </c>
      <c r="F3200" s="18" t="s">
        <v>78</v>
      </c>
      <c r="G3200" s="18" t="s">
        <v>22</v>
      </c>
      <c r="H3200" s="18" t="s">
        <v>23</v>
      </c>
      <c r="I3200" s="19">
        <v>9.4700000000000006</v>
      </c>
      <c r="J3200" s="20">
        <f t="shared" si="98"/>
        <v>94.7</v>
      </c>
      <c r="K3200" s="106"/>
      <c r="L3200" s="114"/>
      <c r="M3200" s="114">
        <f>tblAquisições[[#This Row],[VALOR UNITARIO COMPRADO]]*tblAquisições[[#This Row],[QUANTIDADE COMPRADA]]</f>
        <v>0</v>
      </c>
      <c r="N3200" s="110">
        <f>K3200-tblAquisições[[#This Row],[QUANTIDADE PLANEJADA]]</f>
        <v>-10</v>
      </c>
      <c r="O3200" s="106" t="str">
        <f t="shared" si="99"/>
        <v>Faltando Comprar</v>
      </c>
    </row>
    <row r="3201" spans="1:15" ht="47.25">
      <c r="A3201" s="16" t="s">
        <v>17</v>
      </c>
      <c r="B3201" s="16" t="s">
        <v>27</v>
      </c>
      <c r="C3201" s="17" t="s">
        <v>19</v>
      </c>
      <c r="D3201" s="18" t="s">
        <v>1784</v>
      </c>
      <c r="E3201" s="18">
        <v>10</v>
      </c>
      <c r="F3201" s="18" t="s">
        <v>78</v>
      </c>
      <c r="G3201" s="18" t="s">
        <v>22</v>
      </c>
      <c r="H3201" s="18" t="s">
        <v>23</v>
      </c>
      <c r="I3201" s="19">
        <v>9.4700000000000006</v>
      </c>
      <c r="J3201" s="20">
        <f t="shared" si="98"/>
        <v>94.7</v>
      </c>
      <c r="K3201" s="106"/>
      <c r="L3201" s="114"/>
      <c r="M3201" s="114">
        <f>tblAquisições[[#This Row],[VALOR UNITARIO COMPRADO]]*tblAquisições[[#This Row],[QUANTIDADE COMPRADA]]</f>
        <v>0</v>
      </c>
      <c r="N3201" s="110">
        <f>K3201-tblAquisições[[#This Row],[QUANTIDADE PLANEJADA]]</f>
        <v>-10</v>
      </c>
      <c r="O3201" s="106" t="str">
        <f t="shared" si="99"/>
        <v>Faltando Comprar</v>
      </c>
    </row>
    <row r="3202" spans="1:15" ht="47.25">
      <c r="A3202" s="16" t="s">
        <v>17</v>
      </c>
      <c r="B3202" s="16" t="s">
        <v>28</v>
      </c>
      <c r="C3202" s="17" t="s">
        <v>19</v>
      </c>
      <c r="D3202" s="18" t="s">
        <v>1784</v>
      </c>
      <c r="E3202" s="18">
        <v>10</v>
      </c>
      <c r="F3202" s="18" t="s">
        <v>78</v>
      </c>
      <c r="G3202" s="18" t="s">
        <v>22</v>
      </c>
      <c r="H3202" s="18" t="s">
        <v>23</v>
      </c>
      <c r="I3202" s="19">
        <v>9.4700000000000006</v>
      </c>
      <c r="J3202" s="20">
        <f t="shared" ref="J3202:J3265" si="100">E3202*I3202</f>
        <v>94.7</v>
      </c>
      <c r="K3202" s="106"/>
      <c r="L3202" s="114"/>
      <c r="M3202" s="114">
        <f>tblAquisições[[#This Row],[VALOR UNITARIO COMPRADO]]*tblAquisições[[#This Row],[QUANTIDADE COMPRADA]]</f>
        <v>0</v>
      </c>
      <c r="N3202" s="110">
        <f>K3202-tblAquisições[[#This Row],[QUANTIDADE PLANEJADA]]</f>
        <v>-10</v>
      </c>
      <c r="O3202" s="106" t="str">
        <f t="shared" ref="O3202:O3265" si="101">IF(K3202=E3202,"OK",IF(K3202&lt;E3202,"Faltando Comprar","Excedente"))</f>
        <v>Faltando Comprar</v>
      </c>
    </row>
    <row r="3203" spans="1:15" ht="47.25">
      <c r="A3203" s="16" t="s">
        <v>17</v>
      </c>
      <c r="B3203" s="16" t="s">
        <v>26</v>
      </c>
      <c r="C3203" s="17" t="s">
        <v>19</v>
      </c>
      <c r="D3203" s="18" t="s">
        <v>1785</v>
      </c>
      <c r="E3203" s="18">
        <v>80</v>
      </c>
      <c r="F3203" s="18" t="s">
        <v>30</v>
      </c>
      <c r="G3203" s="18" t="s">
        <v>22</v>
      </c>
      <c r="H3203" s="18" t="s">
        <v>83</v>
      </c>
      <c r="I3203" s="19">
        <v>77.83</v>
      </c>
      <c r="J3203" s="20">
        <f t="shared" si="100"/>
        <v>6226.4</v>
      </c>
      <c r="K3203" s="106"/>
      <c r="L3203" s="114"/>
      <c r="M3203" s="114">
        <f>tblAquisições[[#This Row],[VALOR UNITARIO COMPRADO]]*tblAquisições[[#This Row],[QUANTIDADE COMPRADA]]</f>
        <v>0</v>
      </c>
      <c r="N3203" s="110">
        <f>K3203-tblAquisições[[#This Row],[QUANTIDADE PLANEJADA]]</f>
        <v>-80</v>
      </c>
      <c r="O3203" s="106" t="str">
        <f t="shared" si="101"/>
        <v>Faltando Comprar</v>
      </c>
    </row>
    <row r="3204" spans="1:15" ht="47.25">
      <c r="A3204" s="16" t="s">
        <v>17</v>
      </c>
      <c r="B3204" s="16" t="s">
        <v>80</v>
      </c>
      <c r="C3204" s="17" t="s">
        <v>19</v>
      </c>
      <c r="D3204" s="18" t="s">
        <v>1786</v>
      </c>
      <c r="E3204" s="18">
        <v>120</v>
      </c>
      <c r="F3204" s="18" t="s">
        <v>82</v>
      </c>
      <c r="G3204" s="18" t="s">
        <v>39</v>
      </c>
      <c r="H3204" s="18" t="s">
        <v>83</v>
      </c>
      <c r="I3204" s="19">
        <v>22</v>
      </c>
      <c r="J3204" s="20">
        <f t="shared" si="100"/>
        <v>2640</v>
      </c>
      <c r="K3204" s="106"/>
      <c r="L3204" s="114"/>
      <c r="M3204" s="114">
        <f>tblAquisições[[#This Row],[VALOR UNITARIO COMPRADO]]*tblAquisições[[#This Row],[QUANTIDADE COMPRADA]]</f>
        <v>0</v>
      </c>
      <c r="N3204" s="110">
        <f>K3204-tblAquisições[[#This Row],[QUANTIDADE PLANEJADA]]</f>
        <v>-120</v>
      </c>
      <c r="O3204" s="106" t="str">
        <f t="shared" si="101"/>
        <v>Faltando Comprar</v>
      </c>
    </row>
    <row r="3205" spans="1:15" ht="47.25">
      <c r="A3205" s="16" t="s">
        <v>17</v>
      </c>
      <c r="B3205" s="16" t="s">
        <v>80</v>
      </c>
      <c r="C3205" s="17" t="s">
        <v>19</v>
      </c>
      <c r="D3205" s="18" t="s">
        <v>1787</v>
      </c>
      <c r="E3205" s="18">
        <v>120</v>
      </c>
      <c r="F3205" s="18" t="s">
        <v>82</v>
      </c>
      <c r="G3205" s="18" t="s">
        <v>39</v>
      </c>
      <c r="H3205" s="18" t="s">
        <v>83</v>
      </c>
      <c r="I3205" s="19">
        <v>31.83</v>
      </c>
      <c r="J3205" s="20">
        <f t="shared" si="100"/>
        <v>3819.6</v>
      </c>
      <c r="K3205" s="106"/>
      <c r="L3205" s="114"/>
      <c r="M3205" s="114">
        <f>tblAquisições[[#This Row],[VALOR UNITARIO COMPRADO]]*tblAquisições[[#This Row],[QUANTIDADE COMPRADA]]</f>
        <v>0</v>
      </c>
      <c r="N3205" s="110">
        <f>K3205-tblAquisições[[#This Row],[QUANTIDADE PLANEJADA]]</f>
        <v>-120</v>
      </c>
      <c r="O3205" s="106" t="str">
        <f t="shared" si="101"/>
        <v>Faltando Comprar</v>
      </c>
    </row>
    <row r="3206" spans="1:15" ht="47.25">
      <c r="A3206" s="16" t="s">
        <v>17</v>
      </c>
      <c r="B3206" s="16" t="s">
        <v>26</v>
      </c>
      <c r="C3206" s="17" t="s">
        <v>19</v>
      </c>
      <c r="D3206" s="18" t="s">
        <v>1788</v>
      </c>
      <c r="E3206" s="18">
        <v>100</v>
      </c>
      <c r="F3206" s="18" t="s">
        <v>30</v>
      </c>
      <c r="G3206" s="18" t="s">
        <v>22</v>
      </c>
      <c r="H3206" s="18" t="s">
        <v>83</v>
      </c>
      <c r="I3206" s="19">
        <v>31.83</v>
      </c>
      <c r="J3206" s="20">
        <f t="shared" si="100"/>
        <v>3183</v>
      </c>
      <c r="K3206" s="106"/>
      <c r="L3206" s="114"/>
      <c r="M3206" s="114">
        <f>tblAquisições[[#This Row],[VALOR UNITARIO COMPRADO]]*tblAquisições[[#This Row],[QUANTIDADE COMPRADA]]</f>
        <v>0</v>
      </c>
      <c r="N3206" s="110">
        <f>K3206-tblAquisições[[#This Row],[QUANTIDADE PLANEJADA]]</f>
        <v>-100</v>
      </c>
      <c r="O3206" s="106" t="str">
        <f t="shared" si="101"/>
        <v>Faltando Comprar</v>
      </c>
    </row>
    <row r="3207" spans="1:15" ht="47.25">
      <c r="A3207" s="16" t="s">
        <v>17</v>
      </c>
      <c r="B3207" s="16" t="s">
        <v>80</v>
      </c>
      <c r="C3207" s="17" t="s">
        <v>19</v>
      </c>
      <c r="D3207" s="18" t="s">
        <v>1789</v>
      </c>
      <c r="E3207" s="18">
        <v>120</v>
      </c>
      <c r="F3207" s="18" t="s">
        <v>82</v>
      </c>
      <c r="G3207" s="18" t="s">
        <v>39</v>
      </c>
      <c r="H3207" s="18" t="s">
        <v>83</v>
      </c>
      <c r="I3207" s="19">
        <v>70.13</v>
      </c>
      <c r="J3207" s="20">
        <f t="shared" si="100"/>
        <v>8415.5999999999985</v>
      </c>
      <c r="K3207" s="106"/>
      <c r="L3207" s="114"/>
      <c r="M3207" s="114">
        <f>tblAquisições[[#This Row],[VALOR UNITARIO COMPRADO]]*tblAquisições[[#This Row],[QUANTIDADE COMPRADA]]</f>
        <v>0</v>
      </c>
      <c r="N3207" s="110">
        <f>K3207-tblAquisições[[#This Row],[QUANTIDADE PLANEJADA]]</f>
        <v>-120</v>
      </c>
      <c r="O3207" s="106" t="str">
        <f t="shared" si="101"/>
        <v>Faltando Comprar</v>
      </c>
    </row>
    <row r="3208" spans="1:15" ht="47.25">
      <c r="A3208" s="16" t="s">
        <v>17</v>
      </c>
      <c r="B3208" s="16" t="s">
        <v>26</v>
      </c>
      <c r="C3208" s="17" t="s">
        <v>19</v>
      </c>
      <c r="D3208" s="18" t="s">
        <v>1790</v>
      </c>
      <c r="E3208" s="18">
        <v>100</v>
      </c>
      <c r="F3208" s="18" t="s">
        <v>30</v>
      </c>
      <c r="G3208" s="18" t="s">
        <v>22</v>
      </c>
      <c r="H3208" s="18" t="s">
        <v>83</v>
      </c>
      <c r="I3208" s="19">
        <v>70.13</v>
      </c>
      <c r="J3208" s="20">
        <f t="shared" si="100"/>
        <v>7013</v>
      </c>
      <c r="K3208" s="106"/>
      <c r="L3208" s="114"/>
      <c r="M3208" s="114">
        <f>tblAquisições[[#This Row],[VALOR UNITARIO COMPRADO]]*tblAquisições[[#This Row],[QUANTIDADE COMPRADA]]</f>
        <v>0</v>
      </c>
      <c r="N3208" s="110">
        <f>K3208-tblAquisições[[#This Row],[QUANTIDADE PLANEJADA]]</f>
        <v>-100</v>
      </c>
      <c r="O3208" s="106" t="str">
        <f t="shared" si="101"/>
        <v>Faltando Comprar</v>
      </c>
    </row>
    <row r="3209" spans="1:15" ht="47.25">
      <c r="A3209" s="16" t="s">
        <v>17</v>
      </c>
      <c r="B3209" s="16" t="s">
        <v>80</v>
      </c>
      <c r="C3209" s="17" t="s">
        <v>19</v>
      </c>
      <c r="D3209" s="18" t="s">
        <v>1791</v>
      </c>
      <c r="E3209" s="18">
        <v>120</v>
      </c>
      <c r="F3209" s="18" t="s">
        <v>82</v>
      </c>
      <c r="G3209" s="18" t="s">
        <v>39</v>
      </c>
      <c r="H3209" s="18" t="s">
        <v>83</v>
      </c>
      <c r="I3209" s="19">
        <v>107.5</v>
      </c>
      <c r="J3209" s="20">
        <f t="shared" si="100"/>
        <v>12900</v>
      </c>
      <c r="K3209" s="106"/>
      <c r="L3209" s="114"/>
      <c r="M3209" s="114">
        <f>tblAquisições[[#This Row],[VALOR UNITARIO COMPRADO]]*tblAquisições[[#This Row],[QUANTIDADE COMPRADA]]</f>
        <v>0</v>
      </c>
      <c r="N3209" s="110">
        <f>K3209-tblAquisições[[#This Row],[QUANTIDADE PLANEJADA]]</f>
        <v>-120</v>
      </c>
      <c r="O3209" s="106" t="str">
        <f t="shared" si="101"/>
        <v>Faltando Comprar</v>
      </c>
    </row>
    <row r="3210" spans="1:15" ht="47.25">
      <c r="A3210" s="16" t="s">
        <v>17</v>
      </c>
      <c r="B3210" s="16" t="s">
        <v>26</v>
      </c>
      <c r="C3210" s="17" t="s">
        <v>19</v>
      </c>
      <c r="D3210" s="18" t="s">
        <v>1792</v>
      </c>
      <c r="E3210" s="18">
        <v>100</v>
      </c>
      <c r="F3210" s="18" t="s">
        <v>30</v>
      </c>
      <c r="G3210" s="18" t="s">
        <v>22</v>
      </c>
      <c r="H3210" s="18" t="s">
        <v>83</v>
      </c>
      <c r="I3210" s="19">
        <v>107.5</v>
      </c>
      <c r="J3210" s="20">
        <f t="shared" si="100"/>
        <v>10750</v>
      </c>
      <c r="K3210" s="106"/>
      <c r="L3210" s="114"/>
      <c r="M3210" s="114">
        <f>tblAquisições[[#This Row],[VALOR UNITARIO COMPRADO]]*tblAquisições[[#This Row],[QUANTIDADE COMPRADA]]</f>
        <v>0</v>
      </c>
      <c r="N3210" s="110">
        <f>K3210-tblAquisições[[#This Row],[QUANTIDADE PLANEJADA]]</f>
        <v>-100</v>
      </c>
      <c r="O3210" s="106" t="str">
        <f t="shared" si="101"/>
        <v>Faltando Comprar</v>
      </c>
    </row>
    <row r="3211" spans="1:15" ht="47.25">
      <c r="A3211" s="16" t="s">
        <v>17</v>
      </c>
      <c r="B3211" s="16" t="s">
        <v>26</v>
      </c>
      <c r="C3211" s="17" t="s">
        <v>19</v>
      </c>
      <c r="D3211" s="18" t="s">
        <v>1793</v>
      </c>
      <c r="E3211" s="18">
        <v>100</v>
      </c>
      <c r="F3211" s="18" t="s">
        <v>30</v>
      </c>
      <c r="G3211" s="18" t="s">
        <v>22</v>
      </c>
      <c r="H3211" s="18" t="s">
        <v>83</v>
      </c>
      <c r="I3211" s="19">
        <v>205</v>
      </c>
      <c r="J3211" s="20">
        <f t="shared" si="100"/>
        <v>20500</v>
      </c>
      <c r="K3211" s="106"/>
      <c r="L3211" s="114"/>
      <c r="M3211" s="114">
        <f>tblAquisições[[#This Row],[VALOR UNITARIO COMPRADO]]*tblAquisições[[#This Row],[QUANTIDADE COMPRADA]]</f>
        <v>0</v>
      </c>
      <c r="N3211" s="110">
        <f>K3211-tblAquisições[[#This Row],[QUANTIDADE PLANEJADA]]</f>
        <v>-100</v>
      </c>
      <c r="O3211" s="106" t="str">
        <f t="shared" si="101"/>
        <v>Faltando Comprar</v>
      </c>
    </row>
    <row r="3212" spans="1:15" ht="31.5">
      <c r="A3212" s="16" t="s">
        <v>17</v>
      </c>
      <c r="B3212" s="16" t="s">
        <v>31</v>
      </c>
      <c r="C3212" s="17" t="s">
        <v>19</v>
      </c>
      <c r="D3212" s="18" t="s">
        <v>1794</v>
      </c>
      <c r="E3212" s="18">
        <v>5</v>
      </c>
      <c r="F3212" s="18" t="s">
        <v>30</v>
      </c>
      <c r="G3212" s="18" t="s">
        <v>22</v>
      </c>
      <c r="H3212" s="18" t="s">
        <v>23</v>
      </c>
      <c r="I3212" s="19">
        <v>326.39999999999998</v>
      </c>
      <c r="J3212" s="20">
        <f t="shared" si="100"/>
        <v>1632</v>
      </c>
      <c r="K3212" s="106"/>
      <c r="L3212" s="114"/>
      <c r="M3212" s="114">
        <f>tblAquisições[[#This Row],[VALOR UNITARIO COMPRADO]]*tblAquisições[[#This Row],[QUANTIDADE COMPRADA]]</f>
        <v>0</v>
      </c>
      <c r="N3212" s="110">
        <f>K3212-tblAquisições[[#This Row],[QUANTIDADE PLANEJADA]]</f>
        <v>-5</v>
      </c>
      <c r="O3212" s="106" t="str">
        <f t="shared" si="101"/>
        <v>Faltando Comprar</v>
      </c>
    </row>
    <row r="3213" spans="1:15" ht="31.5">
      <c r="A3213" s="16" t="s">
        <v>17</v>
      </c>
      <c r="B3213" s="16" t="s">
        <v>18</v>
      </c>
      <c r="C3213" s="17" t="s">
        <v>19</v>
      </c>
      <c r="D3213" s="18" t="s">
        <v>1795</v>
      </c>
      <c r="E3213" s="18">
        <v>20</v>
      </c>
      <c r="F3213" s="18" t="s">
        <v>21</v>
      </c>
      <c r="G3213" s="18" t="s">
        <v>22</v>
      </c>
      <c r="H3213" s="18" t="s">
        <v>23</v>
      </c>
      <c r="I3213" s="19">
        <v>12.82</v>
      </c>
      <c r="J3213" s="20">
        <f t="shared" si="100"/>
        <v>256.39999999999998</v>
      </c>
      <c r="K3213" s="106"/>
      <c r="L3213" s="114"/>
      <c r="M3213" s="114">
        <f>tblAquisições[[#This Row],[VALOR UNITARIO COMPRADO]]*tblAquisições[[#This Row],[QUANTIDADE COMPRADA]]</f>
        <v>0</v>
      </c>
      <c r="N3213" s="110">
        <f>K3213-tblAquisições[[#This Row],[QUANTIDADE PLANEJADA]]</f>
        <v>-20</v>
      </c>
      <c r="O3213" s="106" t="str">
        <f t="shared" si="101"/>
        <v>Faltando Comprar</v>
      </c>
    </row>
    <row r="3214" spans="1:15" ht="31.5">
      <c r="A3214" s="16" t="s">
        <v>17</v>
      </c>
      <c r="B3214" s="16" t="s">
        <v>24</v>
      </c>
      <c r="C3214" s="17" t="s">
        <v>19</v>
      </c>
      <c r="D3214" s="18" t="s">
        <v>1795</v>
      </c>
      <c r="E3214" s="18">
        <v>20</v>
      </c>
      <c r="F3214" s="18" t="s">
        <v>21</v>
      </c>
      <c r="G3214" s="18" t="s">
        <v>22</v>
      </c>
      <c r="H3214" s="18" t="s">
        <v>23</v>
      </c>
      <c r="I3214" s="19">
        <v>12.82</v>
      </c>
      <c r="J3214" s="20">
        <f t="shared" si="100"/>
        <v>256.39999999999998</v>
      </c>
      <c r="K3214" s="106"/>
      <c r="L3214" s="114"/>
      <c r="M3214" s="114">
        <f>tblAquisições[[#This Row],[VALOR UNITARIO COMPRADO]]*tblAquisições[[#This Row],[QUANTIDADE COMPRADA]]</f>
        <v>0</v>
      </c>
      <c r="N3214" s="110">
        <f>K3214-tblAquisições[[#This Row],[QUANTIDADE PLANEJADA]]</f>
        <v>-20</v>
      </c>
      <c r="O3214" s="106" t="str">
        <f t="shared" si="101"/>
        <v>Faltando Comprar</v>
      </c>
    </row>
    <row r="3215" spans="1:15" ht="31.5">
      <c r="A3215" s="16" t="s">
        <v>17</v>
      </c>
      <c r="B3215" s="16" t="s">
        <v>25</v>
      </c>
      <c r="C3215" s="17" t="s">
        <v>19</v>
      </c>
      <c r="D3215" s="18" t="s">
        <v>1795</v>
      </c>
      <c r="E3215" s="18">
        <v>20</v>
      </c>
      <c r="F3215" s="18" t="s">
        <v>21</v>
      </c>
      <c r="G3215" s="18" t="s">
        <v>22</v>
      </c>
      <c r="H3215" s="18" t="s">
        <v>23</v>
      </c>
      <c r="I3215" s="19">
        <v>12.82</v>
      </c>
      <c r="J3215" s="20">
        <f t="shared" si="100"/>
        <v>256.39999999999998</v>
      </c>
      <c r="K3215" s="106"/>
      <c r="L3215" s="114"/>
      <c r="M3215" s="114">
        <f>tblAquisições[[#This Row],[VALOR UNITARIO COMPRADO]]*tblAquisições[[#This Row],[QUANTIDADE COMPRADA]]</f>
        <v>0</v>
      </c>
      <c r="N3215" s="110">
        <f>K3215-tblAquisições[[#This Row],[QUANTIDADE PLANEJADA]]</f>
        <v>-20</v>
      </c>
      <c r="O3215" s="106" t="str">
        <f t="shared" si="101"/>
        <v>Faltando Comprar</v>
      </c>
    </row>
    <row r="3216" spans="1:15" ht="31.5">
      <c r="A3216" s="16" t="s">
        <v>17</v>
      </c>
      <c r="B3216" s="16" t="s">
        <v>28</v>
      </c>
      <c r="C3216" s="17" t="s">
        <v>19</v>
      </c>
      <c r="D3216" s="18" t="s">
        <v>1795</v>
      </c>
      <c r="E3216" s="18">
        <v>12</v>
      </c>
      <c r="F3216" s="18" t="s">
        <v>21</v>
      </c>
      <c r="G3216" s="18" t="s">
        <v>22</v>
      </c>
      <c r="H3216" s="18" t="s">
        <v>23</v>
      </c>
      <c r="I3216" s="19">
        <v>12.82</v>
      </c>
      <c r="J3216" s="20">
        <f t="shared" si="100"/>
        <v>153.84</v>
      </c>
      <c r="K3216" s="106"/>
      <c r="L3216" s="114"/>
      <c r="M3216" s="114">
        <f>tblAquisições[[#This Row],[VALOR UNITARIO COMPRADO]]*tblAquisições[[#This Row],[QUANTIDADE COMPRADA]]</f>
        <v>0</v>
      </c>
      <c r="N3216" s="110">
        <f>K3216-tblAquisições[[#This Row],[QUANTIDADE PLANEJADA]]</f>
        <v>-12</v>
      </c>
      <c r="O3216" s="106" t="str">
        <f t="shared" si="101"/>
        <v>Faltando Comprar</v>
      </c>
    </row>
    <row r="3217" spans="1:15" ht="31.5">
      <c r="A3217" s="16" t="s">
        <v>17</v>
      </c>
      <c r="B3217" s="16" t="s">
        <v>80</v>
      </c>
      <c r="C3217" s="17" t="s">
        <v>19</v>
      </c>
      <c r="D3217" s="18" t="s">
        <v>1796</v>
      </c>
      <c r="E3217" s="18">
        <v>2</v>
      </c>
      <c r="F3217" s="18" t="s">
        <v>468</v>
      </c>
      <c r="G3217" s="18" t="s">
        <v>39</v>
      </c>
      <c r="H3217" s="21"/>
      <c r="I3217" s="19">
        <v>34.28</v>
      </c>
      <c r="J3217" s="20">
        <f t="shared" si="100"/>
        <v>68.56</v>
      </c>
      <c r="K3217" s="106"/>
      <c r="L3217" s="114"/>
      <c r="M3217" s="114">
        <f>tblAquisições[[#This Row],[VALOR UNITARIO COMPRADO]]*tblAquisições[[#This Row],[QUANTIDADE COMPRADA]]</f>
        <v>0</v>
      </c>
      <c r="N3217" s="110">
        <f>K3217-tblAquisições[[#This Row],[QUANTIDADE PLANEJADA]]</f>
        <v>-2</v>
      </c>
      <c r="O3217" s="106" t="str">
        <f t="shared" si="101"/>
        <v>Faltando Comprar</v>
      </c>
    </row>
    <row r="3218" spans="1:15" ht="31.5">
      <c r="A3218" s="16" t="s">
        <v>17</v>
      </c>
      <c r="B3218" s="16" t="s">
        <v>31</v>
      </c>
      <c r="C3218" s="17" t="s">
        <v>19</v>
      </c>
      <c r="D3218" s="18" t="s">
        <v>1797</v>
      </c>
      <c r="E3218" s="18">
        <v>10</v>
      </c>
      <c r="F3218" s="18" t="s">
        <v>328</v>
      </c>
      <c r="G3218" s="18" t="s">
        <v>22</v>
      </c>
      <c r="H3218" s="18" t="s">
        <v>23</v>
      </c>
      <c r="I3218" s="19">
        <v>34.28</v>
      </c>
      <c r="J3218" s="20">
        <f t="shared" si="100"/>
        <v>342.8</v>
      </c>
      <c r="K3218" s="106"/>
      <c r="L3218" s="114"/>
      <c r="M3218" s="114">
        <f>tblAquisições[[#This Row],[VALOR UNITARIO COMPRADO]]*tblAquisições[[#This Row],[QUANTIDADE COMPRADA]]</f>
        <v>0</v>
      </c>
      <c r="N3218" s="110">
        <f>K3218-tblAquisições[[#This Row],[QUANTIDADE PLANEJADA]]</f>
        <v>-10</v>
      </c>
      <c r="O3218" s="106" t="str">
        <f t="shared" si="101"/>
        <v>Faltando Comprar</v>
      </c>
    </row>
    <row r="3219" spans="1:15" ht="31.5">
      <c r="A3219" s="16" t="s">
        <v>17</v>
      </c>
      <c r="B3219" s="16" t="s">
        <v>34</v>
      </c>
      <c r="C3219" s="17" t="s">
        <v>19</v>
      </c>
      <c r="D3219" s="18" t="s">
        <v>1798</v>
      </c>
      <c r="E3219" s="18">
        <v>5</v>
      </c>
      <c r="F3219" s="18" t="s">
        <v>21</v>
      </c>
      <c r="G3219" s="18" t="s">
        <v>22</v>
      </c>
      <c r="H3219" s="18" t="s">
        <v>23</v>
      </c>
      <c r="I3219" s="19">
        <v>64.33</v>
      </c>
      <c r="J3219" s="20">
        <f t="shared" si="100"/>
        <v>321.64999999999998</v>
      </c>
      <c r="K3219" s="106"/>
      <c r="L3219" s="114"/>
      <c r="M3219" s="114">
        <f>tblAquisições[[#This Row],[VALOR UNITARIO COMPRADO]]*tblAquisições[[#This Row],[QUANTIDADE COMPRADA]]</f>
        <v>0</v>
      </c>
      <c r="N3219" s="110">
        <f>K3219-tblAquisições[[#This Row],[QUANTIDADE PLANEJADA]]</f>
        <v>-5</v>
      </c>
      <c r="O3219" s="106" t="str">
        <f t="shared" si="101"/>
        <v>Faltando Comprar</v>
      </c>
    </row>
    <row r="3220" spans="1:15" ht="31.5">
      <c r="A3220" s="16" t="s">
        <v>17</v>
      </c>
      <c r="B3220" s="16" t="s">
        <v>41</v>
      </c>
      <c r="C3220" s="17" t="s">
        <v>19</v>
      </c>
      <c r="D3220" s="18" t="s">
        <v>1798</v>
      </c>
      <c r="E3220" s="18">
        <v>10</v>
      </c>
      <c r="F3220" s="18" t="s">
        <v>21</v>
      </c>
      <c r="G3220" s="18" t="s">
        <v>22</v>
      </c>
      <c r="H3220" s="18" t="s">
        <v>23</v>
      </c>
      <c r="I3220" s="19">
        <v>64.33</v>
      </c>
      <c r="J3220" s="20">
        <f t="shared" si="100"/>
        <v>643.29999999999995</v>
      </c>
      <c r="K3220" s="106"/>
      <c r="L3220" s="114"/>
      <c r="M3220" s="114">
        <f>tblAquisições[[#This Row],[VALOR UNITARIO COMPRADO]]*tblAquisições[[#This Row],[QUANTIDADE COMPRADA]]</f>
        <v>0</v>
      </c>
      <c r="N3220" s="110">
        <f>K3220-tblAquisições[[#This Row],[QUANTIDADE PLANEJADA]]</f>
        <v>-10</v>
      </c>
      <c r="O3220" s="106" t="str">
        <f t="shared" si="101"/>
        <v>Faltando Comprar</v>
      </c>
    </row>
    <row r="3221" spans="1:15" ht="31.5">
      <c r="A3221" s="16" t="s">
        <v>17</v>
      </c>
      <c r="B3221" s="16" t="s">
        <v>41</v>
      </c>
      <c r="C3221" s="17" t="s">
        <v>19</v>
      </c>
      <c r="D3221" s="18" t="s">
        <v>1799</v>
      </c>
      <c r="E3221" s="18">
        <v>60</v>
      </c>
      <c r="F3221" s="18" t="s">
        <v>21</v>
      </c>
      <c r="G3221" s="18" t="s">
        <v>22</v>
      </c>
      <c r="H3221" s="18" t="s">
        <v>23</v>
      </c>
      <c r="I3221" s="19">
        <v>47.43</v>
      </c>
      <c r="J3221" s="20">
        <f t="shared" si="100"/>
        <v>2845.8</v>
      </c>
      <c r="K3221" s="106"/>
      <c r="L3221" s="114"/>
      <c r="M3221" s="114">
        <f>tblAquisições[[#This Row],[VALOR UNITARIO COMPRADO]]*tblAquisições[[#This Row],[QUANTIDADE COMPRADA]]</f>
        <v>0</v>
      </c>
      <c r="N3221" s="110">
        <f>K3221-tblAquisições[[#This Row],[QUANTIDADE PLANEJADA]]</f>
        <v>-60</v>
      </c>
      <c r="O3221" s="106" t="str">
        <f t="shared" si="101"/>
        <v>Faltando Comprar</v>
      </c>
    </row>
    <row r="3222" spans="1:15" ht="31.5">
      <c r="A3222" s="16" t="s">
        <v>17</v>
      </c>
      <c r="B3222" s="16" t="s">
        <v>26</v>
      </c>
      <c r="C3222" s="17" t="s">
        <v>19</v>
      </c>
      <c r="D3222" s="18" t="s">
        <v>1799</v>
      </c>
      <c r="E3222" s="18">
        <v>30</v>
      </c>
      <c r="F3222" s="18" t="s">
        <v>21</v>
      </c>
      <c r="G3222" s="18" t="s">
        <v>22</v>
      </c>
      <c r="H3222" s="18" t="s">
        <v>23</v>
      </c>
      <c r="I3222" s="19">
        <v>47.43</v>
      </c>
      <c r="J3222" s="20">
        <f t="shared" si="100"/>
        <v>1422.9</v>
      </c>
      <c r="K3222" s="106"/>
      <c r="L3222" s="114"/>
      <c r="M3222" s="114">
        <f>tblAquisições[[#This Row],[VALOR UNITARIO COMPRADO]]*tblAquisições[[#This Row],[QUANTIDADE COMPRADA]]</f>
        <v>0</v>
      </c>
      <c r="N3222" s="110">
        <f>K3222-tblAquisições[[#This Row],[QUANTIDADE PLANEJADA]]</f>
        <v>-30</v>
      </c>
      <c r="O3222" s="106" t="str">
        <f t="shared" si="101"/>
        <v>Faltando Comprar</v>
      </c>
    </row>
    <row r="3223" spans="1:15" ht="31.5">
      <c r="A3223" s="16" t="s">
        <v>17</v>
      </c>
      <c r="B3223" s="16" t="s">
        <v>18</v>
      </c>
      <c r="C3223" s="17" t="s">
        <v>19</v>
      </c>
      <c r="D3223" s="18" t="s">
        <v>1800</v>
      </c>
      <c r="E3223" s="18">
        <v>10</v>
      </c>
      <c r="F3223" s="18" t="s">
        <v>328</v>
      </c>
      <c r="G3223" s="18" t="s">
        <v>22</v>
      </c>
      <c r="H3223" s="18" t="s">
        <v>23</v>
      </c>
      <c r="I3223" s="19">
        <v>119.66</v>
      </c>
      <c r="J3223" s="20">
        <f t="shared" si="100"/>
        <v>1196.5999999999999</v>
      </c>
      <c r="K3223" s="106"/>
      <c r="L3223" s="114"/>
      <c r="M3223" s="114">
        <f>tblAquisições[[#This Row],[VALOR UNITARIO COMPRADO]]*tblAquisições[[#This Row],[QUANTIDADE COMPRADA]]</f>
        <v>0</v>
      </c>
      <c r="N3223" s="110">
        <f>K3223-tblAquisições[[#This Row],[QUANTIDADE PLANEJADA]]</f>
        <v>-10</v>
      </c>
      <c r="O3223" s="106" t="str">
        <f t="shared" si="101"/>
        <v>Faltando Comprar</v>
      </c>
    </row>
    <row r="3224" spans="1:15" ht="31.5">
      <c r="A3224" s="16" t="s">
        <v>17</v>
      </c>
      <c r="B3224" s="16" t="s">
        <v>24</v>
      </c>
      <c r="C3224" s="17" t="s">
        <v>19</v>
      </c>
      <c r="D3224" s="18" t="s">
        <v>1800</v>
      </c>
      <c r="E3224" s="18">
        <v>10</v>
      </c>
      <c r="F3224" s="18" t="s">
        <v>328</v>
      </c>
      <c r="G3224" s="18" t="s">
        <v>22</v>
      </c>
      <c r="H3224" s="18" t="s">
        <v>23</v>
      </c>
      <c r="I3224" s="19">
        <v>119.66</v>
      </c>
      <c r="J3224" s="20">
        <f t="shared" si="100"/>
        <v>1196.5999999999999</v>
      </c>
      <c r="K3224" s="106"/>
      <c r="L3224" s="114"/>
      <c r="M3224" s="114">
        <f>tblAquisições[[#This Row],[VALOR UNITARIO COMPRADO]]*tblAquisições[[#This Row],[QUANTIDADE COMPRADA]]</f>
        <v>0</v>
      </c>
      <c r="N3224" s="110">
        <f>K3224-tblAquisições[[#This Row],[QUANTIDADE PLANEJADA]]</f>
        <v>-10</v>
      </c>
      <c r="O3224" s="106" t="str">
        <f t="shared" si="101"/>
        <v>Faltando Comprar</v>
      </c>
    </row>
    <row r="3225" spans="1:15" ht="31.5">
      <c r="A3225" s="16" t="s">
        <v>17</v>
      </c>
      <c r="B3225" s="16" t="s">
        <v>25</v>
      </c>
      <c r="C3225" s="17" t="s">
        <v>19</v>
      </c>
      <c r="D3225" s="18" t="s">
        <v>1800</v>
      </c>
      <c r="E3225" s="18">
        <v>10</v>
      </c>
      <c r="F3225" s="18" t="s">
        <v>328</v>
      </c>
      <c r="G3225" s="18" t="s">
        <v>22</v>
      </c>
      <c r="H3225" s="18" t="s">
        <v>23</v>
      </c>
      <c r="I3225" s="19">
        <v>119.66</v>
      </c>
      <c r="J3225" s="20">
        <f t="shared" si="100"/>
        <v>1196.5999999999999</v>
      </c>
      <c r="K3225" s="106"/>
      <c r="L3225" s="114"/>
      <c r="M3225" s="114">
        <f>tblAquisições[[#This Row],[VALOR UNITARIO COMPRADO]]*tblAquisições[[#This Row],[QUANTIDADE COMPRADA]]</f>
        <v>0</v>
      </c>
      <c r="N3225" s="110">
        <f>K3225-tblAquisições[[#This Row],[QUANTIDADE PLANEJADA]]</f>
        <v>-10</v>
      </c>
      <c r="O3225" s="106" t="str">
        <f t="shared" si="101"/>
        <v>Faltando Comprar</v>
      </c>
    </row>
    <row r="3226" spans="1:15" ht="31.5">
      <c r="A3226" s="16" t="s">
        <v>17</v>
      </c>
      <c r="B3226" s="16" t="s">
        <v>28</v>
      </c>
      <c r="C3226" s="17" t="s">
        <v>19</v>
      </c>
      <c r="D3226" s="18" t="s">
        <v>1800</v>
      </c>
      <c r="E3226" s="18">
        <v>18</v>
      </c>
      <c r="F3226" s="18" t="s">
        <v>328</v>
      </c>
      <c r="G3226" s="18" t="s">
        <v>22</v>
      </c>
      <c r="H3226" s="18" t="s">
        <v>53</v>
      </c>
      <c r="I3226" s="19">
        <v>119.66</v>
      </c>
      <c r="J3226" s="20">
        <f t="shared" si="100"/>
        <v>2153.88</v>
      </c>
      <c r="K3226" s="106"/>
      <c r="L3226" s="114"/>
      <c r="M3226" s="114">
        <f>tblAquisições[[#This Row],[VALOR UNITARIO COMPRADO]]*tblAquisições[[#This Row],[QUANTIDADE COMPRADA]]</f>
        <v>0</v>
      </c>
      <c r="N3226" s="110">
        <f>K3226-tblAquisições[[#This Row],[QUANTIDADE PLANEJADA]]</f>
        <v>-18</v>
      </c>
      <c r="O3226" s="106" t="str">
        <f t="shared" si="101"/>
        <v>Faltando Comprar</v>
      </c>
    </row>
    <row r="3227" spans="1:15" ht="31.5">
      <c r="A3227" s="16" t="s">
        <v>17</v>
      </c>
      <c r="B3227" s="16" t="s">
        <v>41</v>
      </c>
      <c r="C3227" s="17" t="s">
        <v>19</v>
      </c>
      <c r="D3227" s="18" t="s">
        <v>1801</v>
      </c>
      <c r="E3227" s="18">
        <v>100</v>
      </c>
      <c r="F3227" s="18" t="s">
        <v>21</v>
      </c>
      <c r="G3227" s="18" t="s">
        <v>22</v>
      </c>
      <c r="H3227" s="18" t="s">
        <v>23</v>
      </c>
      <c r="I3227" s="19">
        <v>11.1</v>
      </c>
      <c r="J3227" s="20">
        <f t="shared" si="100"/>
        <v>1110</v>
      </c>
      <c r="K3227" s="106"/>
      <c r="L3227" s="114"/>
      <c r="M3227" s="114">
        <f>tblAquisições[[#This Row],[VALOR UNITARIO COMPRADO]]*tblAquisições[[#This Row],[QUANTIDADE COMPRADA]]</f>
        <v>0</v>
      </c>
      <c r="N3227" s="110">
        <f>K3227-tblAquisições[[#This Row],[QUANTIDADE PLANEJADA]]</f>
        <v>-100</v>
      </c>
      <c r="O3227" s="106" t="str">
        <f t="shared" si="101"/>
        <v>Faltando Comprar</v>
      </c>
    </row>
    <row r="3228" spans="1:15" ht="31.5">
      <c r="A3228" s="16" t="s">
        <v>17</v>
      </c>
      <c r="B3228" s="16" t="s">
        <v>28</v>
      </c>
      <c r="C3228" s="17" t="s">
        <v>19</v>
      </c>
      <c r="D3228" s="18" t="s">
        <v>1801</v>
      </c>
      <c r="E3228" s="18">
        <v>36</v>
      </c>
      <c r="F3228" s="18" t="s">
        <v>21</v>
      </c>
      <c r="G3228" s="18" t="s">
        <v>22</v>
      </c>
      <c r="H3228" s="18" t="s">
        <v>23</v>
      </c>
      <c r="I3228" s="19">
        <v>11.1</v>
      </c>
      <c r="J3228" s="20">
        <f t="shared" si="100"/>
        <v>399.59999999999997</v>
      </c>
      <c r="K3228" s="106"/>
      <c r="L3228" s="114"/>
      <c r="M3228" s="114">
        <f>tblAquisições[[#This Row],[VALOR UNITARIO COMPRADO]]*tblAquisições[[#This Row],[QUANTIDADE COMPRADA]]</f>
        <v>0</v>
      </c>
      <c r="N3228" s="110">
        <f>K3228-tblAquisições[[#This Row],[QUANTIDADE PLANEJADA]]</f>
        <v>-36</v>
      </c>
      <c r="O3228" s="106" t="str">
        <f t="shared" si="101"/>
        <v>Faltando Comprar</v>
      </c>
    </row>
    <row r="3229" spans="1:15" ht="47.25">
      <c r="A3229" s="16" t="s">
        <v>17</v>
      </c>
      <c r="B3229" s="16" t="s">
        <v>28</v>
      </c>
      <c r="C3229" s="17" t="s">
        <v>19</v>
      </c>
      <c r="D3229" s="18" t="s">
        <v>1802</v>
      </c>
      <c r="E3229" s="18">
        <v>3</v>
      </c>
      <c r="F3229" s="18" t="s">
        <v>78</v>
      </c>
      <c r="G3229" s="18" t="s">
        <v>22</v>
      </c>
      <c r="H3229" s="18" t="s">
        <v>65</v>
      </c>
      <c r="I3229" s="19">
        <v>21.09</v>
      </c>
      <c r="J3229" s="20">
        <f t="shared" si="100"/>
        <v>63.269999999999996</v>
      </c>
      <c r="K3229" s="106"/>
      <c r="L3229" s="114"/>
      <c r="M3229" s="114">
        <f>tblAquisições[[#This Row],[VALOR UNITARIO COMPRADO]]*tblAquisições[[#This Row],[QUANTIDADE COMPRADA]]</f>
        <v>0</v>
      </c>
      <c r="N3229" s="110">
        <f>K3229-tblAquisições[[#This Row],[QUANTIDADE PLANEJADA]]</f>
        <v>-3</v>
      </c>
      <c r="O3229" s="106" t="str">
        <f t="shared" si="101"/>
        <v>Faltando Comprar</v>
      </c>
    </row>
    <row r="3230" spans="1:15" ht="31.5">
      <c r="A3230" s="16" t="s">
        <v>17</v>
      </c>
      <c r="B3230" s="16" t="s">
        <v>28</v>
      </c>
      <c r="C3230" s="17" t="s">
        <v>19</v>
      </c>
      <c r="D3230" s="18" t="s">
        <v>1803</v>
      </c>
      <c r="E3230" s="18">
        <v>100</v>
      </c>
      <c r="F3230" s="18" t="s">
        <v>21</v>
      </c>
      <c r="G3230" s="18" t="s">
        <v>22</v>
      </c>
      <c r="H3230" s="18" t="s">
        <v>23</v>
      </c>
      <c r="I3230" s="19">
        <v>31.9</v>
      </c>
      <c r="J3230" s="20">
        <f t="shared" si="100"/>
        <v>3190</v>
      </c>
      <c r="K3230" s="106"/>
      <c r="L3230" s="114"/>
      <c r="M3230" s="114">
        <f>tblAquisições[[#This Row],[VALOR UNITARIO COMPRADO]]*tblAquisições[[#This Row],[QUANTIDADE COMPRADA]]</f>
        <v>0</v>
      </c>
      <c r="N3230" s="110">
        <f>K3230-tblAquisições[[#This Row],[QUANTIDADE PLANEJADA]]</f>
        <v>-100</v>
      </c>
      <c r="O3230" s="106" t="str">
        <f t="shared" si="101"/>
        <v>Faltando Comprar</v>
      </c>
    </row>
    <row r="3231" spans="1:15" ht="31.5">
      <c r="A3231" s="16" t="s">
        <v>17</v>
      </c>
      <c r="B3231" s="16" t="s">
        <v>18</v>
      </c>
      <c r="C3231" s="17" t="s">
        <v>19</v>
      </c>
      <c r="D3231" s="18" t="s">
        <v>1804</v>
      </c>
      <c r="E3231" s="18">
        <v>15</v>
      </c>
      <c r="F3231" s="18" t="s">
        <v>30</v>
      </c>
      <c r="G3231" s="18" t="s">
        <v>22</v>
      </c>
      <c r="H3231" s="18" t="s">
        <v>23</v>
      </c>
      <c r="I3231" s="19">
        <v>52.29</v>
      </c>
      <c r="J3231" s="20">
        <f t="shared" si="100"/>
        <v>784.35</v>
      </c>
      <c r="K3231" s="106"/>
      <c r="L3231" s="114"/>
      <c r="M3231" s="114">
        <f>tblAquisições[[#This Row],[VALOR UNITARIO COMPRADO]]*tblAquisições[[#This Row],[QUANTIDADE COMPRADA]]</f>
        <v>0</v>
      </c>
      <c r="N3231" s="110">
        <f>K3231-tblAquisições[[#This Row],[QUANTIDADE PLANEJADA]]</f>
        <v>-15</v>
      </c>
      <c r="O3231" s="106" t="str">
        <f t="shared" si="101"/>
        <v>Faltando Comprar</v>
      </c>
    </row>
    <row r="3232" spans="1:15" ht="31.5">
      <c r="A3232" s="16" t="s">
        <v>17</v>
      </c>
      <c r="B3232" s="16" t="s">
        <v>24</v>
      </c>
      <c r="C3232" s="17" t="s">
        <v>19</v>
      </c>
      <c r="D3232" s="18" t="s">
        <v>1804</v>
      </c>
      <c r="E3232" s="18">
        <v>15</v>
      </c>
      <c r="F3232" s="18" t="s">
        <v>30</v>
      </c>
      <c r="G3232" s="18" t="s">
        <v>22</v>
      </c>
      <c r="H3232" s="18" t="s">
        <v>23</v>
      </c>
      <c r="I3232" s="19">
        <v>52.29</v>
      </c>
      <c r="J3232" s="20">
        <f t="shared" si="100"/>
        <v>784.35</v>
      </c>
      <c r="K3232" s="106"/>
      <c r="L3232" s="114"/>
      <c r="M3232" s="114">
        <f>tblAquisições[[#This Row],[VALOR UNITARIO COMPRADO]]*tblAquisições[[#This Row],[QUANTIDADE COMPRADA]]</f>
        <v>0</v>
      </c>
      <c r="N3232" s="110">
        <f>K3232-tblAquisições[[#This Row],[QUANTIDADE PLANEJADA]]</f>
        <v>-15</v>
      </c>
      <c r="O3232" s="106" t="str">
        <f t="shared" si="101"/>
        <v>Faltando Comprar</v>
      </c>
    </row>
    <row r="3233" spans="1:15" ht="31.5">
      <c r="A3233" s="16" t="s">
        <v>17</v>
      </c>
      <c r="B3233" s="16" t="s">
        <v>25</v>
      </c>
      <c r="C3233" s="17" t="s">
        <v>19</v>
      </c>
      <c r="D3233" s="18" t="s">
        <v>1804</v>
      </c>
      <c r="E3233" s="18">
        <v>15</v>
      </c>
      <c r="F3233" s="18" t="s">
        <v>30</v>
      </c>
      <c r="G3233" s="18" t="s">
        <v>22</v>
      </c>
      <c r="H3233" s="18" t="s">
        <v>23</v>
      </c>
      <c r="I3233" s="19">
        <v>52.29</v>
      </c>
      <c r="J3233" s="20">
        <f t="shared" si="100"/>
        <v>784.35</v>
      </c>
      <c r="K3233" s="106"/>
      <c r="L3233" s="114"/>
      <c r="M3233" s="114">
        <f>tblAquisições[[#This Row],[VALOR UNITARIO COMPRADO]]*tblAquisições[[#This Row],[QUANTIDADE COMPRADA]]</f>
        <v>0</v>
      </c>
      <c r="N3233" s="110">
        <f>K3233-tblAquisições[[#This Row],[QUANTIDADE PLANEJADA]]</f>
        <v>-15</v>
      </c>
      <c r="O3233" s="106" t="str">
        <f t="shared" si="101"/>
        <v>Faltando Comprar</v>
      </c>
    </row>
    <row r="3234" spans="1:15" ht="47.25">
      <c r="A3234" s="16" t="s">
        <v>17</v>
      </c>
      <c r="B3234" s="16" t="s">
        <v>18</v>
      </c>
      <c r="C3234" s="17" t="s">
        <v>19</v>
      </c>
      <c r="D3234" s="18" t="s">
        <v>1805</v>
      </c>
      <c r="E3234" s="18">
        <v>150</v>
      </c>
      <c r="F3234" s="18" t="s">
        <v>78</v>
      </c>
      <c r="G3234" s="18" t="s">
        <v>22</v>
      </c>
      <c r="H3234" s="18" t="s">
        <v>23</v>
      </c>
      <c r="I3234" s="19">
        <v>2</v>
      </c>
      <c r="J3234" s="20">
        <f t="shared" si="100"/>
        <v>300</v>
      </c>
      <c r="K3234" s="106"/>
      <c r="L3234" s="114"/>
      <c r="M3234" s="114">
        <f>tblAquisições[[#This Row],[VALOR UNITARIO COMPRADO]]*tblAquisições[[#This Row],[QUANTIDADE COMPRADA]]</f>
        <v>0</v>
      </c>
      <c r="N3234" s="110">
        <f>K3234-tblAquisições[[#This Row],[QUANTIDADE PLANEJADA]]</f>
        <v>-150</v>
      </c>
      <c r="O3234" s="106" t="str">
        <f t="shared" si="101"/>
        <v>Faltando Comprar</v>
      </c>
    </row>
    <row r="3235" spans="1:15" ht="47.25">
      <c r="A3235" s="16" t="s">
        <v>17</v>
      </c>
      <c r="B3235" s="16" t="s">
        <v>24</v>
      </c>
      <c r="C3235" s="17" t="s">
        <v>19</v>
      </c>
      <c r="D3235" s="18" t="s">
        <v>1805</v>
      </c>
      <c r="E3235" s="18">
        <v>150</v>
      </c>
      <c r="F3235" s="18" t="s">
        <v>78</v>
      </c>
      <c r="G3235" s="18" t="s">
        <v>22</v>
      </c>
      <c r="H3235" s="18" t="s">
        <v>23</v>
      </c>
      <c r="I3235" s="19">
        <v>2</v>
      </c>
      <c r="J3235" s="20">
        <f t="shared" si="100"/>
        <v>300</v>
      </c>
      <c r="K3235" s="106"/>
      <c r="L3235" s="114"/>
      <c r="M3235" s="114">
        <f>tblAquisições[[#This Row],[VALOR UNITARIO COMPRADO]]*tblAquisições[[#This Row],[QUANTIDADE COMPRADA]]</f>
        <v>0</v>
      </c>
      <c r="N3235" s="110">
        <f>K3235-tblAquisições[[#This Row],[QUANTIDADE PLANEJADA]]</f>
        <v>-150</v>
      </c>
      <c r="O3235" s="106" t="str">
        <f t="shared" si="101"/>
        <v>Faltando Comprar</v>
      </c>
    </row>
    <row r="3236" spans="1:15" ht="47.25">
      <c r="A3236" s="16" t="s">
        <v>17</v>
      </c>
      <c r="B3236" s="16" t="s">
        <v>25</v>
      </c>
      <c r="C3236" s="17" t="s">
        <v>19</v>
      </c>
      <c r="D3236" s="18" t="s">
        <v>1805</v>
      </c>
      <c r="E3236" s="18">
        <v>150</v>
      </c>
      <c r="F3236" s="18" t="s">
        <v>78</v>
      </c>
      <c r="G3236" s="18" t="s">
        <v>22</v>
      </c>
      <c r="H3236" s="18" t="s">
        <v>23</v>
      </c>
      <c r="I3236" s="19">
        <v>2</v>
      </c>
      <c r="J3236" s="20">
        <f t="shared" si="100"/>
        <v>300</v>
      </c>
      <c r="K3236" s="106"/>
      <c r="L3236" s="114"/>
      <c r="M3236" s="114">
        <f>tblAquisições[[#This Row],[VALOR UNITARIO COMPRADO]]*tblAquisições[[#This Row],[QUANTIDADE COMPRADA]]</f>
        <v>0</v>
      </c>
      <c r="N3236" s="110">
        <f>K3236-tblAquisições[[#This Row],[QUANTIDADE PLANEJADA]]</f>
        <v>-150</v>
      </c>
      <c r="O3236" s="106" t="str">
        <f t="shared" si="101"/>
        <v>Faltando Comprar</v>
      </c>
    </row>
    <row r="3237" spans="1:15" ht="47.25">
      <c r="A3237" s="16" t="s">
        <v>17</v>
      </c>
      <c r="B3237" s="16" t="s">
        <v>27</v>
      </c>
      <c r="C3237" s="17" t="s">
        <v>19</v>
      </c>
      <c r="D3237" s="18" t="s">
        <v>1805</v>
      </c>
      <c r="E3237" s="18">
        <v>150</v>
      </c>
      <c r="F3237" s="18" t="s">
        <v>78</v>
      </c>
      <c r="G3237" s="18" t="s">
        <v>22</v>
      </c>
      <c r="H3237" s="18" t="s">
        <v>23</v>
      </c>
      <c r="I3237" s="19">
        <v>2</v>
      </c>
      <c r="J3237" s="20">
        <f t="shared" si="100"/>
        <v>300</v>
      </c>
      <c r="K3237" s="106"/>
      <c r="L3237" s="114"/>
      <c r="M3237" s="114">
        <f>tblAquisições[[#This Row],[VALOR UNITARIO COMPRADO]]*tblAquisições[[#This Row],[QUANTIDADE COMPRADA]]</f>
        <v>0</v>
      </c>
      <c r="N3237" s="110">
        <f>K3237-tblAquisições[[#This Row],[QUANTIDADE PLANEJADA]]</f>
        <v>-150</v>
      </c>
      <c r="O3237" s="106" t="str">
        <f t="shared" si="101"/>
        <v>Faltando Comprar</v>
      </c>
    </row>
    <row r="3238" spans="1:15" ht="31.5">
      <c r="A3238" s="16" t="s">
        <v>17</v>
      </c>
      <c r="B3238" s="16" t="s">
        <v>80</v>
      </c>
      <c r="C3238" s="17" t="s">
        <v>19</v>
      </c>
      <c r="D3238" s="18" t="s">
        <v>1806</v>
      </c>
      <c r="E3238" s="18">
        <v>3</v>
      </c>
      <c r="F3238" s="18" t="s">
        <v>82</v>
      </c>
      <c r="G3238" s="18" t="s">
        <v>39</v>
      </c>
      <c r="H3238" s="21"/>
      <c r="I3238" s="19">
        <v>300</v>
      </c>
      <c r="J3238" s="20">
        <f t="shared" si="100"/>
        <v>900</v>
      </c>
      <c r="K3238" s="106"/>
      <c r="L3238" s="114"/>
      <c r="M3238" s="114">
        <f>tblAquisições[[#This Row],[VALOR UNITARIO COMPRADO]]*tblAquisições[[#This Row],[QUANTIDADE COMPRADA]]</f>
        <v>0</v>
      </c>
      <c r="N3238" s="110">
        <f>K3238-tblAquisições[[#This Row],[QUANTIDADE PLANEJADA]]</f>
        <v>-3</v>
      </c>
      <c r="O3238" s="106" t="str">
        <f t="shared" si="101"/>
        <v>Faltando Comprar</v>
      </c>
    </row>
    <row r="3239" spans="1:15" ht="31.5">
      <c r="A3239" s="16" t="s">
        <v>17</v>
      </c>
      <c r="B3239" s="16" t="s">
        <v>18</v>
      </c>
      <c r="C3239" s="17" t="s">
        <v>19</v>
      </c>
      <c r="D3239" s="18" t="s">
        <v>1807</v>
      </c>
      <c r="E3239" s="18">
        <v>100</v>
      </c>
      <c r="F3239" s="18" t="s">
        <v>324</v>
      </c>
      <c r="G3239" s="18" t="s">
        <v>22</v>
      </c>
      <c r="H3239" s="18" t="s">
        <v>23</v>
      </c>
      <c r="I3239" s="19">
        <v>43.69</v>
      </c>
      <c r="J3239" s="20">
        <f t="shared" si="100"/>
        <v>4369</v>
      </c>
      <c r="K3239" s="106"/>
      <c r="L3239" s="114"/>
      <c r="M3239" s="114">
        <f>tblAquisições[[#This Row],[VALOR UNITARIO COMPRADO]]*tblAquisições[[#This Row],[QUANTIDADE COMPRADA]]</f>
        <v>0</v>
      </c>
      <c r="N3239" s="110">
        <f>K3239-tblAquisições[[#This Row],[QUANTIDADE PLANEJADA]]</f>
        <v>-100</v>
      </c>
      <c r="O3239" s="106" t="str">
        <f t="shared" si="101"/>
        <v>Faltando Comprar</v>
      </c>
    </row>
    <row r="3240" spans="1:15" ht="31.5">
      <c r="A3240" s="16" t="s">
        <v>17</v>
      </c>
      <c r="B3240" s="16" t="s">
        <v>24</v>
      </c>
      <c r="C3240" s="17" t="s">
        <v>19</v>
      </c>
      <c r="D3240" s="18" t="s">
        <v>1807</v>
      </c>
      <c r="E3240" s="18">
        <v>100</v>
      </c>
      <c r="F3240" s="18" t="s">
        <v>324</v>
      </c>
      <c r="G3240" s="18" t="s">
        <v>22</v>
      </c>
      <c r="H3240" s="18" t="s">
        <v>23</v>
      </c>
      <c r="I3240" s="19">
        <v>43.69</v>
      </c>
      <c r="J3240" s="20">
        <f t="shared" si="100"/>
        <v>4369</v>
      </c>
      <c r="K3240" s="106"/>
      <c r="L3240" s="114"/>
      <c r="M3240" s="114">
        <f>tblAquisições[[#This Row],[VALOR UNITARIO COMPRADO]]*tblAquisições[[#This Row],[QUANTIDADE COMPRADA]]</f>
        <v>0</v>
      </c>
      <c r="N3240" s="110">
        <f>K3240-tblAquisições[[#This Row],[QUANTIDADE PLANEJADA]]</f>
        <v>-100</v>
      </c>
      <c r="O3240" s="106" t="str">
        <f t="shared" si="101"/>
        <v>Faltando Comprar</v>
      </c>
    </row>
    <row r="3241" spans="1:15" ht="31.5">
      <c r="A3241" s="16" t="s">
        <v>17</v>
      </c>
      <c r="B3241" s="16" t="s">
        <v>25</v>
      </c>
      <c r="C3241" s="17" t="s">
        <v>19</v>
      </c>
      <c r="D3241" s="18" t="s">
        <v>1807</v>
      </c>
      <c r="E3241" s="18">
        <v>100</v>
      </c>
      <c r="F3241" s="18" t="s">
        <v>324</v>
      </c>
      <c r="G3241" s="18" t="s">
        <v>22</v>
      </c>
      <c r="H3241" s="18" t="s">
        <v>23</v>
      </c>
      <c r="I3241" s="19">
        <v>43.69</v>
      </c>
      <c r="J3241" s="20">
        <f t="shared" si="100"/>
        <v>4369</v>
      </c>
      <c r="K3241" s="106"/>
      <c r="L3241" s="114"/>
      <c r="M3241" s="114">
        <f>tblAquisições[[#This Row],[VALOR UNITARIO COMPRADO]]*tblAquisições[[#This Row],[QUANTIDADE COMPRADA]]</f>
        <v>0</v>
      </c>
      <c r="N3241" s="110">
        <f>K3241-tblAquisições[[#This Row],[QUANTIDADE PLANEJADA]]</f>
        <v>-100</v>
      </c>
      <c r="O3241" s="106" t="str">
        <f t="shared" si="101"/>
        <v>Faltando Comprar</v>
      </c>
    </row>
    <row r="3242" spans="1:15" ht="31.5">
      <c r="A3242" s="16" t="s">
        <v>17</v>
      </c>
      <c r="B3242" s="16" t="s">
        <v>41</v>
      </c>
      <c r="C3242" s="17" t="s">
        <v>19</v>
      </c>
      <c r="D3242" s="18" t="s">
        <v>1807</v>
      </c>
      <c r="E3242" s="18">
        <v>10</v>
      </c>
      <c r="F3242" s="18" t="s">
        <v>324</v>
      </c>
      <c r="G3242" s="18" t="s">
        <v>22</v>
      </c>
      <c r="H3242" s="18" t="s">
        <v>23</v>
      </c>
      <c r="I3242" s="19">
        <v>43.69</v>
      </c>
      <c r="J3242" s="20">
        <f t="shared" si="100"/>
        <v>436.9</v>
      </c>
      <c r="K3242" s="106"/>
      <c r="L3242" s="114"/>
      <c r="M3242" s="114">
        <f>tblAquisições[[#This Row],[VALOR UNITARIO COMPRADO]]*tblAquisições[[#This Row],[QUANTIDADE COMPRADA]]</f>
        <v>0</v>
      </c>
      <c r="N3242" s="110">
        <f>K3242-tblAquisições[[#This Row],[QUANTIDADE PLANEJADA]]</f>
        <v>-10</v>
      </c>
      <c r="O3242" s="106" t="str">
        <f t="shared" si="101"/>
        <v>Faltando Comprar</v>
      </c>
    </row>
    <row r="3243" spans="1:15" ht="47.25">
      <c r="A3243" s="16" t="s">
        <v>17</v>
      </c>
      <c r="B3243" s="16" t="s">
        <v>28</v>
      </c>
      <c r="C3243" s="17" t="s">
        <v>19</v>
      </c>
      <c r="D3243" s="18" t="s">
        <v>1808</v>
      </c>
      <c r="E3243" s="18">
        <v>15</v>
      </c>
      <c r="F3243" s="18" t="s">
        <v>78</v>
      </c>
      <c r="G3243" s="18" t="s">
        <v>22</v>
      </c>
      <c r="H3243" s="18" t="s">
        <v>23</v>
      </c>
      <c r="I3243" s="19">
        <v>119.29</v>
      </c>
      <c r="J3243" s="20">
        <f t="shared" si="100"/>
        <v>1789.3500000000001</v>
      </c>
      <c r="K3243" s="106"/>
      <c r="L3243" s="114"/>
      <c r="M3243" s="114">
        <f>tblAquisições[[#This Row],[VALOR UNITARIO COMPRADO]]*tblAquisições[[#This Row],[QUANTIDADE COMPRADA]]</f>
        <v>0</v>
      </c>
      <c r="N3243" s="110">
        <f>K3243-tblAquisições[[#This Row],[QUANTIDADE PLANEJADA]]</f>
        <v>-15</v>
      </c>
      <c r="O3243" s="106" t="str">
        <f t="shared" si="101"/>
        <v>Faltando Comprar</v>
      </c>
    </row>
    <row r="3244" spans="1:15" ht="47.25">
      <c r="A3244" s="16" t="s">
        <v>17</v>
      </c>
      <c r="B3244" s="16" t="s">
        <v>28</v>
      </c>
      <c r="C3244" s="17" t="s">
        <v>19</v>
      </c>
      <c r="D3244" s="18" t="s">
        <v>1809</v>
      </c>
      <c r="E3244" s="18">
        <v>5</v>
      </c>
      <c r="F3244" s="18" t="s">
        <v>78</v>
      </c>
      <c r="G3244" s="18" t="s">
        <v>22</v>
      </c>
      <c r="H3244" s="18" t="s">
        <v>65</v>
      </c>
      <c r="I3244" s="19">
        <v>129.1</v>
      </c>
      <c r="J3244" s="20">
        <f t="shared" si="100"/>
        <v>645.5</v>
      </c>
      <c r="K3244" s="106"/>
      <c r="L3244" s="114"/>
      <c r="M3244" s="114">
        <f>tblAquisições[[#This Row],[VALOR UNITARIO COMPRADO]]*tblAquisições[[#This Row],[QUANTIDADE COMPRADA]]</f>
        <v>0</v>
      </c>
      <c r="N3244" s="110">
        <f>K3244-tblAquisições[[#This Row],[QUANTIDADE PLANEJADA]]</f>
        <v>-5</v>
      </c>
      <c r="O3244" s="106" t="str">
        <f t="shared" si="101"/>
        <v>Faltando Comprar</v>
      </c>
    </row>
    <row r="3245" spans="1:15" ht="31.5">
      <c r="A3245" s="16" t="s">
        <v>17</v>
      </c>
      <c r="B3245" s="16" t="s">
        <v>18</v>
      </c>
      <c r="C3245" s="17" t="s">
        <v>19</v>
      </c>
      <c r="D3245" s="18" t="s">
        <v>1810</v>
      </c>
      <c r="E3245" s="18">
        <v>10</v>
      </c>
      <c r="F3245" s="18" t="s">
        <v>21</v>
      </c>
      <c r="G3245" s="18" t="s">
        <v>22</v>
      </c>
      <c r="H3245" s="18" t="s">
        <v>23</v>
      </c>
      <c r="I3245" s="19">
        <v>153.72999999999999</v>
      </c>
      <c r="J3245" s="20">
        <f t="shared" si="100"/>
        <v>1537.3</v>
      </c>
      <c r="K3245" s="106"/>
      <c r="L3245" s="114"/>
      <c r="M3245" s="114">
        <f>tblAquisições[[#This Row],[VALOR UNITARIO COMPRADO]]*tblAquisições[[#This Row],[QUANTIDADE COMPRADA]]</f>
        <v>0</v>
      </c>
      <c r="N3245" s="110">
        <f>K3245-tblAquisições[[#This Row],[QUANTIDADE PLANEJADA]]</f>
        <v>-10</v>
      </c>
      <c r="O3245" s="106" t="str">
        <f t="shared" si="101"/>
        <v>Faltando Comprar</v>
      </c>
    </row>
    <row r="3246" spans="1:15" ht="31.5">
      <c r="A3246" s="16" t="s">
        <v>17</v>
      </c>
      <c r="B3246" s="16" t="s">
        <v>24</v>
      </c>
      <c r="C3246" s="17" t="s">
        <v>19</v>
      </c>
      <c r="D3246" s="18" t="s">
        <v>1810</v>
      </c>
      <c r="E3246" s="18">
        <v>10</v>
      </c>
      <c r="F3246" s="18" t="s">
        <v>21</v>
      </c>
      <c r="G3246" s="18" t="s">
        <v>22</v>
      </c>
      <c r="H3246" s="18" t="s">
        <v>23</v>
      </c>
      <c r="I3246" s="19">
        <v>153.72999999999999</v>
      </c>
      <c r="J3246" s="20">
        <f t="shared" si="100"/>
        <v>1537.3</v>
      </c>
      <c r="K3246" s="106"/>
      <c r="L3246" s="114"/>
      <c r="M3246" s="114">
        <f>tblAquisições[[#This Row],[VALOR UNITARIO COMPRADO]]*tblAquisições[[#This Row],[QUANTIDADE COMPRADA]]</f>
        <v>0</v>
      </c>
      <c r="N3246" s="110">
        <f>K3246-tblAquisições[[#This Row],[QUANTIDADE PLANEJADA]]</f>
        <v>-10</v>
      </c>
      <c r="O3246" s="106" t="str">
        <f t="shared" si="101"/>
        <v>Faltando Comprar</v>
      </c>
    </row>
    <row r="3247" spans="1:15" ht="47.25">
      <c r="A3247" s="16" t="s">
        <v>17</v>
      </c>
      <c r="B3247" s="16" t="s">
        <v>31</v>
      </c>
      <c r="C3247" s="17" t="s">
        <v>19</v>
      </c>
      <c r="D3247" s="18" t="s">
        <v>1811</v>
      </c>
      <c r="E3247" s="18">
        <v>5</v>
      </c>
      <c r="F3247" s="18" t="s">
        <v>78</v>
      </c>
      <c r="G3247" s="18" t="s">
        <v>22</v>
      </c>
      <c r="H3247" s="18" t="s">
        <v>23</v>
      </c>
      <c r="I3247" s="19">
        <v>7.01</v>
      </c>
      <c r="J3247" s="20">
        <f t="shared" si="100"/>
        <v>35.049999999999997</v>
      </c>
      <c r="K3247" s="106"/>
      <c r="L3247" s="114"/>
      <c r="M3247" s="114">
        <f>tblAquisições[[#This Row],[VALOR UNITARIO COMPRADO]]*tblAquisições[[#This Row],[QUANTIDADE COMPRADA]]</f>
        <v>0</v>
      </c>
      <c r="N3247" s="110">
        <f>K3247-tblAquisições[[#This Row],[QUANTIDADE PLANEJADA]]</f>
        <v>-5</v>
      </c>
      <c r="O3247" s="106" t="str">
        <f t="shared" si="101"/>
        <v>Faltando Comprar</v>
      </c>
    </row>
    <row r="3248" spans="1:15" ht="47.25">
      <c r="A3248" s="16" t="s">
        <v>17</v>
      </c>
      <c r="B3248" s="16" t="s">
        <v>18</v>
      </c>
      <c r="C3248" s="17" t="s">
        <v>19</v>
      </c>
      <c r="D3248" s="18" t="s">
        <v>1811</v>
      </c>
      <c r="E3248" s="18">
        <v>15</v>
      </c>
      <c r="F3248" s="18" t="s">
        <v>78</v>
      </c>
      <c r="G3248" s="18" t="s">
        <v>22</v>
      </c>
      <c r="H3248" s="18" t="s">
        <v>23</v>
      </c>
      <c r="I3248" s="19">
        <v>7.01</v>
      </c>
      <c r="J3248" s="20">
        <f t="shared" si="100"/>
        <v>105.14999999999999</v>
      </c>
      <c r="K3248" s="106"/>
      <c r="L3248" s="114"/>
      <c r="M3248" s="114">
        <f>tblAquisições[[#This Row],[VALOR UNITARIO COMPRADO]]*tblAquisições[[#This Row],[QUANTIDADE COMPRADA]]</f>
        <v>0</v>
      </c>
      <c r="N3248" s="110">
        <f>K3248-tblAquisições[[#This Row],[QUANTIDADE PLANEJADA]]</f>
        <v>-15</v>
      </c>
      <c r="O3248" s="106" t="str">
        <f t="shared" si="101"/>
        <v>Faltando Comprar</v>
      </c>
    </row>
    <row r="3249" spans="1:15" ht="47.25">
      <c r="A3249" s="16" t="s">
        <v>17</v>
      </c>
      <c r="B3249" s="16" t="s">
        <v>24</v>
      </c>
      <c r="C3249" s="17" t="s">
        <v>19</v>
      </c>
      <c r="D3249" s="18" t="s">
        <v>1811</v>
      </c>
      <c r="E3249" s="18">
        <v>15</v>
      </c>
      <c r="F3249" s="18" t="s">
        <v>78</v>
      </c>
      <c r="G3249" s="18" t="s">
        <v>22</v>
      </c>
      <c r="H3249" s="18" t="s">
        <v>23</v>
      </c>
      <c r="I3249" s="19">
        <v>7.01</v>
      </c>
      <c r="J3249" s="20">
        <f t="shared" si="100"/>
        <v>105.14999999999999</v>
      </c>
      <c r="K3249" s="106"/>
      <c r="L3249" s="114"/>
      <c r="M3249" s="114">
        <f>tblAquisições[[#This Row],[VALOR UNITARIO COMPRADO]]*tblAquisições[[#This Row],[QUANTIDADE COMPRADA]]</f>
        <v>0</v>
      </c>
      <c r="N3249" s="110">
        <f>K3249-tblAquisições[[#This Row],[QUANTIDADE PLANEJADA]]</f>
        <v>-15</v>
      </c>
      <c r="O3249" s="106" t="str">
        <f t="shared" si="101"/>
        <v>Faltando Comprar</v>
      </c>
    </row>
    <row r="3250" spans="1:15" ht="47.25">
      <c r="A3250" s="16" t="s">
        <v>17</v>
      </c>
      <c r="B3250" s="16" t="s">
        <v>25</v>
      </c>
      <c r="C3250" s="17" t="s">
        <v>19</v>
      </c>
      <c r="D3250" s="18" t="s">
        <v>1811</v>
      </c>
      <c r="E3250" s="18">
        <v>15</v>
      </c>
      <c r="F3250" s="18" t="s">
        <v>78</v>
      </c>
      <c r="G3250" s="18" t="s">
        <v>22</v>
      </c>
      <c r="H3250" s="18" t="s">
        <v>23</v>
      </c>
      <c r="I3250" s="19">
        <v>7.01</v>
      </c>
      <c r="J3250" s="20">
        <f t="shared" si="100"/>
        <v>105.14999999999999</v>
      </c>
      <c r="K3250" s="106"/>
      <c r="L3250" s="114"/>
      <c r="M3250" s="114">
        <f>tblAquisições[[#This Row],[VALOR UNITARIO COMPRADO]]*tblAquisições[[#This Row],[QUANTIDADE COMPRADA]]</f>
        <v>0</v>
      </c>
      <c r="N3250" s="110">
        <f>K3250-tblAquisições[[#This Row],[QUANTIDADE PLANEJADA]]</f>
        <v>-15</v>
      </c>
      <c r="O3250" s="106" t="str">
        <f t="shared" si="101"/>
        <v>Faltando Comprar</v>
      </c>
    </row>
    <row r="3251" spans="1:15" ht="47.25">
      <c r="A3251" s="16" t="s">
        <v>17</v>
      </c>
      <c r="B3251" s="16" t="s">
        <v>28</v>
      </c>
      <c r="C3251" s="17" t="s">
        <v>19</v>
      </c>
      <c r="D3251" s="18" t="s">
        <v>1811</v>
      </c>
      <c r="E3251" s="18">
        <v>20</v>
      </c>
      <c r="F3251" s="18" t="s">
        <v>78</v>
      </c>
      <c r="G3251" s="18" t="s">
        <v>22</v>
      </c>
      <c r="H3251" s="18" t="s">
        <v>53</v>
      </c>
      <c r="I3251" s="19">
        <v>7.01</v>
      </c>
      <c r="J3251" s="20">
        <f t="shared" si="100"/>
        <v>140.19999999999999</v>
      </c>
      <c r="K3251" s="106"/>
      <c r="L3251" s="114"/>
      <c r="M3251" s="114">
        <f>tblAquisições[[#This Row],[VALOR UNITARIO COMPRADO]]*tblAquisições[[#This Row],[QUANTIDADE COMPRADA]]</f>
        <v>0</v>
      </c>
      <c r="N3251" s="110">
        <f>K3251-tblAquisições[[#This Row],[QUANTIDADE PLANEJADA]]</f>
        <v>-20</v>
      </c>
      <c r="O3251" s="106" t="str">
        <f t="shared" si="101"/>
        <v>Faltando Comprar</v>
      </c>
    </row>
    <row r="3252" spans="1:15" ht="47.25">
      <c r="A3252" s="16" t="s">
        <v>17</v>
      </c>
      <c r="B3252" s="16" t="s">
        <v>31</v>
      </c>
      <c r="C3252" s="17" t="s">
        <v>19</v>
      </c>
      <c r="D3252" s="18" t="s">
        <v>1812</v>
      </c>
      <c r="E3252" s="18">
        <v>5</v>
      </c>
      <c r="F3252" s="18" t="s">
        <v>78</v>
      </c>
      <c r="G3252" s="18" t="s">
        <v>22</v>
      </c>
      <c r="H3252" s="18" t="s">
        <v>23</v>
      </c>
      <c r="I3252" s="19">
        <v>12.12</v>
      </c>
      <c r="J3252" s="20">
        <f t="shared" si="100"/>
        <v>60.599999999999994</v>
      </c>
      <c r="K3252" s="106"/>
      <c r="L3252" s="114"/>
      <c r="M3252" s="114">
        <f>tblAquisições[[#This Row],[VALOR UNITARIO COMPRADO]]*tblAquisições[[#This Row],[QUANTIDADE COMPRADA]]</f>
        <v>0</v>
      </c>
      <c r="N3252" s="110">
        <f>K3252-tblAquisições[[#This Row],[QUANTIDADE PLANEJADA]]</f>
        <v>-5</v>
      </c>
      <c r="O3252" s="106" t="str">
        <f t="shared" si="101"/>
        <v>Faltando Comprar</v>
      </c>
    </row>
    <row r="3253" spans="1:15" ht="47.25">
      <c r="A3253" s="16" t="s">
        <v>17</v>
      </c>
      <c r="B3253" s="16" t="s">
        <v>18</v>
      </c>
      <c r="C3253" s="17" t="s">
        <v>19</v>
      </c>
      <c r="D3253" s="18" t="s">
        <v>1812</v>
      </c>
      <c r="E3253" s="18">
        <v>15</v>
      </c>
      <c r="F3253" s="18" t="s">
        <v>78</v>
      </c>
      <c r="G3253" s="18" t="s">
        <v>22</v>
      </c>
      <c r="H3253" s="18" t="s">
        <v>23</v>
      </c>
      <c r="I3253" s="19">
        <v>12.12</v>
      </c>
      <c r="J3253" s="20">
        <f t="shared" si="100"/>
        <v>181.79999999999998</v>
      </c>
      <c r="K3253" s="106"/>
      <c r="L3253" s="114"/>
      <c r="M3253" s="114">
        <f>tblAquisições[[#This Row],[VALOR UNITARIO COMPRADO]]*tblAquisições[[#This Row],[QUANTIDADE COMPRADA]]</f>
        <v>0</v>
      </c>
      <c r="N3253" s="110">
        <f>K3253-tblAquisições[[#This Row],[QUANTIDADE PLANEJADA]]</f>
        <v>-15</v>
      </c>
      <c r="O3253" s="106" t="str">
        <f t="shared" si="101"/>
        <v>Faltando Comprar</v>
      </c>
    </row>
    <row r="3254" spans="1:15" ht="47.25">
      <c r="A3254" s="16" t="s">
        <v>17</v>
      </c>
      <c r="B3254" s="16" t="s">
        <v>24</v>
      </c>
      <c r="C3254" s="17" t="s">
        <v>19</v>
      </c>
      <c r="D3254" s="18" t="s">
        <v>1812</v>
      </c>
      <c r="E3254" s="18">
        <v>15</v>
      </c>
      <c r="F3254" s="18" t="s">
        <v>78</v>
      </c>
      <c r="G3254" s="18" t="s">
        <v>22</v>
      </c>
      <c r="H3254" s="18" t="s">
        <v>23</v>
      </c>
      <c r="I3254" s="19">
        <v>12.12</v>
      </c>
      <c r="J3254" s="20">
        <f t="shared" si="100"/>
        <v>181.79999999999998</v>
      </c>
      <c r="K3254" s="106"/>
      <c r="L3254" s="114"/>
      <c r="M3254" s="114">
        <f>tblAquisições[[#This Row],[VALOR UNITARIO COMPRADO]]*tblAquisições[[#This Row],[QUANTIDADE COMPRADA]]</f>
        <v>0</v>
      </c>
      <c r="N3254" s="110">
        <f>K3254-tblAquisições[[#This Row],[QUANTIDADE PLANEJADA]]</f>
        <v>-15</v>
      </c>
      <c r="O3254" s="106" t="str">
        <f t="shared" si="101"/>
        <v>Faltando Comprar</v>
      </c>
    </row>
    <row r="3255" spans="1:15" ht="47.25">
      <c r="A3255" s="16" t="s">
        <v>17</v>
      </c>
      <c r="B3255" s="16" t="s">
        <v>25</v>
      </c>
      <c r="C3255" s="17" t="s">
        <v>19</v>
      </c>
      <c r="D3255" s="18" t="s">
        <v>1812</v>
      </c>
      <c r="E3255" s="18">
        <v>15</v>
      </c>
      <c r="F3255" s="18" t="s">
        <v>78</v>
      </c>
      <c r="G3255" s="18" t="s">
        <v>22</v>
      </c>
      <c r="H3255" s="18" t="s">
        <v>23</v>
      </c>
      <c r="I3255" s="19">
        <v>12.12</v>
      </c>
      <c r="J3255" s="20">
        <f t="shared" si="100"/>
        <v>181.79999999999998</v>
      </c>
      <c r="K3255" s="106"/>
      <c r="L3255" s="114"/>
      <c r="M3255" s="114">
        <f>tblAquisições[[#This Row],[VALOR UNITARIO COMPRADO]]*tblAquisições[[#This Row],[QUANTIDADE COMPRADA]]</f>
        <v>0</v>
      </c>
      <c r="N3255" s="110">
        <f>K3255-tblAquisições[[#This Row],[QUANTIDADE PLANEJADA]]</f>
        <v>-15</v>
      </c>
      <c r="O3255" s="106" t="str">
        <f t="shared" si="101"/>
        <v>Faltando Comprar</v>
      </c>
    </row>
    <row r="3256" spans="1:15" ht="47.25">
      <c r="A3256" s="16" t="s">
        <v>17</v>
      </c>
      <c r="B3256" s="16" t="s">
        <v>28</v>
      </c>
      <c r="C3256" s="17" t="s">
        <v>19</v>
      </c>
      <c r="D3256" s="18" t="s">
        <v>1812</v>
      </c>
      <c r="E3256" s="18">
        <v>20</v>
      </c>
      <c r="F3256" s="18" t="s">
        <v>78</v>
      </c>
      <c r="G3256" s="18" t="s">
        <v>22</v>
      </c>
      <c r="H3256" s="18" t="s">
        <v>53</v>
      </c>
      <c r="I3256" s="19">
        <v>12.12</v>
      </c>
      <c r="J3256" s="20">
        <f t="shared" si="100"/>
        <v>242.39999999999998</v>
      </c>
      <c r="K3256" s="106"/>
      <c r="L3256" s="114"/>
      <c r="M3256" s="114">
        <f>tblAquisições[[#This Row],[VALOR UNITARIO COMPRADO]]*tblAquisições[[#This Row],[QUANTIDADE COMPRADA]]</f>
        <v>0</v>
      </c>
      <c r="N3256" s="110">
        <f>K3256-tblAquisições[[#This Row],[QUANTIDADE PLANEJADA]]</f>
        <v>-20</v>
      </c>
      <c r="O3256" s="106" t="str">
        <f t="shared" si="101"/>
        <v>Faltando Comprar</v>
      </c>
    </row>
    <row r="3257" spans="1:15" ht="47.25">
      <c r="A3257" s="16" t="s">
        <v>17</v>
      </c>
      <c r="B3257" s="16" t="s">
        <v>18</v>
      </c>
      <c r="C3257" s="17" t="s">
        <v>19</v>
      </c>
      <c r="D3257" s="18" t="s">
        <v>1813</v>
      </c>
      <c r="E3257" s="18">
        <v>10</v>
      </c>
      <c r="F3257" s="18" t="s">
        <v>78</v>
      </c>
      <c r="G3257" s="18" t="s">
        <v>22</v>
      </c>
      <c r="H3257" s="18" t="s">
        <v>23</v>
      </c>
      <c r="I3257" s="19">
        <v>2.94</v>
      </c>
      <c r="J3257" s="20">
        <f t="shared" si="100"/>
        <v>29.4</v>
      </c>
      <c r="K3257" s="106"/>
      <c r="L3257" s="114"/>
      <c r="M3257" s="114">
        <f>tblAquisições[[#This Row],[VALOR UNITARIO COMPRADO]]*tblAquisições[[#This Row],[QUANTIDADE COMPRADA]]</f>
        <v>0</v>
      </c>
      <c r="N3257" s="110">
        <f>K3257-tblAquisições[[#This Row],[QUANTIDADE PLANEJADA]]</f>
        <v>-10</v>
      </c>
      <c r="O3257" s="106" t="str">
        <f t="shared" si="101"/>
        <v>Faltando Comprar</v>
      </c>
    </row>
    <row r="3258" spans="1:15" ht="47.25">
      <c r="A3258" s="16" t="s">
        <v>17</v>
      </c>
      <c r="B3258" s="16" t="s">
        <v>24</v>
      </c>
      <c r="C3258" s="17" t="s">
        <v>19</v>
      </c>
      <c r="D3258" s="18" t="s">
        <v>1813</v>
      </c>
      <c r="E3258" s="18">
        <v>10</v>
      </c>
      <c r="F3258" s="18" t="s">
        <v>78</v>
      </c>
      <c r="G3258" s="18" t="s">
        <v>22</v>
      </c>
      <c r="H3258" s="18" t="s">
        <v>23</v>
      </c>
      <c r="I3258" s="19">
        <v>2.94</v>
      </c>
      <c r="J3258" s="20">
        <f t="shared" si="100"/>
        <v>29.4</v>
      </c>
      <c r="K3258" s="106"/>
      <c r="L3258" s="114"/>
      <c r="M3258" s="114">
        <f>tblAquisições[[#This Row],[VALOR UNITARIO COMPRADO]]*tblAquisições[[#This Row],[QUANTIDADE COMPRADA]]</f>
        <v>0</v>
      </c>
      <c r="N3258" s="110">
        <f>K3258-tblAquisições[[#This Row],[QUANTIDADE PLANEJADA]]</f>
        <v>-10</v>
      </c>
      <c r="O3258" s="106" t="str">
        <f t="shared" si="101"/>
        <v>Faltando Comprar</v>
      </c>
    </row>
    <row r="3259" spans="1:15" ht="47.25">
      <c r="A3259" s="16" t="s">
        <v>17</v>
      </c>
      <c r="B3259" s="16" t="s">
        <v>25</v>
      </c>
      <c r="C3259" s="17" t="s">
        <v>19</v>
      </c>
      <c r="D3259" s="18" t="s">
        <v>1813</v>
      </c>
      <c r="E3259" s="18">
        <v>10</v>
      </c>
      <c r="F3259" s="18" t="s">
        <v>78</v>
      </c>
      <c r="G3259" s="18" t="s">
        <v>22</v>
      </c>
      <c r="H3259" s="18" t="s">
        <v>23</v>
      </c>
      <c r="I3259" s="19">
        <v>2.94</v>
      </c>
      <c r="J3259" s="20">
        <f t="shared" si="100"/>
        <v>29.4</v>
      </c>
      <c r="K3259" s="106"/>
      <c r="L3259" s="114"/>
      <c r="M3259" s="114">
        <f>tblAquisições[[#This Row],[VALOR UNITARIO COMPRADO]]*tblAquisições[[#This Row],[QUANTIDADE COMPRADA]]</f>
        <v>0</v>
      </c>
      <c r="N3259" s="110">
        <f>K3259-tblAquisições[[#This Row],[QUANTIDADE PLANEJADA]]</f>
        <v>-10</v>
      </c>
      <c r="O3259" s="106" t="str">
        <f t="shared" si="101"/>
        <v>Faltando Comprar</v>
      </c>
    </row>
    <row r="3260" spans="1:15" ht="47.25">
      <c r="A3260" s="16" t="s">
        <v>17</v>
      </c>
      <c r="B3260" s="16" t="s">
        <v>28</v>
      </c>
      <c r="C3260" s="17" t="s">
        <v>19</v>
      </c>
      <c r="D3260" s="18" t="s">
        <v>1813</v>
      </c>
      <c r="E3260" s="18">
        <v>20</v>
      </c>
      <c r="F3260" s="18" t="s">
        <v>78</v>
      </c>
      <c r="G3260" s="18" t="s">
        <v>22</v>
      </c>
      <c r="H3260" s="18" t="s">
        <v>53</v>
      </c>
      <c r="I3260" s="19">
        <v>2.94</v>
      </c>
      <c r="J3260" s="20">
        <f t="shared" si="100"/>
        <v>58.8</v>
      </c>
      <c r="K3260" s="106"/>
      <c r="L3260" s="114"/>
      <c r="M3260" s="114">
        <f>tblAquisições[[#This Row],[VALOR UNITARIO COMPRADO]]*tblAquisições[[#This Row],[QUANTIDADE COMPRADA]]</f>
        <v>0</v>
      </c>
      <c r="N3260" s="110">
        <f>K3260-tblAquisições[[#This Row],[QUANTIDADE PLANEJADA]]</f>
        <v>-20</v>
      </c>
      <c r="O3260" s="106" t="str">
        <f t="shared" si="101"/>
        <v>Faltando Comprar</v>
      </c>
    </row>
    <row r="3261" spans="1:15" ht="31.5">
      <c r="A3261" s="16" t="s">
        <v>17</v>
      </c>
      <c r="B3261" s="16" t="s">
        <v>959</v>
      </c>
      <c r="C3261" s="17" t="s">
        <v>19</v>
      </c>
      <c r="D3261" s="18" t="s">
        <v>1814</v>
      </c>
      <c r="E3261" s="18">
        <v>10</v>
      </c>
      <c r="F3261" s="18" t="s">
        <v>56</v>
      </c>
      <c r="G3261" s="18" t="s">
        <v>39</v>
      </c>
      <c r="H3261" s="18" t="s">
        <v>23</v>
      </c>
      <c r="I3261" s="19">
        <v>9.5</v>
      </c>
      <c r="J3261" s="20">
        <f t="shared" si="100"/>
        <v>95</v>
      </c>
      <c r="K3261" s="106"/>
      <c r="L3261" s="114"/>
      <c r="M3261" s="114">
        <f>tblAquisições[[#This Row],[VALOR UNITARIO COMPRADO]]*tblAquisições[[#This Row],[QUANTIDADE COMPRADA]]</f>
        <v>0</v>
      </c>
      <c r="N3261" s="110">
        <f>K3261-tblAquisições[[#This Row],[QUANTIDADE PLANEJADA]]</f>
        <v>-10</v>
      </c>
      <c r="O3261" s="106" t="str">
        <f t="shared" si="101"/>
        <v>Faltando Comprar</v>
      </c>
    </row>
    <row r="3262" spans="1:15" ht="31.5">
      <c r="A3262" s="16" t="s">
        <v>17</v>
      </c>
      <c r="B3262" s="16" t="s">
        <v>26</v>
      </c>
      <c r="C3262" s="17" t="s">
        <v>19</v>
      </c>
      <c r="D3262" s="18" t="s">
        <v>1815</v>
      </c>
      <c r="E3262" s="18">
        <v>10</v>
      </c>
      <c r="F3262" s="18" t="s">
        <v>170</v>
      </c>
      <c r="G3262" s="18" t="s">
        <v>22</v>
      </c>
      <c r="H3262" s="18" t="s">
        <v>23</v>
      </c>
      <c r="I3262" s="19">
        <v>9.5</v>
      </c>
      <c r="J3262" s="20">
        <f t="shared" si="100"/>
        <v>95</v>
      </c>
      <c r="K3262" s="106"/>
      <c r="L3262" s="114"/>
      <c r="M3262" s="114">
        <f>tblAquisições[[#This Row],[VALOR UNITARIO COMPRADO]]*tblAquisições[[#This Row],[QUANTIDADE COMPRADA]]</f>
        <v>0</v>
      </c>
      <c r="N3262" s="110">
        <f>K3262-tblAquisições[[#This Row],[QUANTIDADE PLANEJADA]]</f>
        <v>-10</v>
      </c>
      <c r="O3262" s="106" t="str">
        <f t="shared" si="101"/>
        <v>Faltando Comprar</v>
      </c>
    </row>
    <row r="3263" spans="1:15" ht="47.25">
      <c r="A3263" s="16" t="s">
        <v>17</v>
      </c>
      <c r="B3263" s="16" t="s">
        <v>28</v>
      </c>
      <c r="C3263" s="17" t="s">
        <v>19</v>
      </c>
      <c r="D3263" s="18" t="s">
        <v>1816</v>
      </c>
      <c r="E3263" s="18">
        <v>10</v>
      </c>
      <c r="F3263" s="18" t="s">
        <v>78</v>
      </c>
      <c r="G3263" s="18" t="s">
        <v>22</v>
      </c>
      <c r="H3263" s="18" t="s">
        <v>23</v>
      </c>
      <c r="I3263" s="19">
        <v>34.82</v>
      </c>
      <c r="J3263" s="20">
        <f t="shared" si="100"/>
        <v>348.2</v>
      </c>
      <c r="K3263" s="106"/>
      <c r="L3263" s="114"/>
      <c r="M3263" s="114">
        <f>tblAquisições[[#This Row],[VALOR UNITARIO COMPRADO]]*tblAquisições[[#This Row],[QUANTIDADE COMPRADA]]</f>
        <v>0</v>
      </c>
      <c r="N3263" s="110">
        <f>K3263-tblAquisições[[#This Row],[QUANTIDADE PLANEJADA]]</f>
        <v>-10</v>
      </c>
      <c r="O3263" s="106" t="str">
        <f t="shared" si="101"/>
        <v>Faltando Comprar</v>
      </c>
    </row>
    <row r="3264" spans="1:15" ht="47.25">
      <c r="A3264" s="16" t="s">
        <v>17</v>
      </c>
      <c r="B3264" s="16" t="s">
        <v>80</v>
      </c>
      <c r="C3264" s="17" t="s">
        <v>19</v>
      </c>
      <c r="D3264" s="18" t="s">
        <v>1817</v>
      </c>
      <c r="E3264" s="18">
        <v>10</v>
      </c>
      <c r="F3264" s="18" t="s">
        <v>147</v>
      </c>
      <c r="G3264" s="18" t="s">
        <v>39</v>
      </c>
      <c r="H3264" s="21"/>
      <c r="I3264" s="19">
        <v>215</v>
      </c>
      <c r="J3264" s="20">
        <f t="shared" si="100"/>
        <v>2150</v>
      </c>
      <c r="K3264" s="106"/>
      <c r="L3264" s="114"/>
      <c r="M3264" s="114">
        <f>tblAquisições[[#This Row],[VALOR UNITARIO COMPRADO]]*tblAquisições[[#This Row],[QUANTIDADE COMPRADA]]</f>
        <v>0</v>
      </c>
      <c r="N3264" s="110">
        <f>K3264-tblAquisições[[#This Row],[QUANTIDADE PLANEJADA]]</f>
        <v>-10</v>
      </c>
      <c r="O3264" s="106" t="str">
        <f t="shared" si="101"/>
        <v>Faltando Comprar</v>
      </c>
    </row>
    <row r="3265" spans="1:15" ht="47.25">
      <c r="A3265" s="16" t="s">
        <v>17</v>
      </c>
      <c r="B3265" s="16" t="s">
        <v>26</v>
      </c>
      <c r="C3265" s="17" t="s">
        <v>19</v>
      </c>
      <c r="D3265" s="18" t="s">
        <v>1818</v>
      </c>
      <c r="E3265" s="18">
        <v>8</v>
      </c>
      <c r="F3265" s="18" t="s">
        <v>78</v>
      </c>
      <c r="G3265" s="18" t="s">
        <v>22</v>
      </c>
      <c r="H3265" s="18" t="s">
        <v>23</v>
      </c>
      <c r="I3265" s="19">
        <v>215</v>
      </c>
      <c r="J3265" s="20">
        <f t="shared" si="100"/>
        <v>1720</v>
      </c>
      <c r="K3265" s="106"/>
      <c r="L3265" s="114"/>
      <c r="M3265" s="114">
        <f>tblAquisições[[#This Row],[VALOR UNITARIO COMPRADO]]*tblAquisições[[#This Row],[QUANTIDADE COMPRADA]]</f>
        <v>0</v>
      </c>
      <c r="N3265" s="110">
        <f>K3265-tblAquisições[[#This Row],[QUANTIDADE PLANEJADA]]</f>
        <v>-8</v>
      </c>
      <c r="O3265" s="106" t="str">
        <f t="shared" si="101"/>
        <v>Faltando Comprar</v>
      </c>
    </row>
    <row r="3266" spans="1:15" ht="31.5">
      <c r="A3266" s="16" t="s">
        <v>17</v>
      </c>
      <c r="B3266" s="16" t="s">
        <v>28</v>
      </c>
      <c r="C3266" s="17" t="s">
        <v>19</v>
      </c>
      <c r="D3266" s="18" t="s">
        <v>1819</v>
      </c>
      <c r="E3266" s="18">
        <v>4</v>
      </c>
      <c r="F3266" s="18" t="s">
        <v>21</v>
      </c>
      <c r="G3266" s="18" t="s">
        <v>22</v>
      </c>
      <c r="H3266" s="18" t="s">
        <v>23</v>
      </c>
      <c r="I3266" s="19">
        <v>67.069999999999993</v>
      </c>
      <c r="J3266" s="20">
        <f t="shared" ref="J3266:J3329" si="102">E3266*I3266</f>
        <v>268.27999999999997</v>
      </c>
      <c r="K3266" s="106"/>
      <c r="L3266" s="114"/>
      <c r="M3266" s="114">
        <f>tblAquisições[[#This Row],[VALOR UNITARIO COMPRADO]]*tblAquisições[[#This Row],[QUANTIDADE COMPRADA]]</f>
        <v>0</v>
      </c>
      <c r="N3266" s="110">
        <f>K3266-tblAquisições[[#This Row],[QUANTIDADE PLANEJADA]]</f>
        <v>-4</v>
      </c>
      <c r="O3266" s="106" t="str">
        <f t="shared" ref="O3266:O3329" si="103">IF(K3266=E3266,"OK",IF(K3266&lt;E3266,"Faltando Comprar","Excedente"))</f>
        <v>Faltando Comprar</v>
      </c>
    </row>
    <row r="3267" spans="1:15" ht="47.25">
      <c r="A3267" s="16" t="s">
        <v>17</v>
      </c>
      <c r="B3267" s="16" t="s">
        <v>28</v>
      </c>
      <c r="C3267" s="17" t="s">
        <v>19</v>
      </c>
      <c r="D3267" s="18" t="s">
        <v>1820</v>
      </c>
      <c r="E3267" s="18">
        <v>3</v>
      </c>
      <c r="F3267" s="18" t="s">
        <v>58</v>
      </c>
      <c r="G3267" s="18" t="s">
        <v>22</v>
      </c>
      <c r="H3267" s="18" t="s">
        <v>23</v>
      </c>
      <c r="I3267" s="19">
        <v>22.58</v>
      </c>
      <c r="J3267" s="20">
        <f t="shared" si="102"/>
        <v>67.739999999999995</v>
      </c>
      <c r="K3267" s="106"/>
      <c r="L3267" s="114"/>
      <c r="M3267" s="114">
        <f>tblAquisições[[#This Row],[VALOR UNITARIO COMPRADO]]*tblAquisições[[#This Row],[QUANTIDADE COMPRADA]]</f>
        <v>0</v>
      </c>
      <c r="N3267" s="110">
        <f>K3267-tblAquisições[[#This Row],[QUANTIDADE PLANEJADA]]</f>
        <v>-3</v>
      </c>
      <c r="O3267" s="106" t="str">
        <f t="shared" si="103"/>
        <v>Faltando Comprar</v>
      </c>
    </row>
    <row r="3268" spans="1:15" ht="47.25">
      <c r="A3268" s="16" t="s">
        <v>17</v>
      </c>
      <c r="B3268" s="16" t="s">
        <v>80</v>
      </c>
      <c r="C3268" s="17" t="s">
        <v>19</v>
      </c>
      <c r="D3268" s="18" t="s">
        <v>1821</v>
      </c>
      <c r="E3268" s="18">
        <v>2</v>
      </c>
      <c r="F3268" s="18" t="s">
        <v>147</v>
      </c>
      <c r="G3268" s="18" t="s">
        <v>39</v>
      </c>
      <c r="H3268" s="21"/>
      <c r="I3268" s="19">
        <v>235.25</v>
      </c>
      <c r="J3268" s="20">
        <f t="shared" si="102"/>
        <v>470.5</v>
      </c>
      <c r="K3268" s="106"/>
      <c r="L3268" s="114"/>
      <c r="M3268" s="114">
        <f>tblAquisições[[#This Row],[VALOR UNITARIO COMPRADO]]*tblAquisições[[#This Row],[QUANTIDADE COMPRADA]]</f>
        <v>0</v>
      </c>
      <c r="N3268" s="110">
        <f>K3268-tblAquisições[[#This Row],[QUANTIDADE PLANEJADA]]</f>
        <v>-2</v>
      </c>
      <c r="O3268" s="106" t="str">
        <f t="shared" si="103"/>
        <v>Faltando Comprar</v>
      </c>
    </row>
    <row r="3269" spans="1:15" ht="47.25">
      <c r="A3269" s="16" t="s">
        <v>17</v>
      </c>
      <c r="B3269" s="16" t="s">
        <v>26</v>
      </c>
      <c r="C3269" s="17" t="s">
        <v>19</v>
      </c>
      <c r="D3269" s="18" t="s">
        <v>1822</v>
      </c>
      <c r="E3269" s="18">
        <v>10</v>
      </c>
      <c r="F3269" s="18" t="s">
        <v>58</v>
      </c>
      <c r="G3269" s="18" t="s">
        <v>22</v>
      </c>
      <c r="H3269" s="18" t="s">
        <v>23</v>
      </c>
      <c r="I3269" s="19">
        <v>67.790000000000006</v>
      </c>
      <c r="J3269" s="20">
        <f t="shared" si="102"/>
        <v>677.90000000000009</v>
      </c>
      <c r="K3269" s="106"/>
      <c r="L3269" s="114"/>
      <c r="M3269" s="114">
        <f>tblAquisições[[#This Row],[VALOR UNITARIO COMPRADO]]*tblAquisições[[#This Row],[QUANTIDADE COMPRADA]]</f>
        <v>0</v>
      </c>
      <c r="N3269" s="110">
        <f>K3269-tblAquisições[[#This Row],[QUANTIDADE PLANEJADA]]</f>
        <v>-10</v>
      </c>
      <c r="O3269" s="106" t="str">
        <f t="shared" si="103"/>
        <v>Faltando Comprar</v>
      </c>
    </row>
    <row r="3270" spans="1:15" ht="31.5">
      <c r="A3270" s="16" t="s">
        <v>17</v>
      </c>
      <c r="B3270" s="16" t="s">
        <v>27</v>
      </c>
      <c r="C3270" s="17" t="s">
        <v>19</v>
      </c>
      <c r="D3270" s="18" t="s">
        <v>1823</v>
      </c>
      <c r="E3270" s="18">
        <v>100</v>
      </c>
      <c r="F3270" s="18" t="s">
        <v>21</v>
      </c>
      <c r="G3270" s="18" t="s">
        <v>22</v>
      </c>
      <c r="H3270" s="18" t="s">
        <v>83</v>
      </c>
      <c r="I3270" s="19">
        <v>37.5</v>
      </c>
      <c r="J3270" s="20">
        <f t="shared" si="102"/>
        <v>3750</v>
      </c>
      <c r="K3270" s="106"/>
      <c r="L3270" s="114"/>
      <c r="M3270" s="114">
        <f>tblAquisições[[#This Row],[VALOR UNITARIO COMPRADO]]*tblAquisições[[#This Row],[QUANTIDADE COMPRADA]]</f>
        <v>0</v>
      </c>
      <c r="N3270" s="110">
        <f>K3270-tblAquisições[[#This Row],[QUANTIDADE PLANEJADA]]</f>
        <v>-100</v>
      </c>
      <c r="O3270" s="106" t="str">
        <f t="shared" si="103"/>
        <v>Faltando Comprar</v>
      </c>
    </row>
    <row r="3271" spans="1:15" ht="31.5">
      <c r="A3271" s="16" t="s">
        <v>17</v>
      </c>
      <c r="B3271" s="16" t="s">
        <v>31</v>
      </c>
      <c r="C3271" s="17" t="s">
        <v>19</v>
      </c>
      <c r="D3271" s="18" t="s">
        <v>1824</v>
      </c>
      <c r="E3271" s="18">
        <v>10</v>
      </c>
      <c r="F3271" s="18" t="s">
        <v>30</v>
      </c>
      <c r="G3271" s="18" t="s">
        <v>22</v>
      </c>
      <c r="H3271" s="18" t="s">
        <v>23</v>
      </c>
      <c r="I3271" s="19">
        <v>68.5</v>
      </c>
      <c r="J3271" s="20">
        <f t="shared" si="102"/>
        <v>685</v>
      </c>
      <c r="K3271" s="106"/>
      <c r="L3271" s="114"/>
      <c r="M3271" s="114">
        <f>tblAquisições[[#This Row],[VALOR UNITARIO COMPRADO]]*tblAquisições[[#This Row],[QUANTIDADE COMPRADA]]</f>
        <v>0</v>
      </c>
      <c r="N3271" s="110">
        <f>K3271-tblAquisições[[#This Row],[QUANTIDADE PLANEJADA]]</f>
        <v>-10</v>
      </c>
      <c r="O3271" s="106" t="str">
        <f t="shared" si="103"/>
        <v>Faltando Comprar</v>
      </c>
    </row>
    <row r="3272" spans="1:15" ht="31.5">
      <c r="A3272" s="16" t="s">
        <v>17</v>
      </c>
      <c r="B3272" s="16" t="s">
        <v>31</v>
      </c>
      <c r="C3272" s="17" t="s">
        <v>19</v>
      </c>
      <c r="D3272" s="18" t="s">
        <v>1825</v>
      </c>
      <c r="E3272" s="18">
        <v>10</v>
      </c>
      <c r="F3272" s="18" t="s">
        <v>30</v>
      </c>
      <c r="G3272" s="18" t="s">
        <v>22</v>
      </c>
      <c r="H3272" s="18" t="s">
        <v>23</v>
      </c>
      <c r="I3272" s="19">
        <v>24.05</v>
      </c>
      <c r="J3272" s="20">
        <f t="shared" si="102"/>
        <v>240.5</v>
      </c>
      <c r="K3272" s="106"/>
      <c r="L3272" s="114"/>
      <c r="M3272" s="114">
        <f>tblAquisições[[#This Row],[VALOR UNITARIO COMPRADO]]*tblAquisições[[#This Row],[QUANTIDADE COMPRADA]]</f>
        <v>0</v>
      </c>
      <c r="N3272" s="110">
        <f>K3272-tblAquisições[[#This Row],[QUANTIDADE PLANEJADA]]</f>
        <v>-10</v>
      </c>
      <c r="O3272" s="106" t="str">
        <f t="shared" si="103"/>
        <v>Faltando Comprar</v>
      </c>
    </row>
    <row r="3273" spans="1:15" ht="31.5">
      <c r="A3273" s="16" t="s">
        <v>17</v>
      </c>
      <c r="B3273" s="16" t="s">
        <v>26</v>
      </c>
      <c r="C3273" s="17" t="s">
        <v>19</v>
      </c>
      <c r="D3273" s="18" t="s">
        <v>1826</v>
      </c>
      <c r="E3273" s="18">
        <v>25</v>
      </c>
      <c r="F3273" s="18" t="s">
        <v>21</v>
      </c>
      <c r="G3273" s="18" t="s">
        <v>22</v>
      </c>
      <c r="H3273" s="18" t="s">
        <v>23</v>
      </c>
      <c r="I3273" s="19">
        <v>76.17</v>
      </c>
      <c r="J3273" s="20">
        <f t="shared" si="102"/>
        <v>1904.25</v>
      </c>
      <c r="K3273" s="106"/>
      <c r="L3273" s="114"/>
      <c r="M3273" s="114">
        <f>tblAquisições[[#This Row],[VALOR UNITARIO COMPRADO]]*tblAquisições[[#This Row],[QUANTIDADE COMPRADA]]</f>
        <v>0</v>
      </c>
      <c r="N3273" s="110">
        <f>K3273-tblAquisições[[#This Row],[QUANTIDADE PLANEJADA]]</f>
        <v>-25</v>
      </c>
      <c r="O3273" s="106" t="str">
        <f t="shared" si="103"/>
        <v>Faltando Comprar</v>
      </c>
    </row>
    <row r="3274" spans="1:15" ht="31.5">
      <c r="A3274" s="16" t="s">
        <v>17</v>
      </c>
      <c r="B3274" s="16" t="s">
        <v>28</v>
      </c>
      <c r="C3274" s="17" t="s">
        <v>19</v>
      </c>
      <c r="D3274" s="18" t="s">
        <v>1826</v>
      </c>
      <c r="E3274" s="18">
        <v>50</v>
      </c>
      <c r="F3274" s="18" t="s">
        <v>21</v>
      </c>
      <c r="G3274" s="18" t="s">
        <v>22</v>
      </c>
      <c r="H3274" s="18" t="s">
        <v>23</v>
      </c>
      <c r="I3274" s="19">
        <v>76.17</v>
      </c>
      <c r="J3274" s="20">
        <f t="shared" si="102"/>
        <v>3808.5</v>
      </c>
      <c r="K3274" s="106"/>
      <c r="L3274" s="114"/>
      <c r="M3274" s="114">
        <f>tblAquisições[[#This Row],[VALOR UNITARIO COMPRADO]]*tblAquisições[[#This Row],[QUANTIDADE COMPRADA]]</f>
        <v>0</v>
      </c>
      <c r="N3274" s="110">
        <f>K3274-tblAquisições[[#This Row],[QUANTIDADE PLANEJADA]]</f>
        <v>-50</v>
      </c>
      <c r="O3274" s="106" t="str">
        <f t="shared" si="103"/>
        <v>Faltando Comprar</v>
      </c>
    </row>
    <row r="3275" spans="1:15" ht="47.25">
      <c r="A3275" s="16" t="s">
        <v>17</v>
      </c>
      <c r="B3275" s="16" t="s">
        <v>28</v>
      </c>
      <c r="C3275" s="17" t="s">
        <v>19</v>
      </c>
      <c r="D3275" s="18" t="s">
        <v>1827</v>
      </c>
      <c r="E3275" s="18">
        <v>20</v>
      </c>
      <c r="F3275" s="18" t="s">
        <v>78</v>
      </c>
      <c r="G3275" s="18" t="s">
        <v>22</v>
      </c>
      <c r="H3275" s="18" t="s">
        <v>23</v>
      </c>
      <c r="I3275" s="19">
        <v>46.82</v>
      </c>
      <c r="J3275" s="20">
        <f t="shared" si="102"/>
        <v>936.4</v>
      </c>
      <c r="K3275" s="106"/>
      <c r="L3275" s="114"/>
      <c r="M3275" s="114">
        <f>tblAquisições[[#This Row],[VALOR UNITARIO COMPRADO]]*tblAquisições[[#This Row],[QUANTIDADE COMPRADA]]</f>
        <v>0</v>
      </c>
      <c r="N3275" s="110">
        <f>K3275-tblAquisições[[#This Row],[QUANTIDADE PLANEJADA]]</f>
        <v>-20</v>
      </c>
      <c r="O3275" s="106" t="str">
        <f t="shared" si="103"/>
        <v>Faltando Comprar</v>
      </c>
    </row>
    <row r="3276" spans="1:15" ht="31.5">
      <c r="A3276" s="16" t="s">
        <v>17</v>
      </c>
      <c r="B3276" s="16" t="s">
        <v>80</v>
      </c>
      <c r="C3276" s="17" t="s">
        <v>19</v>
      </c>
      <c r="D3276" s="18" t="s">
        <v>1828</v>
      </c>
      <c r="E3276" s="18">
        <v>20</v>
      </c>
      <c r="F3276" s="18" t="s">
        <v>82</v>
      </c>
      <c r="G3276" s="18" t="s">
        <v>39</v>
      </c>
      <c r="H3276" s="21"/>
      <c r="I3276" s="19">
        <v>6.9</v>
      </c>
      <c r="J3276" s="20">
        <f t="shared" si="102"/>
        <v>138</v>
      </c>
      <c r="K3276" s="106"/>
      <c r="L3276" s="114"/>
      <c r="M3276" s="114">
        <f>tblAquisições[[#This Row],[VALOR UNITARIO COMPRADO]]*tblAquisições[[#This Row],[QUANTIDADE COMPRADA]]</f>
        <v>0</v>
      </c>
      <c r="N3276" s="110">
        <f>K3276-tblAquisições[[#This Row],[QUANTIDADE PLANEJADA]]</f>
        <v>-20</v>
      </c>
      <c r="O3276" s="106" t="str">
        <f t="shared" si="103"/>
        <v>Faltando Comprar</v>
      </c>
    </row>
    <row r="3277" spans="1:15" ht="31.5">
      <c r="A3277" s="16" t="s">
        <v>17</v>
      </c>
      <c r="B3277" s="16" t="s">
        <v>26</v>
      </c>
      <c r="C3277" s="17" t="s">
        <v>19</v>
      </c>
      <c r="D3277" s="18" t="s">
        <v>1829</v>
      </c>
      <c r="E3277" s="18">
        <v>50</v>
      </c>
      <c r="F3277" s="18" t="s">
        <v>30</v>
      </c>
      <c r="G3277" s="18" t="s">
        <v>22</v>
      </c>
      <c r="H3277" s="18" t="s">
        <v>23</v>
      </c>
      <c r="I3277" s="19">
        <v>6.9</v>
      </c>
      <c r="J3277" s="20">
        <f t="shared" si="102"/>
        <v>345</v>
      </c>
      <c r="K3277" s="106"/>
      <c r="L3277" s="114"/>
      <c r="M3277" s="114">
        <f>tblAquisições[[#This Row],[VALOR UNITARIO COMPRADO]]*tblAquisições[[#This Row],[QUANTIDADE COMPRADA]]</f>
        <v>0</v>
      </c>
      <c r="N3277" s="110">
        <f>K3277-tblAquisições[[#This Row],[QUANTIDADE PLANEJADA]]</f>
        <v>-50</v>
      </c>
      <c r="O3277" s="106" t="str">
        <f t="shared" si="103"/>
        <v>Faltando Comprar</v>
      </c>
    </row>
    <row r="3278" spans="1:15" ht="31.5">
      <c r="A3278" s="16" t="s">
        <v>17</v>
      </c>
      <c r="B3278" s="16" t="s">
        <v>26</v>
      </c>
      <c r="C3278" s="17" t="s">
        <v>19</v>
      </c>
      <c r="D3278" s="18" t="s">
        <v>1830</v>
      </c>
      <c r="E3278" s="18">
        <v>30</v>
      </c>
      <c r="F3278" s="18" t="s">
        <v>30</v>
      </c>
      <c r="G3278" s="18" t="s">
        <v>22</v>
      </c>
      <c r="H3278" s="18" t="s">
        <v>23</v>
      </c>
      <c r="I3278" s="19">
        <v>15.92</v>
      </c>
      <c r="J3278" s="20">
        <f t="shared" si="102"/>
        <v>477.6</v>
      </c>
      <c r="K3278" s="106"/>
      <c r="L3278" s="114"/>
      <c r="M3278" s="114">
        <f>tblAquisições[[#This Row],[VALOR UNITARIO COMPRADO]]*tblAquisições[[#This Row],[QUANTIDADE COMPRADA]]</f>
        <v>0</v>
      </c>
      <c r="N3278" s="110">
        <f>K3278-tblAquisições[[#This Row],[QUANTIDADE PLANEJADA]]</f>
        <v>-30</v>
      </c>
      <c r="O3278" s="106" t="str">
        <f t="shared" si="103"/>
        <v>Faltando Comprar</v>
      </c>
    </row>
    <row r="3279" spans="1:15" ht="31.5">
      <c r="A3279" s="16" t="s">
        <v>17</v>
      </c>
      <c r="B3279" s="16" t="s">
        <v>26</v>
      </c>
      <c r="C3279" s="17" t="s">
        <v>19</v>
      </c>
      <c r="D3279" s="18" t="s">
        <v>1831</v>
      </c>
      <c r="E3279" s="18">
        <v>10</v>
      </c>
      <c r="F3279" s="18" t="s">
        <v>30</v>
      </c>
      <c r="G3279" s="18" t="s">
        <v>22</v>
      </c>
      <c r="H3279" s="18" t="s">
        <v>23</v>
      </c>
      <c r="I3279" s="19">
        <v>35.72</v>
      </c>
      <c r="J3279" s="20">
        <f t="shared" si="102"/>
        <v>357.2</v>
      </c>
      <c r="K3279" s="106"/>
      <c r="L3279" s="114"/>
      <c r="M3279" s="114">
        <f>tblAquisições[[#This Row],[VALOR UNITARIO COMPRADO]]*tblAquisições[[#This Row],[QUANTIDADE COMPRADA]]</f>
        <v>0</v>
      </c>
      <c r="N3279" s="110">
        <f>K3279-tblAquisições[[#This Row],[QUANTIDADE PLANEJADA]]</f>
        <v>-10</v>
      </c>
      <c r="O3279" s="106" t="str">
        <f t="shared" si="103"/>
        <v>Faltando Comprar</v>
      </c>
    </row>
    <row r="3280" spans="1:15" ht="31.5">
      <c r="A3280" s="16" t="s">
        <v>17</v>
      </c>
      <c r="B3280" s="16" t="s">
        <v>26</v>
      </c>
      <c r="C3280" s="17" t="s">
        <v>19</v>
      </c>
      <c r="D3280" s="18" t="s">
        <v>1832</v>
      </c>
      <c r="E3280" s="18">
        <v>50</v>
      </c>
      <c r="F3280" s="18" t="s">
        <v>30</v>
      </c>
      <c r="G3280" s="18" t="s">
        <v>22</v>
      </c>
      <c r="H3280" s="18" t="s">
        <v>23</v>
      </c>
      <c r="I3280" s="19">
        <v>6.07</v>
      </c>
      <c r="J3280" s="20">
        <f t="shared" si="102"/>
        <v>303.5</v>
      </c>
      <c r="K3280" s="106"/>
      <c r="L3280" s="114"/>
      <c r="M3280" s="114">
        <f>tblAquisições[[#This Row],[VALOR UNITARIO COMPRADO]]*tblAquisições[[#This Row],[QUANTIDADE COMPRADA]]</f>
        <v>0</v>
      </c>
      <c r="N3280" s="110">
        <f>K3280-tblAquisições[[#This Row],[QUANTIDADE PLANEJADA]]</f>
        <v>-50</v>
      </c>
      <c r="O3280" s="106" t="str">
        <f t="shared" si="103"/>
        <v>Faltando Comprar</v>
      </c>
    </row>
    <row r="3281" spans="1:15" ht="31.5">
      <c r="A3281" s="16" t="s">
        <v>17</v>
      </c>
      <c r="B3281" s="16" t="s">
        <v>80</v>
      </c>
      <c r="C3281" s="17" t="s">
        <v>19</v>
      </c>
      <c r="D3281" s="18" t="s">
        <v>1833</v>
      </c>
      <c r="E3281" s="18">
        <v>4</v>
      </c>
      <c r="F3281" s="18" t="s">
        <v>82</v>
      </c>
      <c r="G3281" s="18" t="s">
        <v>39</v>
      </c>
      <c r="H3281" s="18" t="s">
        <v>65</v>
      </c>
      <c r="I3281" s="19">
        <v>26.06</v>
      </c>
      <c r="J3281" s="20">
        <f t="shared" si="102"/>
        <v>104.24</v>
      </c>
      <c r="K3281" s="106"/>
      <c r="L3281" s="114"/>
      <c r="M3281" s="114">
        <f>tblAquisições[[#This Row],[VALOR UNITARIO COMPRADO]]*tblAquisições[[#This Row],[QUANTIDADE COMPRADA]]</f>
        <v>0</v>
      </c>
      <c r="N3281" s="110">
        <f>K3281-tblAquisições[[#This Row],[QUANTIDADE PLANEJADA]]</f>
        <v>-4</v>
      </c>
      <c r="O3281" s="106" t="str">
        <f t="shared" si="103"/>
        <v>Faltando Comprar</v>
      </c>
    </row>
    <row r="3282" spans="1:15" ht="31.5">
      <c r="A3282" s="16" t="s">
        <v>17</v>
      </c>
      <c r="B3282" s="16" t="s">
        <v>26</v>
      </c>
      <c r="C3282" s="17" t="s">
        <v>19</v>
      </c>
      <c r="D3282" s="18" t="s">
        <v>1834</v>
      </c>
      <c r="E3282" s="18">
        <v>50</v>
      </c>
      <c r="F3282" s="18" t="s">
        <v>30</v>
      </c>
      <c r="G3282" s="18" t="s">
        <v>22</v>
      </c>
      <c r="H3282" s="18" t="s">
        <v>23</v>
      </c>
      <c r="I3282" s="19">
        <v>26.06</v>
      </c>
      <c r="J3282" s="20">
        <f t="shared" si="102"/>
        <v>1303</v>
      </c>
      <c r="K3282" s="106"/>
      <c r="L3282" s="114"/>
      <c r="M3282" s="114">
        <f>tblAquisições[[#This Row],[VALOR UNITARIO COMPRADO]]*tblAquisições[[#This Row],[QUANTIDADE COMPRADA]]</f>
        <v>0</v>
      </c>
      <c r="N3282" s="110">
        <f>K3282-tblAquisições[[#This Row],[QUANTIDADE PLANEJADA]]</f>
        <v>-50</v>
      </c>
      <c r="O3282" s="106" t="str">
        <f t="shared" si="103"/>
        <v>Faltando Comprar</v>
      </c>
    </row>
    <row r="3283" spans="1:15" ht="31.5">
      <c r="A3283" s="16" t="s">
        <v>17</v>
      </c>
      <c r="B3283" s="16" t="s">
        <v>80</v>
      </c>
      <c r="C3283" s="17" t="s">
        <v>19</v>
      </c>
      <c r="D3283" s="18" t="s">
        <v>1835</v>
      </c>
      <c r="E3283" s="18">
        <v>4</v>
      </c>
      <c r="F3283" s="18" t="s">
        <v>82</v>
      </c>
      <c r="G3283" s="18" t="s">
        <v>39</v>
      </c>
      <c r="H3283" s="18" t="s">
        <v>65</v>
      </c>
      <c r="I3283" s="19">
        <v>17.170000000000002</v>
      </c>
      <c r="J3283" s="20">
        <f t="shared" si="102"/>
        <v>68.680000000000007</v>
      </c>
      <c r="K3283" s="106"/>
      <c r="L3283" s="114"/>
      <c r="M3283" s="114">
        <f>tblAquisições[[#This Row],[VALOR UNITARIO COMPRADO]]*tblAquisições[[#This Row],[QUANTIDADE COMPRADA]]</f>
        <v>0</v>
      </c>
      <c r="N3283" s="110">
        <f>K3283-tblAquisições[[#This Row],[QUANTIDADE PLANEJADA]]</f>
        <v>-4</v>
      </c>
      <c r="O3283" s="106" t="str">
        <f t="shared" si="103"/>
        <v>Faltando Comprar</v>
      </c>
    </row>
    <row r="3284" spans="1:15" ht="31.5">
      <c r="A3284" s="16" t="s">
        <v>17</v>
      </c>
      <c r="B3284" s="16" t="s">
        <v>80</v>
      </c>
      <c r="C3284" s="17" t="s">
        <v>19</v>
      </c>
      <c r="D3284" s="18" t="s">
        <v>1836</v>
      </c>
      <c r="E3284" s="18">
        <v>4</v>
      </c>
      <c r="F3284" s="18" t="s">
        <v>82</v>
      </c>
      <c r="G3284" s="18" t="s">
        <v>39</v>
      </c>
      <c r="H3284" s="18" t="s">
        <v>65</v>
      </c>
      <c r="I3284" s="19">
        <v>24.78</v>
      </c>
      <c r="J3284" s="20">
        <f t="shared" si="102"/>
        <v>99.12</v>
      </c>
      <c r="K3284" s="106"/>
      <c r="L3284" s="114"/>
      <c r="M3284" s="114">
        <f>tblAquisições[[#This Row],[VALOR UNITARIO COMPRADO]]*tblAquisições[[#This Row],[QUANTIDADE COMPRADA]]</f>
        <v>0</v>
      </c>
      <c r="N3284" s="110">
        <f>K3284-tblAquisições[[#This Row],[QUANTIDADE PLANEJADA]]</f>
        <v>-4</v>
      </c>
      <c r="O3284" s="106" t="str">
        <f t="shared" si="103"/>
        <v>Faltando Comprar</v>
      </c>
    </row>
    <row r="3285" spans="1:15" ht="47.25">
      <c r="A3285" s="16" t="s">
        <v>17</v>
      </c>
      <c r="B3285" s="16" t="s">
        <v>31</v>
      </c>
      <c r="C3285" s="17" t="s">
        <v>19</v>
      </c>
      <c r="D3285" s="18" t="s">
        <v>1837</v>
      </c>
      <c r="E3285" s="18">
        <v>2</v>
      </c>
      <c r="F3285" s="18" t="s">
        <v>1455</v>
      </c>
      <c r="G3285" s="18" t="s">
        <v>127</v>
      </c>
      <c r="H3285" s="18" t="s">
        <v>23</v>
      </c>
      <c r="I3285" s="19">
        <v>1108</v>
      </c>
      <c r="J3285" s="20">
        <f t="shared" si="102"/>
        <v>2216</v>
      </c>
      <c r="K3285" s="106"/>
      <c r="L3285" s="114"/>
      <c r="M3285" s="114">
        <f>tblAquisições[[#This Row],[VALOR UNITARIO COMPRADO]]*tblAquisições[[#This Row],[QUANTIDADE COMPRADA]]</f>
        <v>0</v>
      </c>
      <c r="N3285" s="110">
        <f>K3285-tblAquisições[[#This Row],[QUANTIDADE PLANEJADA]]</f>
        <v>-2</v>
      </c>
      <c r="O3285" s="106" t="str">
        <f t="shared" si="103"/>
        <v>Faltando Comprar</v>
      </c>
    </row>
    <row r="3286" spans="1:15" ht="47.25">
      <c r="A3286" s="16" t="s">
        <v>17</v>
      </c>
      <c r="B3286" s="16" t="s">
        <v>18</v>
      </c>
      <c r="C3286" s="17" t="s">
        <v>19</v>
      </c>
      <c r="D3286" s="18" t="s">
        <v>1838</v>
      </c>
      <c r="E3286" s="18">
        <v>5</v>
      </c>
      <c r="F3286" s="18" t="s">
        <v>222</v>
      </c>
      <c r="G3286" s="18" t="s">
        <v>127</v>
      </c>
      <c r="H3286" s="18" t="s">
        <v>23</v>
      </c>
      <c r="I3286" s="19">
        <v>2251.89</v>
      </c>
      <c r="J3286" s="20">
        <f t="shared" si="102"/>
        <v>11259.449999999999</v>
      </c>
      <c r="K3286" s="106"/>
      <c r="L3286" s="114"/>
      <c r="M3286" s="114">
        <f>tblAquisições[[#This Row],[VALOR UNITARIO COMPRADO]]*tblAquisições[[#This Row],[QUANTIDADE COMPRADA]]</f>
        <v>0</v>
      </c>
      <c r="N3286" s="110">
        <f>K3286-tblAquisições[[#This Row],[QUANTIDADE PLANEJADA]]</f>
        <v>-5</v>
      </c>
      <c r="O3286" s="106" t="str">
        <f t="shared" si="103"/>
        <v>Faltando Comprar</v>
      </c>
    </row>
    <row r="3287" spans="1:15" ht="47.25">
      <c r="A3287" s="16" t="s">
        <v>17</v>
      </c>
      <c r="B3287" s="16" t="s">
        <v>24</v>
      </c>
      <c r="C3287" s="17" t="s">
        <v>19</v>
      </c>
      <c r="D3287" s="18" t="s">
        <v>1838</v>
      </c>
      <c r="E3287" s="18">
        <v>5</v>
      </c>
      <c r="F3287" s="18" t="s">
        <v>222</v>
      </c>
      <c r="G3287" s="18" t="s">
        <v>127</v>
      </c>
      <c r="H3287" s="18" t="s">
        <v>23</v>
      </c>
      <c r="I3287" s="19">
        <v>2251.89</v>
      </c>
      <c r="J3287" s="20">
        <f t="shared" si="102"/>
        <v>11259.449999999999</v>
      </c>
      <c r="K3287" s="106"/>
      <c r="L3287" s="114"/>
      <c r="M3287" s="114">
        <f>tblAquisições[[#This Row],[VALOR UNITARIO COMPRADO]]*tblAquisições[[#This Row],[QUANTIDADE COMPRADA]]</f>
        <v>0</v>
      </c>
      <c r="N3287" s="110">
        <f>K3287-tblAquisições[[#This Row],[QUANTIDADE PLANEJADA]]</f>
        <v>-5</v>
      </c>
      <c r="O3287" s="106" t="str">
        <f t="shared" si="103"/>
        <v>Faltando Comprar</v>
      </c>
    </row>
    <row r="3288" spans="1:15" ht="47.25">
      <c r="A3288" s="16" t="s">
        <v>17</v>
      </c>
      <c r="B3288" s="16" t="s">
        <v>25</v>
      </c>
      <c r="C3288" s="17" t="s">
        <v>19</v>
      </c>
      <c r="D3288" s="18" t="s">
        <v>1838</v>
      </c>
      <c r="E3288" s="18">
        <v>5</v>
      </c>
      <c r="F3288" s="18" t="s">
        <v>222</v>
      </c>
      <c r="G3288" s="18" t="s">
        <v>127</v>
      </c>
      <c r="H3288" s="18" t="s">
        <v>23</v>
      </c>
      <c r="I3288" s="19">
        <v>2251.89</v>
      </c>
      <c r="J3288" s="20">
        <f t="shared" si="102"/>
        <v>11259.449999999999</v>
      </c>
      <c r="K3288" s="106"/>
      <c r="L3288" s="114"/>
      <c r="M3288" s="114">
        <f>tblAquisições[[#This Row],[VALOR UNITARIO COMPRADO]]*tblAquisições[[#This Row],[QUANTIDADE COMPRADA]]</f>
        <v>0</v>
      </c>
      <c r="N3288" s="110">
        <f>K3288-tblAquisições[[#This Row],[QUANTIDADE PLANEJADA]]</f>
        <v>-5</v>
      </c>
      <c r="O3288" s="106" t="str">
        <f t="shared" si="103"/>
        <v>Faltando Comprar</v>
      </c>
    </row>
    <row r="3289" spans="1:15" ht="47.25">
      <c r="A3289" s="16" t="s">
        <v>17</v>
      </c>
      <c r="B3289" s="16" t="s">
        <v>41</v>
      </c>
      <c r="C3289" s="17" t="s">
        <v>19</v>
      </c>
      <c r="D3289" s="18" t="s">
        <v>1838</v>
      </c>
      <c r="E3289" s="18">
        <v>5</v>
      </c>
      <c r="F3289" s="18" t="s">
        <v>222</v>
      </c>
      <c r="G3289" s="18" t="s">
        <v>127</v>
      </c>
      <c r="H3289" s="18" t="s">
        <v>23</v>
      </c>
      <c r="I3289" s="19">
        <v>2251.89</v>
      </c>
      <c r="J3289" s="20">
        <f t="shared" si="102"/>
        <v>11259.449999999999</v>
      </c>
      <c r="K3289" s="106"/>
      <c r="L3289" s="114"/>
      <c r="M3289" s="114">
        <f>tblAquisições[[#This Row],[VALOR UNITARIO COMPRADO]]*tblAquisições[[#This Row],[QUANTIDADE COMPRADA]]</f>
        <v>0</v>
      </c>
      <c r="N3289" s="110">
        <f>K3289-tblAquisições[[#This Row],[QUANTIDADE PLANEJADA]]</f>
        <v>-5</v>
      </c>
      <c r="O3289" s="106" t="str">
        <f t="shared" si="103"/>
        <v>Faltando Comprar</v>
      </c>
    </row>
    <row r="3290" spans="1:15" ht="47.25">
      <c r="A3290" s="16" t="s">
        <v>17</v>
      </c>
      <c r="B3290" s="16" t="s">
        <v>18</v>
      </c>
      <c r="C3290" s="17" t="s">
        <v>19</v>
      </c>
      <c r="D3290" s="18" t="s">
        <v>1839</v>
      </c>
      <c r="E3290" s="18">
        <v>5</v>
      </c>
      <c r="F3290" s="18" t="s">
        <v>222</v>
      </c>
      <c r="G3290" s="18" t="s">
        <v>127</v>
      </c>
      <c r="H3290" s="18" t="s">
        <v>23</v>
      </c>
      <c r="I3290" s="19">
        <v>6456.4</v>
      </c>
      <c r="J3290" s="20">
        <f t="shared" si="102"/>
        <v>32282</v>
      </c>
      <c r="K3290" s="106"/>
      <c r="L3290" s="114"/>
      <c r="M3290" s="114">
        <f>tblAquisições[[#This Row],[VALOR UNITARIO COMPRADO]]*tblAquisições[[#This Row],[QUANTIDADE COMPRADA]]</f>
        <v>0</v>
      </c>
      <c r="N3290" s="110">
        <f>K3290-tblAquisições[[#This Row],[QUANTIDADE PLANEJADA]]</f>
        <v>-5</v>
      </c>
      <c r="O3290" s="106" t="str">
        <f t="shared" si="103"/>
        <v>Faltando Comprar</v>
      </c>
    </row>
    <row r="3291" spans="1:15" ht="47.25">
      <c r="A3291" s="16" t="s">
        <v>17</v>
      </c>
      <c r="B3291" s="16" t="s">
        <v>24</v>
      </c>
      <c r="C3291" s="17" t="s">
        <v>19</v>
      </c>
      <c r="D3291" s="18" t="s">
        <v>1839</v>
      </c>
      <c r="E3291" s="18">
        <v>5</v>
      </c>
      <c r="F3291" s="18" t="s">
        <v>222</v>
      </c>
      <c r="G3291" s="18" t="s">
        <v>127</v>
      </c>
      <c r="H3291" s="18" t="s">
        <v>23</v>
      </c>
      <c r="I3291" s="19">
        <v>6456.4</v>
      </c>
      <c r="J3291" s="20">
        <f t="shared" si="102"/>
        <v>32282</v>
      </c>
      <c r="K3291" s="106"/>
      <c r="L3291" s="114"/>
      <c r="M3291" s="114">
        <f>tblAquisições[[#This Row],[VALOR UNITARIO COMPRADO]]*tblAquisições[[#This Row],[QUANTIDADE COMPRADA]]</f>
        <v>0</v>
      </c>
      <c r="N3291" s="110">
        <f>K3291-tblAquisições[[#This Row],[QUANTIDADE PLANEJADA]]</f>
        <v>-5</v>
      </c>
      <c r="O3291" s="106" t="str">
        <f t="shared" si="103"/>
        <v>Faltando Comprar</v>
      </c>
    </row>
    <row r="3292" spans="1:15" ht="47.25">
      <c r="A3292" s="16" t="s">
        <v>17</v>
      </c>
      <c r="B3292" s="16" t="s">
        <v>25</v>
      </c>
      <c r="C3292" s="17" t="s">
        <v>19</v>
      </c>
      <c r="D3292" s="18" t="s">
        <v>1839</v>
      </c>
      <c r="E3292" s="18">
        <v>5</v>
      </c>
      <c r="F3292" s="18" t="s">
        <v>222</v>
      </c>
      <c r="G3292" s="18" t="s">
        <v>127</v>
      </c>
      <c r="H3292" s="18" t="s">
        <v>23</v>
      </c>
      <c r="I3292" s="19">
        <v>6456.4</v>
      </c>
      <c r="J3292" s="20">
        <f t="shared" si="102"/>
        <v>32282</v>
      </c>
      <c r="K3292" s="106"/>
      <c r="L3292" s="114"/>
      <c r="M3292" s="114">
        <f>tblAquisições[[#This Row],[VALOR UNITARIO COMPRADO]]*tblAquisições[[#This Row],[QUANTIDADE COMPRADA]]</f>
        <v>0</v>
      </c>
      <c r="N3292" s="110">
        <f>K3292-tblAquisições[[#This Row],[QUANTIDADE PLANEJADA]]</f>
        <v>-5</v>
      </c>
      <c r="O3292" s="106" t="str">
        <f t="shared" si="103"/>
        <v>Faltando Comprar</v>
      </c>
    </row>
    <row r="3293" spans="1:15" ht="47.25">
      <c r="A3293" s="16" t="s">
        <v>17</v>
      </c>
      <c r="B3293" s="16" t="s">
        <v>41</v>
      </c>
      <c r="C3293" s="17" t="s">
        <v>19</v>
      </c>
      <c r="D3293" s="18" t="s">
        <v>1839</v>
      </c>
      <c r="E3293" s="18">
        <v>5</v>
      </c>
      <c r="F3293" s="18" t="s">
        <v>222</v>
      </c>
      <c r="G3293" s="18" t="s">
        <v>127</v>
      </c>
      <c r="H3293" s="18" t="s">
        <v>23</v>
      </c>
      <c r="I3293" s="19">
        <v>6456.4</v>
      </c>
      <c r="J3293" s="20">
        <f t="shared" si="102"/>
        <v>32282</v>
      </c>
      <c r="K3293" s="106"/>
      <c r="L3293" s="114"/>
      <c r="M3293" s="114">
        <f>tblAquisições[[#This Row],[VALOR UNITARIO COMPRADO]]*tblAquisições[[#This Row],[QUANTIDADE COMPRADA]]</f>
        <v>0</v>
      </c>
      <c r="N3293" s="110">
        <f>K3293-tblAquisições[[#This Row],[QUANTIDADE PLANEJADA]]</f>
        <v>-5</v>
      </c>
      <c r="O3293" s="106" t="str">
        <f t="shared" si="103"/>
        <v>Faltando Comprar</v>
      </c>
    </row>
    <row r="3294" spans="1:15" ht="47.25">
      <c r="A3294" s="16" t="s">
        <v>17</v>
      </c>
      <c r="B3294" s="16" t="s">
        <v>18</v>
      </c>
      <c r="C3294" s="17" t="s">
        <v>19</v>
      </c>
      <c r="D3294" s="18" t="s">
        <v>1840</v>
      </c>
      <c r="E3294" s="18">
        <v>5</v>
      </c>
      <c r="F3294" s="18" t="s">
        <v>222</v>
      </c>
      <c r="G3294" s="18" t="s">
        <v>127</v>
      </c>
      <c r="H3294" s="18" t="s">
        <v>23</v>
      </c>
      <c r="I3294" s="19">
        <v>9233.33</v>
      </c>
      <c r="J3294" s="20">
        <f t="shared" si="102"/>
        <v>46166.65</v>
      </c>
      <c r="K3294" s="106"/>
      <c r="L3294" s="114"/>
      <c r="M3294" s="114">
        <f>tblAquisições[[#This Row],[VALOR UNITARIO COMPRADO]]*tblAquisições[[#This Row],[QUANTIDADE COMPRADA]]</f>
        <v>0</v>
      </c>
      <c r="N3294" s="110">
        <f>K3294-tblAquisições[[#This Row],[QUANTIDADE PLANEJADA]]</f>
        <v>-5</v>
      </c>
      <c r="O3294" s="106" t="str">
        <f t="shared" si="103"/>
        <v>Faltando Comprar</v>
      </c>
    </row>
    <row r="3295" spans="1:15" ht="47.25">
      <c r="A3295" s="16" t="s">
        <v>17</v>
      </c>
      <c r="B3295" s="16" t="s">
        <v>24</v>
      </c>
      <c r="C3295" s="17" t="s">
        <v>19</v>
      </c>
      <c r="D3295" s="18" t="s">
        <v>1840</v>
      </c>
      <c r="E3295" s="18">
        <v>5</v>
      </c>
      <c r="F3295" s="18" t="s">
        <v>222</v>
      </c>
      <c r="G3295" s="18" t="s">
        <v>127</v>
      </c>
      <c r="H3295" s="18" t="s">
        <v>23</v>
      </c>
      <c r="I3295" s="19">
        <v>9233.33</v>
      </c>
      <c r="J3295" s="20">
        <f t="shared" si="102"/>
        <v>46166.65</v>
      </c>
      <c r="K3295" s="106"/>
      <c r="L3295" s="114"/>
      <c r="M3295" s="114">
        <f>tblAquisições[[#This Row],[VALOR UNITARIO COMPRADO]]*tblAquisições[[#This Row],[QUANTIDADE COMPRADA]]</f>
        <v>0</v>
      </c>
      <c r="N3295" s="110">
        <f>K3295-tblAquisições[[#This Row],[QUANTIDADE PLANEJADA]]</f>
        <v>-5</v>
      </c>
      <c r="O3295" s="106" t="str">
        <f t="shared" si="103"/>
        <v>Faltando Comprar</v>
      </c>
    </row>
    <row r="3296" spans="1:15" ht="47.25">
      <c r="A3296" s="16" t="s">
        <v>17</v>
      </c>
      <c r="B3296" s="16" t="s">
        <v>25</v>
      </c>
      <c r="C3296" s="17" t="s">
        <v>19</v>
      </c>
      <c r="D3296" s="18" t="s">
        <v>1840</v>
      </c>
      <c r="E3296" s="18">
        <v>5</v>
      </c>
      <c r="F3296" s="18" t="s">
        <v>222</v>
      </c>
      <c r="G3296" s="18" t="s">
        <v>127</v>
      </c>
      <c r="H3296" s="18" t="s">
        <v>23</v>
      </c>
      <c r="I3296" s="19">
        <v>9233.33</v>
      </c>
      <c r="J3296" s="20">
        <f t="shared" si="102"/>
        <v>46166.65</v>
      </c>
      <c r="K3296" s="106"/>
      <c r="L3296" s="114"/>
      <c r="M3296" s="114">
        <f>tblAquisições[[#This Row],[VALOR UNITARIO COMPRADO]]*tblAquisições[[#This Row],[QUANTIDADE COMPRADA]]</f>
        <v>0</v>
      </c>
      <c r="N3296" s="110">
        <f>K3296-tblAquisições[[#This Row],[QUANTIDADE PLANEJADA]]</f>
        <v>-5</v>
      </c>
      <c r="O3296" s="106" t="str">
        <f t="shared" si="103"/>
        <v>Faltando Comprar</v>
      </c>
    </row>
    <row r="3297" spans="1:15" ht="47.25">
      <c r="A3297" s="16" t="s">
        <v>17</v>
      </c>
      <c r="B3297" s="16" t="s">
        <v>41</v>
      </c>
      <c r="C3297" s="17" t="s">
        <v>19</v>
      </c>
      <c r="D3297" s="18" t="s">
        <v>1840</v>
      </c>
      <c r="E3297" s="18">
        <v>5</v>
      </c>
      <c r="F3297" s="18" t="s">
        <v>222</v>
      </c>
      <c r="G3297" s="18" t="s">
        <v>127</v>
      </c>
      <c r="H3297" s="18" t="s">
        <v>23</v>
      </c>
      <c r="I3297" s="19">
        <v>9233.33</v>
      </c>
      <c r="J3297" s="20">
        <f t="shared" si="102"/>
        <v>46166.65</v>
      </c>
      <c r="K3297" s="106"/>
      <c r="L3297" s="114"/>
      <c r="M3297" s="114">
        <f>tblAquisições[[#This Row],[VALOR UNITARIO COMPRADO]]*tblAquisições[[#This Row],[QUANTIDADE COMPRADA]]</f>
        <v>0</v>
      </c>
      <c r="N3297" s="110">
        <f>K3297-tblAquisições[[#This Row],[QUANTIDADE PLANEJADA]]</f>
        <v>-5</v>
      </c>
      <c r="O3297" s="106" t="str">
        <f t="shared" si="103"/>
        <v>Faltando Comprar</v>
      </c>
    </row>
    <row r="3298" spans="1:15" ht="47.25">
      <c r="A3298" s="16" t="s">
        <v>17</v>
      </c>
      <c r="B3298" s="16" t="s">
        <v>41</v>
      </c>
      <c r="C3298" s="17" t="s">
        <v>19</v>
      </c>
      <c r="D3298" s="18" t="s">
        <v>1841</v>
      </c>
      <c r="E3298" s="18">
        <v>5</v>
      </c>
      <c r="F3298" s="18" t="s">
        <v>222</v>
      </c>
      <c r="G3298" s="18" t="s">
        <v>127</v>
      </c>
      <c r="H3298" s="18" t="s">
        <v>23</v>
      </c>
      <c r="I3298" s="19">
        <v>12433.33</v>
      </c>
      <c r="J3298" s="20">
        <f t="shared" si="102"/>
        <v>62166.65</v>
      </c>
      <c r="K3298" s="106"/>
      <c r="L3298" s="114"/>
      <c r="M3298" s="114">
        <f>tblAquisições[[#This Row],[VALOR UNITARIO COMPRADO]]*tblAquisições[[#This Row],[QUANTIDADE COMPRADA]]</f>
        <v>0</v>
      </c>
      <c r="N3298" s="110">
        <f>K3298-tblAquisições[[#This Row],[QUANTIDADE PLANEJADA]]</f>
        <v>-5</v>
      </c>
      <c r="O3298" s="106" t="str">
        <f t="shared" si="103"/>
        <v>Faltando Comprar</v>
      </c>
    </row>
    <row r="3299" spans="1:15" ht="31.5">
      <c r="A3299" s="16" t="s">
        <v>17</v>
      </c>
      <c r="B3299" s="16" t="s">
        <v>80</v>
      </c>
      <c r="C3299" s="17" t="s">
        <v>19</v>
      </c>
      <c r="D3299" s="18" t="s">
        <v>1842</v>
      </c>
      <c r="E3299" s="18">
        <v>4</v>
      </c>
      <c r="F3299" s="18" t="s">
        <v>82</v>
      </c>
      <c r="G3299" s="18" t="s">
        <v>39</v>
      </c>
      <c r="H3299" s="21"/>
      <c r="I3299" s="19">
        <v>160</v>
      </c>
      <c r="J3299" s="20">
        <f t="shared" si="102"/>
        <v>640</v>
      </c>
      <c r="K3299" s="106"/>
      <c r="L3299" s="114"/>
      <c r="M3299" s="114">
        <f>tblAquisições[[#This Row],[VALOR UNITARIO COMPRADO]]*tblAquisições[[#This Row],[QUANTIDADE COMPRADA]]</f>
        <v>0</v>
      </c>
      <c r="N3299" s="110">
        <f>K3299-tblAquisições[[#This Row],[QUANTIDADE PLANEJADA]]</f>
        <v>-4</v>
      </c>
      <c r="O3299" s="106" t="str">
        <f t="shared" si="103"/>
        <v>Faltando Comprar</v>
      </c>
    </row>
    <row r="3300" spans="1:15" ht="31.5">
      <c r="A3300" s="16" t="s">
        <v>17</v>
      </c>
      <c r="B3300" s="16" t="s">
        <v>26</v>
      </c>
      <c r="C3300" s="17" t="s">
        <v>19</v>
      </c>
      <c r="D3300" s="18" t="s">
        <v>1843</v>
      </c>
      <c r="E3300" s="18">
        <v>10</v>
      </c>
      <c r="F3300" s="18" t="s">
        <v>30</v>
      </c>
      <c r="G3300" s="18" t="s">
        <v>22</v>
      </c>
      <c r="H3300" s="18" t="s">
        <v>23</v>
      </c>
      <c r="I3300" s="19">
        <v>160</v>
      </c>
      <c r="J3300" s="20">
        <f t="shared" si="102"/>
        <v>1600</v>
      </c>
      <c r="K3300" s="106"/>
      <c r="L3300" s="114"/>
      <c r="M3300" s="114">
        <f>tblAquisições[[#This Row],[VALOR UNITARIO COMPRADO]]*tblAquisições[[#This Row],[QUANTIDADE COMPRADA]]</f>
        <v>0</v>
      </c>
      <c r="N3300" s="110">
        <f>K3300-tblAquisições[[#This Row],[QUANTIDADE PLANEJADA]]</f>
        <v>-10</v>
      </c>
      <c r="O3300" s="106" t="str">
        <f t="shared" si="103"/>
        <v>Faltando Comprar</v>
      </c>
    </row>
    <row r="3301" spans="1:15" ht="47.25">
      <c r="A3301" s="16" t="s">
        <v>17</v>
      </c>
      <c r="B3301" s="16" t="s">
        <v>26</v>
      </c>
      <c r="C3301" s="17" t="s">
        <v>19</v>
      </c>
      <c r="D3301" s="18" t="s">
        <v>1844</v>
      </c>
      <c r="E3301" s="18">
        <v>100</v>
      </c>
      <c r="F3301" s="18" t="s">
        <v>30</v>
      </c>
      <c r="G3301" s="18" t="s">
        <v>22</v>
      </c>
      <c r="H3301" s="18" t="s">
        <v>83</v>
      </c>
      <c r="I3301" s="19">
        <v>16.8</v>
      </c>
      <c r="J3301" s="20">
        <f t="shared" si="102"/>
        <v>1680</v>
      </c>
      <c r="K3301" s="106"/>
      <c r="L3301" s="114"/>
      <c r="M3301" s="114">
        <f>tblAquisições[[#This Row],[VALOR UNITARIO COMPRADO]]*tblAquisições[[#This Row],[QUANTIDADE COMPRADA]]</f>
        <v>0</v>
      </c>
      <c r="N3301" s="110">
        <f>K3301-tblAquisições[[#This Row],[QUANTIDADE PLANEJADA]]</f>
        <v>-100</v>
      </c>
      <c r="O3301" s="106" t="str">
        <f t="shared" si="103"/>
        <v>Faltando Comprar</v>
      </c>
    </row>
    <row r="3302" spans="1:15" ht="31.5">
      <c r="A3302" s="16" t="s">
        <v>17</v>
      </c>
      <c r="B3302" s="16" t="s">
        <v>26</v>
      </c>
      <c r="C3302" s="17" t="s">
        <v>19</v>
      </c>
      <c r="D3302" s="18" t="s">
        <v>1845</v>
      </c>
      <c r="E3302" s="18">
        <v>100</v>
      </c>
      <c r="F3302" s="18" t="s">
        <v>30</v>
      </c>
      <c r="G3302" s="18" t="s">
        <v>22</v>
      </c>
      <c r="H3302" s="18" t="s">
        <v>83</v>
      </c>
      <c r="I3302" s="19">
        <v>39.5</v>
      </c>
      <c r="J3302" s="20">
        <f t="shared" si="102"/>
        <v>3950</v>
      </c>
      <c r="K3302" s="106"/>
      <c r="L3302" s="114"/>
      <c r="M3302" s="114">
        <f>tblAquisições[[#This Row],[VALOR UNITARIO COMPRADO]]*tblAquisições[[#This Row],[QUANTIDADE COMPRADA]]</f>
        <v>0</v>
      </c>
      <c r="N3302" s="110">
        <f>K3302-tblAquisições[[#This Row],[QUANTIDADE PLANEJADA]]</f>
        <v>-100</v>
      </c>
      <c r="O3302" s="106" t="str">
        <f t="shared" si="103"/>
        <v>Faltando Comprar</v>
      </c>
    </row>
    <row r="3303" spans="1:15" ht="47.25">
      <c r="A3303" s="16" t="s">
        <v>17</v>
      </c>
      <c r="B3303" s="16" t="s">
        <v>26</v>
      </c>
      <c r="C3303" s="17" t="s">
        <v>19</v>
      </c>
      <c r="D3303" s="18" t="s">
        <v>1846</v>
      </c>
      <c r="E3303" s="18">
        <v>100</v>
      </c>
      <c r="F3303" s="18" t="s">
        <v>30</v>
      </c>
      <c r="G3303" s="18" t="s">
        <v>22</v>
      </c>
      <c r="H3303" s="18" t="s">
        <v>83</v>
      </c>
      <c r="I3303" s="19">
        <v>4.7699999999999996</v>
      </c>
      <c r="J3303" s="20">
        <f t="shared" si="102"/>
        <v>476.99999999999994</v>
      </c>
      <c r="K3303" s="106"/>
      <c r="L3303" s="114"/>
      <c r="M3303" s="114">
        <f>tblAquisições[[#This Row],[VALOR UNITARIO COMPRADO]]*tblAquisições[[#This Row],[QUANTIDADE COMPRADA]]</f>
        <v>0</v>
      </c>
      <c r="N3303" s="110">
        <f>K3303-tblAquisições[[#This Row],[QUANTIDADE PLANEJADA]]</f>
        <v>-100</v>
      </c>
      <c r="O3303" s="106" t="str">
        <f t="shared" si="103"/>
        <v>Faltando Comprar</v>
      </c>
    </row>
    <row r="3304" spans="1:15" ht="31.5">
      <c r="A3304" s="16" t="s">
        <v>17</v>
      </c>
      <c r="B3304" s="16" t="s">
        <v>26</v>
      </c>
      <c r="C3304" s="17" t="s">
        <v>19</v>
      </c>
      <c r="D3304" s="18" t="s">
        <v>1847</v>
      </c>
      <c r="E3304" s="18">
        <v>50</v>
      </c>
      <c r="F3304" s="18" t="s">
        <v>30</v>
      </c>
      <c r="G3304" s="18" t="s">
        <v>22</v>
      </c>
      <c r="H3304" s="18" t="s">
        <v>83</v>
      </c>
      <c r="I3304" s="19">
        <v>6.77</v>
      </c>
      <c r="J3304" s="20">
        <f t="shared" si="102"/>
        <v>338.5</v>
      </c>
      <c r="K3304" s="106"/>
      <c r="L3304" s="114"/>
      <c r="M3304" s="114">
        <f>tblAquisições[[#This Row],[VALOR UNITARIO COMPRADO]]*tblAquisições[[#This Row],[QUANTIDADE COMPRADA]]</f>
        <v>0</v>
      </c>
      <c r="N3304" s="110">
        <f>K3304-tblAquisições[[#This Row],[QUANTIDADE PLANEJADA]]</f>
        <v>-50</v>
      </c>
      <c r="O3304" s="106" t="str">
        <f t="shared" si="103"/>
        <v>Faltando Comprar</v>
      </c>
    </row>
    <row r="3305" spans="1:15" ht="31.5">
      <c r="A3305" s="16" t="s">
        <v>17</v>
      </c>
      <c r="B3305" s="16" t="s">
        <v>26</v>
      </c>
      <c r="C3305" s="17" t="s">
        <v>19</v>
      </c>
      <c r="D3305" s="18" t="s">
        <v>1848</v>
      </c>
      <c r="E3305" s="18">
        <v>60</v>
      </c>
      <c r="F3305" s="18" t="s">
        <v>30</v>
      </c>
      <c r="G3305" s="18" t="s">
        <v>22</v>
      </c>
      <c r="H3305" s="18" t="s">
        <v>83</v>
      </c>
      <c r="I3305" s="19">
        <v>9.77</v>
      </c>
      <c r="J3305" s="20">
        <f t="shared" si="102"/>
        <v>586.19999999999993</v>
      </c>
      <c r="K3305" s="106"/>
      <c r="L3305" s="114"/>
      <c r="M3305" s="114">
        <f>tblAquisições[[#This Row],[VALOR UNITARIO COMPRADO]]*tblAquisições[[#This Row],[QUANTIDADE COMPRADA]]</f>
        <v>0</v>
      </c>
      <c r="N3305" s="110">
        <f>K3305-tblAquisições[[#This Row],[QUANTIDADE PLANEJADA]]</f>
        <v>-60</v>
      </c>
      <c r="O3305" s="106" t="str">
        <f t="shared" si="103"/>
        <v>Faltando Comprar</v>
      </c>
    </row>
    <row r="3306" spans="1:15" ht="31.5">
      <c r="A3306" s="16" t="s">
        <v>17</v>
      </c>
      <c r="B3306" s="16" t="s">
        <v>26</v>
      </c>
      <c r="C3306" s="17" t="s">
        <v>19</v>
      </c>
      <c r="D3306" s="18" t="s">
        <v>1849</v>
      </c>
      <c r="E3306" s="18">
        <v>80</v>
      </c>
      <c r="F3306" s="18" t="s">
        <v>30</v>
      </c>
      <c r="G3306" s="18" t="s">
        <v>22</v>
      </c>
      <c r="H3306" s="18" t="s">
        <v>83</v>
      </c>
      <c r="I3306" s="19">
        <v>12.77</v>
      </c>
      <c r="J3306" s="20">
        <f t="shared" si="102"/>
        <v>1021.5999999999999</v>
      </c>
      <c r="K3306" s="106"/>
      <c r="L3306" s="114"/>
      <c r="M3306" s="114">
        <f>tblAquisições[[#This Row],[VALOR UNITARIO COMPRADO]]*tblAquisições[[#This Row],[QUANTIDADE COMPRADA]]</f>
        <v>0</v>
      </c>
      <c r="N3306" s="110">
        <f>K3306-tblAquisições[[#This Row],[QUANTIDADE PLANEJADA]]</f>
        <v>-80</v>
      </c>
      <c r="O3306" s="106" t="str">
        <f t="shared" si="103"/>
        <v>Faltando Comprar</v>
      </c>
    </row>
    <row r="3307" spans="1:15" ht="47.25">
      <c r="A3307" s="16" t="s">
        <v>17</v>
      </c>
      <c r="B3307" s="16" t="s">
        <v>26</v>
      </c>
      <c r="C3307" s="17" t="s">
        <v>19</v>
      </c>
      <c r="D3307" s="18" t="s">
        <v>1850</v>
      </c>
      <c r="E3307" s="18">
        <v>550</v>
      </c>
      <c r="F3307" s="18" t="s">
        <v>30</v>
      </c>
      <c r="G3307" s="18" t="s">
        <v>22</v>
      </c>
      <c r="H3307" s="18" t="s">
        <v>83</v>
      </c>
      <c r="I3307" s="19">
        <v>16.8</v>
      </c>
      <c r="J3307" s="20">
        <f t="shared" si="102"/>
        <v>9240</v>
      </c>
      <c r="K3307" s="106"/>
      <c r="L3307" s="114"/>
      <c r="M3307" s="114">
        <f>tblAquisições[[#This Row],[VALOR UNITARIO COMPRADO]]*tblAquisições[[#This Row],[QUANTIDADE COMPRADA]]</f>
        <v>0</v>
      </c>
      <c r="N3307" s="110">
        <f>K3307-tblAquisições[[#This Row],[QUANTIDADE PLANEJADA]]</f>
        <v>-550</v>
      </c>
      <c r="O3307" s="106" t="str">
        <f t="shared" si="103"/>
        <v>Faltando Comprar</v>
      </c>
    </row>
    <row r="3308" spans="1:15" ht="31.5">
      <c r="A3308" s="16" t="s">
        <v>17</v>
      </c>
      <c r="B3308" s="16" t="s">
        <v>18</v>
      </c>
      <c r="C3308" s="17" t="s">
        <v>19</v>
      </c>
      <c r="D3308" s="18" t="s">
        <v>1851</v>
      </c>
      <c r="E3308" s="18">
        <v>120</v>
      </c>
      <c r="F3308" s="18" t="s">
        <v>30</v>
      </c>
      <c r="G3308" s="18" t="s">
        <v>22</v>
      </c>
      <c r="H3308" s="18" t="s">
        <v>23</v>
      </c>
      <c r="I3308" s="19">
        <v>9.11</v>
      </c>
      <c r="J3308" s="20">
        <f t="shared" si="102"/>
        <v>1093.1999999999998</v>
      </c>
      <c r="K3308" s="106"/>
      <c r="L3308" s="114"/>
      <c r="M3308" s="114">
        <f>tblAquisições[[#This Row],[VALOR UNITARIO COMPRADO]]*tblAquisições[[#This Row],[QUANTIDADE COMPRADA]]</f>
        <v>0</v>
      </c>
      <c r="N3308" s="110">
        <f>K3308-tblAquisições[[#This Row],[QUANTIDADE PLANEJADA]]</f>
        <v>-120</v>
      </c>
      <c r="O3308" s="106" t="str">
        <f t="shared" si="103"/>
        <v>Faltando Comprar</v>
      </c>
    </row>
    <row r="3309" spans="1:15" ht="31.5">
      <c r="A3309" s="16" t="s">
        <v>17</v>
      </c>
      <c r="B3309" s="16" t="s">
        <v>24</v>
      </c>
      <c r="C3309" s="17" t="s">
        <v>19</v>
      </c>
      <c r="D3309" s="18" t="s">
        <v>1851</v>
      </c>
      <c r="E3309" s="18">
        <v>120</v>
      </c>
      <c r="F3309" s="18" t="s">
        <v>30</v>
      </c>
      <c r="G3309" s="18" t="s">
        <v>22</v>
      </c>
      <c r="H3309" s="18" t="s">
        <v>23</v>
      </c>
      <c r="I3309" s="19">
        <v>9.11</v>
      </c>
      <c r="J3309" s="20">
        <f t="shared" si="102"/>
        <v>1093.1999999999998</v>
      </c>
      <c r="K3309" s="106"/>
      <c r="L3309" s="114"/>
      <c r="M3309" s="114">
        <f>tblAquisições[[#This Row],[VALOR UNITARIO COMPRADO]]*tblAquisições[[#This Row],[QUANTIDADE COMPRADA]]</f>
        <v>0</v>
      </c>
      <c r="N3309" s="110">
        <f>K3309-tblAquisições[[#This Row],[QUANTIDADE PLANEJADA]]</f>
        <v>-120</v>
      </c>
      <c r="O3309" s="106" t="str">
        <f t="shared" si="103"/>
        <v>Faltando Comprar</v>
      </c>
    </row>
    <row r="3310" spans="1:15" ht="31.5">
      <c r="A3310" s="16" t="s">
        <v>17</v>
      </c>
      <c r="B3310" s="16" t="s">
        <v>25</v>
      </c>
      <c r="C3310" s="17" t="s">
        <v>19</v>
      </c>
      <c r="D3310" s="18" t="s">
        <v>1851</v>
      </c>
      <c r="E3310" s="18">
        <v>120</v>
      </c>
      <c r="F3310" s="18" t="s">
        <v>30</v>
      </c>
      <c r="G3310" s="18" t="s">
        <v>22</v>
      </c>
      <c r="H3310" s="18" t="s">
        <v>23</v>
      </c>
      <c r="I3310" s="19">
        <v>9.11</v>
      </c>
      <c r="J3310" s="20">
        <f t="shared" si="102"/>
        <v>1093.1999999999998</v>
      </c>
      <c r="K3310" s="106"/>
      <c r="L3310" s="114"/>
      <c r="M3310" s="114">
        <f>tblAquisições[[#This Row],[VALOR UNITARIO COMPRADO]]*tblAquisições[[#This Row],[QUANTIDADE COMPRADA]]</f>
        <v>0</v>
      </c>
      <c r="N3310" s="110">
        <f>K3310-tblAquisições[[#This Row],[QUANTIDADE PLANEJADA]]</f>
        <v>-120</v>
      </c>
      <c r="O3310" s="106" t="str">
        <f t="shared" si="103"/>
        <v>Faltando Comprar</v>
      </c>
    </row>
    <row r="3311" spans="1:15" ht="31.5">
      <c r="A3311" s="16" t="s">
        <v>17</v>
      </c>
      <c r="B3311" s="16" t="s">
        <v>27</v>
      </c>
      <c r="C3311" s="17" t="s">
        <v>19</v>
      </c>
      <c r="D3311" s="18" t="s">
        <v>1851</v>
      </c>
      <c r="E3311" s="18">
        <v>150</v>
      </c>
      <c r="F3311" s="18" t="s">
        <v>30</v>
      </c>
      <c r="G3311" s="18" t="s">
        <v>22</v>
      </c>
      <c r="H3311" s="18" t="s">
        <v>23</v>
      </c>
      <c r="I3311" s="19">
        <v>9.11</v>
      </c>
      <c r="J3311" s="20">
        <f t="shared" si="102"/>
        <v>1366.5</v>
      </c>
      <c r="K3311" s="106"/>
      <c r="L3311" s="114"/>
      <c r="M3311" s="114">
        <f>tblAquisições[[#This Row],[VALOR UNITARIO COMPRADO]]*tblAquisições[[#This Row],[QUANTIDADE COMPRADA]]</f>
        <v>0</v>
      </c>
      <c r="N3311" s="110">
        <f>K3311-tblAquisições[[#This Row],[QUANTIDADE PLANEJADA]]</f>
        <v>-150</v>
      </c>
      <c r="O3311" s="106" t="str">
        <f t="shared" si="103"/>
        <v>Faltando Comprar</v>
      </c>
    </row>
    <row r="3312" spans="1:15" ht="47.25">
      <c r="A3312" s="16" t="s">
        <v>17</v>
      </c>
      <c r="B3312" s="16" t="s">
        <v>28</v>
      </c>
      <c r="C3312" s="17" t="s">
        <v>19</v>
      </c>
      <c r="D3312" s="18" t="s">
        <v>1852</v>
      </c>
      <c r="E3312" s="18">
        <v>30</v>
      </c>
      <c r="F3312" s="18" t="s">
        <v>78</v>
      </c>
      <c r="G3312" s="18" t="s">
        <v>22</v>
      </c>
      <c r="H3312" s="18" t="s">
        <v>23</v>
      </c>
      <c r="I3312" s="19">
        <v>11.36</v>
      </c>
      <c r="J3312" s="20">
        <f t="shared" si="102"/>
        <v>340.79999999999995</v>
      </c>
      <c r="K3312" s="106"/>
      <c r="L3312" s="114"/>
      <c r="M3312" s="114">
        <f>tblAquisições[[#This Row],[VALOR UNITARIO COMPRADO]]*tblAquisições[[#This Row],[QUANTIDADE COMPRADA]]</f>
        <v>0</v>
      </c>
      <c r="N3312" s="110">
        <f>K3312-tblAquisições[[#This Row],[QUANTIDADE PLANEJADA]]</f>
        <v>-30</v>
      </c>
      <c r="O3312" s="106" t="str">
        <f t="shared" si="103"/>
        <v>Faltando Comprar</v>
      </c>
    </row>
    <row r="3313" spans="1:15" ht="31.5">
      <c r="A3313" s="16" t="s">
        <v>17</v>
      </c>
      <c r="B3313" s="16" t="s">
        <v>27</v>
      </c>
      <c r="C3313" s="17" t="s">
        <v>19</v>
      </c>
      <c r="D3313" s="18" t="s">
        <v>1853</v>
      </c>
      <c r="E3313" s="18">
        <v>10</v>
      </c>
      <c r="F3313" s="18" t="s">
        <v>30</v>
      </c>
      <c r="G3313" s="18" t="s">
        <v>22</v>
      </c>
      <c r="H3313" s="18" t="s">
        <v>23</v>
      </c>
      <c r="I3313" s="19">
        <v>31.49</v>
      </c>
      <c r="J3313" s="20">
        <f t="shared" si="102"/>
        <v>314.89999999999998</v>
      </c>
      <c r="K3313" s="106"/>
      <c r="L3313" s="114"/>
      <c r="M3313" s="114">
        <f>tblAquisições[[#This Row],[VALOR UNITARIO COMPRADO]]*tblAquisições[[#This Row],[QUANTIDADE COMPRADA]]</f>
        <v>0</v>
      </c>
      <c r="N3313" s="110">
        <f>K3313-tblAquisições[[#This Row],[QUANTIDADE PLANEJADA]]</f>
        <v>-10</v>
      </c>
      <c r="O3313" s="106" t="str">
        <f t="shared" si="103"/>
        <v>Faltando Comprar</v>
      </c>
    </row>
    <row r="3314" spans="1:15" ht="31.5">
      <c r="A3314" s="16" t="s">
        <v>17</v>
      </c>
      <c r="B3314" s="16" t="s">
        <v>26</v>
      </c>
      <c r="C3314" s="17" t="s">
        <v>19</v>
      </c>
      <c r="D3314" s="18" t="s">
        <v>1854</v>
      </c>
      <c r="E3314" s="18">
        <v>2</v>
      </c>
      <c r="F3314" s="18" t="s">
        <v>21</v>
      </c>
      <c r="G3314" s="18" t="s">
        <v>22</v>
      </c>
      <c r="H3314" s="18" t="s">
        <v>23</v>
      </c>
      <c r="I3314" s="19">
        <v>31.21</v>
      </c>
      <c r="J3314" s="20">
        <f t="shared" si="102"/>
        <v>62.42</v>
      </c>
      <c r="K3314" s="106"/>
      <c r="L3314" s="114"/>
      <c r="M3314" s="114">
        <f>tblAquisições[[#This Row],[VALOR UNITARIO COMPRADO]]*tblAquisições[[#This Row],[QUANTIDADE COMPRADA]]</f>
        <v>0</v>
      </c>
      <c r="N3314" s="110">
        <f>K3314-tblAquisições[[#This Row],[QUANTIDADE PLANEJADA]]</f>
        <v>-2</v>
      </c>
      <c r="O3314" s="106" t="str">
        <f t="shared" si="103"/>
        <v>Faltando Comprar</v>
      </c>
    </row>
    <row r="3315" spans="1:15" ht="47.25">
      <c r="A3315" s="16" t="s">
        <v>17</v>
      </c>
      <c r="B3315" s="16" t="s">
        <v>18</v>
      </c>
      <c r="C3315" s="17" t="s">
        <v>19</v>
      </c>
      <c r="D3315" s="18" t="s">
        <v>1855</v>
      </c>
      <c r="E3315" s="18">
        <v>5</v>
      </c>
      <c r="F3315" s="18" t="s">
        <v>78</v>
      </c>
      <c r="G3315" s="18" t="s">
        <v>22</v>
      </c>
      <c r="H3315" s="18" t="s">
        <v>23</v>
      </c>
      <c r="I3315" s="19">
        <v>37.25</v>
      </c>
      <c r="J3315" s="20">
        <f t="shared" si="102"/>
        <v>186.25</v>
      </c>
      <c r="K3315" s="106"/>
      <c r="L3315" s="114"/>
      <c r="M3315" s="114">
        <f>tblAquisições[[#This Row],[VALOR UNITARIO COMPRADO]]*tblAquisições[[#This Row],[QUANTIDADE COMPRADA]]</f>
        <v>0</v>
      </c>
      <c r="N3315" s="110">
        <f>K3315-tblAquisições[[#This Row],[QUANTIDADE PLANEJADA]]</f>
        <v>-5</v>
      </c>
      <c r="O3315" s="106" t="str">
        <f t="shared" si="103"/>
        <v>Faltando Comprar</v>
      </c>
    </row>
    <row r="3316" spans="1:15" ht="47.25">
      <c r="A3316" s="16" t="s">
        <v>17</v>
      </c>
      <c r="B3316" s="16" t="s">
        <v>24</v>
      </c>
      <c r="C3316" s="17" t="s">
        <v>19</v>
      </c>
      <c r="D3316" s="18" t="s">
        <v>1855</v>
      </c>
      <c r="E3316" s="18">
        <v>5</v>
      </c>
      <c r="F3316" s="18" t="s">
        <v>78</v>
      </c>
      <c r="G3316" s="18" t="s">
        <v>22</v>
      </c>
      <c r="H3316" s="18" t="s">
        <v>23</v>
      </c>
      <c r="I3316" s="19">
        <v>37.25</v>
      </c>
      <c r="J3316" s="20">
        <f t="shared" si="102"/>
        <v>186.25</v>
      </c>
      <c r="K3316" s="106"/>
      <c r="L3316" s="114"/>
      <c r="M3316" s="114">
        <f>tblAquisições[[#This Row],[VALOR UNITARIO COMPRADO]]*tblAquisições[[#This Row],[QUANTIDADE COMPRADA]]</f>
        <v>0</v>
      </c>
      <c r="N3316" s="110">
        <f>K3316-tblAquisições[[#This Row],[QUANTIDADE PLANEJADA]]</f>
        <v>-5</v>
      </c>
      <c r="O3316" s="106" t="str">
        <f t="shared" si="103"/>
        <v>Faltando Comprar</v>
      </c>
    </row>
    <row r="3317" spans="1:15" ht="47.25">
      <c r="A3317" s="16" t="s">
        <v>17</v>
      </c>
      <c r="B3317" s="16" t="s">
        <v>25</v>
      </c>
      <c r="C3317" s="17" t="s">
        <v>19</v>
      </c>
      <c r="D3317" s="18" t="s">
        <v>1855</v>
      </c>
      <c r="E3317" s="18">
        <v>5</v>
      </c>
      <c r="F3317" s="18" t="s">
        <v>78</v>
      </c>
      <c r="G3317" s="18" t="s">
        <v>22</v>
      </c>
      <c r="H3317" s="18" t="s">
        <v>23</v>
      </c>
      <c r="I3317" s="19">
        <v>37.25</v>
      </c>
      <c r="J3317" s="20">
        <f t="shared" si="102"/>
        <v>186.25</v>
      </c>
      <c r="K3317" s="106"/>
      <c r="L3317" s="114"/>
      <c r="M3317" s="114">
        <f>tblAquisições[[#This Row],[VALOR UNITARIO COMPRADO]]*tblAquisições[[#This Row],[QUANTIDADE COMPRADA]]</f>
        <v>0</v>
      </c>
      <c r="N3317" s="110">
        <f>K3317-tblAquisições[[#This Row],[QUANTIDADE PLANEJADA]]</f>
        <v>-5</v>
      </c>
      <c r="O3317" s="106" t="str">
        <f t="shared" si="103"/>
        <v>Faltando Comprar</v>
      </c>
    </row>
    <row r="3318" spans="1:15" ht="47.25">
      <c r="A3318" s="16" t="s">
        <v>17</v>
      </c>
      <c r="B3318" s="16" t="s">
        <v>27</v>
      </c>
      <c r="C3318" s="17" t="s">
        <v>19</v>
      </c>
      <c r="D3318" s="18" t="s">
        <v>1855</v>
      </c>
      <c r="E3318" s="18">
        <v>6</v>
      </c>
      <c r="F3318" s="18" t="s">
        <v>78</v>
      </c>
      <c r="G3318" s="18" t="s">
        <v>22</v>
      </c>
      <c r="H3318" s="18" t="s">
        <v>23</v>
      </c>
      <c r="I3318" s="19">
        <v>37.25</v>
      </c>
      <c r="J3318" s="20">
        <f t="shared" si="102"/>
        <v>223.5</v>
      </c>
      <c r="K3318" s="106"/>
      <c r="L3318" s="114"/>
      <c r="M3318" s="114">
        <f>tblAquisições[[#This Row],[VALOR UNITARIO COMPRADO]]*tblAquisições[[#This Row],[QUANTIDADE COMPRADA]]</f>
        <v>0</v>
      </c>
      <c r="N3318" s="110">
        <f>K3318-tblAquisições[[#This Row],[QUANTIDADE PLANEJADA]]</f>
        <v>-6</v>
      </c>
      <c r="O3318" s="106" t="str">
        <f t="shared" si="103"/>
        <v>Faltando Comprar</v>
      </c>
    </row>
    <row r="3319" spans="1:15" ht="47.25">
      <c r="A3319" s="16" t="s">
        <v>17</v>
      </c>
      <c r="B3319" s="16" t="s">
        <v>28</v>
      </c>
      <c r="C3319" s="17" t="s">
        <v>19</v>
      </c>
      <c r="D3319" s="18" t="s">
        <v>1855</v>
      </c>
      <c r="E3319" s="18">
        <v>33</v>
      </c>
      <c r="F3319" s="18" t="s">
        <v>78</v>
      </c>
      <c r="G3319" s="18" t="s">
        <v>22</v>
      </c>
      <c r="H3319" s="18" t="s">
        <v>23</v>
      </c>
      <c r="I3319" s="19">
        <v>37.25</v>
      </c>
      <c r="J3319" s="20">
        <f t="shared" si="102"/>
        <v>1229.25</v>
      </c>
      <c r="K3319" s="106"/>
      <c r="L3319" s="114"/>
      <c r="M3319" s="114">
        <f>tblAquisições[[#This Row],[VALOR UNITARIO COMPRADO]]*tblAquisições[[#This Row],[QUANTIDADE COMPRADA]]</f>
        <v>0</v>
      </c>
      <c r="N3319" s="110">
        <f>K3319-tblAquisições[[#This Row],[QUANTIDADE PLANEJADA]]</f>
        <v>-33</v>
      </c>
      <c r="O3319" s="106" t="str">
        <f t="shared" si="103"/>
        <v>Faltando Comprar</v>
      </c>
    </row>
    <row r="3320" spans="1:15" ht="47.25">
      <c r="A3320" s="16" t="s">
        <v>17</v>
      </c>
      <c r="B3320" s="16" t="s">
        <v>31</v>
      </c>
      <c r="C3320" s="17" t="s">
        <v>19</v>
      </c>
      <c r="D3320" s="18" t="s">
        <v>1856</v>
      </c>
      <c r="E3320" s="18">
        <v>50</v>
      </c>
      <c r="F3320" s="18" t="s">
        <v>78</v>
      </c>
      <c r="G3320" s="18" t="s">
        <v>22</v>
      </c>
      <c r="H3320" s="18" t="s">
        <v>23</v>
      </c>
      <c r="I3320" s="19">
        <v>3.3</v>
      </c>
      <c r="J3320" s="20">
        <f t="shared" si="102"/>
        <v>165</v>
      </c>
      <c r="K3320" s="106"/>
      <c r="L3320" s="114"/>
      <c r="M3320" s="114">
        <f>tblAquisições[[#This Row],[VALOR UNITARIO COMPRADO]]*tblAquisições[[#This Row],[QUANTIDADE COMPRADA]]</f>
        <v>0</v>
      </c>
      <c r="N3320" s="110">
        <f>K3320-tblAquisições[[#This Row],[QUANTIDADE PLANEJADA]]</f>
        <v>-50</v>
      </c>
      <c r="O3320" s="106" t="str">
        <f t="shared" si="103"/>
        <v>Faltando Comprar</v>
      </c>
    </row>
    <row r="3321" spans="1:15" ht="47.25">
      <c r="A3321" s="16" t="s">
        <v>17</v>
      </c>
      <c r="B3321" s="16" t="s">
        <v>18</v>
      </c>
      <c r="C3321" s="17" t="s">
        <v>19</v>
      </c>
      <c r="D3321" s="18" t="s">
        <v>1856</v>
      </c>
      <c r="E3321" s="18">
        <v>200</v>
      </c>
      <c r="F3321" s="18" t="s">
        <v>78</v>
      </c>
      <c r="G3321" s="18" t="s">
        <v>22</v>
      </c>
      <c r="H3321" s="18" t="s">
        <v>23</v>
      </c>
      <c r="I3321" s="19">
        <v>3.3</v>
      </c>
      <c r="J3321" s="20">
        <f t="shared" si="102"/>
        <v>660</v>
      </c>
      <c r="K3321" s="106"/>
      <c r="L3321" s="114"/>
      <c r="M3321" s="114">
        <f>tblAquisições[[#This Row],[VALOR UNITARIO COMPRADO]]*tblAquisições[[#This Row],[QUANTIDADE COMPRADA]]</f>
        <v>0</v>
      </c>
      <c r="N3321" s="110">
        <f>K3321-tblAquisições[[#This Row],[QUANTIDADE PLANEJADA]]</f>
        <v>-200</v>
      </c>
      <c r="O3321" s="106" t="str">
        <f t="shared" si="103"/>
        <v>Faltando Comprar</v>
      </c>
    </row>
    <row r="3322" spans="1:15" ht="47.25">
      <c r="A3322" s="16" t="s">
        <v>17</v>
      </c>
      <c r="B3322" s="16" t="s">
        <v>24</v>
      </c>
      <c r="C3322" s="17" t="s">
        <v>19</v>
      </c>
      <c r="D3322" s="18" t="s">
        <v>1856</v>
      </c>
      <c r="E3322" s="18">
        <v>200</v>
      </c>
      <c r="F3322" s="18" t="s">
        <v>78</v>
      </c>
      <c r="G3322" s="18" t="s">
        <v>22</v>
      </c>
      <c r="H3322" s="18" t="s">
        <v>23</v>
      </c>
      <c r="I3322" s="19">
        <v>3.3</v>
      </c>
      <c r="J3322" s="20">
        <f t="shared" si="102"/>
        <v>660</v>
      </c>
      <c r="K3322" s="106"/>
      <c r="L3322" s="114"/>
      <c r="M3322" s="114">
        <f>tblAquisições[[#This Row],[VALOR UNITARIO COMPRADO]]*tblAquisições[[#This Row],[QUANTIDADE COMPRADA]]</f>
        <v>0</v>
      </c>
      <c r="N3322" s="110">
        <f>K3322-tblAquisições[[#This Row],[QUANTIDADE PLANEJADA]]</f>
        <v>-200</v>
      </c>
      <c r="O3322" s="106" t="str">
        <f t="shared" si="103"/>
        <v>Faltando Comprar</v>
      </c>
    </row>
    <row r="3323" spans="1:15" ht="47.25">
      <c r="A3323" s="16" t="s">
        <v>17</v>
      </c>
      <c r="B3323" s="16" t="s">
        <v>25</v>
      </c>
      <c r="C3323" s="17" t="s">
        <v>19</v>
      </c>
      <c r="D3323" s="18" t="s">
        <v>1856</v>
      </c>
      <c r="E3323" s="18">
        <v>200</v>
      </c>
      <c r="F3323" s="18" t="s">
        <v>78</v>
      </c>
      <c r="G3323" s="18" t="s">
        <v>22</v>
      </c>
      <c r="H3323" s="18" t="s">
        <v>23</v>
      </c>
      <c r="I3323" s="19">
        <v>3.3</v>
      </c>
      <c r="J3323" s="20">
        <f t="shared" si="102"/>
        <v>660</v>
      </c>
      <c r="K3323" s="106"/>
      <c r="L3323" s="114"/>
      <c r="M3323" s="114">
        <f>tblAquisições[[#This Row],[VALOR UNITARIO COMPRADO]]*tblAquisições[[#This Row],[QUANTIDADE COMPRADA]]</f>
        <v>0</v>
      </c>
      <c r="N3323" s="110">
        <f>K3323-tblAquisições[[#This Row],[QUANTIDADE PLANEJADA]]</f>
        <v>-200</v>
      </c>
      <c r="O3323" s="106" t="str">
        <f t="shared" si="103"/>
        <v>Faltando Comprar</v>
      </c>
    </row>
    <row r="3324" spans="1:15" ht="47.25">
      <c r="A3324" s="16" t="s">
        <v>17</v>
      </c>
      <c r="B3324" s="16" t="s">
        <v>28</v>
      </c>
      <c r="C3324" s="17" t="s">
        <v>19</v>
      </c>
      <c r="D3324" s="18" t="s">
        <v>1856</v>
      </c>
      <c r="E3324" s="18">
        <v>24</v>
      </c>
      <c r="F3324" s="18" t="s">
        <v>78</v>
      </c>
      <c r="G3324" s="18" t="s">
        <v>22</v>
      </c>
      <c r="H3324" s="18" t="s">
        <v>53</v>
      </c>
      <c r="I3324" s="19">
        <v>3.3</v>
      </c>
      <c r="J3324" s="20">
        <f t="shared" si="102"/>
        <v>79.199999999999989</v>
      </c>
      <c r="K3324" s="106"/>
      <c r="L3324" s="114"/>
      <c r="M3324" s="114">
        <f>tblAquisições[[#This Row],[VALOR UNITARIO COMPRADO]]*tblAquisições[[#This Row],[QUANTIDADE COMPRADA]]</f>
        <v>0</v>
      </c>
      <c r="N3324" s="110">
        <f>K3324-tblAquisições[[#This Row],[QUANTIDADE PLANEJADA]]</f>
        <v>-24</v>
      </c>
      <c r="O3324" s="106" t="str">
        <f t="shared" si="103"/>
        <v>Faltando Comprar</v>
      </c>
    </row>
    <row r="3325" spans="1:15" ht="47.25">
      <c r="A3325" s="16" t="s">
        <v>17</v>
      </c>
      <c r="B3325" s="16" t="s">
        <v>80</v>
      </c>
      <c r="C3325" s="17" t="s">
        <v>19</v>
      </c>
      <c r="D3325" s="18" t="s">
        <v>1857</v>
      </c>
      <c r="E3325" s="18">
        <v>6</v>
      </c>
      <c r="F3325" s="18" t="s">
        <v>147</v>
      </c>
      <c r="G3325" s="18" t="s">
        <v>39</v>
      </c>
      <c r="H3325" s="18" t="s">
        <v>100</v>
      </c>
      <c r="I3325" s="19">
        <v>39.869999999999997</v>
      </c>
      <c r="J3325" s="20">
        <f t="shared" si="102"/>
        <v>239.21999999999997</v>
      </c>
      <c r="K3325" s="106"/>
      <c r="L3325" s="114"/>
      <c r="M3325" s="114">
        <f>tblAquisições[[#This Row],[VALOR UNITARIO COMPRADO]]*tblAquisições[[#This Row],[QUANTIDADE COMPRADA]]</f>
        <v>0</v>
      </c>
      <c r="N3325" s="110">
        <f>K3325-tblAquisições[[#This Row],[QUANTIDADE PLANEJADA]]</f>
        <v>-6</v>
      </c>
      <c r="O3325" s="106" t="str">
        <f t="shared" si="103"/>
        <v>Faltando Comprar</v>
      </c>
    </row>
    <row r="3326" spans="1:15" ht="47.25">
      <c r="A3326" s="16" t="s">
        <v>17</v>
      </c>
      <c r="B3326" s="16" t="s">
        <v>18</v>
      </c>
      <c r="C3326" s="17" t="s">
        <v>19</v>
      </c>
      <c r="D3326" s="18" t="s">
        <v>1858</v>
      </c>
      <c r="E3326" s="18">
        <v>10</v>
      </c>
      <c r="F3326" s="18" t="s">
        <v>78</v>
      </c>
      <c r="G3326" s="18" t="s">
        <v>22</v>
      </c>
      <c r="H3326" s="18" t="s">
        <v>23</v>
      </c>
      <c r="I3326" s="19">
        <v>73.34</v>
      </c>
      <c r="J3326" s="20">
        <f t="shared" si="102"/>
        <v>733.40000000000009</v>
      </c>
      <c r="K3326" s="106"/>
      <c r="L3326" s="114"/>
      <c r="M3326" s="114">
        <f>tblAquisições[[#This Row],[VALOR UNITARIO COMPRADO]]*tblAquisições[[#This Row],[QUANTIDADE COMPRADA]]</f>
        <v>0</v>
      </c>
      <c r="N3326" s="110">
        <f>K3326-tblAquisições[[#This Row],[QUANTIDADE PLANEJADA]]</f>
        <v>-10</v>
      </c>
      <c r="O3326" s="106" t="str">
        <f t="shared" si="103"/>
        <v>Faltando Comprar</v>
      </c>
    </row>
    <row r="3327" spans="1:15" ht="47.25">
      <c r="A3327" s="16" t="s">
        <v>17</v>
      </c>
      <c r="B3327" s="16" t="s">
        <v>24</v>
      </c>
      <c r="C3327" s="17" t="s">
        <v>19</v>
      </c>
      <c r="D3327" s="18" t="s">
        <v>1858</v>
      </c>
      <c r="E3327" s="18">
        <v>10</v>
      </c>
      <c r="F3327" s="18" t="s">
        <v>78</v>
      </c>
      <c r="G3327" s="18" t="s">
        <v>22</v>
      </c>
      <c r="H3327" s="18" t="s">
        <v>23</v>
      </c>
      <c r="I3327" s="19">
        <v>73.34</v>
      </c>
      <c r="J3327" s="20">
        <f t="shared" si="102"/>
        <v>733.40000000000009</v>
      </c>
      <c r="K3327" s="106"/>
      <c r="L3327" s="114"/>
      <c r="M3327" s="114">
        <f>tblAquisições[[#This Row],[VALOR UNITARIO COMPRADO]]*tblAquisições[[#This Row],[QUANTIDADE COMPRADA]]</f>
        <v>0</v>
      </c>
      <c r="N3327" s="110">
        <f>K3327-tblAquisições[[#This Row],[QUANTIDADE PLANEJADA]]</f>
        <v>-10</v>
      </c>
      <c r="O3327" s="106" t="str">
        <f t="shared" si="103"/>
        <v>Faltando Comprar</v>
      </c>
    </row>
    <row r="3328" spans="1:15" ht="47.25">
      <c r="A3328" s="16" t="s">
        <v>17</v>
      </c>
      <c r="B3328" s="16" t="s">
        <v>26</v>
      </c>
      <c r="C3328" s="17" t="s">
        <v>19</v>
      </c>
      <c r="D3328" s="18" t="s">
        <v>1859</v>
      </c>
      <c r="E3328" s="18">
        <v>2</v>
      </c>
      <c r="F3328" s="18" t="s">
        <v>78</v>
      </c>
      <c r="G3328" s="18" t="s">
        <v>22</v>
      </c>
      <c r="H3328" s="18" t="s">
        <v>23</v>
      </c>
      <c r="I3328" s="19">
        <v>33.630000000000003</v>
      </c>
      <c r="J3328" s="20">
        <f t="shared" si="102"/>
        <v>67.260000000000005</v>
      </c>
      <c r="K3328" s="106"/>
      <c r="L3328" s="114"/>
      <c r="M3328" s="114">
        <f>tblAquisições[[#This Row],[VALOR UNITARIO COMPRADO]]*tblAquisições[[#This Row],[QUANTIDADE COMPRADA]]</f>
        <v>0</v>
      </c>
      <c r="N3328" s="110">
        <f>K3328-tblAquisições[[#This Row],[QUANTIDADE PLANEJADA]]</f>
        <v>-2</v>
      </c>
      <c r="O3328" s="106" t="str">
        <f t="shared" si="103"/>
        <v>Faltando Comprar</v>
      </c>
    </row>
    <row r="3329" spans="1:15" ht="47.25">
      <c r="A3329" s="16" t="s">
        <v>17</v>
      </c>
      <c r="B3329" s="16" t="s">
        <v>80</v>
      </c>
      <c r="C3329" s="17" t="s">
        <v>19</v>
      </c>
      <c r="D3329" s="18" t="s">
        <v>1860</v>
      </c>
      <c r="E3329" s="18">
        <v>1</v>
      </c>
      <c r="F3329" s="18" t="s">
        <v>147</v>
      </c>
      <c r="G3329" s="18" t="s">
        <v>39</v>
      </c>
      <c r="H3329" s="18" t="s">
        <v>23</v>
      </c>
      <c r="I3329" s="19">
        <v>438.23</v>
      </c>
      <c r="J3329" s="20">
        <f t="shared" si="102"/>
        <v>438.23</v>
      </c>
      <c r="K3329" s="106"/>
      <c r="L3329" s="114"/>
      <c r="M3329" s="114">
        <f>tblAquisições[[#This Row],[VALOR UNITARIO COMPRADO]]*tblAquisições[[#This Row],[QUANTIDADE COMPRADA]]</f>
        <v>0</v>
      </c>
      <c r="N3329" s="110">
        <f>K3329-tblAquisições[[#This Row],[QUANTIDADE PLANEJADA]]</f>
        <v>-1</v>
      </c>
      <c r="O3329" s="106" t="str">
        <f t="shared" si="103"/>
        <v>Faltando Comprar</v>
      </c>
    </row>
    <row r="3330" spans="1:15" ht="31.5">
      <c r="A3330" s="16" t="s">
        <v>17</v>
      </c>
      <c r="B3330" s="16" t="s">
        <v>80</v>
      </c>
      <c r="C3330" s="17" t="s">
        <v>19</v>
      </c>
      <c r="D3330" s="18" t="s">
        <v>1861</v>
      </c>
      <c r="E3330" s="18">
        <v>6</v>
      </c>
      <c r="F3330" s="18" t="s">
        <v>38</v>
      </c>
      <c r="G3330" s="18" t="s">
        <v>39</v>
      </c>
      <c r="H3330" s="18" t="s">
        <v>23</v>
      </c>
      <c r="I3330" s="19">
        <v>194.69</v>
      </c>
      <c r="J3330" s="20">
        <f t="shared" ref="J3330:J3393" si="104">E3330*I3330</f>
        <v>1168.1399999999999</v>
      </c>
      <c r="K3330" s="106"/>
      <c r="L3330" s="114"/>
      <c r="M3330" s="114">
        <f>tblAquisições[[#This Row],[VALOR UNITARIO COMPRADO]]*tblAquisições[[#This Row],[QUANTIDADE COMPRADA]]</f>
        <v>0</v>
      </c>
      <c r="N3330" s="110">
        <f>K3330-tblAquisições[[#This Row],[QUANTIDADE PLANEJADA]]</f>
        <v>-6</v>
      </c>
      <c r="O3330" s="106" t="str">
        <f t="shared" ref="O3330:O3393" si="105">IF(K3330=E3330,"OK",IF(K3330&lt;E3330,"Faltando Comprar","Excedente"))</f>
        <v>Faltando Comprar</v>
      </c>
    </row>
    <row r="3331" spans="1:15" ht="31.5">
      <c r="A3331" s="16" t="s">
        <v>17</v>
      </c>
      <c r="B3331" s="16" t="s">
        <v>26</v>
      </c>
      <c r="C3331" s="17" t="s">
        <v>19</v>
      </c>
      <c r="D3331" s="18" t="s">
        <v>1862</v>
      </c>
      <c r="E3331" s="18">
        <v>30</v>
      </c>
      <c r="F3331" s="18" t="s">
        <v>30</v>
      </c>
      <c r="G3331" s="18" t="s">
        <v>22</v>
      </c>
      <c r="H3331" s="18" t="s">
        <v>23</v>
      </c>
      <c r="I3331" s="19">
        <v>20.93</v>
      </c>
      <c r="J3331" s="20">
        <f t="shared" si="104"/>
        <v>627.9</v>
      </c>
      <c r="K3331" s="106"/>
      <c r="L3331" s="114"/>
      <c r="M3331" s="114">
        <f>tblAquisições[[#This Row],[VALOR UNITARIO COMPRADO]]*tblAquisições[[#This Row],[QUANTIDADE COMPRADA]]</f>
        <v>0</v>
      </c>
      <c r="N3331" s="110">
        <f>K3331-tblAquisições[[#This Row],[QUANTIDADE PLANEJADA]]</f>
        <v>-30</v>
      </c>
      <c r="O3331" s="106" t="str">
        <f t="shared" si="105"/>
        <v>Faltando Comprar</v>
      </c>
    </row>
    <row r="3332" spans="1:15" ht="31.5">
      <c r="A3332" s="16" t="s">
        <v>17</v>
      </c>
      <c r="B3332" s="16" t="s">
        <v>18</v>
      </c>
      <c r="C3332" s="17" t="s">
        <v>19</v>
      </c>
      <c r="D3332" s="18" t="s">
        <v>1863</v>
      </c>
      <c r="E3332" s="18">
        <v>20</v>
      </c>
      <c r="F3332" s="18" t="s">
        <v>30</v>
      </c>
      <c r="G3332" s="18" t="s">
        <v>22</v>
      </c>
      <c r="H3332" s="18" t="s">
        <v>23</v>
      </c>
      <c r="I3332" s="19">
        <v>50</v>
      </c>
      <c r="J3332" s="20">
        <f t="shared" si="104"/>
        <v>1000</v>
      </c>
      <c r="K3332" s="106"/>
      <c r="L3332" s="114"/>
      <c r="M3332" s="114">
        <f>tblAquisições[[#This Row],[VALOR UNITARIO COMPRADO]]*tblAquisições[[#This Row],[QUANTIDADE COMPRADA]]</f>
        <v>0</v>
      </c>
      <c r="N3332" s="110">
        <f>K3332-tblAquisições[[#This Row],[QUANTIDADE PLANEJADA]]</f>
        <v>-20</v>
      </c>
      <c r="O3332" s="106" t="str">
        <f t="shared" si="105"/>
        <v>Faltando Comprar</v>
      </c>
    </row>
    <row r="3333" spans="1:15" ht="31.5">
      <c r="A3333" s="16" t="s">
        <v>17</v>
      </c>
      <c r="B3333" s="16" t="s">
        <v>24</v>
      </c>
      <c r="C3333" s="17" t="s">
        <v>19</v>
      </c>
      <c r="D3333" s="18" t="s">
        <v>1863</v>
      </c>
      <c r="E3333" s="18">
        <v>20</v>
      </c>
      <c r="F3333" s="18" t="s">
        <v>30</v>
      </c>
      <c r="G3333" s="18" t="s">
        <v>22</v>
      </c>
      <c r="H3333" s="18" t="s">
        <v>23</v>
      </c>
      <c r="I3333" s="19">
        <v>50</v>
      </c>
      <c r="J3333" s="20">
        <f t="shared" si="104"/>
        <v>1000</v>
      </c>
      <c r="K3333" s="106"/>
      <c r="L3333" s="114"/>
      <c r="M3333" s="114">
        <f>tblAquisições[[#This Row],[VALOR UNITARIO COMPRADO]]*tblAquisições[[#This Row],[QUANTIDADE COMPRADA]]</f>
        <v>0</v>
      </c>
      <c r="N3333" s="110">
        <f>K3333-tblAquisições[[#This Row],[QUANTIDADE PLANEJADA]]</f>
        <v>-20</v>
      </c>
      <c r="O3333" s="106" t="str">
        <f t="shared" si="105"/>
        <v>Faltando Comprar</v>
      </c>
    </row>
    <row r="3334" spans="1:15" ht="31.5">
      <c r="A3334" s="16" t="s">
        <v>17</v>
      </c>
      <c r="B3334" s="16" t="s">
        <v>25</v>
      </c>
      <c r="C3334" s="17" t="s">
        <v>19</v>
      </c>
      <c r="D3334" s="18" t="s">
        <v>1863</v>
      </c>
      <c r="E3334" s="18">
        <v>20</v>
      </c>
      <c r="F3334" s="18" t="s">
        <v>30</v>
      </c>
      <c r="G3334" s="18" t="s">
        <v>22</v>
      </c>
      <c r="H3334" s="18" t="s">
        <v>23</v>
      </c>
      <c r="I3334" s="19">
        <v>50</v>
      </c>
      <c r="J3334" s="20">
        <f t="shared" si="104"/>
        <v>1000</v>
      </c>
      <c r="K3334" s="106"/>
      <c r="L3334" s="114"/>
      <c r="M3334" s="114">
        <f>tblAquisições[[#This Row],[VALOR UNITARIO COMPRADO]]*tblAquisições[[#This Row],[QUANTIDADE COMPRADA]]</f>
        <v>0</v>
      </c>
      <c r="N3334" s="110">
        <f>K3334-tblAquisições[[#This Row],[QUANTIDADE PLANEJADA]]</f>
        <v>-20</v>
      </c>
      <c r="O3334" s="106" t="str">
        <f t="shared" si="105"/>
        <v>Faltando Comprar</v>
      </c>
    </row>
    <row r="3335" spans="1:15" ht="31.5">
      <c r="A3335" s="16" t="s">
        <v>17</v>
      </c>
      <c r="B3335" s="16" t="s">
        <v>27</v>
      </c>
      <c r="C3335" s="17" t="s">
        <v>19</v>
      </c>
      <c r="D3335" s="18" t="s">
        <v>1863</v>
      </c>
      <c r="E3335" s="18">
        <v>30</v>
      </c>
      <c r="F3335" s="18" t="s">
        <v>30</v>
      </c>
      <c r="G3335" s="18" t="s">
        <v>22</v>
      </c>
      <c r="H3335" s="18" t="s">
        <v>23</v>
      </c>
      <c r="I3335" s="19">
        <v>50</v>
      </c>
      <c r="J3335" s="20">
        <f t="shared" si="104"/>
        <v>1500</v>
      </c>
      <c r="K3335" s="106"/>
      <c r="L3335" s="114"/>
      <c r="M3335" s="114">
        <f>tblAquisições[[#This Row],[VALOR UNITARIO COMPRADO]]*tblAquisições[[#This Row],[QUANTIDADE COMPRADA]]</f>
        <v>0</v>
      </c>
      <c r="N3335" s="110">
        <f>K3335-tblAquisições[[#This Row],[QUANTIDADE PLANEJADA]]</f>
        <v>-30</v>
      </c>
      <c r="O3335" s="106" t="str">
        <f t="shared" si="105"/>
        <v>Faltando Comprar</v>
      </c>
    </row>
    <row r="3336" spans="1:15" ht="31.5">
      <c r="A3336" s="16" t="s">
        <v>17</v>
      </c>
      <c r="B3336" s="16" t="s">
        <v>31</v>
      </c>
      <c r="C3336" s="17" t="s">
        <v>19</v>
      </c>
      <c r="D3336" s="18" t="s">
        <v>1864</v>
      </c>
      <c r="E3336" s="18">
        <v>20</v>
      </c>
      <c r="F3336" s="18" t="s">
        <v>21</v>
      </c>
      <c r="G3336" s="18" t="s">
        <v>22</v>
      </c>
      <c r="H3336" s="18" t="s">
        <v>23</v>
      </c>
      <c r="I3336" s="19">
        <v>5.0599999999999996</v>
      </c>
      <c r="J3336" s="20">
        <f t="shared" si="104"/>
        <v>101.19999999999999</v>
      </c>
      <c r="K3336" s="106"/>
      <c r="L3336" s="114"/>
      <c r="M3336" s="114">
        <f>tblAquisições[[#This Row],[VALOR UNITARIO COMPRADO]]*tblAquisições[[#This Row],[QUANTIDADE COMPRADA]]</f>
        <v>0</v>
      </c>
      <c r="N3336" s="110">
        <f>K3336-tblAquisições[[#This Row],[QUANTIDADE PLANEJADA]]</f>
        <v>-20</v>
      </c>
      <c r="O3336" s="106" t="str">
        <f t="shared" si="105"/>
        <v>Faltando Comprar</v>
      </c>
    </row>
    <row r="3337" spans="1:15" ht="31.5">
      <c r="A3337" s="16" t="s">
        <v>17</v>
      </c>
      <c r="B3337" s="16" t="s">
        <v>28</v>
      </c>
      <c r="C3337" s="17" t="s">
        <v>19</v>
      </c>
      <c r="D3337" s="18" t="s">
        <v>1865</v>
      </c>
      <c r="E3337" s="18">
        <v>80</v>
      </c>
      <c r="F3337" s="18" t="s">
        <v>21</v>
      </c>
      <c r="G3337" s="18" t="s">
        <v>22</v>
      </c>
      <c r="H3337" s="18" t="s">
        <v>23</v>
      </c>
      <c r="I3337" s="19">
        <v>3.67</v>
      </c>
      <c r="J3337" s="20">
        <f t="shared" si="104"/>
        <v>293.60000000000002</v>
      </c>
      <c r="K3337" s="106"/>
      <c r="L3337" s="114"/>
      <c r="M3337" s="114">
        <f>tblAquisições[[#This Row],[VALOR UNITARIO COMPRADO]]*tblAquisições[[#This Row],[QUANTIDADE COMPRADA]]</f>
        <v>0</v>
      </c>
      <c r="N3337" s="110">
        <f>K3337-tblAquisições[[#This Row],[QUANTIDADE PLANEJADA]]</f>
        <v>-80</v>
      </c>
      <c r="O3337" s="106" t="str">
        <f t="shared" si="105"/>
        <v>Faltando Comprar</v>
      </c>
    </row>
    <row r="3338" spans="1:15" ht="47.25">
      <c r="A3338" s="16" t="s">
        <v>17</v>
      </c>
      <c r="B3338" s="16" t="s">
        <v>31</v>
      </c>
      <c r="C3338" s="17" t="s">
        <v>19</v>
      </c>
      <c r="D3338" s="18" t="s">
        <v>1866</v>
      </c>
      <c r="E3338" s="18">
        <v>10</v>
      </c>
      <c r="F3338" s="18" t="s">
        <v>78</v>
      </c>
      <c r="G3338" s="18" t="s">
        <v>22</v>
      </c>
      <c r="H3338" s="18" t="s">
        <v>23</v>
      </c>
      <c r="I3338" s="19">
        <v>80.17</v>
      </c>
      <c r="J3338" s="20">
        <f t="shared" si="104"/>
        <v>801.7</v>
      </c>
      <c r="K3338" s="106"/>
      <c r="L3338" s="114"/>
      <c r="M3338" s="114">
        <f>tblAquisições[[#This Row],[VALOR UNITARIO COMPRADO]]*tblAquisições[[#This Row],[QUANTIDADE COMPRADA]]</f>
        <v>0</v>
      </c>
      <c r="N3338" s="110">
        <f>K3338-tblAquisições[[#This Row],[QUANTIDADE PLANEJADA]]</f>
        <v>-10</v>
      </c>
      <c r="O3338" s="106" t="str">
        <f t="shared" si="105"/>
        <v>Faltando Comprar</v>
      </c>
    </row>
    <row r="3339" spans="1:15" ht="47.25">
      <c r="A3339" s="16" t="s">
        <v>17</v>
      </c>
      <c r="B3339" s="16" t="s">
        <v>26</v>
      </c>
      <c r="C3339" s="17" t="s">
        <v>19</v>
      </c>
      <c r="D3339" s="18" t="s">
        <v>1866</v>
      </c>
      <c r="E3339" s="18">
        <v>10</v>
      </c>
      <c r="F3339" s="18" t="s">
        <v>78</v>
      </c>
      <c r="G3339" s="18" t="s">
        <v>22</v>
      </c>
      <c r="H3339" s="18" t="s">
        <v>23</v>
      </c>
      <c r="I3339" s="19">
        <v>80.17</v>
      </c>
      <c r="J3339" s="20">
        <f t="shared" si="104"/>
        <v>801.7</v>
      </c>
      <c r="K3339" s="106"/>
      <c r="L3339" s="114"/>
      <c r="M3339" s="114">
        <f>tblAquisições[[#This Row],[VALOR UNITARIO COMPRADO]]*tblAquisições[[#This Row],[QUANTIDADE COMPRADA]]</f>
        <v>0</v>
      </c>
      <c r="N3339" s="110">
        <f>K3339-tblAquisições[[#This Row],[QUANTIDADE PLANEJADA]]</f>
        <v>-10</v>
      </c>
      <c r="O3339" s="106" t="str">
        <f t="shared" si="105"/>
        <v>Faltando Comprar</v>
      </c>
    </row>
    <row r="3340" spans="1:15" ht="31.5">
      <c r="A3340" s="16" t="s">
        <v>17</v>
      </c>
      <c r="B3340" s="16" t="s">
        <v>26</v>
      </c>
      <c r="C3340" s="17" t="s">
        <v>19</v>
      </c>
      <c r="D3340" s="18" t="s">
        <v>1867</v>
      </c>
      <c r="E3340" s="18">
        <v>300</v>
      </c>
      <c r="F3340" s="18" t="s">
        <v>30</v>
      </c>
      <c r="G3340" s="18" t="s">
        <v>22</v>
      </c>
      <c r="H3340" s="18" t="s">
        <v>83</v>
      </c>
      <c r="I3340" s="19">
        <v>13.83</v>
      </c>
      <c r="J3340" s="20">
        <f t="shared" si="104"/>
        <v>4149</v>
      </c>
      <c r="K3340" s="106"/>
      <c r="L3340" s="114"/>
      <c r="M3340" s="114">
        <f>tblAquisições[[#This Row],[VALOR UNITARIO COMPRADO]]*tblAquisições[[#This Row],[QUANTIDADE COMPRADA]]</f>
        <v>0</v>
      </c>
      <c r="N3340" s="110">
        <f>K3340-tblAquisições[[#This Row],[QUANTIDADE PLANEJADA]]</f>
        <v>-300</v>
      </c>
      <c r="O3340" s="106" t="str">
        <f t="shared" si="105"/>
        <v>Faltando Comprar</v>
      </c>
    </row>
    <row r="3341" spans="1:15" ht="47.25">
      <c r="A3341" s="16" t="s">
        <v>17</v>
      </c>
      <c r="B3341" s="16" t="s">
        <v>80</v>
      </c>
      <c r="C3341" s="17" t="s">
        <v>19</v>
      </c>
      <c r="D3341" s="18" t="s">
        <v>1868</v>
      </c>
      <c r="E3341" s="18">
        <v>40</v>
      </c>
      <c r="F3341" s="18" t="s">
        <v>38</v>
      </c>
      <c r="G3341" s="18" t="s">
        <v>39</v>
      </c>
      <c r="H3341" s="18" t="s">
        <v>23</v>
      </c>
      <c r="I3341" s="19">
        <v>13.82</v>
      </c>
      <c r="J3341" s="20">
        <f t="shared" si="104"/>
        <v>552.79999999999995</v>
      </c>
      <c r="K3341" s="106"/>
      <c r="L3341" s="114"/>
      <c r="M3341" s="114">
        <f>tblAquisições[[#This Row],[VALOR UNITARIO COMPRADO]]*tblAquisições[[#This Row],[QUANTIDADE COMPRADA]]</f>
        <v>0</v>
      </c>
      <c r="N3341" s="110">
        <f>K3341-tblAquisições[[#This Row],[QUANTIDADE PLANEJADA]]</f>
        <v>-40</v>
      </c>
      <c r="O3341" s="106" t="str">
        <f t="shared" si="105"/>
        <v>Faltando Comprar</v>
      </c>
    </row>
    <row r="3342" spans="1:15" ht="47.25">
      <c r="A3342" s="16" t="s">
        <v>17</v>
      </c>
      <c r="B3342" s="16" t="s">
        <v>26</v>
      </c>
      <c r="C3342" s="17" t="s">
        <v>19</v>
      </c>
      <c r="D3342" s="18" t="s">
        <v>1869</v>
      </c>
      <c r="E3342" s="18">
        <v>100</v>
      </c>
      <c r="F3342" s="18" t="s">
        <v>21</v>
      </c>
      <c r="G3342" s="18" t="s">
        <v>22</v>
      </c>
      <c r="H3342" s="18" t="s">
        <v>23</v>
      </c>
      <c r="I3342" s="19">
        <v>13.82</v>
      </c>
      <c r="J3342" s="20">
        <f t="shared" si="104"/>
        <v>1382</v>
      </c>
      <c r="K3342" s="106"/>
      <c r="L3342" s="114"/>
      <c r="M3342" s="114">
        <f>tblAquisições[[#This Row],[VALOR UNITARIO COMPRADO]]*tblAquisições[[#This Row],[QUANTIDADE COMPRADA]]</f>
        <v>0</v>
      </c>
      <c r="N3342" s="110">
        <f>K3342-tblAquisições[[#This Row],[QUANTIDADE PLANEJADA]]</f>
        <v>-100</v>
      </c>
      <c r="O3342" s="106" t="str">
        <f t="shared" si="105"/>
        <v>Faltando Comprar</v>
      </c>
    </row>
    <row r="3343" spans="1:15" ht="31.5">
      <c r="A3343" s="16" t="s">
        <v>17</v>
      </c>
      <c r="B3343" s="16" t="s">
        <v>31</v>
      </c>
      <c r="C3343" s="17" t="s">
        <v>19</v>
      </c>
      <c r="D3343" s="18" t="s">
        <v>1870</v>
      </c>
      <c r="E3343" s="18">
        <v>50</v>
      </c>
      <c r="F3343" s="18" t="s">
        <v>21</v>
      </c>
      <c r="G3343" s="18" t="s">
        <v>22</v>
      </c>
      <c r="H3343" s="18" t="s">
        <v>23</v>
      </c>
      <c r="I3343" s="19">
        <v>9.8450000000000006</v>
      </c>
      <c r="J3343" s="20">
        <f t="shared" si="104"/>
        <v>492.25000000000006</v>
      </c>
      <c r="K3343" s="106"/>
      <c r="L3343" s="114"/>
      <c r="M3343" s="114">
        <f>tblAquisições[[#This Row],[VALOR UNITARIO COMPRADO]]*tblAquisições[[#This Row],[QUANTIDADE COMPRADA]]</f>
        <v>0</v>
      </c>
      <c r="N3343" s="110">
        <f>K3343-tblAquisições[[#This Row],[QUANTIDADE PLANEJADA]]</f>
        <v>-50</v>
      </c>
      <c r="O3343" s="106" t="str">
        <f t="shared" si="105"/>
        <v>Faltando Comprar</v>
      </c>
    </row>
    <row r="3344" spans="1:15" ht="31.5">
      <c r="A3344" s="16" t="s">
        <v>17</v>
      </c>
      <c r="B3344" s="16" t="s">
        <v>31</v>
      </c>
      <c r="C3344" s="17" t="s">
        <v>19</v>
      </c>
      <c r="D3344" s="18" t="s">
        <v>1871</v>
      </c>
      <c r="E3344" s="18">
        <v>50</v>
      </c>
      <c r="F3344" s="18" t="s">
        <v>21</v>
      </c>
      <c r="G3344" s="18" t="s">
        <v>22</v>
      </c>
      <c r="H3344" s="18" t="s">
        <v>23</v>
      </c>
      <c r="I3344" s="19">
        <v>31.29</v>
      </c>
      <c r="J3344" s="20">
        <f t="shared" si="104"/>
        <v>1564.5</v>
      </c>
      <c r="K3344" s="106"/>
      <c r="L3344" s="114"/>
      <c r="M3344" s="114">
        <f>tblAquisições[[#This Row],[VALOR UNITARIO COMPRADO]]*tblAquisições[[#This Row],[QUANTIDADE COMPRADA]]</f>
        <v>0</v>
      </c>
      <c r="N3344" s="110">
        <f>K3344-tblAquisições[[#This Row],[QUANTIDADE PLANEJADA]]</f>
        <v>-50</v>
      </c>
      <c r="O3344" s="106" t="str">
        <f t="shared" si="105"/>
        <v>Faltando Comprar</v>
      </c>
    </row>
    <row r="3345" spans="1:15" ht="31.5">
      <c r="A3345" s="16" t="s">
        <v>17</v>
      </c>
      <c r="B3345" s="16" t="s">
        <v>31</v>
      </c>
      <c r="C3345" s="17" t="s">
        <v>19</v>
      </c>
      <c r="D3345" s="18" t="s">
        <v>1872</v>
      </c>
      <c r="E3345" s="18">
        <v>50</v>
      </c>
      <c r="F3345" s="18" t="s">
        <v>21</v>
      </c>
      <c r="G3345" s="18" t="s">
        <v>22</v>
      </c>
      <c r="H3345" s="18" t="s">
        <v>23</v>
      </c>
      <c r="I3345" s="19">
        <v>113.87</v>
      </c>
      <c r="J3345" s="20">
        <f t="shared" si="104"/>
        <v>5693.5</v>
      </c>
      <c r="K3345" s="106"/>
      <c r="L3345" s="114"/>
      <c r="M3345" s="114">
        <f>tblAquisições[[#This Row],[VALOR UNITARIO COMPRADO]]*tblAquisições[[#This Row],[QUANTIDADE COMPRADA]]</f>
        <v>0</v>
      </c>
      <c r="N3345" s="110">
        <f>K3345-tblAquisições[[#This Row],[QUANTIDADE PLANEJADA]]</f>
        <v>-50</v>
      </c>
      <c r="O3345" s="106" t="str">
        <f t="shared" si="105"/>
        <v>Faltando Comprar</v>
      </c>
    </row>
    <row r="3346" spans="1:15" ht="31.5">
      <c r="A3346" s="16" t="s">
        <v>17</v>
      </c>
      <c r="B3346" s="16" t="s">
        <v>31</v>
      </c>
      <c r="C3346" s="17" t="s">
        <v>19</v>
      </c>
      <c r="D3346" s="18" t="s">
        <v>1873</v>
      </c>
      <c r="E3346" s="18">
        <v>50</v>
      </c>
      <c r="F3346" s="18" t="s">
        <v>21</v>
      </c>
      <c r="G3346" s="18" t="s">
        <v>22</v>
      </c>
      <c r="H3346" s="18" t="s">
        <v>23</v>
      </c>
      <c r="I3346" s="19">
        <v>113.87</v>
      </c>
      <c r="J3346" s="20">
        <f t="shared" si="104"/>
        <v>5693.5</v>
      </c>
      <c r="K3346" s="106"/>
      <c r="L3346" s="114"/>
      <c r="M3346" s="114">
        <f>tblAquisições[[#This Row],[VALOR UNITARIO COMPRADO]]*tblAquisições[[#This Row],[QUANTIDADE COMPRADA]]</f>
        <v>0</v>
      </c>
      <c r="N3346" s="110">
        <f>K3346-tblAquisições[[#This Row],[QUANTIDADE PLANEJADA]]</f>
        <v>-50</v>
      </c>
      <c r="O3346" s="106" t="str">
        <f t="shared" si="105"/>
        <v>Faltando Comprar</v>
      </c>
    </row>
    <row r="3347" spans="1:15" ht="31.5">
      <c r="A3347" s="16" t="s">
        <v>17</v>
      </c>
      <c r="B3347" s="16" t="s">
        <v>31</v>
      </c>
      <c r="C3347" s="17" t="s">
        <v>19</v>
      </c>
      <c r="D3347" s="18" t="s">
        <v>1874</v>
      </c>
      <c r="E3347" s="18">
        <v>50</v>
      </c>
      <c r="F3347" s="18" t="s">
        <v>21</v>
      </c>
      <c r="G3347" s="18" t="s">
        <v>22</v>
      </c>
      <c r="H3347" s="18" t="s">
        <v>23</v>
      </c>
      <c r="I3347" s="19">
        <v>55.72</v>
      </c>
      <c r="J3347" s="20">
        <f t="shared" si="104"/>
        <v>2786</v>
      </c>
      <c r="K3347" s="106"/>
      <c r="L3347" s="114"/>
      <c r="M3347" s="114">
        <f>tblAquisições[[#This Row],[VALOR UNITARIO COMPRADO]]*tblAquisições[[#This Row],[QUANTIDADE COMPRADA]]</f>
        <v>0</v>
      </c>
      <c r="N3347" s="110">
        <f>K3347-tblAquisições[[#This Row],[QUANTIDADE PLANEJADA]]</f>
        <v>-50</v>
      </c>
      <c r="O3347" s="106" t="str">
        <f t="shared" si="105"/>
        <v>Faltando Comprar</v>
      </c>
    </row>
    <row r="3348" spans="1:15" ht="63">
      <c r="A3348" s="16" t="s">
        <v>17</v>
      </c>
      <c r="B3348" s="16" t="s">
        <v>26</v>
      </c>
      <c r="C3348" s="17" t="s">
        <v>19</v>
      </c>
      <c r="D3348" s="18" t="s">
        <v>1875</v>
      </c>
      <c r="E3348" s="18">
        <v>80</v>
      </c>
      <c r="F3348" s="18" t="s">
        <v>30</v>
      </c>
      <c r="G3348" s="18" t="s">
        <v>22</v>
      </c>
      <c r="H3348" s="18" t="s">
        <v>83</v>
      </c>
      <c r="I3348" s="19">
        <v>15.17</v>
      </c>
      <c r="J3348" s="20">
        <f t="shared" si="104"/>
        <v>1213.5999999999999</v>
      </c>
      <c r="K3348" s="106"/>
      <c r="L3348" s="114"/>
      <c r="M3348" s="114">
        <f>tblAquisições[[#This Row],[VALOR UNITARIO COMPRADO]]*tblAquisições[[#This Row],[QUANTIDADE COMPRADA]]</f>
        <v>0</v>
      </c>
      <c r="N3348" s="110">
        <f>K3348-tblAquisições[[#This Row],[QUANTIDADE PLANEJADA]]</f>
        <v>-80</v>
      </c>
      <c r="O3348" s="106" t="str">
        <f t="shared" si="105"/>
        <v>Faltando Comprar</v>
      </c>
    </row>
    <row r="3349" spans="1:15" ht="63">
      <c r="A3349" s="16" t="s">
        <v>17</v>
      </c>
      <c r="B3349" s="16" t="s">
        <v>26</v>
      </c>
      <c r="C3349" s="17" t="s">
        <v>19</v>
      </c>
      <c r="D3349" s="18" t="s">
        <v>1876</v>
      </c>
      <c r="E3349" s="18">
        <v>80</v>
      </c>
      <c r="F3349" s="18" t="s">
        <v>30</v>
      </c>
      <c r="G3349" s="18" t="s">
        <v>22</v>
      </c>
      <c r="H3349" s="18" t="s">
        <v>83</v>
      </c>
      <c r="I3349" s="19">
        <v>22</v>
      </c>
      <c r="J3349" s="20">
        <f t="shared" si="104"/>
        <v>1760</v>
      </c>
      <c r="K3349" s="106"/>
      <c r="L3349" s="114"/>
      <c r="M3349" s="114">
        <f>tblAquisições[[#This Row],[VALOR UNITARIO COMPRADO]]*tblAquisições[[#This Row],[QUANTIDADE COMPRADA]]</f>
        <v>0</v>
      </c>
      <c r="N3349" s="110">
        <f>K3349-tblAquisições[[#This Row],[QUANTIDADE PLANEJADA]]</f>
        <v>-80</v>
      </c>
      <c r="O3349" s="106" t="str">
        <f t="shared" si="105"/>
        <v>Faltando Comprar</v>
      </c>
    </row>
    <row r="3350" spans="1:15" ht="63">
      <c r="A3350" s="16" t="s">
        <v>17</v>
      </c>
      <c r="B3350" s="16" t="s">
        <v>80</v>
      </c>
      <c r="C3350" s="17" t="s">
        <v>19</v>
      </c>
      <c r="D3350" s="18" t="s">
        <v>1877</v>
      </c>
      <c r="E3350" s="18">
        <v>120</v>
      </c>
      <c r="F3350" s="18" t="s">
        <v>82</v>
      </c>
      <c r="G3350" s="18" t="s">
        <v>39</v>
      </c>
      <c r="H3350" s="18" t="s">
        <v>83</v>
      </c>
      <c r="I3350" s="19">
        <v>50.67</v>
      </c>
      <c r="J3350" s="20">
        <f t="shared" si="104"/>
        <v>6080.4000000000005</v>
      </c>
      <c r="K3350" s="106"/>
      <c r="L3350" s="114"/>
      <c r="M3350" s="114">
        <f>tblAquisições[[#This Row],[VALOR UNITARIO COMPRADO]]*tblAquisições[[#This Row],[QUANTIDADE COMPRADA]]</f>
        <v>0</v>
      </c>
      <c r="N3350" s="110">
        <f>K3350-tblAquisições[[#This Row],[QUANTIDADE PLANEJADA]]</f>
        <v>-120</v>
      </c>
      <c r="O3350" s="106" t="str">
        <f t="shared" si="105"/>
        <v>Faltando Comprar</v>
      </c>
    </row>
    <row r="3351" spans="1:15" ht="63">
      <c r="A3351" s="16" t="s">
        <v>17</v>
      </c>
      <c r="B3351" s="16" t="s">
        <v>26</v>
      </c>
      <c r="C3351" s="17" t="s">
        <v>19</v>
      </c>
      <c r="D3351" s="18" t="s">
        <v>1878</v>
      </c>
      <c r="E3351" s="18">
        <v>80</v>
      </c>
      <c r="F3351" s="18" t="s">
        <v>30</v>
      </c>
      <c r="G3351" s="18" t="s">
        <v>22</v>
      </c>
      <c r="H3351" s="18" t="s">
        <v>83</v>
      </c>
      <c r="I3351" s="19">
        <v>50.67</v>
      </c>
      <c r="J3351" s="20">
        <f t="shared" si="104"/>
        <v>4053.6000000000004</v>
      </c>
      <c r="K3351" s="106"/>
      <c r="L3351" s="114"/>
      <c r="M3351" s="114">
        <f>tblAquisições[[#This Row],[VALOR UNITARIO COMPRADO]]*tblAquisições[[#This Row],[QUANTIDADE COMPRADA]]</f>
        <v>0</v>
      </c>
      <c r="N3351" s="110">
        <f>K3351-tblAquisições[[#This Row],[QUANTIDADE PLANEJADA]]</f>
        <v>-80</v>
      </c>
      <c r="O3351" s="106" t="str">
        <f t="shared" si="105"/>
        <v>Faltando Comprar</v>
      </c>
    </row>
    <row r="3352" spans="1:15" ht="63">
      <c r="A3352" s="16" t="s">
        <v>17</v>
      </c>
      <c r="B3352" s="16" t="s">
        <v>26</v>
      </c>
      <c r="C3352" s="17" t="s">
        <v>19</v>
      </c>
      <c r="D3352" s="18" t="s">
        <v>1879</v>
      </c>
      <c r="E3352" s="18">
        <v>100</v>
      </c>
      <c r="F3352" s="18" t="s">
        <v>30</v>
      </c>
      <c r="G3352" s="18" t="s">
        <v>22</v>
      </c>
      <c r="H3352" s="18" t="s">
        <v>83</v>
      </c>
      <c r="I3352" s="19">
        <v>70.13</v>
      </c>
      <c r="J3352" s="20">
        <f t="shared" si="104"/>
        <v>7013</v>
      </c>
      <c r="K3352" s="106"/>
      <c r="L3352" s="114"/>
      <c r="M3352" s="114">
        <f>tblAquisições[[#This Row],[VALOR UNITARIO COMPRADO]]*tblAquisições[[#This Row],[QUANTIDADE COMPRADA]]</f>
        <v>0</v>
      </c>
      <c r="N3352" s="110">
        <f>K3352-tblAquisições[[#This Row],[QUANTIDADE PLANEJADA]]</f>
        <v>-100</v>
      </c>
      <c r="O3352" s="106" t="str">
        <f t="shared" si="105"/>
        <v>Faltando Comprar</v>
      </c>
    </row>
    <row r="3353" spans="1:15" ht="63">
      <c r="A3353" s="16" t="s">
        <v>17</v>
      </c>
      <c r="B3353" s="16" t="s">
        <v>26</v>
      </c>
      <c r="C3353" s="17" t="s">
        <v>19</v>
      </c>
      <c r="D3353" s="18" t="s">
        <v>1880</v>
      </c>
      <c r="E3353" s="18">
        <v>100</v>
      </c>
      <c r="F3353" s="18" t="s">
        <v>30</v>
      </c>
      <c r="G3353" s="18" t="s">
        <v>22</v>
      </c>
      <c r="H3353" s="18" t="s">
        <v>83</v>
      </c>
      <c r="I3353" s="19">
        <v>107.5</v>
      </c>
      <c r="J3353" s="20">
        <f t="shared" si="104"/>
        <v>10750</v>
      </c>
      <c r="K3353" s="106"/>
      <c r="L3353" s="114"/>
      <c r="M3353" s="114">
        <f>tblAquisições[[#This Row],[VALOR UNITARIO COMPRADO]]*tblAquisições[[#This Row],[QUANTIDADE COMPRADA]]</f>
        <v>0</v>
      </c>
      <c r="N3353" s="110">
        <f>K3353-tblAquisições[[#This Row],[QUANTIDADE PLANEJADA]]</f>
        <v>-100</v>
      </c>
      <c r="O3353" s="106" t="str">
        <f t="shared" si="105"/>
        <v>Faltando Comprar</v>
      </c>
    </row>
    <row r="3354" spans="1:15" ht="63">
      <c r="A3354" s="16" t="s">
        <v>17</v>
      </c>
      <c r="B3354" s="16" t="s">
        <v>27</v>
      </c>
      <c r="C3354" s="17" t="s">
        <v>19</v>
      </c>
      <c r="D3354" s="18" t="s">
        <v>1880</v>
      </c>
      <c r="E3354" s="18">
        <v>200</v>
      </c>
      <c r="F3354" s="18" t="s">
        <v>30</v>
      </c>
      <c r="G3354" s="18" t="s">
        <v>22</v>
      </c>
      <c r="H3354" s="18" t="s">
        <v>83</v>
      </c>
      <c r="I3354" s="19">
        <v>107.5</v>
      </c>
      <c r="J3354" s="20">
        <f t="shared" si="104"/>
        <v>21500</v>
      </c>
      <c r="K3354" s="106"/>
      <c r="L3354" s="114"/>
      <c r="M3354" s="114">
        <f>tblAquisições[[#This Row],[VALOR UNITARIO COMPRADO]]*tblAquisições[[#This Row],[QUANTIDADE COMPRADA]]</f>
        <v>0</v>
      </c>
      <c r="N3354" s="110">
        <f>K3354-tblAquisições[[#This Row],[QUANTIDADE PLANEJADA]]</f>
        <v>-200</v>
      </c>
      <c r="O3354" s="106" t="str">
        <f t="shared" si="105"/>
        <v>Faltando Comprar</v>
      </c>
    </row>
    <row r="3355" spans="1:15" ht="63">
      <c r="A3355" s="16" t="s">
        <v>17</v>
      </c>
      <c r="B3355" s="16" t="s">
        <v>26</v>
      </c>
      <c r="C3355" s="17" t="s">
        <v>19</v>
      </c>
      <c r="D3355" s="18" t="s">
        <v>1881</v>
      </c>
      <c r="E3355" s="18">
        <v>100</v>
      </c>
      <c r="F3355" s="18" t="s">
        <v>30</v>
      </c>
      <c r="G3355" s="18" t="s">
        <v>22</v>
      </c>
      <c r="H3355" s="18" t="s">
        <v>83</v>
      </c>
      <c r="I3355" s="19">
        <v>148.33000000000001</v>
      </c>
      <c r="J3355" s="20">
        <f t="shared" si="104"/>
        <v>14833.000000000002</v>
      </c>
      <c r="K3355" s="106"/>
      <c r="L3355" s="114"/>
      <c r="M3355" s="114">
        <f>tblAquisições[[#This Row],[VALOR UNITARIO COMPRADO]]*tblAquisições[[#This Row],[QUANTIDADE COMPRADA]]</f>
        <v>0</v>
      </c>
      <c r="N3355" s="110">
        <f>K3355-tblAquisições[[#This Row],[QUANTIDADE PLANEJADA]]</f>
        <v>-100</v>
      </c>
      <c r="O3355" s="106" t="str">
        <f t="shared" si="105"/>
        <v>Faltando Comprar</v>
      </c>
    </row>
    <row r="3356" spans="1:15" ht="63">
      <c r="A3356" s="16" t="s">
        <v>17</v>
      </c>
      <c r="B3356" s="16" t="s">
        <v>27</v>
      </c>
      <c r="C3356" s="17" t="s">
        <v>19</v>
      </c>
      <c r="D3356" s="18" t="s">
        <v>1881</v>
      </c>
      <c r="E3356" s="18">
        <v>200</v>
      </c>
      <c r="F3356" s="18" t="s">
        <v>30</v>
      </c>
      <c r="G3356" s="18" t="s">
        <v>22</v>
      </c>
      <c r="H3356" s="18" t="s">
        <v>83</v>
      </c>
      <c r="I3356" s="19">
        <v>148.33000000000001</v>
      </c>
      <c r="J3356" s="20">
        <f t="shared" si="104"/>
        <v>29666.000000000004</v>
      </c>
      <c r="K3356" s="106"/>
      <c r="L3356" s="114"/>
      <c r="M3356" s="114">
        <f>tblAquisições[[#This Row],[VALOR UNITARIO COMPRADO]]*tblAquisições[[#This Row],[QUANTIDADE COMPRADA]]</f>
        <v>0</v>
      </c>
      <c r="N3356" s="110">
        <f>K3356-tblAquisições[[#This Row],[QUANTIDADE PLANEJADA]]</f>
        <v>-200</v>
      </c>
      <c r="O3356" s="106" t="str">
        <f t="shared" si="105"/>
        <v>Faltando Comprar</v>
      </c>
    </row>
    <row r="3357" spans="1:15" ht="47.25">
      <c r="A3357" s="16" t="s">
        <v>17</v>
      </c>
      <c r="B3357" s="16" t="s">
        <v>41</v>
      </c>
      <c r="C3357" s="17" t="s">
        <v>19</v>
      </c>
      <c r="D3357" s="18" t="s">
        <v>1882</v>
      </c>
      <c r="E3357" s="18">
        <v>10</v>
      </c>
      <c r="F3357" s="18" t="s">
        <v>21</v>
      </c>
      <c r="G3357" s="18" t="s">
        <v>22</v>
      </c>
      <c r="H3357" s="18" t="s">
        <v>23</v>
      </c>
      <c r="I3357" s="19">
        <v>20</v>
      </c>
      <c r="J3357" s="20">
        <f t="shared" si="104"/>
        <v>200</v>
      </c>
      <c r="K3357" s="106"/>
      <c r="L3357" s="114"/>
      <c r="M3357" s="114">
        <f>tblAquisições[[#This Row],[VALOR UNITARIO COMPRADO]]*tblAquisições[[#This Row],[QUANTIDADE COMPRADA]]</f>
        <v>0</v>
      </c>
      <c r="N3357" s="110">
        <f>K3357-tblAquisições[[#This Row],[QUANTIDADE PLANEJADA]]</f>
        <v>-10</v>
      </c>
      <c r="O3357" s="106" t="str">
        <f t="shared" si="105"/>
        <v>Faltando Comprar</v>
      </c>
    </row>
    <row r="3358" spans="1:15" ht="47.25">
      <c r="A3358" s="16" t="s">
        <v>17</v>
      </c>
      <c r="B3358" s="16" t="s">
        <v>28</v>
      </c>
      <c r="C3358" s="17" t="s">
        <v>19</v>
      </c>
      <c r="D3358" s="18" t="s">
        <v>1883</v>
      </c>
      <c r="E3358" s="18">
        <v>120</v>
      </c>
      <c r="F3358" s="18" t="s">
        <v>21</v>
      </c>
      <c r="G3358" s="18" t="s">
        <v>22</v>
      </c>
      <c r="H3358" s="18" t="s">
        <v>23</v>
      </c>
      <c r="I3358" s="19">
        <v>8.9600000000000009</v>
      </c>
      <c r="J3358" s="20">
        <f t="shared" si="104"/>
        <v>1075.2</v>
      </c>
      <c r="K3358" s="106"/>
      <c r="L3358" s="114"/>
      <c r="M3358" s="114">
        <f>tblAquisições[[#This Row],[VALOR UNITARIO COMPRADO]]*tblAquisições[[#This Row],[QUANTIDADE COMPRADA]]</f>
        <v>0</v>
      </c>
      <c r="N3358" s="110">
        <f>K3358-tblAquisições[[#This Row],[QUANTIDADE PLANEJADA]]</f>
        <v>-120</v>
      </c>
      <c r="O3358" s="106" t="str">
        <f t="shared" si="105"/>
        <v>Faltando Comprar</v>
      </c>
    </row>
    <row r="3359" spans="1:15" ht="47.25">
      <c r="A3359" s="16" t="s">
        <v>17</v>
      </c>
      <c r="B3359" s="16" t="s">
        <v>28</v>
      </c>
      <c r="C3359" s="17" t="s">
        <v>19</v>
      </c>
      <c r="D3359" s="18" t="s">
        <v>1884</v>
      </c>
      <c r="E3359" s="18">
        <v>120</v>
      </c>
      <c r="F3359" s="18" t="s">
        <v>21</v>
      </c>
      <c r="G3359" s="18" t="s">
        <v>22</v>
      </c>
      <c r="H3359" s="18" t="s">
        <v>23</v>
      </c>
      <c r="I3359" s="19">
        <v>32.54</v>
      </c>
      <c r="J3359" s="20">
        <f t="shared" si="104"/>
        <v>3904.7999999999997</v>
      </c>
      <c r="K3359" s="106"/>
      <c r="L3359" s="114"/>
      <c r="M3359" s="114">
        <f>tblAquisições[[#This Row],[VALOR UNITARIO COMPRADO]]*tblAquisições[[#This Row],[QUANTIDADE COMPRADA]]</f>
        <v>0</v>
      </c>
      <c r="N3359" s="110">
        <f>K3359-tblAquisições[[#This Row],[QUANTIDADE PLANEJADA]]</f>
        <v>-120</v>
      </c>
      <c r="O3359" s="106" t="str">
        <f t="shared" si="105"/>
        <v>Faltando Comprar</v>
      </c>
    </row>
    <row r="3360" spans="1:15" ht="47.25">
      <c r="A3360" s="16" t="s">
        <v>17</v>
      </c>
      <c r="B3360" s="16" t="s">
        <v>28</v>
      </c>
      <c r="C3360" s="17" t="s">
        <v>19</v>
      </c>
      <c r="D3360" s="18" t="s">
        <v>1885</v>
      </c>
      <c r="E3360" s="18">
        <v>120</v>
      </c>
      <c r="F3360" s="18" t="s">
        <v>21</v>
      </c>
      <c r="G3360" s="18" t="s">
        <v>22</v>
      </c>
      <c r="H3360" s="18" t="s">
        <v>23</v>
      </c>
      <c r="I3360" s="19">
        <v>8.2200000000000006</v>
      </c>
      <c r="J3360" s="20">
        <f t="shared" si="104"/>
        <v>986.40000000000009</v>
      </c>
      <c r="K3360" s="106"/>
      <c r="L3360" s="114"/>
      <c r="M3360" s="114">
        <f>tblAquisições[[#This Row],[VALOR UNITARIO COMPRADO]]*tblAquisições[[#This Row],[QUANTIDADE COMPRADA]]</f>
        <v>0</v>
      </c>
      <c r="N3360" s="110">
        <f>K3360-tblAquisições[[#This Row],[QUANTIDADE PLANEJADA]]</f>
        <v>-120</v>
      </c>
      <c r="O3360" s="106" t="str">
        <f t="shared" si="105"/>
        <v>Faltando Comprar</v>
      </c>
    </row>
    <row r="3361" spans="1:15" ht="31.5">
      <c r="A3361" s="16" t="s">
        <v>17</v>
      </c>
      <c r="B3361" s="16" t="s">
        <v>80</v>
      </c>
      <c r="C3361" s="17" t="s">
        <v>19</v>
      </c>
      <c r="D3361" s="18" t="s">
        <v>1886</v>
      </c>
      <c r="E3361" s="18">
        <v>30</v>
      </c>
      <c r="F3361" s="18" t="s">
        <v>38</v>
      </c>
      <c r="G3361" s="18" t="s">
        <v>39</v>
      </c>
      <c r="H3361" s="18" t="s">
        <v>23</v>
      </c>
      <c r="I3361" s="19">
        <v>200</v>
      </c>
      <c r="J3361" s="20">
        <f t="shared" si="104"/>
        <v>6000</v>
      </c>
      <c r="K3361" s="106"/>
      <c r="L3361" s="114"/>
      <c r="M3361" s="114">
        <f>tblAquisições[[#This Row],[VALOR UNITARIO COMPRADO]]*tblAquisições[[#This Row],[QUANTIDADE COMPRADA]]</f>
        <v>0</v>
      </c>
      <c r="N3361" s="110">
        <f>K3361-tblAquisições[[#This Row],[QUANTIDADE PLANEJADA]]</f>
        <v>-30</v>
      </c>
      <c r="O3361" s="106" t="str">
        <f t="shared" si="105"/>
        <v>Faltando Comprar</v>
      </c>
    </row>
    <row r="3362" spans="1:15" ht="31.5">
      <c r="A3362" s="16" t="s">
        <v>17</v>
      </c>
      <c r="B3362" s="16" t="s">
        <v>18</v>
      </c>
      <c r="C3362" s="17" t="s">
        <v>19</v>
      </c>
      <c r="D3362" s="18" t="s">
        <v>1887</v>
      </c>
      <c r="E3362" s="18">
        <v>30</v>
      </c>
      <c r="F3362" s="18" t="s">
        <v>21</v>
      </c>
      <c r="G3362" s="18" t="s">
        <v>22</v>
      </c>
      <c r="H3362" s="18" t="s">
        <v>23</v>
      </c>
      <c r="I3362" s="19">
        <v>200</v>
      </c>
      <c r="J3362" s="20">
        <f t="shared" si="104"/>
        <v>6000</v>
      </c>
      <c r="K3362" s="106"/>
      <c r="L3362" s="114"/>
      <c r="M3362" s="114">
        <f>tblAquisições[[#This Row],[VALOR UNITARIO COMPRADO]]*tblAquisições[[#This Row],[QUANTIDADE COMPRADA]]</f>
        <v>0</v>
      </c>
      <c r="N3362" s="110">
        <f>K3362-tblAquisições[[#This Row],[QUANTIDADE PLANEJADA]]</f>
        <v>-30</v>
      </c>
      <c r="O3362" s="106" t="str">
        <f t="shared" si="105"/>
        <v>Faltando Comprar</v>
      </c>
    </row>
    <row r="3363" spans="1:15" ht="31.5">
      <c r="A3363" s="16" t="s">
        <v>17</v>
      </c>
      <c r="B3363" s="16" t="s">
        <v>24</v>
      </c>
      <c r="C3363" s="17" t="s">
        <v>19</v>
      </c>
      <c r="D3363" s="18" t="s">
        <v>1887</v>
      </c>
      <c r="E3363" s="18">
        <v>30</v>
      </c>
      <c r="F3363" s="18" t="s">
        <v>21</v>
      </c>
      <c r="G3363" s="18" t="s">
        <v>22</v>
      </c>
      <c r="H3363" s="18" t="s">
        <v>23</v>
      </c>
      <c r="I3363" s="19">
        <v>200</v>
      </c>
      <c r="J3363" s="20">
        <f t="shared" si="104"/>
        <v>6000</v>
      </c>
      <c r="K3363" s="106"/>
      <c r="L3363" s="114"/>
      <c r="M3363" s="114">
        <f>tblAquisições[[#This Row],[VALOR UNITARIO COMPRADO]]*tblAquisições[[#This Row],[QUANTIDADE COMPRADA]]</f>
        <v>0</v>
      </c>
      <c r="N3363" s="110">
        <f>K3363-tblAquisições[[#This Row],[QUANTIDADE PLANEJADA]]</f>
        <v>-30</v>
      </c>
      <c r="O3363" s="106" t="str">
        <f t="shared" si="105"/>
        <v>Faltando Comprar</v>
      </c>
    </row>
    <row r="3364" spans="1:15" ht="31.5">
      <c r="A3364" s="16" t="s">
        <v>17</v>
      </c>
      <c r="B3364" s="16" t="s">
        <v>25</v>
      </c>
      <c r="C3364" s="17" t="s">
        <v>19</v>
      </c>
      <c r="D3364" s="18" t="s">
        <v>1887</v>
      </c>
      <c r="E3364" s="18">
        <v>30</v>
      </c>
      <c r="F3364" s="18" t="s">
        <v>21</v>
      </c>
      <c r="G3364" s="18" t="s">
        <v>22</v>
      </c>
      <c r="H3364" s="18" t="s">
        <v>23</v>
      </c>
      <c r="I3364" s="19">
        <v>200</v>
      </c>
      <c r="J3364" s="20">
        <f t="shared" si="104"/>
        <v>6000</v>
      </c>
      <c r="K3364" s="106"/>
      <c r="L3364" s="114"/>
      <c r="M3364" s="114">
        <f>tblAquisições[[#This Row],[VALOR UNITARIO COMPRADO]]*tblAquisições[[#This Row],[QUANTIDADE COMPRADA]]</f>
        <v>0</v>
      </c>
      <c r="N3364" s="110">
        <f>K3364-tblAquisições[[#This Row],[QUANTIDADE PLANEJADA]]</f>
        <v>-30</v>
      </c>
      <c r="O3364" s="106" t="str">
        <f t="shared" si="105"/>
        <v>Faltando Comprar</v>
      </c>
    </row>
    <row r="3365" spans="1:15" ht="31.5">
      <c r="A3365" s="16" t="s">
        <v>17</v>
      </c>
      <c r="B3365" s="16" t="s">
        <v>28</v>
      </c>
      <c r="C3365" s="17" t="s">
        <v>19</v>
      </c>
      <c r="D3365" s="18" t="s">
        <v>1887</v>
      </c>
      <c r="E3365" s="18">
        <v>300</v>
      </c>
      <c r="F3365" s="18" t="s">
        <v>21</v>
      </c>
      <c r="G3365" s="18" t="s">
        <v>22</v>
      </c>
      <c r="H3365" s="18" t="s">
        <v>23</v>
      </c>
      <c r="I3365" s="19">
        <v>200</v>
      </c>
      <c r="J3365" s="20">
        <f t="shared" si="104"/>
        <v>60000</v>
      </c>
      <c r="K3365" s="106"/>
      <c r="L3365" s="114"/>
      <c r="M3365" s="114">
        <f>tblAquisições[[#This Row],[VALOR UNITARIO COMPRADO]]*tblAquisições[[#This Row],[QUANTIDADE COMPRADA]]</f>
        <v>0</v>
      </c>
      <c r="N3365" s="110">
        <f>K3365-tblAquisições[[#This Row],[QUANTIDADE PLANEJADA]]</f>
        <v>-300</v>
      </c>
      <c r="O3365" s="106" t="str">
        <f t="shared" si="105"/>
        <v>Faltando Comprar</v>
      </c>
    </row>
    <row r="3366" spans="1:15" ht="31.5">
      <c r="A3366" s="16" t="s">
        <v>17</v>
      </c>
      <c r="B3366" s="16" t="s">
        <v>18</v>
      </c>
      <c r="C3366" s="17" t="s">
        <v>19</v>
      </c>
      <c r="D3366" s="18" t="s">
        <v>1888</v>
      </c>
      <c r="E3366" s="18">
        <v>50</v>
      </c>
      <c r="F3366" s="18" t="s">
        <v>21</v>
      </c>
      <c r="G3366" s="18" t="s">
        <v>22</v>
      </c>
      <c r="H3366" s="18" t="s">
        <v>23</v>
      </c>
      <c r="I3366" s="19">
        <v>35.950000000000003</v>
      </c>
      <c r="J3366" s="20">
        <f t="shared" si="104"/>
        <v>1797.5000000000002</v>
      </c>
      <c r="K3366" s="106"/>
      <c r="L3366" s="114"/>
      <c r="M3366" s="114">
        <f>tblAquisições[[#This Row],[VALOR UNITARIO COMPRADO]]*tblAquisições[[#This Row],[QUANTIDADE COMPRADA]]</f>
        <v>0</v>
      </c>
      <c r="N3366" s="110">
        <f>K3366-tblAquisições[[#This Row],[QUANTIDADE PLANEJADA]]</f>
        <v>-50</v>
      </c>
      <c r="O3366" s="106" t="str">
        <f t="shared" si="105"/>
        <v>Faltando Comprar</v>
      </c>
    </row>
    <row r="3367" spans="1:15" ht="31.5">
      <c r="A3367" s="16" t="s">
        <v>17</v>
      </c>
      <c r="B3367" s="16" t="s">
        <v>24</v>
      </c>
      <c r="C3367" s="17" t="s">
        <v>19</v>
      </c>
      <c r="D3367" s="18" t="s">
        <v>1888</v>
      </c>
      <c r="E3367" s="18">
        <v>50</v>
      </c>
      <c r="F3367" s="18" t="s">
        <v>21</v>
      </c>
      <c r="G3367" s="18" t="s">
        <v>22</v>
      </c>
      <c r="H3367" s="18" t="s">
        <v>23</v>
      </c>
      <c r="I3367" s="19">
        <v>35.950000000000003</v>
      </c>
      <c r="J3367" s="20">
        <f t="shared" si="104"/>
        <v>1797.5000000000002</v>
      </c>
      <c r="K3367" s="106"/>
      <c r="L3367" s="114"/>
      <c r="M3367" s="114">
        <f>tblAquisições[[#This Row],[VALOR UNITARIO COMPRADO]]*tblAquisições[[#This Row],[QUANTIDADE COMPRADA]]</f>
        <v>0</v>
      </c>
      <c r="N3367" s="110">
        <f>K3367-tblAquisições[[#This Row],[QUANTIDADE PLANEJADA]]</f>
        <v>-50</v>
      </c>
      <c r="O3367" s="106" t="str">
        <f t="shared" si="105"/>
        <v>Faltando Comprar</v>
      </c>
    </row>
    <row r="3368" spans="1:15" ht="31.5">
      <c r="A3368" s="16" t="s">
        <v>17</v>
      </c>
      <c r="B3368" s="16" t="s">
        <v>25</v>
      </c>
      <c r="C3368" s="17" t="s">
        <v>19</v>
      </c>
      <c r="D3368" s="18" t="s">
        <v>1888</v>
      </c>
      <c r="E3368" s="18">
        <v>50</v>
      </c>
      <c r="F3368" s="18" t="s">
        <v>21</v>
      </c>
      <c r="G3368" s="18" t="s">
        <v>22</v>
      </c>
      <c r="H3368" s="18" t="s">
        <v>23</v>
      </c>
      <c r="I3368" s="19">
        <v>35.950000000000003</v>
      </c>
      <c r="J3368" s="20">
        <f t="shared" si="104"/>
        <v>1797.5000000000002</v>
      </c>
      <c r="K3368" s="106"/>
      <c r="L3368" s="114"/>
      <c r="M3368" s="114">
        <f>tblAquisições[[#This Row],[VALOR UNITARIO COMPRADO]]*tblAquisições[[#This Row],[QUANTIDADE COMPRADA]]</f>
        <v>0</v>
      </c>
      <c r="N3368" s="110">
        <f>K3368-tblAquisições[[#This Row],[QUANTIDADE PLANEJADA]]</f>
        <v>-50</v>
      </c>
      <c r="O3368" s="106" t="str">
        <f t="shared" si="105"/>
        <v>Faltando Comprar</v>
      </c>
    </row>
    <row r="3369" spans="1:15" ht="31.5">
      <c r="A3369" s="16" t="s">
        <v>17</v>
      </c>
      <c r="B3369" s="16" t="s">
        <v>41</v>
      </c>
      <c r="C3369" s="17" t="s">
        <v>19</v>
      </c>
      <c r="D3369" s="18" t="s">
        <v>1888</v>
      </c>
      <c r="E3369" s="18">
        <v>50</v>
      </c>
      <c r="F3369" s="18" t="s">
        <v>21</v>
      </c>
      <c r="G3369" s="18" t="s">
        <v>22</v>
      </c>
      <c r="H3369" s="18" t="s">
        <v>23</v>
      </c>
      <c r="I3369" s="19">
        <v>35.950000000000003</v>
      </c>
      <c r="J3369" s="20">
        <f t="shared" si="104"/>
        <v>1797.5000000000002</v>
      </c>
      <c r="K3369" s="106"/>
      <c r="L3369" s="114"/>
      <c r="M3369" s="114">
        <f>tblAquisições[[#This Row],[VALOR UNITARIO COMPRADO]]*tblAquisições[[#This Row],[QUANTIDADE COMPRADA]]</f>
        <v>0</v>
      </c>
      <c r="N3369" s="110">
        <f>K3369-tblAquisições[[#This Row],[QUANTIDADE PLANEJADA]]</f>
        <v>-50</v>
      </c>
      <c r="O3369" s="106" t="str">
        <f t="shared" si="105"/>
        <v>Faltando Comprar</v>
      </c>
    </row>
    <row r="3370" spans="1:15" ht="31.5">
      <c r="A3370" s="16" t="s">
        <v>17</v>
      </c>
      <c r="B3370" s="16" t="s">
        <v>28</v>
      </c>
      <c r="C3370" s="17" t="s">
        <v>19</v>
      </c>
      <c r="D3370" s="18" t="s">
        <v>1888</v>
      </c>
      <c r="E3370" s="18">
        <v>200</v>
      </c>
      <c r="F3370" s="18" t="s">
        <v>21</v>
      </c>
      <c r="G3370" s="18" t="s">
        <v>22</v>
      </c>
      <c r="H3370" s="18" t="s">
        <v>23</v>
      </c>
      <c r="I3370" s="19">
        <v>35.950000000000003</v>
      </c>
      <c r="J3370" s="20">
        <f t="shared" si="104"/>
        <v>7190.0000000000009</v>
      </c>
      <c r="K3370" s="106"/>
      <c r="L3370" s="114"/>
      <c r="M3370" s="114">
        <f>tblAquisições[[#This Row],[VALOR UNITARIO COMPRADO]]*tblAquisições[[#This Row],[QUANTIDADE COMPRADA]]</f>
        <v>0</v>
      </c>
      <c r="N3370" s="110">
        <f>K3370-tblAquisições[[#This Row],[QUANTIDADE PLANEJADA]]</f>
        <v>-200</v>
      </c>
      <c r="O3370" s="106" t="str">
        <f t="shared" si="105"/>
        <v>Faltando Comprar</v>
      </c>
    </row>
    <row r="3371" spans="1:15" ht="31.5">
      <c r="A3371" s="16" t="s">
        <v>17</v>
      </c>
      <c r="B3371" s="16" t="s">
        <v>17</v>
      </c>
      <c r="C3371" s="17" t="s">
        <v>19</v>
      </c>
      <c r="D3371" s="18" t="s">
        <v>1889</v>
      </c>
      <c r="E3371" s="18">
        <v>100</v>
      </c>
      <c r="F3371" s="18" t="s">
        <v>38</v>
      </c>
      <c r="G3371" s="18" t="s">
        <v>39</v>
      </c>
      <c r="H3371" s="18" t="s">
        <v>23</v>
      </c>
      <c r="I3371" s="19">
        <v>14.04</v>
      </c>
      <c r="J3371" s="20">
        <f t="shared" si="104"/>
        <v>1404</v>
      </c>
      <c r="K3371" s="106"/>
      <c r="L3371" s="114"/>
      <c r="M3371" s="114">
        <f>tblAquisições[[#This Row],[VALOR UNITARIO COMPRADO]]*tblAquisições[[#This Row],[QUANTIDADE COMPRADA]]</f>
        <v>0</v>
      </c>
      <c r="N3371" s="110">
        <f>K3371-tblAquisições[[#This Row],[QUANTIDADE PLANEJADA]]</f>
        <v>-100</v>
      </c>
      <c r="O3371" s="106" t="str">
        <f t="shared" si="105"/>
        <v>Faltando Comprar</v>
      </c>
    </row>
    <row r="3372" spans="1:15" ht="31.5">
      <c r="A3372" s="16" t="s">
        <v>17</v>
      </c>
      <c r="B3372" s="16" t="s">
        <v>18</v>
      </c>
      <c r="C3372" s="17" t="s">
        <v>19</v>
      </c>
      <c r="D3372" s="18" t="s">
        <v>1890</v>
      </c>
      <c r="E3372" s="18">
        <v>50</v>
      </c>
      <c r="F3372" s="18" t="s">
        <v>21</v>
      </c>
      <c r="G3372" s="18" t="s">
        <v>22</v>
      </c>
      <c r="H3372" s="18" t="s">
        <v>23</v>
      </c>
      <c r="I3372" s="19">
        <v>14.04</v>
      </c>
      <c r="J3372" s="20">
        <f t="shared" si="104"/>
        <v>702</v>
      </c>
      <c r="K3372" s="106"/>
      <c r="L3372" s="114"/>
      <c r="M3372" s="114">
        <f>tblAquisições[[#This Row],[VALOR UNITARIO COMPRADO]]*tblAquisições[[#This Row],[QUANTIDADE COMPRADA]]</f>
        <v>0</v>
      </c>
      <c r="N3372" s="110">
        <f>K3372-tblAquisições[[#This Row],[QUANTIDADE PLANEJADA]]</f>
        <v>-50</v>
      </c>
      <c r="O3372" s="106" t="str">
        <f t="shared" si="105"/>
        <v>Faltando Comprar</v>
      </c>
    </row>
    <row r="3373" spans="1:15" ht="31.5">
      <c r="A3373" s="16" t="s">
        <v>17</v>
      </c>
      <c r="B3373" s="16" t="s">
        <v>24</v>
      </c>
      <c r="C3373" s="17" t="s">
        <v>19</v>
      </c>
      <c r="D3373" s="18" t="s">
        <v>1890</v>
      </c>
      <c r="E3373" s="18">
        <v>50</v>
      </c>
      <c r="F3373" s="18" t="s">
        <v>21</v>
      </c>
      <c r="G3373" s="18" t="s">
        <v>22</v>
      </c>
      <c r="H3373" s="18" t="s">
        <v>23</v>
      </c>
      <c r="I3373" s="19">
        <v>14.04</v>
      </c>
      <c r="J3373" s="20">
        <f t="shared" si="104"/>
        <v>702</v>
      </c>
      <c r="K3373" s="106"/>
      <c r="L3373" s="114"/>
      <c r="M3373" s="114">
        <f>tblAquisições[[#This Row],[VALOR UNITARIO COMPRADO]]*tblAquisições[[#This Row],[QUANTIDADE COMPRADA]]</f>
        <v>0</v>
      </c>
      <c r="N3373" s="110">
        <f>K3373-tblAquisições[[#This Row],[QUANTIDADE PLANEJADA]]</f>
        <v>-50</v>
      </c>
      <c r="O3373" s="106" t="str">
        <f t="shared" si="105"/>
        <v>Faltando Comprar</v>
      </c>
    </row>
    <row r="3374" spans="1:15" ht="31.5">
      <c r="A3374" s="16" t="s">
        <v>17</v>
      </c>
      <c r="B3374" s="16" t="s">
        <v>25</v>
      </c>
      <c r="C3374" s="17" t="s">
        <v>19</v>
      </c>
      <c r="D3374" s="18" t="s">
        <v>1890</v>
      </c>
      <c r="E3374" s="18">
        <v>50</v>
      </c>
      <c r="F3374" s="18" t="s">
        <v>21</v>
      </c>
      <c r="G3374" s="18" t="s">
        <v>22</v>
      </c>
      <c r="H3374" s="18" t="s">
        <v>23</v>
      </c>
      <c r="I3374" s="19">
        <v>14.04</v>
      </c>
      <c r="J3374" s="20">
        <f t="shared" si="104"/>
        <v>702</v>
      </c>
      <c r="K3374" s="106"/>
      <c r="L3374" s="114"/>
      <c r="M3374" s="114">
        <f>tblAquisições[[#This Row],[VALOR UNITARIO COMPRADO]]*tblAquisições[[#This Row],[QUANTIDADE COMPRADA]]</f>
        <v>0</v>
      </c>
      <c r="N3374" s="110">
        <f>K3374-tblAquisições[[#This Row],[QUANTIDADE PLANEJADA]]</f>
        <v>-50</v>
      </c>
      <c r="O3374" s="106" t="str">
        <f t="shared" si="105"/>
        <v>Faltando Comprar</v>
      </c>
    </row>
    <row r="3375" spans="1:15" ht="31.5">
      <c r="A3375" s="16" t="s">
        <v>17</v>
      </c>
      <c r="B3375" s="16" t="s">
        <v>41</v>
      </c>
      <c r="C3375" s="17" t="s">
        <v>19</v>
      </c>
      <c r="D3375" s="18" t="s">
        <v>1890</v>
      </c>
      <c r="E3375" s="18">
        <v>20</v>
      </c>
      <c r="F3375" s="18" t="s">
        <v>21</v>
      </c>
      <c r="G3375" s="18" t="s">
        <v>22</v>
      </c>
      <c r="H3375" s="18" t="s">
        <v>23</v>
      </c>
      <c r="I3375" s="19">
        <v>14.04</v>
      </c>
      <c r="J3375" s="20">
        <f t="shared" si="104"/>
        <v>280.79999999999995</v>
      </c>
      <c r="K3375" s="106"/>
      <c r="L3375" s="114"/>
      <c r="M3375" s="114">
        <f>tblAquisições[[#This Row],[VALOR UNITARIO COMPRADO]]*tblAquisições[[#This Row],[QUANTIDADE COMPRADA]]</f>
        <v>0</v>
      </c>
      <c r="N3375" s="110">
        <f>K3375-tblAquisições[[#This Row],[QUANTIDADE PLANEJADA]]</f>
        <v>-20</v>
      </c>
      <c r="O3375" s="106" t="str">
        <f t="shared" si="105"/>
        <v>Faltando Comprar</v>
      </c>
    </row>
    <row r="3376" spans="1:15" ht="31.5">
      <c r="A3376" s="16" t="s">
        <v>17</v>
      </c>
      <c r="B3376" s="16" t="s">
        <v>27</v>
      </c>
      <c r="C3376" s="17" t="s">
        <v>19</v>
      </c>
      <c r="D3376" s="18" t="s">
        <v>1890</v>
      </c>
      <c r="E3376" s="18">
        <v>60</v>
      </c>
      <c r="F3376" s="18" t="s">
        <v>21</v>
      </c>
      <c r="G3376" s="18" t="s">
        <v>22</v>
      </c>
      <c r="H3376" s="18" t="s">
        <v>23</v>
      </c>
      <c r="I3376" s="19">
        <v>14.04</v>
      </c>
      <c r="J3376" s="20">
        <f t="shared" si="104"/>
        <v>842.4</v>
      </c>
      <c r="K3376" s="106"/>
      <c r="L3376" s="114"/>
      <c r="M3376" s="114">
        <f>tblAquisições[[#This Row],[VALOR UNITARIO COMPRADO]]*tblAquisições[[#This Row],[QUANTIDADE COMPRADA]]</f>
        <v>0</v>
      </c>
      <c r="N3376" s="110">
        <f>K3376-tblAquisições[[#This Row],[QUANTIDADE PLANEJADA]]</f>
        <v>-60</v>
      </c>
      <c r="O3376" s="106" t="str">
        <f t="shared" si="105"/>
        <v>Faltando Comprar</v>
      </c>
    </row>
    <row r="3377" spans="1:15" ht="31.5">
      <c r="A3377" s="16" t="s">
        <v>17</v>
      </c>
      <c r="B3377" s="16" t="s">
        <v>28</v>
      </c>
      <c r="C3377" s="17" t="s">
        <v>19</v>
      </c>
      <c r="D3377" s="18" t="s">
        <v>1890</v>
      </c>
      <c r="E3377" s="18">
        <v>100</v>
      </c>
      <c r="F3377" s="18" t="s">
        <v>21</v>
      </c>
      <c r="G3377" s="18" t="s">
        <v>22</v>
      </c>
      <c r="H3377" s="18" t="s">
        <v>23</v>
      </c>
      <c r="I3377" s="19">
        <v>14.04</v>
      </c>
      <c r="J3377" s="20">
        <f t="shared" si="104"/>
        <v>1404</v>
      </c>
      <c r="K3377" s="106"/>
      <c r="L3377" s="114"/>
      <c r="M3377" s="114">
        <f>tblAquisições[[#This Row],[VALOR UNITARIO COMPRADO]]*tblAquisições[[#This Row],[QUANTIDADE COMPRADA]]</f>
        <v>0</v>
      </c>
      <c r="N3377" s="110">
        <f>K3377-tblAquisições[[#This Row],[QUANTIDADE PLANEJADA]]</f>
        <v>-100</v>
      </c>
      <c r="O3377" s="106" t="str">
        <f t="shared" si="105"/>
        <v>Faltando Comprar</v>
      </c>
    </row>
    <row r="3378" spans="1:15" ht="31.5">
      <c r="A3378" s="16" t="s">
        <v>17</v>
      </c>
      <c r="B3378" s="16" t="s">
        <v>17</v>
      </c>
      <c r="C3378" s="17" t="s">
        <v>19</v>
      </c>
      <c r="D3378" s="18" t="s">
        <v>1891</v>
      </c>
      <c r="E3378" s="18">
        <v>100</v>
      </c>
      <c r="F3378" s="18" t="s">
        <v>38</v>
      </c>
      <c r="G3378" s="18" t="s">
        <v>39</v>
      </c>
      <c r="H3378" s="18" t="s">
        <v>23</v>
      </c>
      <c r="I3378" s="19">
        <v>2.89</v>
      </c>
      <c r="J3378" s="20">
        <f t="shared" si="104"/>
        <v>289</v>
      </c>
      <c r="K3378" s="106"/>
      <c r="L3378" s="114"/>
      <c r="M3378" s="114">
        <f>tblAquisições[[#This Row],[VALOR UNITARIO COMPRADO]]*tblAquisições[[#This Row],[QUANTIDADE COMPRADA]]</f>
        <v>0</v>
      </c>
      <c r="N3378" s="110">
        <f>K3378-tblAquisições[[#This Row],[QUANTIDADE PLANEJADA]]</f>
        <v>-100</v>
      </c>
      <c r="O3378" s="106" t="str">
        <f t="shared" si="105"/>
        <v>Faltando Comprar</v>
      </c>
    </row>
    <row r="3379" spans="1:15" ht="31.5">
      <c r="A3379" s="16" t="s">
        <v>17</v>
      </c>
      <c r="B3379" s="16" t="s">
        <v>18</v>
      </c>
      <c r="C3379" s="17" t="s">
        <v>19</v>
      </c>
      <c r="D3379" s="18" t="s">
        <v>1892</v>
      </c>
      <c r="E3379" s="18">
        <v>200</v>
      </c>
      <c r="F3379" s="18" t="s">
        <v>21</v>
      </c>
      <c r="G3379" s="18" t="s">
        <v>22</v>
      </c>
      <c r="H3379" s="18" t="s">
        <v>23</v>
      </c>
      <c r="I3379" s="19">
        <v>2.89</v>
      </c>
      <c r="J3379" s="20">
        <f t="shared" si="104"/>
        <v>578</v>
      </c>
      <c r="K3379" s="106"/>
      <c r="L3379" s="114"/>
      <c r="M3379" s="114">
        <f>tblAquisições[[#This Row],[VALOR UNITARIO COMPRADO]]*tblAquisições[[#This Row],[QUANTIDADE COMPRADA]]</f>
        <v>0</v>
      </c>
      <c r="N3379" s="110">
        <f>K3379-tblAquisições[[#This Row],[QUANTIDADE PLANEJADA]]</f>
        <v>-200</v>
      </c>
      <c r="O3379" s="106" t="str">
        <f t="shared" si="105"/>
        <v>Faltando Comprar</v>
      </c>
    </row>
    <row r="3380" spans="1:15" ht="31.5">
      <c r="A3380" s="16" t="s">
        <v>17</v>
      </c>
      <c r="B3380" s="16" t="s">
        <v>24</v>
      </c>
      <c r="C3380" s="17" t="s">
        <v>19</v>
      </c>
      <c r="D3380" s="18" t="s">
        <v>1892</v>
      </c>
      <c r="E3380" s="18">
        <v>200</v>
      </c>
      <c r="F3380" s="18" t="s">
        <v>21</v>
      </c>
      <c r="G3380" s="18" t="s">
        <v>22</v>
      </c>
      <c r="H3380" s="18" t="s">
        <v>23</v>
      </c>
      <c r="I3380" s="19">
        <v>2.89</v>
      </c>
      <c r="J3380" s="20">
        <f t="shared" si="104"/>
        <v>578</v>
      </c>
      <c r="K3380" s="106"/>
      <c r="L3380" s="114"/>
      <c r="M3380" s="114">
        <f>tblAquisições[[#This Row],[VALOR UNITARIO COMPRADO]]*tblAquisições[[#This Row],[QUANTIDADE COMPRADA]]</f>
        <v>0</v>
      </c>
      <c r="N3380" s="110">
        <f>K3380-tblAquisições[[#This Row],[QUANTIDADE PLANEJADA]]</f>
        <v>-200</v>
      </c>
      <c r="O3380" s="106" t="str">
        <f t="shared" si="105"/>
        <v>Faltando Comprar</v>
      </c>
    </row>
    <row r="3381" spans="1:15" ht="31.5">
      <c r="A3381" s="16" t="s">
        <v>17</v>
      </c>
      <c r="B3381" s="16" t="s">
        <v>25</v>
      </c>
      <c r="C3381" s="17" t="s">
        <v>19</v>
      </c>
      <c r="D3381" s="18" t="s">
        <v>1892</v>
      </c>
      <c r="E3381" s="18">
        <v>200</v>
      </c>
      <c r="F3381" s="18" t="s">
        <v>21</v>
      </c>
      <c r="G3381" s="18" t="s">
        <v>22</v>
      </c>
      <c r="H3381" s="18" t="s">
        <v>23</v>
      </c>
      <c r="I3381" s="19">
        <v>2.89</v>
      </c>
      <c r="J3381" s="20">
        <f t="shared" si="104"/>
        <v>578</v>
      </c>
      <c r="K3381" s="106"/>
      <c r="L3381" s="114"/>
      <c r="M3381" s="114">
        <f>tblAquisições[[#This Row],[VALOR UNITARIO COMPRADO]]*tblAquisições[[#This Row],[QUANTIDADE COMPRADA]]</f>
        <v>0</v>
      </c>
      <c r="N3381" s="110">
        <f>K3381-tblAquisições[[#This Row],[QUANTIDADE PLANEJADA]]</f>
        <v>-200</v>
      </c>
      <c r="O3381" s="106" t="str">
        <f t="shared" si="105"/>
        <v>Faltando Comprar</v>
      </c>
    </row>
    <row r="3382" spans="1:15" ht="31.5">
      <c r="A3382" s="16" t="s">
        <v>17</v>
      </c>
      <c r="B3382" s="16" t="s">
        <v>41</v>
      </c>
      <c r="C3382" s="17" t="s">
        <v>19</v>
      </c>
      <c r="D3382" s="18" t="s">
        <v>1892</v>
      </c>
      <c r="E3382" s="18">
        <v>100</v>
      </c>
      <c r="F3382" s="18" t="s">
        <v>21</v>
      </c>
      <c r="G3382" s="18" t="s">
        <v>22</v>
      </c>
      <c r="H3382" s="18" t="s">
        <v>23</v>
      </c>
      <c r="I3382" s="19">
        <v>2.89</v>
      </c>
      <c r="J3382" s="20">
        <f t="shared" si="104"/>
        <v>289</v>
      </c>
      <c r="K3382" s="106"/>
      <c r="L3382" s="114"/>
      <c r="M3382" s="114">
        <f>tblAquisições[[#This Row],[VALOR UNITARIO COMPRADO]]*tblAquisições[[#This Row],[QUANTIDADE COMPRADA]]</f>
        <v>0</v>
      </c>
      <c r="N3382" s="110">
        <f>K3382-tblAquisições[[#This Row],[QUANTIDADE PLANEJADA]]</f>
        <v>-100</v>
      </c>
      <c r="O3382" s="106" t="str">
        <f t="shared" si="105"/>
        <v>Faltando Comprar</v>
      </c>
    </row>
    <row r="3383" spans="1:15" ht="31.5">
      <c r="A3383" s="16" t="s">
        <v>17</v>
      </c>
      <c r="B3383" s="16" t="s">
        <v>28</v>
      </c>
      <c r="C3383" s="17" t="s">
        <v>19</v>
      </c>
      <c r="D3383" s="18" t="s">
        <v>1892</v>
      </c>
      <c r="E3383" s="18">
        <v>100</v>
      </c>
      <c r="F3383" s="18" t="s">
        <v>21</v>
      </c>
      <c r="G3383" s="18" t="s">
        <v>22</v>
      </c>
      <c r="H3383" s="18" t="s">
        <v>23</v>
      </c>
      <c r="I3383" s="19">
        <v>2.89</v>
      </c>
      <c r="J3383" s="20">
        <f t="shared" si="104"/>
        <v>289</v>
      </c>
      <c r="K3383" s="106"/>
      <c r="L3383" s="114"/>
      <c r="M3383" s="114">
        <f>tblAquisições[[#This Row],[VALOR UNITARIO COMPRADO]]*tblAquisições[[#This Row],[QUANTIDADE COMPRADA]]</f>
        <v>0</v>
      </c>
      <c r="N3383" s="110">
        <f>K3383-tblAquisições[[#This Row],[QUANTIDADE PLANEJADA]]</f>
        <v>-100</v>
      </c>
      <c r="O3383" s="106" t="str">
        <f t="shared" si="105"/>
        <v>Faltando Comprar</v>
      </c>
    </row>
    <row r="3384" spans="1:15" ht="47.25">
      <c r="A3384" s="16" t="s">
        <v>17</v>
      </c>
      <c r="B3384" s="16" t="s">
        <v>28</v>
      </c>
      <c r="C3384" s="17" t="s">
        <v>19</v>
      </c>
      <c r="D3384" s="18" t="s">
        <v>1893</v>
      </c>
      <c r="E3384" s="18">
        <v>15</v>
      </c>
      <c r="F3384" s="18" t="s">
        <v>78</v>
      </c>
      <c r="G3384" s="18" t="s">
        <v>22</v>
      </c>
      <c r="H3384" s="18" t="s">
        <v>23</v>
      </c>
      <c r="I3384" s="19">
        <v>27.07</v>
      </c>
      <c r="J3384" s="20">
        <f t="shared" si="104"/>
        <v>406.05</v>
      </c>
      <c r="K3384" s="106"/>
      <c r="L3384" s="114"/>
      <c r="M3384" s="114">
        <f>tblAquisições[[#This Row],[VALOR UNITARIO COMPRADO]]*tblAquisições[[#This Row],[QUANTIDADE COMPRADA]]</f>
        <v>0</v>
      </c>
      <c r="N3384" s="110">
        <f>K3384-tblAquisições[[#This Row],[QUANTIDADE PLANEJADA]]</f>
        <v>-15</v>
      </c>
      <c r="O3384" s="106" t="str">
        <f t="shared" si="105"/>
        <v>Faltando Comprar</v>
      </c>
    </row>
    <row r="3385" spans="1:15" ht="31.5">
      <c r="A3385" s="16" t="s">
        <v>17</v>
      </c>
      <c r="B3385" s="16" t="s">
        <v>28</v>
      </c>
      <c r="C3385" s="17" t="s">
        <v>19</v>
      </c>
      <c r="D3385" s="18" t="s">
        <v>1894</v>
      </c>
      <c r="E3385" s="18">
        <v>20</v>
      </c>
      <c r="F3385" s="18" t="s">
        <v>21</v>
      </c>
      <c r="G3385" s="18" t="s">
        <v>22</v>
      </c>
      <c r="H3385" s="18" t="s">
        <v>23</v>
      </c>
      <c r="I3385" s="19">
        <v>22.14</v>
      </c>
      <c r="J3385" s="20">
        <f t="shared" si="104"/>
        <v>442.8</v>
      </c>
      <c r="K3385" s="106"/>
      <c r="L3385" s="114"/>
      <c r="M3385" s="114">
        <f>tblAquisições[[#This Row],[VALOR UNITARIO COMPRADO]]*tblAquisições[[#This Row],[QUANTIDADE COMPRADA]]</f>
        <v>0</v>
      </c>
      <c r="N3385" s="110">
        <f>K3385-tblAquisições[[#This Row],[QUANTIDADE PLANEJADA]]</f>
        <v>-20</v>
      </c>
      <c r="O3385" s="106" t="str">
        <f t="shared" si="105"/>
        <v>Faltando Comprar</v>
      </c>
    </row>
    <row r="3386" spans="1:15" ht="31.5">
      <c r="A3386" s="16" t="s">
        <v>17</v>
      </c>
      <c r="B3386" s="16" t="s">
        <v>17</v>
      </c>
      <c r="C3386" s="17" t="s">
        <v>19</v>
      </c>
      <c r="D3386" s="18" t="s">
        <v>1895</v>
      </c>
      <c r="E3386" s="18">
        <v>500</v>
      </c>
      <c r="F3386" s="18" t="s">
        <v>38</v>
      </c>
      <c r="G3386" s="18" t="s">
        <v>39</v>
      </c>
      <c r="H3386" s="18" t="s">
        <v>23</v>
      </c>
      <c r="I3386" s="19">
        <v>2.17</v>
      </c>
      <c r="J3386" s="20">
        <f t="shared" si="104"/>
        <v>1085</v>
      </c>
      <c r="K3386" s="106"/>
      <c r="L3386" s="114"/>
      <c r="M3386" s="114">
        <f>tblAquisições[[#This Row],[VALOR UNITARIO COMPRADO]]*tblAquisições[[#This Row],[QUANTIDADE COMPRADA]]</f>
        <v>0</v>
      </c>
      <c r="N3386" s="110">
        <f>K3386-tblAquisições[[#This Row],[QUANTIDADE PLANEJADA]]</f>
        <v>-500</v>
      </c>
      <c r="O3386" s="106" t="str">
        <f t="shared" si="105"/>
        <v>Faltando Comprar</v>
      </c>
    </row>
    <row r="3387" spans="1:15" ht="31.5">
      <c r="A3387" s="16" t="s">
        <v>17</v>
      </c>
      <c r="B3387" s="16" t="s">
        <v>34</v>
      </c>
      <c r="C3387" s="17" t="s">
        <v>19</v>
      </c>
      <c r="D3387" s="18" t="s">
        <v>1896</v>
      </c>
      <c r="E3387" s="18">
        <v>20</v>
      </c>
      <c r="F3387" s="18" t="s">
        <v>21</v>
      </c>
      <c r="G3387" s="18" t="s">
        <v>22</v>
      </c>
      <c r="H3387" s="18" t="s">
        <v>23</v>
      </c>
      <c r="I3387" s="19">
        <v>2.17</v>
      </c>
      <c r="J3387" s="20">
        <f t="shared" si="104"/>
        <v>43.4</v>
      </c>
      <c r="K3387" s="106"/>
      <c r="L3387" s="114"/>
      <c r="M3387" s="114">
        <f>tblAquisições[[#This Row],[VALOR UNITARIO COMPRADO]]*tblAquisições[[#This Row],[QUANTIDADE COMPRADA]]</f>
        <v>0</v>
      </c>
      <c r="N3387" s="110">
        <f>K3387-tblAquisições[[#This Row],[QUANTIDADE PLANEJADA]]</f>
        <v>-20</v>
      </c>
      <c r="O3387" s="106" t="str">
        <f t="shared" si="105"/>
        <v>Faltando Comprar</v>
      </c>
    </row>
    <row r="3388" spans="1:15" ht="31.5">
      <c r="A3388" s="16" t="s">
        <v>17</v>
      </c>
      <c r="B3388" s="16" t="s">
        <v>31</v>
      </c>
      <c r="C3388" s="17" t="s">
        <v>19</v>
      </c>
      <c r="D3388" s="18" t="s">
        <v>1896</v>
      </c>
      <c r="E3388" s="18">
        <v>50</v>
      </c>
      <c r="F3388" s="18" t="s">
        <v>21</v>
      </c>
      <c r="G3388" s="18" t="s">
        <v>22</v>
      </c>
      <c r="H3388" s="18" t="s">
        <v>23</v>
      </c>
      <c r="I3388" s="19">
        <v>2.17</v>
      </c>
      <c r="J3388" s="20">
        <f t="shared" si="104"/>
        <v>108.5</v>
      </c>
      <c r="K3388" s="106"/>
      <c r="L3388" s="114"/>
      <c r="M3388" s="114">
        <f>tblAquisições[[#This Row],[VALOR UNITARIO COMPRADO]]*tblAquisições[[#This Row],[QUANTIDADE COMPRADA]]</f>
        <v>0</v>
      </c>
      <c r="N3388" s="110">
        <f>K3388-tblAquisições[[#This Row],[QUANTIDADE PLANEJADA]]</f>
        <v>-50</v>
      </c>
      <c r="O3388" s="106" t="str">
        <f t="shared" si="105"/>
        <v>Faltando Comprar</v>
      </c>
    </row>
    <row r="3389" spans="1:15" ht="31.5">
      <c r="A3389" s="16" t="s">
        <v>17</v>
      </c>
      <c r="B3389" s="16" t="s">
        <v>28</v>
      </c>
      <c r="C3389" s="17" t="s">
        <v>19</v>
      </c>
      <c r="D3389" s="18" t="s">
        <v>1896</v>
      </c>
      <c r="E3389" s="18">
        <v>500</v>
      </c>
      <c r="F3389" s="18" t="s">
        <v>21</v>
      </c>
      <c r="G3389" s="18" t="s">
        <v>22</v>
      </c>
      <c r="H3389" s="18" t="s">
        <v>23</v>
      </c>
      <c r="I3389" s="19">
        <v>2.17</v>
      </c>
      <c r="J3389" s="20">
        <f t="shared" si="104"/>
        <v>1085</v>
      </c>
      <c r="K3389" s="106"/>
      <c r="L3389" s="114"/>
      <c r="M3389" s="114">
        <f>tblAquisições[[#This Row],[VALOR UNITARIO COMPRADO]]*tblAquisições[[#This Row],[QUANTIDADE COMPRADA]]</f>
        <v>0</v>
      </c>
      <c r="N3389" s="110">
        <f>K3389-tblAquisições[[#This Row],[QUANTIDADE PLANEJADA]]</f>
        <v>-500</v>
      </c>
      <c r="O3389" s="106" t="str">
        <f t="shared" si="105"/>
        <v>Faltando Comprar</v>
      </c>
    </row>
    <row r="3390" spans="1:15" ht="31.5">
      <c r="A3390" s="16" t="s">
        <v>17</v>
      </c>
      <c r="B3390" s="16" t="s">
        <v>31</v>
      </c>
      <c r="C3390" s="17" t="s">
        <v>19</v>
      </c>
      <c r="D3390" s="18" t="s">
        <v>1897</v>
      </c>
      <c r="E3390" s="18">
        <v>4</v>
      </c>
      <c r="F3390" s="18" t="s">
        <v>21</v>
      </c>
      <c r="G3390" s="18" t="s">
        <v>22</v>
      </c>
      <c r="H3390" s="18" t="s">
        <v>23</v>
      </c>
      <c r="I3390" s="19">
        <v>25.4</v>
      </c>
      <c r="J3390" s="20">
        <f t="shared" si="104"/>
        <v>101.6</v>
      </c>
      <c r="K3390" s="106"/>
      <c r="L3390" s="114"/>
      <c r="M3390" s="114">
        <f>tblAquisições[[#This Row],[VALOR UNITARIO COMPRADO]]*tblAquisições[[#This Row],[QUANTIDADE COMPRADA]]</f>
        <v>0</v>
      </c>
      <c r="N3390" s="110">
        <f>K3390-tblAquisições[[#This Row],[QUANTIDADE PLANEJADA]]</f>
        <v>-4</v>
      </c>
      <c r="O3390" s="106" t="str">
        <f t="shared" si="105"/>
        <v>Faltando Comprar</v>
      </c>
    </row>
    <row r="3391" spans="1:15" ht="31.5">
      <c r="A3391" s="16" t="s">
        <v>17</v>
      </c>
      <c r="B3391" s="16" t="s">
        <v>28</v>
      </c>
      <c r="C3391" s="17" t="s">
        <v>19</v>
      </c>
      <c r="D3391" s="18" t="s">
        <v>1897</v>
      </c>
      <c r="E3391" s="18">
        <v>67</v>
      </c>
      <c r="F3391" s="18" t="s">
        <v>21</v>
      </c>
      <c r="G3391" s="18" t="s">
        <v>22</v>
      </c>
      <c r="H3391" s="18" t="s">
        <v>23</v>
      </c>
      <c r="I3391" s="19">
        <v>25.4</v>
      </c>
      <c r="J3391" s="20">
        <f t="shared" si="104"/>
        <v>1701.8</v>
      </c>
      <c r="K3391" s="106"/>
      <c r="L3391" s="114"/>
      <c r="M3391" s="114">
        <f>tblAquisições[[#This Row],[VALOR UNITARIO COMPRADO]]*tblAquisições[[#This Row],[QUANTIDADE COMPRADA]]</f>
        <v>0</v>
      </c>
      <c r="N3391" s="110">
        <f>K3391-tblAquisições[[#This Row],[QUANTIDADE PLANEJADA]]</f>
        <v>-67</v>
      </c>
      <c r="O3391" s="106" t="str">
        <f t="shared" si="105"/>
        <v>Faltando Comprar</v>
      </c>
    </row>
    <row r="3392" spans="1:15" ht="31.5">
      <c r="A3392" s="16" t="s">
        <v>17</v>
      </c>
      <c r="B3392" s="16" t="s">
        <v>80</v>
      </c>
      <c r="C3392" s="17" t="s">
        <v>19</v>
      </c>
      <c r="D3392" s="18" t="s">
        <v>1898</v>
      </c>
      <c r="E3392" s="18">
        <v>10</v>
      </c>
      <c r="F3392" s="18" t="s">
        <v>38</v>
      </c>
      <c r="G3392" s="18" t="s">
        <v>39</v>
      </c>
      <c r="H3392" s="18" t="s">
        <v>23</v>
      </c>
      <c r="I3392" s="19">
        <v>8.65</v>
      </c>
      <c r="J3392" s="20">
        <f t="shared" si="104"/>
        <v>86.5</v>
      </c>
      <c r="K3392" s="106"/>
      <c r="L3392" s="114"/>
      <c r="M3392" s="114">
        <f>tblAquisições[[#This Row],[VALOR UNITARIO COMPRADO]]*tblAquisições[[#This Row],[QUANTIDADE COMPRADA]]</f>
        <v>0</v>
      </c>
      <c r="N3392" s="110">
        <f>K3392-tblAquisições[[#This Row],[QUANTIDADE PLANEJADA]]</f>
        <v>-10</v>
      </c>
      <c r="O3392" s="106" t="str">
        <f t="shared" si="105"/>
        <v>Faltando Comprar</v>
      </c>
    </row>
    <row r="3393" spans="1:15" ht="31.5">
      <c r="A3393" s="16" t="s">
        <v>17</v>
      </c>
      <c r="B3393" s="16" t="s">
        <v>28</v>
      </c>
      <c r="C3393" s="17" t="s">
        <v>19</v>
      </c>
      <c r="D3393" s="18" t="s">
        <v>1899</v>
      </c>
      <c r="E3393" s="18">
        <v>46</v>
      </c>
      <c r="F3393" s="18" t="s">
        <v>21</v>
      </c>
      <c r="G3393" s="18" t="s">
        <v>22</v>
      </c>
      <c r="H3393" s="18" t="s">
        <v>23</v>
      </c>
      <c r="I3393" s="19">
        <v>318.27999999999997</v>
      </c>
      <c r="J3393" s="20">
        <f t="shared" si="104"/>
        <v>14640.88</v>
      </c>
      <c r="K3393" s="106"/>
      <c r="L3393" s="114"/>
      <c r="M3393" s="114">
        <f>tblAquisições[[#This Row],[VALOR UNITARIO COMPRADO]]*tblAquisições[[#This Row],[QUANTIDADE COMPRADA]]</f>
        <v>0</v>
      </c>
      <c r="N3393" s="110">
        <f>K3393-tblAquisições[[#This Row],[QUANTIDADE PLANEJADA]]</f>
        <v>-46</v>
      </c>
      <c r="O3393" s="106" t="str">
        <f t="shared" si="105"/>
        <v>Faltando Comprar</v>
      </c>
    </row>
    <row r="3394" spans="1:15" ht="31.5">
      <c r="A3394" s="16" t="s">
        <v>17</v>
      </c>
      <c r="B3394" s="16" t="s">
        <v>17</v>
      </c>
      <c r="C3394" s="17" t="s">
        <v>19</v>
      </c>
      <c r="D3394" s="18" t="s">
        <v>1900</v>
      </c>
      <c r="E3394" s="18">
        <v>200</v>
      </c>
      <c r="F3394" s="18" t="s">
        <v>38</v>
      </c>
      <c r="G3394" s="18" t="s">
        <v>39</v>
      </c>
      <c r="H3394" s="18" t="s">
        <v>23</v>
      </c>
      <c r="I3394" s="19">
        <v>17.07</v>
      </c>
      <c r="J3394" s="20">
        <f t="shared" ref="J3394:J3457" si="106">E3394*I3394</f>
        <v>3414</v>
      </c>
      <c r="K3394" s="106"/>
      <c r="L3394" s="114"/>
      <c r="M3394" s="114">
        <f>tblAquisições[[#This Row],[VALOR UNITARIO COMPRADO]]*tblAquisições[[#This Row],[QUANTIDADE COMPRADA]]</f>
        <v>0</v>
      </c>
      <c r="N3394" s="110">
        <f>K3394-tblAquisições[[#This Row],[QUANTIDADE PLANEJADA]]</f>
        <v>-200</v>
      </c>
      <c r="O3394" s="106" t="str">
        <f t="shared" ref="O3394:O3457" si="107">IF(K3394=E3394,"OK",IF(K3394&lt;E3394,"Faltando Comprar","Excedente"))</f>
        <v>Faltando Comprar</v>
      </c>
    </row>
    <row r="3395" spans="1:15" ht="31.5">
      <c r="A3395" s="16" t="s">
        <v>17</v>
      </c>
      <c r="B3395" s="16" t="s">
        <v>28</v>
      </c>
      <c r="C3395" s="17" t="s">
        <v>19</v>
      </c>
      <c r="D3395" s="18" t="s">
        <v>1901</v>
      </c>
      <c r="E3395" s="18">
        <v>360</v>
      </c>
      <c r="F3395" s="18" t="s">
        <v>21</v>
      </c>
      <c r="G3395" s="18" t="s">
        <v>22</v>
      </c>
      <c r="H3395" s="18" t="s">
        <v>23</v>
      </c>
      <c r="I3395" s="19">
        <v>17.07</v>
      </c>
      <c r="J3395" s="20">
        <f t="shared" si="106"/>
        <v>6145.2</v>
      </c>
      <c r="K3395" s="106"/>
      <c r="L3395" s="114"/>
      <c r="M3395" s="114">
        <f>tblAquisições[[#This Row],[VALOR UNITARIO COMPRADO]]*tblAquisições[[#This Row],[QUANTIDADE COMPRADA]]</f>
        <v>0</v>
      </c>
      <c r="N3395" s="110">
        <f>K3395-tblAquisições[[#This Row],[QUANTIDADE PLANEJADA]]</f>
        <v>-360</v>
      </c>
      <c r="O3395" s="106" t="str">
        <f t="shared" si="107"/>
        <v>Faltando Comprar</v>
      </c>
    </row>
    <row r="3396" spans="1:15" ht="31.5">
      <c r="A3396" s="16" t="s">
        <v>17</v>
      </c>
      <c r="B3396" s="16" t="s">
        <v>26</v>
      </c>
      <c r="C3396" s="17" t="s">
        <v>19</v>
      </c>
      <c r="D3396" s="18" t="s">
        <v>1902</v>
      </c>
      <c r="E3396" s="18">
        <v>200</v>
      </c>
      <c r="F3396" s="18" t="s">
        <v>30</v>
      </c>
      <c r="G3396" s="18" t="s">
        <v>22</v>
      </c>
      <c r="H3396" s="18" t="s">
        <v>83</v>
      </c>
      <c r="I3396" s="19">
        <v>221</v>
      </c>
      <c r="J3396" s="20">
        <f t="shared" si="106"/>
        <v>44200</v>
      </c>
      <c r="K3396" s="106"/>
      <c r="L3396" s="114"/>
      <c r="M3396" s="114">
        <f>tblAquisições[[#This Row],[VALOR UNITARIO COMPRADO]]*tblAquisições[[#This Row],[QUANTIDADE COMPRADA]]</f>
        <v>0</v>
      </c>
      <c r="N3396" s="110">
        <f>K3396-tblAquisições[[#This Row],[QUANTIDADE PLANEJADA]]</f>
        <v>-200</v>
      </c>
      <c r="O3396" s="106" t="str">
        <f t="shared" si="107"/>
        <v>Faltando Comprar</v>
      </c>
    </row>
    <row r="3397" spans="1:15" ht="31.5">
      <c r="A3397" s="16" t="s">
        <v>17</v>
      </c>
      <c r="B3397" s="16" t="s">
        <v>26</v>
      </c>
      <c r="C3397" s="17" t="s">
        <v>19</v>
      </c>
      <c r="D3397" s="18" t="s">
        <v>1903</v>
      </c>
      <c r="E3397" s="18">
        <v>200</v>
      </c>
      <c r="F3397" s="18" t="s">
        <v>30</v>
      </c>
      <c r="G3397" s="18" t="s">
        <v>22</v>
      </c>
      <c r="H3397" s="18" t="s">
        <v>83</v>
      </c>
      <c r="I3397" s="19">
        <v>390.12</v>
      </c>
      <c r="J3397" s="20">
        <f t="shared" si="106"/>
        <v>78024</v>
      </c>
      <c r="K3397" s="106"/>
      <c r="L3397" s="114"/>
      <c r="M3397" s="114">
        <f>tblAquisições[[#This Row],[VALOR UNITARIO COMPRADO]]*tblAquisições[[#This Row],[QUANTIDADE COMPRADA]]</f>
        <v>0</v>
      </c>
      <c r="N3397" s="110">
        <f>K3397-tblAquisições[[#This Row],[QUANTIDADE PLANEJADA]]</f>
        <v>-200</v>
      </c>
      <c r="O3397" s="106" t="str">
        <f t="shared" si="107"/>
        <v>Faltando Comprar</v>
      </c>
    </row>
    <row r="3398" spans="1:15" ht="31.5">
      <c r="A3398" s="16" t="s">
        <v>17</v>
      </c>
      <c r="B3398" s="16" t="s">
        <v>26</v>
      </c>
      <c r="C3398" s="17" t="s">
        <v>19</v>
      </c>
      <c r="D3398" s="18" t="s">
        <v>1904</v>
      </c>
      <c r="E3398" s="18">
        <v>200</v>
      </c>
      <c r="F3398" s="18" t="s">
        <v>30</v>
      </c>
      <c r="G3398" s="18" t="s">
        <v>22</v>
      </c>
      <c r="H3398" s="18" t="s">
        <v>83</v>
      </c>
      <c r="I3398" s="19">
        <v>265.7</v>
      </c>
      <c r="J3398" s="20">
        <f t="shared" si="106"/>
        <v>53140</v>
      </c>
      <c r="K3398" s="106"/>
      <c r="L3398" s="114"/>
      <c r="M3398" s="114">
        <f>tblAquisições[[#This Row],[VALOR UNITARIO COMPRADO]]*tblAquisições[[#This Row],[QUANTIDADE COMPRADA]]</f>
        <v>0</v>
      </c>
      <c r="N3398" s="110">
        <f>K3398-tblAquisições[[#This Row],[QUANTIDADE PLANEJADA]]</f>
        <v>-200</v>
      </c>
      <c r="O3398" s="106" t="str">
        <f t="shared" si="107"/>
        <v>Faltando Comprar</v>
      </c>
    </row>
    <row r="3399" spans="1:15" ht="47.25">
      <c r="A3399" s="16" t="s">
        <v>17</v>
      </c>
      <c r="B3399" s="16" t="s">
        <v>34</v>
      </c>
      <c r="C3399" s="17" t="s">
        <v>19</v>
      </c>
      <c r="D3399" s="18" t="s">
        <v>1905</v>
      </c>
      <c r="E3399" s="18">
        <v>50</v>
      </c>
      <c r="F3399" s="18" t="s">
        <v>313</v>
      </c>
      <c r="G3399" s="18" t="s">
        <v>22</v>
      </c>
      <c r="H3399" s="18" t="s">
        <v>23</v>
      </c>
      <c r="I3399" s="19">
        <v>167.4</v>
      </c>
      <c r="J3399" s="20">
        <f t="shared" si="106"/>
        <v>8370</v>
      </c>
      <c r="K3399" s="106"/>
      <c r="L3399" s="114"/>
      <c r="M3399" s="114">
        <f>tblAquisições[[#This Row],[VALOR UNITARIO COMPRADO]]*tblAquisições[[#This Row],[QUANTIDADE COMPRADA]]</f>
        <v>0</v>
      </c>
      <c r="N3399" s="110">
        <f>K3399-tblAquisições[[#This Row],[QUANTIDADE PLANEJADA]]</f>
        <v>-50</v>
      </c>
      <c r="O3399" s="106" t="str">
        <f t="shared" si="107"/>
        <v>Faltando Comprar</v>
      </c>
    </row>
    <row r="3400" spans="1:15" ht="47.25">
      <c r="A3400" s="16" t="s">
        <v>17</v>
      </c>
      <c r="B3400" s="16" t="s">
        <v>34</v>
      </c>
      <c r="C3400" s="17" t="s">
        <v>19</v>
      </c>
      <c r="D3400" s="18" t="s">
        <v>1906</v>
      </c>
      <c r="E3400" s="18">
        <v>50</v>
      </c>
      <c r="F3400" s="18" t="s">
        <v>313</v>
      </c>
      <c r="G3400" s="18" t="s">
        <v>22</v>
      </c>
      <c r="H3400" s="18" t="s">
        <v>23</v>
      </c>
      <c r="I3400" s="19">
        <v>182.33</v>
      </c>
      <c r="J3400" s="20">
        <f t="shared" si="106"/>
        <v>9116.5</v>
      </c>
      <c r="K3400" s="106"/>
      <c r="L3400" s="114"/>
      <c r="M3400" s="114">
        <f>tblAquisições[[#This Row],[VALOR UNITARIO COMPRADO]]*tblAquisições[[#This Row],[QUANTIDADE COMPRADA]]</f>
        <v>0</v>
      </c>
      <c r="N3400" s="110">
        <f>K3400-tblAquisições[[#This Row],[QUANTIDADE PLANEJADA]]</f>
        <v>-50</v>
      </c>
      <c r="O3400" s="106" t="str">
        <f t="shared" si="107"/>
        <v>Faltando Comprar</v>
      </c>
    </row>
    <row r="3401" spans="1:15" ht="47.25">
      <c r="A3401" s="16" t="s">
        <v>17</v>
      </c>
      <c r="B3401" s="16" t="s">
        <v>34</v>
      </c>
      <c r="C3401" s="17" t="s">
        <v>19</v>
      </c>
      <c r="D3401" s="18" t="s">
        <v>1907</v>
      </c>
      <c r="E3401" s="18">
        <v>5</v>
      </c>
      <c r="F3401" s="18" t="s">
        <v>313</v>
      </c>
      <c r="G3401" s="18" t="s">
        <v>22</v>
      </c>
      <c r="H3401" s="18" t="s">
        <v>23</v>
      </c>
      <c r="I3401" s="19">
        <v>244.59</v>
      </c>
      <c r="J3401" s="20">
        <f t="shared" si="106"/>
        <v>1222.95</v>
      </c>
      <c r="K3401" s="106"/>
      <c r="L3401" s="114"/>
      <c r="M3401" s="114">
        <f>tblAquisições[[#This Row],[VALOR UNITARIO COMPRADO]]*tblAquisições[[#This Row],[QUANTIDADE COMPRADA]]</f>
        <v>0</v>
      </c>
      <c r="N3401" s="110">
        <f>K3401-tblAquisições[[#This Row],[QUANTIDADE PLANEJADA]]</f>
        <v>-5</v>
      </c>
      <c r="O3401" s="106" t="str">
        <f t="shared" si="107"/>
        <v>Faltando Comprar</v>
      </c>
    </row>
    <row r="3402" spans="1:15" ht="47.25">
      <c r="A3402" s="16" t="s">
        <v>17</v>
      </c>
      <c r="B3402" s="16" t="s">
        <v>28</v>
      </c>
      <c r="C3402" s="17" t="s">
        <v>19</v>
      </c>
      <c r="D3402" s="18" t="s">
        <v>1908</v>
      </c>
      <c r="E3402" s="18">
        <v>30</v>
      </c>
      <c r="F3402" s="18" t="s">
        <v>78</v>
      </c>
      <c r="G3402" s="18" t="s">
        <v>22</v>
      </c>
      <c r="H3402" s="18" t="s">
        <v>23</v>
      </c>
      <c r="I3402" s="19">
        <v>14.14</v>
      </c>
      <c r="J3402" s="20">
        <f t="shared" si="106"/>
        <v>424.20000000000005</v>
      </c>
      <c r="K3402" s="106"/>
      <c r="L3402" s="114"/>
      <c r="M3402" s="114">
        <f>tblAquisições[[#This Row],[VALOR UNITARIO COMPRADO]]*tblAquisições[[#This Row],[QUANTIDADE COMPRADA]]</f>
        <v>0</v>
      </c>
      <c r="N3402" s="110">
        <f>K3402-tblAquisições[[#This Row],[QUANTIDADE PLANEJADA]]</f>
        <v>-30</v>
      </c>
      <c r="O3402" s="106" t="str">
        <f t="shared" si="107"/>
        <v>Faltando Comprar</v>
      </c>
    </row>
    <row r="3403" spans="1:15" ht="47.25">
      <c r="A3403" s="16" t="s">
        <v>17</v>
      </c>
      <c r="B3403" s="16" t="s">
        <v>34</v>
      </c>
      <c r="C3403" s="17" t="s">
        <v>19</v>
      </c>
      <c r="D3403" s="18" t="s">
        <v>1909</v>
      </c>
      <c r="E3403" s="18">
        <v>500</v>
      </c>
      <c r="F3403" s="18" t="s">
        <v>78</v>
      </c>
      <c r="G3403" s="18" t="s">
        <v>22</v>
      </c>
      <c r="H3403" s="18" t="s">
        <v>83</v>
      </c>
      <c r="I3403" s="19">
        <v>6.27</v>
      </c>
      <c r="J3403" s="20">
        <f t="shared" si="106"/>
        <v>3135</v>
      </c>
      <c r="K3403" s="106"/>
      <c r="L3403" s="114"/>
      <c r="M3403" s="114">
        <f>tblAquisições[[#This Row],[VALOR UNITARIO COMPRADO]]*tblAquisições[[#This Row],[QUANTIDADE COMPRADA]]</f>
        <v>0</v>
      </c>
      <c r="N3403" s="110">
        <f>K3403-tblAquisições[[#This Row],[QUANTIDADE PLANEJADA]]</f>
        <v>-500</v>
      </c>
      <c r="O3403" s="106" t="str">
        <f t="shared" si="107"/>
        <v>Faltando Comprar</v>
      </c>
    </row>
    <row r="3404" spans="1:15" ht="47.25">
      <c r="A3404" s="16" t="s">
        <v>17</v>
      </c>
      <c r="B3404" s="16" t="s">
        <v>28</v>
      </c>
      <c r="C3404" s="17" t="s">
        <v>19</v>
      </c>
      <c r="D3404" s="18" t="s">
        <v>1909</v>
      </c>
      <c r="E3404" s="18">
        <v>40</v>
      </c>
      <c r="F3404" s="18" t="s">
        <v>78</v>
      </c>
      <c r="G3404" s="18" t="s">
        <v>22</v>
      </c>
      <c r="H3404" s="18" t="s">
        <v>100</v>
      </c>
      <c r="I3404" s="19">
        <v>6.27</v>
      </c>
      <c r="J3404" s="20">
        <f t="shared" si="106"/>
        <v>250.79999999999998</v>
      </c>
      <c r="K3404" s="106"/>
      <c r="L3404" s="114"/>
      <c r="M3404" s="114">
        <f>tblAquisições[[#This Row],[VALOR UNITARIO COMPRADO]]*tblAquisições[[#This Row],[QUANTIDADE COMPRADA]]</f>
        <v>0</v>
      </c>
      <c r="N3404" s="110">
        <f>K3404-tblAquisições[[#This Row],[QUANTIDADE PLANEJADA]]</f>
        <v>-40</v>
      </c>
      <c r="O3404" s="106" t="str">
        <f t="shared" si="107"/>
        <v>Faltando Comprar</v>
      </c>
    </row>
    <row r="3405" spans="1:15" ht="47.25">
      <c r="A3405" s="16" t="s">
        <v>17</v>
      </c>
      <c r="B3405" s="16" t="s">
        <v>18</v>
      </c>
      <c r="C3405" s="17" t="s">
        <v>19</v>
      </c>
      <c r="D3405" s="18" t="s">
        <v>1910</v>
      </c>
      <c r="E3405" s="18">
        <v>30</v>
      </c>
      <c r="F3405" s="18" t="s">
        <v>78</v>
      </c>
      <c r="G3405" s="18" t="s">
        <v>22</v>
      </c>
      <c r="H3405" s="18" t="s">
        <v>83</v>
      </c>
      <c r="I3405" s="19">
        <v>186.52</v>
      </c>
      <c r="J3405" s="20">
        <f t="shared" si="106"/>
        <v>5595.6</v>
      </c>
      <c r="K3405" s="106"/>
      <c r="L3405" s="114"/>
      <c r="M3405" s="114">
        <f>tblAquisições[[#This Row],[VALOR UNITARIO COMPRADO]]*tblAquisições[[#This Row],[QUANTIDADE COMPRADA]]</f>
        <v>0</v>
      </c>
      <c r="N3405" s="110">
        <f>K3405-tblAquisições[[#This Row],[QUANTIDADE PLANEJADA]]</f>
        <v>-30</v>
      </c>
      <c r="O3405" s="106" t="str">
        <f t="shared" si="107"/>
        <v>Faltando Comprar</v>
      </c>
    </row>
    <row r="3406" spans="1:15" ht="47.25">
      <c r="A3406" s="16" t="s">
        <v>17</v>
      </c>
      <c r="B3406" s="16" t="s">
        <v>24</v>
      </c>
      <c r="C3406" s="17" t="s">
        <v>19</v>
      </c>
      <c r="D3406" s="18" t="s">
        <v>1910</v>
      </c>
      <c r="E3406" s="18">
        <v>30</v>
      </c>
      <c r="F3406" s="18" t="s">
        <v>78</v>
      </c>
      <c r="G3406" s="18" t="s">
        <v>22</v>
      </c>
      <c r="H3406" s="18" t="s">
        <v>83</v>
      </c>
      <c r="I3406" s="19">
        <v>186.52</v>
      </c>
      <c r="J3406" s="20">
        <f t="shared" si="106"/>
        <v>5595.6</v>
      </c>
      <c r="K3406" s="106"/>
      <c r="L3406" s="114"/>
      <c r="M3406" s="114">
        <f>tblAquisições[[#This Row],[VALOR UNITARIO COMPRADO]]*tblAquisições[[#This Row],[QUANTIDADE COMPRADA]]</f>
        <v>0</v>
      </c>
      <c r="N3406" s="110">
        <f>K3406-tblAquisições[[#This Row],[QUANTIDADE PLANEJADA]]</f>
        <v>-30</v>
      </c>
      <c r="O3406" s="106" t="str">
        <f t="shared" si="107"/>
        <v>Faltando Comprar</v>
      </c>
    </row>
    <row r="3407" spans="1:15" ht="47.25">
      <c r="A3407" s="16" t="s">
        <v>17</v>
      </c>
      <c r="B3407" s="16" t="s">
        <v>25</v>
      </c>
      <c r="C3407" s="17" t="s">
        <v>19</v>
      </c>
      <c r="D3407" s="18" t="s">
        <v>1910</v>
      </c>
      <c r="E3407" s="18">
        <v>30</v>
      </c>
      <c r="F3407" s="18" t="s">
        <v>78</v>
      </c>
      <c r="G3407" s="18" t="s">
        <v>22</v>
      </c>
      <c r="H3407" s="18" t="s">
        <v>83</v>
      </c>
      <c r="I3407" s="19">
        <v>186.52</v>
      </c>
      <c r="J3407" s="20">
        <f t="shared" si="106"/>
        <v>5595.6</v>
      </c>
      <c r="K3407" s="106"/>
      <c r="L3407" s="114"/>
      <c r="M3407" s="114">
        <f>tblAquisições[[#This Row],[VALOR UNITARIO COMPRADO]]*tblAquisições[[#This Row],[QUANTIDADE COMPRADA]]</f>
        <v>0</v>
      </c>
      <c r="N3407" s="110">
        <f>K3407-tblAquisições[[#This Row],[QUANTIDADE PLANEJADA]]</f>
        <v>-30</v>
      </c>
      <c r="O3407" s="106" t="str">
        <f t="shared" si="107"/>
        <v>Faltando Comprar</v>
      </c>
    </row>
    <row r="3408" spans="1:15" ht="47.25">
      <c r="A3408" s="16" t="s">
        <v>17</v>
      </c>
      <c r="B3408" s="16" t="s">
        <v>28</v>
      </c>
      <c r="C3408" s="17" t="s">
        <v>19</v>
      </c>
      <c r="D3408" s="18" t="s">
        <v>1910</v>
      </c>
      <c r="E3408" s="18">
        <v>50</v>
      </c>
      <c r="F3408" s="18" t="s">
        <v>78</v>
      </c>
      <c r="G3408" s="18" t="s">
        <v>22</v>
      </c>
      <c r="H3408" s="18" t="s">
        <v>83</v>
      </c>
      <c r="I3408" s="19">
        <v>186.52</v>
      </c>
      <c r="J3408" s="20">
        <f t="shared" si="106"/>
        <v>9326</v>
      </c>
      <c r="K3408" s="106"/>
      <c r="L3408" s="114"/>
      <c r="M3408" s="114">
        <f>tblAquisições[[#This Row],[VALOR UNITARIO COMPRADO]]*tblAquisições[[#This Row],[QUANTIDADE COMPRADA]]</f>
        <v>0</v>
      </c>
      <c r="N3408" s="110">
        <f>K3408-tblAquisições[[#This Row],[QUANTIDADE PLANEJADA]]</f>
        <v>-50</v>
      </c>
      <c r="O3408" s="106" t="str">
        <f t="shared" si="107"/>
        <v>Faltando Comprar</v>
      </c>
    </row>
    <row r="3409" spans="1:15" ht="47.25">
      <c r="A3409" s="16" t="s">
        <v>17</v>
      </c>
      <c r="B3409" s="16" t="s">
        <v>34</v>
      </c>
      <c r="C3409" s="17" t="s">
        <v>19</v>
      </c>
      <c r="D3409" s="18" t="s">
        <v>1911</v>
      </c>
      <c r="E3409" s="18">
        <v>5</v>
      </c>
      <c r="F3409" s="18" t="s">
        <v>78</v>
      </c>
      <c r="G3409" s="18" t="s">
        <v>22</v>
      </c>
      <c r="H3409" s="18" t="s">
        <v>23</v>
      </c>
      <c r="I3409" s="19">
        <v>69.709999999999994</v>
      </c>
      <c r="J3409" s="20">
        <f t="shared" si="106"/>
        <v>348.54999999999995</v>
      </c>
      <c r="K3409" s="106"/>
      <c r="L3409" s="114"/>
      <c r="M3409" s="114">
        <f>tblAquisições[[#This Row],[VALOR UNITARIO COMPRADO]]*tblAquisições[[#This Row],[QUANTIDADE COMPRADA]]</f>
        <v>0</v>
      </c>
      <c r="N3409" s="110">
        <f>K3409-tblAquisições[[#This Row],[QUANTIDADE PLANEJADA]]</f>
        <v>-5</v>
      </c>
      <c r="O3409" s="106" t="str">
        <f t="shared" si="107"/>
        <v>Faltando Comprar</v>
      </c>
    </row>
    <row r="3410" spans="1:15" ht="47.25">
      <c r="A3410" s="16" t="s">
        <v>17</v>
      </c>
      <c r="B3410" s="16" t="s">
        <v>18</v>
      </c>
      <c r="C3410" s="17" t="s">
        <v>19</v>
      </c>
      <c r="D3410" s="18" t="s">
        <v>1911</v>
      </c>
      <c r="E3410" s="18">
        <v>5</v>
      </c>
      <c r="F3410" s="18" t="s">
        <v>78</v>
      </c>
      <c r="G3410" s="18" t="s">
        <v>22</v>
      </c>
      <c r="H3410" s="18" t="s">
        <v>23</v>
      </c>
      <c r="I3410" s="19">
        <v>69.709999999999994</v>
      </c>
      <c r="J3410" s="20">
        <f t="shared" si="106"/>
        <v>348.54999999999995</v>
      </c>
      <c r="K3410" s="106"/>
      <c r="L3410" s="114"/>
      <c r="M3410" s="114">
        <f>tblAquisições[[#This Row],[VALOR UNITARIO COMPRADO]]*tblAquisições[[#This Row],[QUANTIDADE COMPRADA]]</f>
        <v>0</v>
      </c>
      <c r="N3410" s="110">
        <f>K3410-tblAquisições[[#This Row],[QUANTIDADE PLANEJADA]]</f>
        <v>-5</v>
      </c>
      <c r="O3410" s="106" t="str">
        <f t="shared" si="107"/>
        <v>Faltando Comprar</v>
      </c>
    </row>
    <row r="3411" spans="1:15" ht="47.25">
      <c r="A3411" s="16" t="s">
        <v>17</v>
      </c>
      <c r="B3411" s="16" t="s">
        <v>24</v>
      </c>
      <c r="C3411" s="17" t="s">
        <v>19</v>
      </c>
      <c r="D3411" s="18" t="s">
        <v>1911</v>
      </c>
      <c r="E3411" s="18">
        <v>5</v>
      </c>
      <c r="F3411" s="18" t="s">
        <v>78</v>
      </c>
      <c r="G3411" s="18" t="s">
        <v>22</v>
      </c>
      <c r="H3411" s="18" t="s">
        <v>23</v>
      </c>
      <c r="I3411" s="19">
        <v>69.709999999999994</v>
      </c>
      <c r="J3411" s="20">
        <f t="shared" si="106"/>
        <v>348.54999999999995</v>
      </c>
      <c r="K3411" s="106"/>
      <c r="L3411" s="114"/>
      <c r="M3411" s="114">
        <f>tblAquisições[[#This Row],[VALOR UNITARIO COMPRADO]]*tblAquisições[[#This Row],[QUANTIDADE COMPRADA]]</f>
        <v>0</v>
      </c>
      <c r="N3411" s="110">
        <f>K3411-tblAquisições[[#This Row],[QUANTIDADE PLANEJADA]]</f>
        <v>-5</v>
      </c>
      <c r="O3411" s="106" t="str">
        <f t="shared" si="107"/>
        <v>Faltando Comprar</v>
      </c>
    </row>
    <row r="3412" spans="1:15" ht="47.25">
      <c r="A3412" s="16" t="s">
        <v>17</v>
      </c>
      <c r="B3412" s="16" t="s">
        <v>25</v>
      </c>
      <c r="C3412" s="17" t="s">
        <v>19</v>
      </c>
      <c r="D3412" s="18" t="s">
        <v>1911</v>
      </c>
      <c r="E3412" s="18">
        <v>5</v>
      </c>
      <c r="F3412" s="18" t="s">
        <v>78</v>
      </c>
      <c r="G3412" s="18" t="s">
        <v>22</v>
      </c>
      <c r="H3412" s="18" t="s">
        <v>23</v>
      </c>
      <c r="I3412" s="19">
        <v>69.709999999999994</v>
      </c>
      <c r="J3412" s="20">
        <f t="shared" si="106"/>
        <v>348.54999999999995</v>
      </c>
      <c r="K3412" s="106"/>
      <c r="L3412" s="114"/>
      <c r="M3412" s="114">
        <f>tblAquisições[[#This Row],[VALOR UNITARIO COMPRADO]]*tblAquisições[[#This Row],[QUANTIDADE COMPRADA]]</f>
        <v>0</v>
      </c>
      <c r="N3412" s="110">
        <f>K3412-tblAquisições[[#This Row],[QUANTIDADE PLANEJADA]]</f>
        <v>-5</v>
      </c>
      <c r="O3412" s="106" t="str">
        <f t="shared" si="107"/>
        <v>Faltando Comprar</v>
      </c>
    </row>
    <row r="3413" spans="1:15" ht="47.25">
      <c r="A3413" s="16" t="s">
        <v>17</v>
      </c>
      <c r="B3413" s="16" t="s">
        <v>27</v>
      </c>
      <c r="C3413" s="17" t="s">
        <v>19</v>
      </c>
      <c r="D3413" s="18" t="s">
        <v>1911</v>
      </c>
      <c r="E3413" s="18">
        <v>6</v>
      </c>
      <c r="F3413" s="18" t="s">
        <v>78</v>
      </c>
      <c r="G3413" s="18" t="s">
        <v>22</v>
      </c>
      <c r="H3413" s="18" t="s">
        <v>23</v>
      </c>
      <c r="I3413" s="19">
        <v>69.709999999999994</v>
      </c>
      <c r="J3413" s="20">
        <f t="shared" si="106"/>
        <v>418.26</v>
      </c>
      <c r="K3413" s="106"/>
      <c r="L3413" s="114"/>
      <c r="M3413" s="114">
        <f>tblAquisições[[#This Row],[VALOR UNITARIO COMPRADO]]*tblAquisições[[#This Row],[QUANTIDADE COMPRADA]]</f>
        <v>0</v>
      </c>
      <c r="N3413" s="110">
        <f>K3413-tblAquisições[[#This Row],[QUANTIDADE PLANEJADA]]</f>
        <v>-6</v>
      </c>
      <c r="O3413" s="106" t="str">
        <f t="shared" si="107"/>
        <v>Faltando Comprar</v>
      </c>
    </row>
    <row r="3414" spans="1:15" ht="47.25">
      <c r="A3414" s="16" t="s">
        <v>17</v>
      </c>
      <c r="B3414" s="16" t="s">
        <v>28</v>
      </c>
      <c r="C3414" s="17" t="s">
        <v>19</v>
      </c>
      <c r="D3414" s="18" t="s">
        <v>1911</v>
      </c>
      <c r="E3414" s="18">
        <v>20</v>
      </c>
      <c r="F3414" s="18" t="s">
        <v>78</v>
      </c>
      <c r="G3414" s="18" t="s">
        <v>22</v>
      </c>
      <c r="H3414" s="18" t="s">
        <v>23</v>
      </c>
      <c r="I3414" s="19">
        <v>69.709999999999994</v>
      </c>
      <c r="J3414" s="20">
        <f t="shared" si="106"/>
        <v>1394.1999999999998</v>
      </c>
      <c r="K3414" s="106"/>
      <c r="L3414" s="114"/>
      <c r="M3414" s="114">
        <f>tblAquisições[[#This Row],[VALOR UNITARIO COMPRADO]]*tblAquisições[[#This Row],[QUANTIDADE COMPRADA]]</f>
        <v>0</v>
      </c>
      <c r="N3414" s="110">
        <f>K3414-tblAquisições[[#This Row],[QUANTIDADE PLANEJADA]]</f>
        <v>-20</v>
      </c>
      <c r="O3414" s="106" t="str">
        <f t="shared" si="107"/>
        <v>Faltando Comprar</v>
      </c>
    </row>
    <row r="3415" spans="1:15" ht="31.5">
      <c r="A3415" s="16" t="s">
        <v>17</v>
      </c>
      <c r="B3415" s="16" t="s">
        <v>26</v>
      </c>
      <c r="C3415" s="17" t="s">
        <v>19</v>
      </c>
      <c r="D3415" s="18" t="s">
        <v>1912</v>
      </c>
      <c r="E3415" s="18">
        <v>10</v>
      </c>
      <c r="F3415" s="18" t="s">
        <v>30</v>
      </c>
      <c r="G3415" s="18" t="s">
        <v>22</v>
      </c>
      <c r="H3415" s="18" t="s">
        <v>23</v>
      </c>
      <c r="I3415" s="19">
        <v>140</v>
      </c>
      <c r="J3415" s="20">
        <f t="shared" si="106"/>
        <v>1400</v>
      </c>
      <c r="K3415" s="106"/>
      <c r="L3415" s="114"/>
      <c r="M3415" s="114">
        <f>tblAquisições[[#This Row],[VALOR UNITARIO COMPRADO]]*tblAquisições[[#This Row],[QUANTIDADE COMPRADA]]</f>
        <v>0</v>
      </c>
      <c r="N3415" s="110">
        <f>K3415-tblAquisições[[#This Row],[QUANTIDADE PLANEJADA]]</f>
        <v>-10</v>
      </c>
      <c r="O3415" s="106" t="str">
        <f t="shared" si="107"/>
        <v>Faltando Comprar</v>
      </c>
    </row>
    <row r="3416" spans="1:15" ht="31.5">
      <c r="A3416" s="16" t="s">
        <v>17</v>
      </c>
      <c r="B3416" s="16" t="s">
        <v>31</v>
      </c>
      <c r="C3416" s="17" t="s">
        <v>19</v>
      </c>
      <c r="D3416" s="18" t="s">
        <v>1913</v>
      </c>
      <c r="E3416" s="18">
        <v>10</v>
      </c>
      <c r="F3416" s="18" t="s">
        <v>30</v>
      </c>
      <c r="G3416" s="18" t="s">
        <v>22</v>
      </c>
      <c r="H3416" s="18" t="s">
        <v>23</v>
      </c>
      <c r="I3416" s="19">
        <v>50</v>
      </c>
      <c r="J3416" s="20">
        <f t="shared" si="106"/>
        <v>500</v>
      </c>
      <c r="K3416" s="106"/>
      <c r="L3416" s="114"/>
      <c r="M3416" s="114">
        <f>tblAquisições[[#This Row],[VALOR UNITARIO COMPRADO]]*tblAquisições[[#This Row],[QUANTIDADE COMPRADA]]</f>
        <v>0</v>
      </c>
      <c r="N3416" s="110">
        <f>K3416-tblAquisições[[#This Row],[QUANTIDADE PLANEJADA]]</f>
        <v>-10</v>
      </c>
      <c r="O3416" s="106" t="str">
        <f t="shared" si="107"/>
        <v>Faltando Comprar</v>
      </c>
    </row>
    <row r="3417" spans="1:15" ht="47.25">
      <c r="A3417" s="16" t="s">
        <v>17</v>
      </c>
      <c r="B3417" s="16" t="s">
        <v>26</v>
      </c>
      <c r="C3417" s="17" t="s">
        <v>19</v>
      </c>
      <c r="D3417" s="18" t="s">
        <v>1914</v>
      </c>
      <c r="E3417" s="18">
        <v>5</v>
      </c>
      <c r="F3417" s="18" t="s">
        <v>58</v>
      </c>
      <c r="G3417" s="18" t="s">
        <v>22</v>
      </c>
      <c r="H3417" s="18" t="s">
        <v>23</v>
      </c>
      <c r="I3417" s="19">
        <v>23.43</v>
      </c>
      <c r="J3417" s="20">
        <f t="shared" si="106"/>
        <v>117.15</v>
      </c>
      <c r="K3417" s="106"/>
      <c r="L3417" s="114"/>
      <c r="M3417" s="114">
        <f>tblAquisições[[#This Row],[VALOR UNITARIO COMPRADO]]*tblAquisições[[#This Row],[QUANTIDADE COMPRADA]]</f>
        <v>0</v>
      </c>
      <c r="N3417" s="110">
        <f>K3417-tblAquisições[[#This Row],[QUANTIDADE PLANEJADA]]</f>
        <v>-5</v>
      </c>
      <c r="O3417" s="106" t="str">
        <f t="shared" si="107"/>
        <v>Faltando Comprar</v>
      </c>
    </row>
    <row r="3418" spans="1:15" ht="31.5">
      <c r="A3418" s="16" t="s">
        <v>17</v>
      </c>
      <c r="B3418" s="16" t="s">
        <v>28</v>
      </c>
      <c r="C3418" s="17" t="s">
        <v>19</v>
      </c>
      <c r="D3418" s="18" t="s">
        <v>1915</v>
      </c>
      <c r="E3418" s="18">
        <v>6</v>
      </c>
      <c r="F3418" s="18" t="s">
        <v>21</v>
      </c>
      <c r="G3418" s="18" t="s">
        <v>22</v>
      </c>
      <c r="H3418" s="18" t="s">
        <v>23</v>
      </c>
      <c r="I3418" s="19">
        <v>1212.55</v>
      </c>
      <c r="J3418" s="20">
        <f t="shared" si="106"/>
        <v>7275.2999999999993</v>
      </c>
      <c r="K3418" s="106"/>
      <c r="L3418" s="114"/>
      <c r="M3418" s="114">
        <f>tblAquisições[[#This Row],[VALOR UNITARIO COMPRADO]]*tblAquisições[[#This Row],[QUANTIDADE COMPRADA]]</f>
        <v>0</v>
      </c>
      <c r="N3418" s="110">
        <f>K3418-tblAquisições[[#This Row],[QUANTIDADE PLANEJADA]]</f>
        <v>-6</v>
      </c>
      <c r="O3418" s="106" t="str">
        <f t="shared" si="107"/>
        <v>Faltando Comprar</v>
      </c>
    </row>
    <row r="3419" spans="1:15" ht="47.25">
      <c r="A3419" s="16" t="s">
        <v>17</v>
      </c>
      <c r="B3419" s="16" t="s">
        <v>26</v>
      </c>
      <c r="C3419" s="17" t="s">
        <v>19</v>
      </c>
      <c r="D3419" s="18" t="s">
        <v>1916</v>
      </c>
      <c r="E3419" s="18">
        <v>5</v>
      </c>
      <c r="F3419" s="18" t="s">
        <v>58</v>
      </c>
      <c r="G3419" s="18" t="s">
        <v>22</v>
      </c>
      <c r="H3419" s="18" t="s">
        <v>23</v>
      </c>
      <c r="I3419" s="19">
        <v>13.43</v>
      </c>
      <c r="J3419" s="20">
        <f t="shared" si="106"/>
        <v>67.150000000000006</v>
      </c>
      <c r="K3419" s="106"/>
      <c r="L3419" s="114"/>
      <c r="M3419" s="114">
        <f>tblAquisições[[#This Row],[VALOR UNITARIO COMPRADO]]*tblAquisições[[#This Row],[QUANTIDADE COMPRADA]]</f>
        <v>0</v>
      </c>
      <c r="N3419" s="110">
        <f>K3419-tblAquisições[[#This Row],[QUANTIDADE PLANEJADA]]</f>
        <v>-5</v>
      </c>
      <c r="O3419" s="106" t="str">
        <f t="shared" si="107"/>
        <v>Faltando Comprar</v>
      </c>
    </row>
    <row r="3420" spans="1:15" ht="47.25">
      <c r="A3420" s="16" t="s">
        <v>17</v>
      </c>
      <c r="B3420" s="16" t="s">
        <v>28</v>
      </c>
      <c r="C3420" s="17" t="s">
        <v>19</v>
      </c>
      <c r="D3420" s="18" t="s">
        <v>1917</v>
      </c>
      <c r="E3420" s="18">
        <v>10</v>
      </c>
      <c r="F3420" s="18" t="s">
        <v>78</v>
      </c>
      <c r="G3420" s="18" t="s">
        <v>22</v>
      </c>
      <c r="H3420" s="18" t="s">
        <v>23</v>
      </c>
      <c r="I3420" s="19">
        <v>6.25</v>
      </c>
      <c r="J3420" s="20">
        <f t="shared" si="106"/>
        <v>62.5</v>
      </c>
      <c r="K3420" s="106"/>
      <c r="L3420" s="114"/>
      <c r="M3420" s="114">
        <f>tblAquisições[[#This Row],[VALOR UNITARIO COMPRADO]]*tblAquisições[[#This Row],[QUANTIDADE COMPRADA]]</f>
        <v>0</v>
      </c>
      <c r="N3420" s="110">
        <f>K3420-tblAquisições[[#This Row],[QUANTIDADE PLANEJADA]]</f>
        <v>-10</v>
      </c>
      <c r="O3420" s="106" t="str">
        <f t="shared" si="107"/>
        <v>Faltando Comprar</v>
      </c>
    </row>
    <row r="3421" spans="1:15" ht="47.25">
      <c r="A3421" s="16" t="s">
        <v>17</v>
      </c>
      <c r="B3421" s="16" t="s">
        <v>28</v>
      </c>
      <c r="C3421" s="17" t="s">
        <v>19</v>
      </c>
      <c r="D3421" s="18" t="s">
        <v>1918</v>
      </c>
      <c r="E3421" s="18">
        <v>10</v>
      </c>
      <c r="F3421" s="18" t="s">
        <v>78</v>
      </c>
      <c r="G3421" s="18" t="s">
        <v>22</v>
      </c>
      <c r="H3421" s="18" t="s">
        <v>23</v>
      </c>
      <c r="I3421" s="19">
        <v>17.63</v>
      </c>
      <c r="J3421" s="20">
        <f t="shared" si="106"/>
        <v>176.29999999999998</v>
      </c>
      <c r="K3421" s="106"/>
      <c r="L3421" s="114"/>
      <c r="M3421" s="114">
        <f>tblAquisições[[#This Row],[VALOR UNITARIO COMPRADO]]*tblAquisições[[#This Row],[QUANTIDADE COMPRADA]]</f>
        <v>0</v>
      </c>
      <c r="N3421" s="110">
        <f>K3421-tblAquisições[[#This Row],[QUANTIDADE PLANEJADA]]</f>
        <v>-10</v>
      </c>
      <c r="O3421" s="106" t="str">
        <f t="shared" si="107"/>
        <v>Faltando Comprar</v>
      </c>
    </row>
    <row r="3422" spans="1:15" ht="47.25">
      <c r="A3422" s="16" t="s">
        <v>17</v>
      </c>
      <c r="B3422" s="16" t="s">
        <v>31</v>
      </c>
      <c r="C3422" s="17" t="s">
        <v>19</v>
      </c>
      <c r="D3422" s="18" t="s">
        <v>1919</v>
      </c>
      <c r="E3422" s="18">
        <v>2</v>
      </c>
      <c r="F3422" s="18" t="s">
        <v>78</v>
      </c>
      <c r="G3422" s="18" t="s">
        <v>22</v>
      </c>
      <c r="H3422" s="18" t="s">
        <v>23</v>
      </c>
      <c r="I3422" s="19">
        <v>18.78</v>
      </c>
      <c r="J3422" s="20">
        <f t="shared" si="106"/>
        <v>37.56</v>
      </c>
      <c r="K3422" s="106"/>
      <c r="L3422" s="114"/>
      <c r="M3422" s="114">
        <f>tblAquisições[[#This Row],[VALOR UNITARIO COMPRADO]]*tblAquisições[[#This Row],[QUANTIDADE COMPRADA]]</f>
        <v>0</v>
      </c>
      <c r="N3422" s="110">
        <f>K3422-tblAquisições[[#This Row],[QUANTIDADE PLANEJADA]]</f>
        <v>-2</v>
      </c>
      <c r="O3422" s="106" t="str">
        <f t="shared" si="107"/>
        <v>Faltando Comprar</v>
      </c>
    </row>
    <row r="3423" spans="1:15" ht="31.5">
      <c r="A3423" s="16" t="s">
        <v>17</v>
      </c>
      <c r="B3423" s="16" t="s">
        <v>18</v>
      </c>
      <c r="C3423" s="17" t="s">
        <v>19</v>
      </c>
      <c r="D3423" s="18" t="s">
        <v>1920</v>
      </c>
      <c r="E3423" s="18">
        <v>50</v>
      </c>
      <c r="F3423" s="18" t="s">
        <v>30</v>
      </c>
      <c r="G3423" s="18" t="s">
        <v>22</v>
      </c>
      <c r="H3423" s="18" t="s">
        <v>23</v>
      </c>
      <c r="I3423" s="19">
        <v>87.67</v>
      </c>
      <c r="J3423" s="20">
        <f t="shared" si="106"/>
        <v>4383.5</v>
      </c>
      <c r="K3423" s="106"/>
      <c r="L3423" s="114"/>
      <c r="M3423" s="114">
        <f>tblAquisições[[#This Row],[VALOR UNITARIO COMPRADO]]*tblAquisições[[#This Row],[QUANTIDADE COMPRADA]]</f>
        <v>0</v>
      </c>
      <c r="N3423" s="110">
        <f>K3423-tblAquisições[[#This Row],[QUANTIDADE PLANEJADA]]</f>
        <v>-50</v>
      </c>
      <c r="O3423" s="106" t="str">
        <f t="shared" si="107"/>
        <v>Faltando Comprar</v>
      </c>
    </row>
    <row r="3424" spans="1:15" ht="31.5">
      <c r="A3424" s="16" t="s">
        <v>17</v>
      </c>
      <c r="B3424" s="16" t="s">
        <v>24</v>
      </c>
      <c r="C3424" s="17" t="s">
        <v>19</v>
      </c>
      <c r="D3424" s="18" t="s">
        <v>1920</v>
      </c>
      <c r="E3424" s="18">
        <v>50</v>
      </c>
      <c r="F3424" s="18" t="s">
        <v>30</v>
      </c>
      <c r="G3424" s="18" t="s">
        <v>22</v>
      </c>
      <c r="H3424" s="18" t="s">
        <v>23</v>
      </c>
      <c r="I3424" s="19">
        <v>87.67</v>
      </c>
      <c r="J3424" s="20">
        <f t="shared" si="106"/>
        <v>4383.5</v>
      </c>
      <c r="K3424" s="106"/>
      <c r="L3424" s="114"/>
      <c r="M3424" s="114">
        <f>tblAquisições[[#This Row],[VALOR UNITARIO COMPRADO]]*tblAquisições[[#This Row],[QUANTIDADE COMPRADA]]</f>
        <v>0</v>
      </c>
      <c r="N3424" s="110">
        <f>K3424-tblAquisições[[#This Row],[QUANTIDADE PLANEJADA]]</f>
        <v>-50</v>
      </c>
      <c r="O3424" s="106" t="str">
        <f t="shared" si="107"/>
        <v>Faltando Comprar</v>
      </c>
    </row>
    <row r="3425" spans="1:15" ht="31.5">
      <c r="A3425" s="16" t="s">
        <v>17</v>
      </c>
      <c r="B3425" s="16" t="s">
        <v>25</v>
      </c>
      <c r="C3425" s="17" t="s">
        <v>19</v>
      </c>
      <c r="D3425" s="18" t="s">
        <v>1920</v>
      </c>
      <c r="E3425" s="18">
        <v>50</v>
      </c>
      <c r="F3425" s="18" t="s">
        <v>30</v>
      </c>
      <c r="G3425" s="18" t="s">
        <v>22</v>
      </c>
      <c r="H3425" s="18" t="s">
        <v>23</v>
      </c>
      <c r="I3425" s="19">
        <v>87.67</v>
      </c>
      <c r="J3425" s="20">
        <f t="shared" si="106"/>
        <v>4383.5</v>
      </c>
      <c r="K3425" s="106"/>
      <c r="L3425" s="114"/>
      <c r="M3425" s="114">
        <f>tblAquisições[[#This Row],[VALOR UNITARIO COMPRADO]]*tblAquisições[[#This Row],[QUANTIDADE COMPRADA]]</f>
        <v>0</v>
      </c>
      <c r="N3425" s="110">
        <f>K3425-tblAquisições[[#This Row],[QUANTIDADE PLANEJADA]]</f>
        <v>-50</v>
      </c>
      <c r="O3425" s="106" t="str">
        <f t="shared" si="107"/>
        <v>Faltando Comprar</v>
      </c>
    </row>
    <row r="3426" spans="1:15" ht="31.5">
      <c r="A3426" s="16" t="s">
        <v>17</v>
      </c>
      <c r="B3426" s="16" t="s">
        <v>27</v>
      </c>
      <c r="C3426" s="17" t="s">
        <v>19</v>
      </c>
      <c r="D3426" s="18" t="s">
        <v>1920</v>
      </c>
      <c r="E3426" s="18">
        <v>12</v>
      </c>
      <c r="F3426" s="18" t="s">
        <v>30</v>
      </c>
      <c r="G3426" s="18" t="s">
        <v>22</v>
      </c>
      <c r="H3426" s="18" t="s">
        <v>23</v>
      </c>
      <c r="I3426" s="19">
        <v>87.67</v>
      </c>
      <c r="J3426" s="20">
        <f t="shared" si="106"/>
        <v>1052.04</v>
      </c>
      <c r="K3426" s="106"/>
      <c r="L3426" s="114"/>
      <c r="M3426" s="114">
        <f>tblAquisições[[#This Row],[VALOR UNITARIO COMPRADO]]*tblAquisições[[#This Row],[QUANTIDADE COMPRADA]]</f>
        <v>0</v>
      </c>
      <c r="N3426" s="110">
        <f>K3426-tblAquisições[[#This Row],[QUANTIDADE PLANEJADA]]</f>
        <v>-12</v>
      </c>
      <c r="O3426" s="106" t="str">
        <f t="shared" si="107"/>
        <v>Faltando Comprar</v>
      </c>
    </row>
    <row r="3427" spans="1:15" ht="31.5">
      <c r="A3427" s="16" t="s">
        <v>17</v>
      </c>
      <c r="B3427" s="16" t="s">
        <v>26</v>
      </c>
      <c r="C3427" s="17" t="s">
        <v>19</v>
      </c>
      <c r="D3427" s="18" t="s">
        <v>1921</v>
      </c>
      <c r="E3427" s="18">
        <v>10</v>
      </c>
      <c r="F3427" s="18" t="s">
        <v>30</v>
      </c>
      <c r="G3427" s="18" t="s">
        <v>22</v>
      </c>
      <c r="H3427" s="18" t="s">
        <v>23</v>
      </c>
      <c r="I3427" s="19">
        <v>9.56</v>
      </c>
      <c r="J3427" s="20">
        <f t="shared" si="106"/>
        <v>95.600000000000009</v>
      </c>
      <c r="K3427" s="106"/>
      <c r="L3427" s="114"/>
      <c r="M3427" s="114">
        <f>tblAquisições[[#This Row],[VALOR UNITARIO COMPRADO]]*tblAquisições[[#This Row],[QUANTIDADE COMPRADA]]</f>
        <v>0</v>
      </c>
      <c r="N3427" s="110">
        <f>K3427-tblAquisições[[#This Row],[QUANTIDADE PLANEJADA]]</f>
        <v>-10</v>
      </c>
      <c r="O3427" s="106" t="str">
        <f t="shared" si="107"/>
        <v>Faltando Comprar</v>
      </c>
    </row>
    <row r="3428" spans="1:15" ht="31.5">
      <c r="A3428" s="16" t="s">
        <v>17</v>
      </c>
      <c r="B3428" s="16" t="s">
        <v>31</v>
      </c>
      <c r="C3428" s="17" t="s">
        <v>19</v>
      </c>
      <c r="D3428" s="18" t="s">
        <v>1922</v>
      </c>
      <c r="E3428" s="18">
        <v>5</v>
      </c>
      <c r="F3428" s="18" t="s">
        <v>21</v>
      </c>
      <c r="G3428" s="18" t="s">
        <v>22</v>
      </c>
      <c r="H3428" s="18" t="s">
        <v>23</v>
      </c>
      <c r="I3428" s="19">
        <v>7.9</v>
      </c>
      <c r="J3428" s="20">
        <f t="shared" si="106"/>
        <v>39.5</v>
      </c>
      <c r="K3428" s="106"/>
      <c r="L3428" s="114"/>
      <c r="M3428" s="114">
        <f>tblAquisições[[#This Row],[VALOR UNITARIO COMPRADO]]*tblAquisições[[#This Row],[QUANTIDADE COMPRADA]]</f>
        <v>0</v>
      </c>
      <c r="N3428" s="110">
        <f>K3428-tblAquisições[[#This Row],[QUANTIDADE PLANEJADA]]</f>
        <v>-5</v>
      </c>
      <c r="O3428" s="106" t="str">
        <f t="shared" si="107"/>
        <v>Faltando Comprar</v>
      </c>
    </row>
    <row r="3429" spans="1:15" ht="31.5">
      <c r="A3429" s="16" t="s">
        <v>17</v>
      </c>
      <c r="B3429" s="16" t="s">
        <v>28</v>
      </c>
      <c r="C3429" s="17" t="s">
        <v>19</v>
      </c>
      <c r="D3429" s="18" t="s">
        <v>1923</v>
      </c>
      <c r="E3429" s="18">
        <v>10</v>
      </c>
      <c r="F3429" s="18" t="s">
        <v>21</v>
      </c>
      <c r="G3429" s="18" t="s">
        <v>22</v>
      </c>
      <c r="H3429" s="18" t="s">
        <v>23</v>
      </c>
      <c r="I3429" s="19">
        <v>60.55</v>
      </c>
      <c r="J3429" s="20">
        <f t="shared" si="106"/>
        <v>605.5</v>
      </c>
      <c r="K3429" s="106"/>
      <c r="L3429" s="114"/>
      <c r="M3429" s="114">
        <f>tblAquisições[[#This Row],[VALOR UNITARIO COMPRADO]]*tblAquisições[[#This Row],[QUANTIDADE COMPRADA]]</f>
        <v>0</v>
      </c>
      <c r="N3429" s="110">
        <f>K3429-tblAquisições[[#This Row],[QUANTIDADE PLANEJADA]]</f>
        <v>-10</v>
      </c>
      <c r="O3429" s="106" t="str">
        <f t="shared" si="107"/>
        <v>Faltando Comprar</v>
      </c>
    </row>
    <row r="3430" spans="1:15" ht="31.5">
      <c r="A3430" s="16" t="s">
        <v>17</v>
      </c>
      <c r="B3430" s="16" t="s">
        <v>31</v>
      </c>
      <c r="C3430" s="17" t="s">
        <v>19</v>
      </c>
      <c r="D3430" s="18" t="s">
        <v>1924</v>
      </c>
      <c r="E3430" s="18">
        <v>30</v>
      </c>
      <c r="F3430" s="18" t="s">
        <v>21</v>
      </c>
      <c r="G3430" s="18" t="s">
        <v>22</v>
      </c>
      <c r="H3430" s="18" t="s">
        <v>23</v>
      </c>
      <c r="I3430" s="19">
        <v>50.16</v>
      </c>
      <c r="J3430" s="20">
        <f t="shared" si="106"/>
        <v>1504.8</v>
      </c>
      <c r="K3430" s="106"/>
      <c r="L3430" s="114"/>
      <c r="M3430" s="114">
        <f>tblAquisições[[#This Row],[VALOR UNITARIO COMPRADO]]*tblAquisições[[#This Row],[QUANTIDADE COMPRADA]]</f>
        <v>0</v>
      </c>
      <c r="N3430" s="110">
        <f>K3430-tblAquisições[[#This Row],[QUANTIDADE PLANEJADA]]</f>
        <v>-30</v>
      </c>
      <c r="O3430" s="106" t="str">
        <f t="shared" si="107"/>
        <v>Faltando Comprar</v>
      </c>
    </row>
    <row r="3431" spans="1:15" ht="31.5">
      <c r="A3431" s="16" t="s">
        <v>17</v>
      </c>
      <c r="B3431" s="16" t="s">
        <v>18</v>
      </c>
      <c r="C3431" s="17" t="s">
        <v>19</v>
      </c>
      <c r="D3431" s="18" t="s">
        <v>1924</v>
      </c>
      <c r="E3431" s="18">
        <v>20</v>
      </c>
      <c r="F3431" s="18" t="s">
        <v>21</v>
      </c>
      <c r="G3431" s="18" t="s">
        <v>22</v>
      </c>
      <c r="H3431" s="18" t="s">
        <v>23</v>
      </c>
      <c r="I3431" s="19">
        <v>50.16</v>
      </c>
      <c r="J3431" s="20">
        <f t="shared" si="106"/>
        <v>1003.1999999999999</v>
      </c>
      <c r="K3431" s="106"/>
      <c r="L3431" s="114"/>
      <c r="M3431" s="114">
        <f>tblAquisições[[#This Row],[VALOR UNITARIO COMPRADO]]*tblAquisições[[#This Row],[QUANTIDADE COMPRADA]]</f>
        <v>0</v>
      </c>
      <c r="N3431" s="110">
        <f>K3431-tblAquisições[[#This Row],[QUANTIDADE PLANEJADA]]</f>
        <v>-20</v>
      </c>
      <c r="O3431" s="106" t="str">
        <f t="shared" si="107"/>
        <v>Faltando Comprar</v>
      </c>
    </row>
    <row r="3432" spans="1:15" ht="31.5">
      <c r="A3432" s="16" t="s">
        <v>17</v>
      </c>
      <c r="B3432" s="16" t="s">
        <v>24</v>
      </c>
      <c r="C3432" s="17" t="s">
        <v>19</v>
      </c>
      <c r="D3432" s="18" t="s">
        <v>1924</v>
      </c>
      <c r="E3432" s="18">
        <v>20</v>
      </c>
      <c r="F3432" s="18" t="s">
        <v>21</v>
      </c>
      <c r="G3432" s="18" t="s">
        <v>22</v>
      </c>
      <c r="H3432" s="18" t="s">
        <v>23</v>
      </c>
      <c r="I3432" s="19">
        <v>50.16</v>
      </c>
      <c r="J3432" s="20">
        <f t="shared" si="106"/>
        <v>1003.1999999999999</v>
      </c>
      <c r="K3432" s="106"/>
      <c r="L3432" s="114"/>
      <c r="M3432" s="114">
        <f>tblAquisições[[#This Row],[VALOR UNITARIO COMPRADO]]*tblAquisições[[#This Row],[QUANTIDADE COMPRADA]]</f>
        <v>0</v>
      </c>
      <c r="N3432" s="110">
        <f>K3432-tblAquisições[[#This Row],[QUANTIDADE PLANEJADA]]</f>
        <v>-20</v>
      </c>
      <c r="O3432" s="106" t="str">
        <f t="shared" si="107"/>
        <v>Faltando Comprar</v>
      </c>
    </row>
    <row r="3433" spans="1:15" ht="31.5">
      <c r="A3433" s="16" t="s">
        <v>17</v>
      </c>
      <c r="B3433" s="16" t="s">
        <v>25</v>
      </c>
      <c r="C3433" s="17" t="s">
        <v>19</v>
      </c>
      <c r="D3433" s="18" t="s">
        <v>1924</v>
      </c>
      <c r="E3433" s="18">
        <v>20</v>
      </c>
      <c r="F3433" s="18" t="s">
        <v>21</v>
      </c>
      <c r="G3433" s="18" t="s">
        <v>22</v>
      </c>
      <c r="H3433" s="18" t="s">
        <v>23</v>
      </c>
      <c r="I3433" s="19">
        <v>50.16</v>
      </c>
      <c r="J3433" s="20">
        <f t="shared" si="106"/>
        <v>1003.1999999999999</v>
      </c>
      <c r="K3433" s="106"/>
      <c r="L3433" s="114"/>
      <c r="M3433" s="114">
        <f>tblAquisições[[#This Row],[VALOR UNITARIO COMPRADO]]*tblAquisições[[#This Row],[QUANTIDADE COMPRADA]]</f>
        <v>0</v>
      </c>
      <c r="N3433" s="110">
        <f>K3433-tblAquisições[[#This Row],[QUANTIDADE PLANEJADA]]</f>
        <v>-20</v>
      </c>
      <c r="O3433" s="106" t="str">
        <f t="shared" si="107"/>
        <v>Faltando Comprar</v>
      </c>
    </row>
    <row r="3434" spans="1:15" ht="31.5">
      <c r="A3434" s="16" t="s">
        <v>17</v>
      </c>
      <c r="B3434" s="16" t="s">
        <v>28</v>
      </c>
      <c r="C3434" s="17" t="s">
        <v>19</v>
      </c>
      <c r="D3434" s="18" t="s">
        <v>1924</v>
      </c>
      <c r="E3434" s="18">
        <v>12</v>
      </c>
      <c r="F3434" s="18" t="s">
        <v>21</v>
      </c>
      <c r="G3434" s="18" t="s">
        <v>22</v>
      </c>
      <c r="H3434" s="18" t="s">
        <v>23</v>
      </c>
      <c r="I3434" s="19">
        <v>50.16</v>
      </c>
      <c r="J3434" s="20">
        <f t="shared" si="106"/>
        <v>601.91999999999996</v>
      </c>
      <c r="K3434" s="106"/>
      <c r="L3434" s="114"/>
      <c r="M3434" s="114">
        <f>tblAquisições[[#This Row],[VALOR UNITARIO COMPRADO]]*tblAquisições[[#This Row],[QUANTIDADE COMPRADA]]</f>
        <v>0</v>
      </c>
      <c r="N3434" s="110">
        <f>K3434-tblAquisições[[#This Row],[QUANTIDADE PLANEJADA]]</f>
        <v>-12</v>
      </c>
      <c r="O3434" s="106" t="str">
        <f t="shared" si="107"/>
        <v>Faltando Comprar</v>
      </c>
    </row>
    <row r="3435" spans="1:15" ht="47.25">
      <c r="A3435" s="16" t="s">
        <v>17</v>
      </c>
      <c r="B3435" s="16" t="s">
        <v>34</v>
      </c>
      <c r="C3435" s="17" t="s">
        <v>19</v>
      </c>
      <c r="D3435" s="18" t="s">
        <v>1925</v>
      </c>
      <c r="E3435" s="18">
        <v>200</v>
      </c>
      <c r="F3435" s="18" t="s">
        <v>313</v>
      </c>
      <c r="G3435" s="18" t="s">
        <v>22</v>
      </c>
      <c r="H3435" s="18" t="s">
        <v>23</v>
      </c>
      <c r="I3435" s="19">
        <v>13.82</v>
      </c>
      <c r="J3435" s="20">
        <f t="shared" si="106"/>
        <v>2764</v>
      </c>
      <c r="K3435" s="106"/>
      <c r="L3435" s="114"/>
      <c r="M3435" s="114">
        <f>tblAquisições[[#This Row],[VALOR UNITARIO COMPRADO]]*tblAquisições[[#This Row],[QUANTIDADE COMPRADA]]</f>
        <v>0</v>
      </c>
      <c r="N3435" s="110">
        <f>K3435-tblAquisições[[#This Row],[QUANTIDADE PLANEJADA]]</f>
        <v>-200</v>
      </c>
      <c r="O3435" s="106" t="str">
        <f t="shared" si="107"/>
        <v>Faltando Comprar</v>
      </c>
    </row>
    <row r="3436" spans="1:15" ht="31.5">
      <c r="A3436" s="16" t="s">
        <v>17</v>
      </c>
      <c r="B3436" s="16" t="s">
        <v>31</v>
      </c>
      <c r="C3436" s="17" t="s">
        <v>19</v>
      </c>
      <c r="D3436" s="18" t="s">
        <v>1926</v>
      </c>
      <c r="E3436" s="18">
        <v>30</v>
      </c>
      <c r="F3436" s="18" t="s">
        <v>21</v>
      </c>
      <c r="G3436" s="18" t="s">
        <v>22</v>
      </c>
      <c r="H3436" s="18" t="s">
        <v>23</v>
      </c>
      <c r="I3436" s="19">
        <v>45.08</v>
      </c>
      <c r="J3436" s="20">
        <f t="shared" si="106"/>
        <v>1352.3999999999999</v>
      </c>
      <c r="K3436" s="106"/>
      <c r="L3436" s="114"/>
      <c r="M3436" s="114">
        <f>tblAquisições[[#This Row],[VALOR UNITARIO COMPRADO]]*tblAquisições[[#This Row],[QUANTIDADE COMPRADA]]</f>
        <v>0</v>
      </c>
      <c r="N3436" s="110">
        <f>K3436-tblAquisições[[#This Row],[QUANTIDADE PLANEJADA]]</f>
        <v>-30</v>
      </c>
      <c r="O3436" s="106" t="str">
        <f t="shared" si="107"/>
        <v>Faltando Comprar</v>
      </c>
    </row>
    <row r="3437" spans="1:15" ht="31.5">
      <c r="A3437" s="16" t="s">
        <v>17</v>
      </c>
      <c r="B3437" s="16" t="s">
        <v>27</v>
      </c>
      <c r="C3437" s="17" t="s">
        <v>19</v>
      </c>
      <c r="D3437" s="18" t="s">
        <v>1927</v>
      </c>
      <c r="E3437" s="18">
        <v>12</v>
      </c>
      <c r="F3437" s="18" t="s">
        <v>324</v>
      </c>
      <c r="G3437" s="18" t="s">
        <v>22</v>
      </c>
      <c r="H3437" s="18" t="s">
        <v>23</v>
      </c>
      <c r="I3437" s="19">
        <v>346.13</v>
      </c>
      <c r="J3437" s="20">
        <f t="shared" si="106"/>
        <v>4153.5599999999995</v>
      </c>
      <c r="K3437" s="106"/>
      <c r="L3437" s="114"/>
      <c r="M3437" s="114">
        <f>tblAquisições[[#This Row],[VALOR UNITARIO COMPRADO]]*tblAquisições[[#This Row],[QUANTIDADE COMPRADA]]</f>
        <v>0</v>
      </c>
      <c r="N3437" s="110">
        <f>K3437-tblAquisições[[#This Row],[QUANTIDADE PLANEJADA]]</f>
        <v>-12</v>
      </c>
      <c r="O3437" s="106" t="str">
        <f t="shared" si="107"/>
        <v>Faltando Comprar</v>
      </c>
    </row>
    <row r="3438" spans="1:15" ht="31.5">
      <c r="A3438" s="16" t="s">
        <v>17</v>
      </c>
      <c r="B3438" s="16" t="s">
        <v>28</v>
      </c>
      <c r="C3438" s="17" t="s">
        <v>19</v>
      </c>
      <c r="D3438" s="18" t="s">
        <v>1927</v>
      </c>
      <c r="E3438" s="18">
        <v>10</v>
      </c>
      <c r="F3438" s="18" t="s">
        <v>324</v>
      </c>
      <c r="G3438" s="18" t="s">
        <v>22</v>
      </c>
      <c r="H3438" s="18" t="s">
        <v>23</v>
      </c>
      <c r="I3438" s="19">
        <v>346.13</v>
      </c>
      <c r="J3438" s="20">
        <f t="shared" si="106"/>
        <v>3461.3</v>
      </c>
      <c r="K3438" s="106"/>
      <c r="L3438" s="114"/>
      <c r="M3438" s="114">
        <f>tblAquisições[[#This Row],[VALOR UNITARIO COMPRADO]]*tblAquisições[[#This Row],[QUANTIDADE COMPRADA]]</f>
        <v>0</v>
      </c>
      <c r="N3438" s="110">
        <f>K3438-tblAquisições[[#This Row],[QUANTIDADE PLANEJADA]]</f>
        <v>-10</v>
      </c>
      <c r="O3438" s="106" t="str">
        <f t="shared" si="107"/>
        <v>Faltando Comprar</v>
      </c>
    </row>
    <row r="3439" spans="1:15" ht="31.5">
      <c r="A3439" s="16" t="s">
        <v>17</v>
      </c>
      <c r="B3439" s="16" t="s">
        <v>34</v>
      </c>
      <c r="C3439" s="17" t="s">
        <v>19</v>
      </c>
      <c r="D3439" s="18" t="s">
        <v>1928</v>
      </c>
      <c r="E3439" s="18">
        <v>48</v>
      </c>
      <c r="F3439" s="18" t="s">
        <v>324</v>
      </c>
      <c r="G3439" s="18" t="s">
        <v>22</v>
      </c>
      <c r="H3439" s="18" t="s">
        <v>23</v>
      </c>
      <c r="I3439" s="19">
        <v>11.35</v>
      </c>
      <c r="J3439" s="20">
        <f t="shared" si="106"/>
        <v>544.79999999999995</v>
      </c>
      <c r="K3439" s="106"/>
      <c r="L3439" s="114"/>
      <c r="M3439" s="114">
        <f>tblAquisições[[#This Row],[VALOR UNITARIO COMPRADO]]*tblAquisições[[#This Row],[QUANTIDADE COMPRADA]]</f>
        <v>0</v>
      </c>
      <c r="N3439" s="110">
        <f>K3439-tblAquisições[[#This Row],[QUANTIDADE PLANEJADA]]</f>
        <v>-48</v>
      </c>
      <c r="O3439" s="106" t="str">
        <f t="shared" si="107"/>
        <v>Faltando Comprar</v>
      </c>
    </row>
    <row r="3440" spans="1:15" ht="31.5">
      <c r="A3440" s="16" t="s">
        <v>17</v>
      </c>
      <c r="B3440" s="16" t="s">
        <v>41</v>
      </c>
      <c r="C3440" s="17" t="s">
        <v>19</v>
      </c>
      <c r="D3440" s="18" t="s">
        <v>1928</v>
      </c>
      <c r="E3440" s="18">
        <v>50</v>
      </c>
      <c r="F3440" s="18" t="s">
        <v>324</v>
      </c>
      <c r="G3440" s="18" t="s">
        <v>22</v>
      </c>
      <c r="H3440" s="18" t="s">
        <v>23</v>
      </c>
      <c r="I3440" s="19">
        <v>11.35</v>
      </c>
      <c r="J3440" s="20">
        <f t="shared" si="106"/>
        <v>567.5</v>
      </c>
      <c r="K3440" s="106"/>
      <c r="L3440" s="114"/>
      <c r="M3440" s="114">
        <f>tblAquisições[[#This Row],[VALOR UNITARIO COMPRADO]]*tblAquisições[[#This Row],[QUANTIDADE COMPRADA]]</f>
        <v>0</v>
      </c>
      <c r="N3440" s="110">
        <f>K3440-tblAquisições[[#This Row],[QUANTIDADE PLANEJADA]]</f>
        <v>-50</v>
      </c>
      <c r="O3440" s="106" t="str">
        <f t="shared" si="107"/>
        <v>Faltando Comprar</v>
      </c>
    </row>
    <row r="3441" spans="1:15" ht="31.5">
      <c r="A3441" s="16" t="s">
        <v>17</v>
      </c>
      <c r="B3441" s="16" t="s">
        <v>28</v>
      </c>
      <c r="C3441" s="17" t="s">
        <v>19</v>
      </c>
      <c r="D3441" s="18" t="s">
        <v>1928</v>
      </c>
      <c r="E3441" s="18">
        <v>8</v>
      </c>
      <c r="F3441" s="18" t="s">
        <v>324</v>
      </c>
      <c r="G3441" s="18" t="s">
        <v>22</v>
      </c>
      <c r="H3441" s="18" t="s">
        <v>65</v>
      </c>
      <c r="I3441" s="24">
        <v>116.28</v>
      </c>
      <c r="J3441" s="20">
        <f t="shared" si="106"/>
        <v>930.24</v>
      </c>
      <c r="K3441" s="106"/>
      <c r="L3441" s="114"/>
      <c r="M3441" s="114">
        <f>tblAquisições[[#This Row],[VALOR UNITARIO COMPRADO]]*tblAquisições[[#This Row],[QUANTIDADE COMPRADA]]</f>
        <v>0</v>
      </c>
      <c r="N3441" s="110">
        <f>K3441-tblAquisições[[#This Row],[QUANTIDADE PLANEJADA]]</f>
        <v>-8</v>
      </c>
      <c r="O3441" s="106" t="str">
        <f t="shared" si="107"/>
        <v>Faltando Comprar</v>
      </c>
    </row>
    <row r="3442" spans="1:15" ht="31.5">
      <c r="A3442" s="16" t="s">
        <v>17</v>
      </c>
      <c r="B3442" s="16" t="s">
        <v>28</v>
      </c>
      <c r="C3442" s="17" t="s">
        <v>19</v>
      </c>
      <c r="D3442" s="18" t="s">
        <v>1929</v>
      </c>
      <c r="E3442" s="18">
        <v>250</v>
      </c>
      <c r="F3442" s="18" t="s">
        <v>21</v>
      </c>
      <c r="G3442" s="18" t="s">
        <v>22</v>
      </c>
      <c r="H3442" s="18" t="s">
        <v>23</v>
      </c>
      <c r="I3442" s="19">
        <v>0.83</v>
      </c>
      <c r="J3442" s="20">
        <f t="shared" si="106"/>
        <v>207.5</v>
      </c>
      <c r="K3442" s="106"/>
      <c r="L3442" s="114"/>
      <c r="M3442" s="114">
        <f>tblAquisições[[#This Row],[VALOR UNITARIO COMPRADO]]*tblAquisições[[#This Row],[QUANTIDADE COMPRADA]]</f>
        <v>0</v>
      </c>
      <c r="N3442" s="110">
        <f>K3442-tblAquisições[[#This Row],[QUANTIDADE PLANEJADA]]</f>
        <v>-250</v>
      </c>
      <c r="O3442" s="106" t="str">
        <f t="shared" si="107"/>
        <v>Faltando Comprar</v>
      </c>
    </row>
    <row r="3443" spans="1:15" ht="47.25">
      <c r="A3443" s="16" t="s">
        <v>17</v>
      </c>
      <c r="B3443" s="16" t="s">
        <v>80</v>
      </c>
      <c r="C3443" s="17" t="s">
        <v>19</v>
      </c>
      <c r="D3443" s="18" t="s">
        <v>1930</v>
      </c>
      <c r="E3443" s="18">
        <v>100</v>
      </c>
      <c r="F3443" s="18" t="s">
        <v>147</v>
      </c>
      <c r="G3443" s="18" t="s">
        <v>39</v>
      </c>
      <c r="H3443" s="21"/>
      <c r="I3443" s="19">
        <v>14.42</v>
      </c>
      <c r="J3443" s="20">
        <f t="shared" si="106"/>
        <v>1442</v>
      </c>
      <c r="K3443" s="106"/>
      <c r="L3443" s="114"/>
      <c r="M3443" s="114">
        <f>tblAquisições[[#This Row],[VALOR UNITARIO COMPRADO]]*tblAquisições[[#This Row],[QUANTIDADE COMPRADA]]</f>
        <v>0</v>
      </c>
      <c r="N3443" s="110">
        <f>K3443-tblAquisições[[#This Row],[QUANTIDADE PLANEJADA]]</f>
        <v>-100</v>
      </c>
      <c r="O3443" s="106" t="str">
        <f t="shared" si="107"/>
        <v>Faltando Comprar</v>
      </c>
    </row>
    <row r="3444" spans="1:15" ht="31.5">
      <c r="A3444" s="16" t="s">
        <v>17</v>
      </c>
      <c r="B3444" s="16" t="s">
        <v>26</v>
      </c>
      <c r="C3444" s="17" t="s">
        <v>19</v>
      </c>
      <c r="D3444" s="18" t="s">
        <v>1931</v>
      </c>
      <c r="E3444" s="18">
        <v>100</v>
      </c>
      <c r="F3444" s="18" t="s">
        <v>30</v>
      </c>
      <c r="G3444" s="18" t="s">
        <v>22</v>
      </c>
      <c r="H3444" s="18" t="s">
        <v>83</v>
      </c>
      <c r="I3444" s="19">
        <v>9.5399999999999991</v>
      </c>
      <c r="J3444" s="20">
        <f t="shared" si="106"/>
        <v>953.99999999999989</v>
      </c>
      <c r="K3444" s="106"/>
      <c r="L3444" s="114"/>
      <c r="M3444" s="114">
        <f>tblAquisições[[#This Row],[VALOR UNITARIO COMPRADO]]*tblAquisições[[#This Row],[QUANTIDADE COMPRADA]]</f>
        <v>0</v>
      </c>
      <c r="N3444" s="110">
        <f>K3444-tblAquisições[[#This Row],[QUANTIDADE PLANEJADA]]</f>
        <v>-100</v>
      </c>
      <c r="O3444" s="106" t="str">
        <f t="shared" si="107"/>
        <v>Faltando Comprar</v>
      </c>
    </row>
    <row r="3445" spans="1:15" ht="31.5">
      <c r="A3445" s="16" t="s">
        <v>17</v>
      </c>
      <c r="B3445" s="16" t="s">
        <v>18</v>
      </c>
      <c r="C3445" s="17" t="s">
        <v>19</v>
      </c>
      <c r="D3445" s="18" t="s">
        <v>1932</v>
      </c>
      <c r="E3445" s="18">
        <v>300</v>
      </c>
      <c r="F3445" s="18" t="s">
        <v>30</v>
      </c>
      <c r="G3445" s="18" t="s">
        <v>22</v>
      </c>
      <c r="H3445" s="18" t="s">
        <v>83</v>
      </c>
      <c r="I3445" s="19">
        <v>1.49</v>
      </c>
      <c r="J3445" s="20">
        <f t="shared" si="106"/>
        <v>447</v>
      </c>
      <c r="K3445" s="106"/>
      <c r="L3445" s="114"/>
      <c r="M3445" s="114">
        <f>tblAquisições[[#This Row],[VALOR UNITARIO COMPRADO]]*tblAquisições[[#This Row],[QUANTIDADE COMPRADA]]</f>
        <v>0</v>
      </c>
      <c r="N3445" s="110">
        <f>K3445-tblAquisições[[#This Row],[QUANTIDADE PLANEJADA]]</f>
        <v>-300</v>
      </c>
      <c r="O3445" s="106" t="str">
        <f t="shared" si="107"/>
        <v>Faltando Comprar</v>
      </c>
    </row>
    <row r="3446" spans="1:15" ht="31.5">
      <c r="A3446" s="16" t="s">
        <v>17</v>
      </c>
      <c r="B3446" s="16" t="s">
        <v>24</v>
      </c>
      <c r="C3446" s="17" t="s">
        <v>19</v>
      </c>
      <c r="D3446" s="18" t="s">
        <v>1932</v>
      </c>
      <c r="E3446" s="18">
        <v>300</v>
      </c>
      <c r="F3446" s="18" t="s">
        <v>30</v>
      </c>
      <c r="G3446" s="18" t="s">
        <v>22</v>
      </c>
      <c r="H3446" s="18" t="s">
        <v>83</v>
      </c>
      <c r="I3446" s="19">
        <v>1.49</v>
      </c>
      <c r="J3446" s="20">
        <f t="shared" si="106"/>
        <v>447</v>
      </c>
      <c r="K3446" s="106"/>
      <c r="L3446" s="114"/>
      <c r="M3446" s="114">
        <f>tblAquisições[[#This Row],[VALOR UNITARIO COMPRADO]]*tblAquisições[[#This Row],[QUANTIDADE COMPRADA]]</f>
        <v>0</v>
      </c>
      <c r="N3446" s="110">
        <f>K3446-tblAquisições[[#This Row],[QUANTIDADE PLANEJADA]]</f>
        <v>-300</v>
      </c>
      <c r="O3446" s="106" t="str">
        <f t="shared" si="107"/>
        <v>Faltando Comprar</v>
      </c>
    </row>
    <row r="3447" spans="1:15" ht="31.5">
      <c r="A3447" s="16" t="s">
        <v>17</v>
      </c>
      <c r="B3447" s="16" t="s">
        <v>25</v>
      </c>
      <c r="C3447" s="17" t="s">
        <v>19</v>
      </c>
      <c r="D3447" s="18" t="s">
        <v>1932</v>
      </c>
      <c r="E3447" s="18">
        <v>300</v>
      </c>
      <c r="F3447" s="18" t="s">
        <v>30</v>
      </c>
      <c r="G3447" s="18" t="s">
        <v>22</v>
      </c>
      <c r="H3447" s="18" t="s">
        <v>83</v>
      </c>
      <c r="I3447" s="19">
        <v>1.49</v>
      </c>
      <c r="J3447" s="20">
        <f t="shared" si="106"/>
        <v>447</v>
      </c>
      <c r="K3447" s="106"/>
      <c r="L3447" s="114"/>
      <c r="M3447" s="114">
        <f>tblAquisições[[#This Row],[VALOR UNITARIO COMPRADO]]*tblAquisições[[#This Row],[QUANTIDADE COMPRADA]]</f>
        <v>0</v>
      </c>
      <c r="N3447" s="110">
        <f>K3447-tblAquisições[[#This Row],[QUANTIDADE PLANEJADA]]</f>
        <v>-300</v>
      </c>
      <c r="O3447" s="106" t="str">
        <f t="shared" si="107"/>
        <v>Faltando Comprar</v>
      </c>
    </row>
    <row r="3448" spans="1:15" ht="31.5">
      <c r="A3448" s="16" t="s">
        <v>17</v>
      </c>
      <c r="B3448" s="16" t="s">
        <v>28</v>
      </c>
      <c r="C3448" s="17" t="s">
        <v>19</v>
      </c>
      <c r="D3448" s="18" t="s">
        <v>1933</v>
      </c>
      <c r="E3448" s="18">
        <v>60</v>
      </c>
      <c r="F3448" s="18" t="s">
        <v>21</v>
      </c>
      <c r="G3448" s="18" t="s">
        <v>22</v>
      </c>
      <c r="H3448" s="18" t="s">
        <v>23</v>
      </c>
      <c r="I3448" s="19">
        <v>23.36</v>
      </c>
      <c r="J3448" s="20">
        <f t="shared" si="106"/>
        <v>1401.6</v>
      </c>
      <c r="K3448" s="106"/>
      <c r="L3448" s="114"/>
      <c r="M3448" s="114">
        <f>tblAquisições[[#This Row],[VALOR UNITARIO COMPRADO]]*tblAquisições[[#This Row],[QUANTIDADE COMPRADA]]</f>
        <v>0</v>
      </c>
      <c r="N3448" s="110">
        <f>K3448-tblAquisições[[#This Row],[QUANTIDADE PLANEJADA]]</f>
        <v>-60</v>
      </c>
      <c r="O3448" s="106" t="str">
        <f t="shared" si="107"/>
        <v>Faltando Comprar</v>
      </c>
    </row>
    <row r="3449" spans="1:15" ht="47.25">
      <c r="A3449" s="16" t="s">
        <v>17</v>
      </c>
      <c r="B3449" s="16" t="s">
        <v>80</v>
      </c>
      <c r="C3449" s="17" t="s">
        <v>19</v>
      </c>
      <c r="D3449" s="18" t="s">
        <v>1934</v>
      </c>
      <c r="E3449" s="18">
        <v>10</v>
      </c>
      <c r="F3449" s="18" t="s">
        <v>147</v>
      </c>
      <c r="G3449" s="18" t="s">
        <v>39</v>
      </c>
      <c r="H3449" s="18" t="s">
        <v>100</v>
      </c>
      <c r="I3449" s="19">
        <v>23.56</v>
      </c>
      <c r="J3449" s="20">
        <f t="shared" si="106"/>
        <v>235.6</v>
      </c>
      <c r="K3449" s="106"/>
      <c r="L3449" s="114"/>
      <c r="M3449" s="114">
        <f>tblAquisições[[#This Row],[VALOR UNITARIO COMPRADO]]*tblAquisições[[#This Row],[QUANTIDADE COMPRADA]]</f>
        <v>0</v>
      </c>
      <c r="N3449" s="110">
        <f>K3449-tblAquisições[[#This Row],[QUANTIDADE PLANEJADA]]</f>
        <v>-10</v>
      </c>
      <c r="O3449" s="106" t="str">
        <f t="shared" si="107"/>
        <v>Faltando Comprar</v>
      </c>
    </row>
    <row r="3450" spans="1:15" ht="47.25">
      <c r="A3450" s="16" t="s">
        <v>17</v>
      </c>
      <c r="B3450" s="16" t="s">
        <v>28</v>
      </c>
      <c r="C3450" s="17" t="s">
        <v>19</v>
      </c>
      <c r="D3450" s="18" t="s">
        <v>1935</v>
      </c>
      <c r="E3450" s="18">
        <v>5</v>
      </c>
      <c r="F3450" s="18" t="s">
        <v>78</v>
      </c>
      <c r="G3450" s="18" t="s">
        <v>22</v>
      </c>
      <c r="H3450" s="18" t="s">
        <v>65</v>
      </c>
      <c r="I3450" s="24">
        <v>75</v>
      </c>
      <c r="J3450" s="20">
        <f t="shared" si="106"/>
        <v>375</v>
      </c>
      <c r="K3450" s="106"/>
      <c r="L3450" s="114"/>
      <c r="M3450" s="114">
        <f>tblAquisições[[#This Row],[VALOR UNITARIO COMPRADO]]*tblAquisições[[#This Row],[QUANTIDADE COMPRADA]]</f>
        <v>0</v>
      </c>
      <c r="N3450" s="110">
        <f>K3450-tblAquisições[[#This Row],[QUANTIDADE PLANEJADA]]</f>
        <v>-5</v>
      </c>
      <c r="O3450" s="106" t="str">
        <f t="shared" si="107"/>
        <v>Faltando Comprar</v>
      </c>
    </row>
    <row r="3451" spans="1:15" ht="31.5">
      <c r="A3451" s="16" t="s">
        <v>17</v>
      </c>
      <c r="B3451" s="16" t="s">
        <v>80</v>
      </c>
      <c r="C3451" s="17" t="s">
        <v>19</v>
      </c>
      <c r="D3451" s="18" t="s">
        <v>1936</v>
      </c>
      <c r="E3451" s="18">
        <v>3</v>
      </c>
      <c r="F3451" s="18" t="s">
        <v>468</v>
      </c>
      <c r="G3451" s="18" t="s">
        <v>39</v>
      </c>
      <c r="H3451" s="21"/>
      <c r="I3451" s="19">
        <v>158.11000000000001</v>
      </c>
      <c r="J3451" s="20">
        <f t="shared" si="106"/>
        <v>474.33000000000004</v>
      </c>
      <c r="K3451" s="106"/>
      <c r="L3451" s="114"/>
      <c r="M3451" s="114">
        <f>tblAquisições[[#This Row],[VALOR UNITARIO COMPRADO]]*tblAquisições[[#This Row],[QUANTIDADE COMPRADA]]</f>
        <v>0</v>
      </c>
      <c r="N3451" s="110">
        <f>K3451-tblAquisições[[#This Row],[QUANTIDADE PLANEJADA]]</f>
        <v>-3</v>
      </c>
      <c r="O3451" s="106" t="str">
        <f t="shared" si="107"/>
        <v>Faltando Comprar</v>
      </c>
    </row>
    <row r="3452" spans="1:15" ht="31.5">
      <c r="A3452" s="16" t="s">
        <v>17</v>
      </c>
      <c r="B3452" s="16" t="s">
        <v>41</v>
      </c>
      <c r="C3452" s="17" t="s">
        <v>19</v>
      </c>
      <c r="D3452" s="18" t="s">
        <v>1937</v>
      </c>
      <c r="E3452" s="18">
        <v>10</v>
      </c>
      <c r="F3452" s="18" t="s">
        <v>21</v>
      </c>
      <c r="G3452" s="18" t="s">
        <v>22</v>
      </c>
      <c r="H3452" s="18" t="s">
        <v>23</v>
      </c>
      <c r="I3452" s="19">
        <v>599.98</v>
      </c>
      <c r="J3452" s="20">
        <f t="shared" si="106"/>
        <v>5999.8</v>
      </c>
      <c r="K3452" s="106"/>
      <c r="L3452" s="114"/>
      <c r="M3452" s="114">
        <f>tblAquisições[[#This Row],[VALOR UNITARIO COMPRADO]]*tblAquisições[[#This Row],[QUANTIDADE COMPRADA]]</f>
        <v>0</v>
      </c>
      <c r="N3452" s="110">
        <f>K3452-tblAquisições[[#This Row],[QUANTIDADE PLANEJADA]]</f>
        <v>-10</v>
      </c>
      <c r="O3452" s="106" t="str">
        <f t="shared" si="107"/>
        <v>Faltando Comprar</v>
      </c>
    </row>
    <row r="3453" spans="1:15" ht="31.5">
      <c r="A3453" s="16" t="s">
        <v>17</v>
      </c>
      <c r="B3453" s="16" t="s">
        <v>28</v>
      </c>
      <c r="C3453" s="17" t="s">
        <v>19</v>
      </c>
      <c r="D3453" s="18" t="s">
        <v>1937</v>
      </c>
      <c r="E3453" s="18">
        <v>60</v>
      </c>
      <c r="F3453" s="18" t="s">
        <v>21</v>
      </c>
      <c r="G3453" s="18" t="s">
        <v>22</v>
      </c>
      <c r="H3453" s="18" t="s">
        <v>23</v>
      </c>
      <c r="I3453" s="19">
        <v>599.98</v>
      </c>
      <c r="J3453" s="20">
        <f t="shared" si="106"/>
        <v>35998.800000000003</v>
      </c>
      <c r="K3453" s="106"/>
      <c r="L3453" s="114"/>
      <c r="M3453" s="114">
        <f>tblAquisições[[#This Row],[VALOR UNITARIO COMPRADO]]*tblAquisições[[#This Row],[QUANTIDADE COMPRADA]]</f>
        <v>0</v>
      </c>
      <c r="N3453" s="110">
        <f>K3453-tblAquisições[[#This Row],[QUANTIDADE PLANEJADA]]</f>
        <v>-60</v>
      </c>
      <c r="O3453" s="106" t="str">
        <f t="shared" si="107"/>
        <v>Faltando Comprar</v>
      </c>
    </row>
    <row r="3454" spans="1:15" ht="47.25">
      <c r="A3454" s="16" t="s">
        <v>17</v>
      </c>
      <c r="B3454" s="16" t="s">
        <v>80</v>
      </c>
      <c r="C3454" s="17" t="s">
        <v>19</v>
      </c>
      <c r="D3454" s="18" t="s">
        <v>1938</v>
      </c>
      <c r="E3454" s="18">
        <v>1</v>
      </c>
      <c r="F3454" s="18" t="s">
        <v>147</v>
      </c>
      <c r="G3454" s="18" t="s">
        <v>39</v>
      </c>
      <c r="H3454" s="21"/>
      <c r="I3454" s="19">
        <v>181.86</v>
      </c>
      <c r="J3454" s="20">
        <f t="shared" si="106"/>
        <v>181.86</v>
      </c>
      <c r="K3454" s="106"/>
      <c r="L3454" s="114"/>
      <c r="M3454" s="114">
        <f>tblAquisições[[#This Row],[VALOR UNITARIO COMPRADO]]*tblAquisições[[#This Row],[QUANTIDADE COMPRADA]]</f>
        <v>0</v>
      </c>
      <c r="N3454" s="110">
        <f>K3454-tblAquisições[[#This Row],[QUANTIDADE PLANEJADA]]</f>
        <v>-1</v>
      </c>
      <c r="O3454" s="106" t="str">
        <f t="shared" si="107"/>
        <v>Faltando Comprar</v>
      </c>
    </row>
    <row r="3455" spans="1:15" ht="31.5">
      <c r="A3455" s="16" t="s">
        <v>17</v>
      </c>
      <c r="B3455" s="16" t="s">
        <v>28</v>
      </c>
      <c r="C3455" s="17" t="s">
        <v>19</v>
      </c>
      <c r="D3455" s="18" t="s">
        <v>1939</v>
      </c>
      <c r="E3455" s="18">
        <v>10</v>
      </c>
      <c r="F3455" s="18" t="s">
        <v>170</v>
      </c>
      <c r="G3455" s="18" t="s">
        <v>22</v>
      </c>
      <c r="H3455" s="18" t="s">
        <v>23</v>
      </c>
      <c r="I3455" s="19">
        <v>58.19</v>
      </c>
      <c r="J3455" s="20">
        <f t="shared" si="106"/>
        <v>581.9</v>
      </c>
      <c r="K3455" s="106"/>
      <c r="L3455" s="114"/>
      <c r="M3455" s="114">
        <f>tblAquisições[[#This Row],[VALOR UNITARIO COMPRADO]]*tblAquisições[[#This Row],[QUANTIDADE COMPRADA]]</f>
        <v>0</v>
      </c>
      <c r="N3455" s="110">
        <f>K3455-tblAquisições[[#This Row],[QUANTIDADE PLANEJADA]]</f>
        <v>-10</v>
      </c>
      <c r="O3455" s="106" t="str">
        <f t="shared" si="107"/>
        <v>Faltando Comprar</v>
      </c>
    </row>
    <row r="3456" spans="1:15" ht="31.5">
      <c r="A3456" s="16" t="s">
        <v>17</v>
      </c>
      <c r="B3456" s="16" t="s">
        <v>28</v>
      </c>
      <c r="C3456" s="17" t="s">
        <v>19</v>
      </c>
      <c r="D3456" s="18" t="s">
        <v>1940</v>
      </c>
      <c r="E3456" s="18">
        <v>10</v>
      </c>
      <c r="F3456" s="18" t="s">
        <v>170</v>
      </c>
      <c r="G3456" s="18" t="s">
        <v>22</v>
      </c>
      <c r="H3456" s="18" t="s">
        <v>23</v>
      </c>
      <c r="I3456" s="19">
        <v>50.59</v>
      </c>
      <c r="J3456" s="20">
        <f t="shared" si="106"/>
        <v>505.90000000000003</v>
      </c>
      <c r="K3456" s="106"/>
      <c r="L3456" s="114"/>
      <c r="M3456" s="114">
        <f>tblAquisições[[#This Row],[VALOR UNITARIO COMPRADO]]*tblAquisições[[#This Row],[QUANTIDADE COMPRADA]]</f>
        <v>0</v>
      </c>
      <c r="N3456" s="110">
        <f>K3456-tblAquisições[[#This Row],[QUANTIDADE PLANEJADA]]</f>
        <v>-10</v>
      </c>
      <c r="O3456" s="106" t="str">
        <f t="shared" si="107"/>
        <v>Faltando Comprar</v>
      </c>
    </row>
    <row r="3457" spans="1:15" ht="31.5">
      <c r="A3457" s="16" t="s">
        <v>17</v>
      </c>
      <c r="B3457" s="16" t="s">
        <v>18</v>
      </c>
      <c r="C3457" s="17" t="s">
        <v>19</v>
      </c>
      <c r="D3457" s="18" t="s">
        <v>1941</v>
      </c>
      <c r="E3457" s="18">
        <v>2</v>
      </c>
      <c r="F3457" s="18" t="s">
        <v>170</v>
      </c>
      <c r="G3457" s="18" t="s">
        <v>22</v>
      </c>
      <c r="H3457" s="18" t="s">
        <v>23</v>
      </c>
      <c r="I3457" s="19">
        <v>57.9</v>
      </c>
      <c r="J3457" s="20">
        <f t="shared" si="106"/>
        <v>115.8</v>
      </c>
      <c r="K3457" s="106"/>
      <c r="L3457" s="114"/>
      <c r="M3457" s="114">
        <f>tblAquisições[[#This Row],[VALOR UNITARIO COMPRADO]]*tblAquisições[[#This Row],[QUANTIDADE COMPRADA]]</f>
        <v>0</v>
      </c>
      <c r="N3457" s="110">
        <f>K3457-tblAquisições[[#This Row],[QUANTIDADE PLANEJADA]]</f>
        <v>-2</v>
      </c>
      <c r="O3457" s="106" t="str">
        <f t="shared" si="107"/>
        <v>Faltando Comprar</v>
      </c>
    </row>
    <row r="3458" spans="1:15" ht="31.5">
      <c r="A3458" s="16" t="s">
        <v>17</v>
      </c>
      <c r="B3458" s="16" t="s">
        <v>24</v>
      </c>
      <c r="C3458" s="17" t="s">
        <v>19</v>
      </c>
      <c r="D3458" s="18" t="s">
        <v>1941</v>
      </c>
      <c r="E3458" s="18">
        <v>2</v>
      </c>
      <c r="F3458" s="18" t="s">
        <v>170</v>
      </c>
      <c r="G3458" s="18" t="s">
        <v>22</v>
      </c>
      <c r="H3458" s="18" t="s">
        <v>23</v>
      </c>
      <c r="I3458" s="19">
        <v>57.9</v>
      </c>
      <c r="J3458" s="20">
        <f t="shared" ref="J3458:J3521" si="108">E3458*I3458</f>
        <v>115.8</v>
      </c>
      <c r="K3458" s="106"/>
      <c r="L3458" s="114"/>
      <c r="M3458" s="114">
        <f>tblAquisições[[#This Row],[VALOR UNITARIO COMPRADO]]*tblAquisições[[#This Row],[QUANTIDADE COMPRADA]]</f>
        <v>0</v>
      </c>
      <c r="N3458" s="110">
        <f>K3458-tblAquisições[[#This Row],[QUANTIDADE PLANEJADA]]</f>
        <v>-2</v>
      </c>
      <c r="O3458" s="106" t="str">
        <f t="shared" ref="O3458:O3521" si="109">IF(K3458=E3458,"OK",IF(K3458&lt;E3458,"Faltando Comprar","Excedente"))</f>
        <v>Faltando Comprar</v>
      </c>
    </row>
    <row r="3459" spans="1:15" ht="31.5">
      <c r="A3459" s="16" t="s">
        <v>17</v>
      </c>
      <c r="B3459" s="16" t="s">
        <v>28</v>
      </c>
      <c r="C3459" s="17" t="s">
        <v>19</v>
      </c>
      <c r="D3459" s="18" t="s">
        <v>1942</v>
      </c>
      <c r="E3459" s="18">
        <v>9</v>
      </c>
      <c r="F3459" s="18" t="s">
        <v>21</v>
      </c>
      <c r="G3459" s="18" t="s">
        <v>22</v>
      </c>
      <c r="H3459" s="18" t="s">
        <v>53</v>
      </c>
      <c r="I3459" s="19">
        <v>142.66999999999999</v>
      </c>
      <c r="J3459" s="20">
        <f t="shared" si="108"/>
        <v>1284.03</v>
      </c>
      <c r="K3459" s="106"/>
      <c r="L3459" s="114"/>
      <c r="M3459" s="114">
        <f>tblAquisições[[#This Row],[VALOR UNITARIO COMPRADO]]*tblAquisições[[#This Row],[QUANTIDADE COMPRADA]]</f>
        <v>0</v>
      </c>
      <c r="N3459" s="110">
        <f>K3459-tblAquisições[[#This Row],[QUANTIDADE PLANEJADA]]</f>
        <v>-9</v>
      </c>
      <c r="O3459" s="106" t="str">
        <f t="shared" si="109"/>
        <v>Faltando Comprar</v>
      </c>
    </row>
    <row r="3460" spans="1:15" ht="47.25">
      <c r="A3460" s="16" t="s">
        <v>17</v>
      </c>
      <c r="B3460" s="16" t="s">
        <v>31</v>
      </c>
      <c r="C3460" s="17" t="s">
        <v>19</v>
      </c>
      <c r="D3460" s="18" t="s">
        <v>1943</v>
      </c>
      <c r="E3460" s="18">
        <v>10</v>
      </c>
      <c r="F3460" s="18" t="s">
        <v>78</v>
      </c>
      <c r="G3460" s="18" t="s">
        <v>22</v>
      </c>
      <c r="H3460" s="18" t="s">
        <v>23</v>
      </c>
      <c r="I3460" s="19">
        <v>7.5</v>
      </c>
      <c r="J3460" s="20">
        <f t="shared" si="108"/>
        <v>75</v>
      </c>
      <c r="K3460" s="106"/>
      <c r="L3460" s="114"/>
      <c r="M3460" s="114">
        <f>tblAquisições[[#This Row],[VALOR UNITARIO COMPRADO]]*tblAquisições[[#This Row],[QUANTIDADE COMPRADA]]</f>
        <v>0</v>
      </c>
      <c r="N3460" s="110">
        <f>K3460-tblAquisições[[#This Row],[QUANTIDADE PLANEJADA]]</f>
        <v>-10</v>
      </c>
      <c r="O3460" s="106" t="str">
        <f t="shared" si="109"/>
        <v>Faltando Comprar</v>
      </c>
    </row>
    <row r="3461" spans="1:15" ht="47.25">
      <c r="A3461" s="16" t="s">
        <v>17</v>
      </c>
      <c r="B3461" s="16" t="s">
        <v>28</v>
      </c>
      <c r="C3461" s="17" t="s">
        <v>19</v>
      </c>
      <c r="D3461" s="18" t="s">
        <v>1943</v>
      </c>
      <c r="E3461" s="18">
        <v>30</v>
      </c>
      <c r="F3461" s="18" t="s">
        <v>78</v>
      </c>
      <c r="G3461" s="18" t="s">
        <v>22</v>
      </c>
      <c r="H3461" s="18" t="s">
        <v>23</v>
      </c>
      <c r="I3461" s="19">
        <v>7.5</v>
      </c>
      <c r="J3461" s="20">
        <f t="shared" si="108"/>
        <v>225</v>
      </c>
      <c r="K3461" s="106"/>
      <c r="L3461" s="114"/>
      <c r="M3461" s="114">
        <f>tblAquisições[[#This Row],[VALOR UNITARIO COMPRADO]]*tblAquisições[[#This Row],[QUANTIDADE COMPRADA]]</f>
        <v>0</v>
      </c>
      <c r="N3461" s="110">
        <f>K3461-tblAquisições[[#This Row],[QUANTIDADE PLANEJADA]]</f>
        <v>-30</v>
      </c>
      <c r="O3461" s="106" t="str">
        <f t="shared" si="109"/>
        <v>Faltando Comprar</v>
      </c>
    </row>
    <row r="3462" spans="1:15" ht="31.5">
      <c r="A3462" s="16" t="s">
        <v>17</v>
      </c>
      <c r="B3462" s="16" t="s">
        <v>34</v>
      </c>
      <c r="C3462" s="17" t="s">
        <v>19</v>
      </c>
      <c r="D3462" s="18" t="s">
        <v>1944</v>
      </c>
      <c r="E3462" s="18">
        <v>20</v>
      </c>
      <c r="F3462" s="18" t="s">
        <v>21</v>
      </c>
      <c r="G3462" s="18" t="s">
        <v>22</v>
      </c>
      <c r="H3462" s="18" t="s">
        <v>23</v>
      </c>
      <c r="I3462" s="19">
        <v>13.37</v>
      </c>
      <c r="J3462" s="20">
        <f t="shared" si="108"/>
        <v>267.39999999999998</v>
      </c>
      <c r="K3462" s="106"/>
      <c r="L3462" s="114"/>
      <c r="M3462" s="114">
        <f>tblAquisições[[#This Row],[VALOR UNITARIO COMPRADO]]*tblAquisições[[#This Row],[QUANTIDADE COMPRADA]]</f>
        <v>0</v>
      </c>
      <c r="N3462" s="110">
        <f>K3462-tblAquisições[[#This Row],[QUANTIDADE PLANEJADA]]</f>
        <v>-20</v>
      </c>
      <c r="O3462" s="106" t="str">
        <f t="shared" si="109"/>
        <v>Faltando Comprar</v>
      </c>
    </row>
    <row r="3463" spans="1:15" ht="31.5">
      <c r="A3463" s="16" t="s">
        <v>17</v>
      </c>
      <c r="B3463" s="16" t="s">
        <v>31</v>
      </c>
      <c r="C3463" s="17" t="s">
        <v>19</v>
      </c>
      <c r="D3463" s="18" t="s">
        <v>1944</v>
      </c>
      <c r="E3463" s="18">
        <v>90</v>
      </c>
      <c r="F3463" s="18" t="s">
        <v>21</v>
      </c>
      <c r="G3463" s="18" t="s">
        <v>22</v>
      </c>
      <c r="H3463" s="18" t="s">
        <v>23</v>
      </c>
      <c r="I3463" s="19">
        <v>13.37</v>
      </c>
      <c r="J3463" s="20">
        <f t="shared" si="108"/>
        <v>1203.3</v>
      </c>
      <c r="K3463" s="106"/>
      <c r="L3463" s="114"/>
      <c r="M3463" s="114">
        <f>tblAquisições[[#This Row],[VALOR UNITARIO COMPRADO]]*tblAquisições[[#This Row],[QUANTIDADE COMPRADA]]</f>
        <v>0</v>
      </c>
      <c r="N3463" s="110">
        <f>K3463-tblAquisições[[#This Row],[QUANTIDADE PLANEJADA]]</f>
        <v>-90</v>
      </c>
      <c r="O3463" s="106" t="str">
        <f t="shared" si="109"/>
        <v>Faltando Comprar</v>
      </c>
    </row>
    <row r="3464" spans="1:15" ht="31.5">
      <c r="A3464" s="16" t="s">
        <v>17</v>
      </c>
      <c r="B3464" s="16" t="s">
        <v>28</v>
      </c>
      <c r="C3464" s="17" t="s">
        <v>19</v>
      </c>
      <c r="D3464" s="18" t="s">
        <v>1944</v>
      </c>
      <c r="E3464" s="18">
        <v>24</v>
      </c>
      <c r="F3464" s="18" t="s">
        <v>21</v>
      </c>
      <c r="G3464" s="18" t="s">
        <v>22</v>
      </c>
      <c r="H3464" s="18" t="s">
        <v>23</v>
      </c>
      <c r="I3464" s="19">
        <v>13.37</v>
      </c>
      <c r="J3464" s="20">
        <f t="shared" si="108"/>
        <v>320.88</v>
      </c>
      <c r="K3464" s="106"/>
      <c r="L3464" s="114"/>
      <c r="M3464" s="114">
        <f>tblAquisições[[#This Row],[VALOR UNITARIO COMPRADO]]*tblAquisições[[#This Row],[QUANTIDADE COMPRADA]]</f>
        <v>0</v>
      </c>
      <c r="N3464" s="110">
        <f>K3464-tblAquisições[[#This Row],[QUANTIDADE PLANEJADA]]</f>
        <v>-24</v>
      </c>
      <c r="O3464" s="106" t="str">
        <f t="shared" si="109"/>
        <v>Faltando Comprar</v>
      </c>
    </row>
    <row r="3465" spans="1:15" ht="31.5">
      <c r="A3465" s="16" t="s">
        <v>17</v>
      </c>
      <c r="B3465" s="16" t="s">
        <v>31</v>
      </c>
      <c r="C3465" s="17" t="s">
        <v>19</v>
      </c>
      <c r="D3465" s="18" t="s">
        <v>1945</v>
      </c>
      <c r="E3465" s="18">
        <v>25</v>
      </c>
      <c r="F3465" s="18" t="s">
        <v>21</v>
      </c>
      <c r="G3465" s="18" t="s">
        <v>22</v>
      </c>
      <c r="H3465" s="18" t="s">
        <v>23</v>
      </c>
      <c r="I3465" s="19">
        <v>0.66</v>
      </c>
      <c r="J3465" s="20">
        <f t="shared" si="108"/>
        <v>16.5</v>
      </c>
      <c r="K3465" s="106"/>
      <c r="L3465" s="114"/>
      <c r="M3465" s="114">
        <f>tblAquisições[[#This Row],[VALOR UNITARIO COMPRADO]]*tblAquisições[[#This Row],[QUANTIDADE COMPRADA]]</f>
        <v>0</v>
      </c>
      <c r="N3465" s="110">
        <f>K3465-tblAquisições[[#This Row],[QUANTIDADE PLANEJADA]]</f>
        <v>-25</v>
      </c>
      <c r="O3465" s="106" t="str">
        <f t="shared" si="109"/>
        <v>Faltando Comprar</v>
      </c>
    </row>
    <row r="3466" spans="1:15" ht="31.5">
      <c r="A3466" s="16" t="s">
        <v>17</v>
      </c>
      <c r="B3466" s="16" t="s">
        <v>1946</v>
      </c>
      <c r="C3466" s="17" t="s">
        <v>19</v>
      </c>
      <c r="D3466" s="18" t="s">
        <v>1947</v>
      </c>
      <c r="E3466" s="18">
        <v>1000</v>
      </c>
      <c r="F3466" s="18" t="s">
        <v>38</v>
      </c>
      <c r="G3466" s="18" t="s">
        <v>39</v>
      </c>
      <c r="H3466" s="18" t="s">
        <v>23</v>
      </c>
      <c r="I3466" s="19">
        <v>30.66</v>
      </c>
      <c r="J3466" s="20">
        <f t="shared" si="108"/>
        <v>30660</v>
      </c>
      <c r="K3466" s="106"/>
      <c r="L3466" s="114"/>
      <c r="M3466" s="114">
        <f>tblAquisições[[#This Row],[VALOR UNITARIO COMPRADO]]*tblAquisições[[#This Row],[QUANTIDADE COMPRADA]]</f>
        <v>0</v>
      </c>
      <c r="N3466" s="110">
        <f>K3466-tblAquisições[[#This Row],[QUANTIDADE PLANEJADA]]</f>
        <v>-1000</v>
      </c>
      <c r="O3466" s="106" t="str">
        <f t="shared" si="109"/>
        <v>Faltando Comprar</v>
      </c>
    </row>
    <row r="3467" spans="1:15" ht="31.5">
      <c r="A3467" s="16" t="s">
        <v>17</v>
      </c>
      <c r="B3467" s="16" t="s">
        <v>80</v>
      </c>
      <c r="C3467" s="17" t="s">
        <v>19</v>
      </c>
      <c r="D3467" s="18" t="s">
        <v>1947</v>
      </c>
      <c r="E3467" s="18">
        <v>1000</v>
      </c>
      <c r="F3467" s="18" t="s">
        <v>38</v>
      </c>
      <c r="G3467" s="18" t="s">
        <v>39</v>
      </c>
      <c r="H3467" s="18" t="s">
        <v>23</v>
      </c>
      <c r="I3467" s="19">
        <v>30.66</v>
      </c>
      <c r="J3467" s="20">
        <f t="shared" si="108"/>
        <v>30660</v>
      </c>
      <c r="K3467" s="106"/>
      <c r="L3467" s="114"/>
      <c r="M3467" s="114">
        <f>tblAquisições[[#This Row],[VALOR UNITARIO COMPRADO]]*tblAquisições[[#This Row],[QUANTIDADE COMPRADA]]</f>
        <v>0</v>
      </c>
      <c r="N3467" s="110">
        <f>K3467-tblAquisições[[#This Row],[QUANTIDADE PLANEJADA]]</f>
        <v>-1000</v>
      </c>
      <c r="O3467" s="106" t="str">
        <f t="shared" si="109"/>
        <v>Faltando Comprar</v>
      </c>
    </row>
    <row r="3468" spans="1:15" ht="47.25">
      <c r="A3468" s="16" t="s">
        <v>17</v>
      </c>
      <c r="B3468" s="16" t="s">
        <v>80</v>
      </c>
      <c r="C3468" s="17" t="s">
        <v>19</v>
      </c>
      <c r="D3468" s="18" t="s">
        <v>1948</v>
      </c>
      <c r="E3468" s="18">
        <v>4</v>
      </c>
      <c r="F3468" s="18" t="s">
        <v>147</v>
      </c>
      <c r="G3468" s="18" t="s">
        <v>39</v>
      </c>
      <c r="H3468" s="18" t="s">
        <v>23</v>
      </c>
      <c r="I3468" s="19">
        <v>3.52</v>
      </c>
      <c r="J3468" s="20">
        <f t="shared" si="108"/>
        <v>14.08</v>
      </c>
      <c r="K3468" s="106"/>
      <c r="L3468" s="114"/>
      <c r="M3468" s="114">
        <f>tblAquisições[[#This Row],[VALOR UNITARIO COMPRADO]]*tblAquisições[[#This Row],[QUANTIDADE COMPRADA]]</f>
        <v>0</v>
      </c>
      <c r="N3468" s="110">
        <f>K3468-tblAquisições[[#This Row],[QUANTIDADE PLANEJADA]]</f>
        <v>-4</v>
      </c>
      <c r="O3468" s="106" t="str">
        <f t="shared" si="109"/>
        <v>Faltando Comprar</v>
      </c>
    </row>
    <row r="3469" spans="1:15" ht="47.25">
      <c r="A3469" s="16" t="s">
        <v>17</v>
      </c>
      <c r="B3469" s="16" t="s">
        <v>18</v>
      </c>
      <c r="C3469" s="17" t="s">
        <v>19</v>
      </c>
      <c r="D3469" s="18" t="s">
        <v>1949</v>
      </c>
      <c r="E3469" s="18">
        <v>50</v>
      </c>
      <c r="F3469" s="18" t="s">
        <v>78</v>
      </c>
      <c r="G3469" s="18" t="s">
        <v>22</v>
      </c>
      <c r="H3469" s="18" t="s">
        <v>23</v>
      </c>
      <c r="I3469" s="19">
        <v>3.52</v>
      </c>
      <c r="J3469" s="20">
        <f t="shared" si="108"/>
        <v>176</v>
      </c>
      <c r="K3469" s="106"/>
      <c r="L3469" s="114"/>
      <c r="M3469" s="114">
        <f>tblAquisições[[#This Row],[VALOR UNITARIO COMPRADO]]*tblAquisições[[#This Row],[QUANTIDADE COMPRADA]]</f>
        <v>0</v>
      </c>
      <c r="N3469" s="110">
        <f>K3469-tblAquisições[[#This Row],[QUANTIDADE PLANEJADA]]</f>
        <v>-50</v>
      </c>
      <c r="O3469" s="106" t="str">
        <f t="shared" si="109"/>
        <v>Faltando Comprar</v>
      </c>
    </row>
    <row r="3470" spans="1:15" ht="47.25">
      <c r="A3470" s="16" t="s">
        <v>17</v>
      </c>
      <c r="B3470" s="16" t="s">
        <v>24</v>
      </c>
      <c r="C3470" s="17" t="s">
        <v>19</v>
      </c>
      <c r="D3470" s="18" t="s">
        <v>1949</v>
      </c>
      <c r="E3470" s="18">
        <v>50</v>
      </c>
      <c r="F3470" s="18" t="s">
        <v>78</v>
      </c>
      <c r="G3470" s="18" t="s">
        <v>22</v>
      </c>
      <c r="H3470" s="18" t="s">
        <v>23</v>
      </c>
      <c r="I3470" s="19">
        <v>3.52</v>
      </c>
      <c r="J3470" s="20">
        <f t="shared" si="108"/>
        <v>176</v>
      </c>
      <c r="K3470" s="106"/>
      <c r="L3470" s="114"/>
      <c r="M3470" s="114">
        <f>tblAquisições[[#This Row],[VALOR UNITARIO COMPRADO]]*tblAquisições[[#This Row],[QUANTIDADE COMPRADA]]</f>
        <v>0</v>
      </c>
      <c r="N3470" s="110">
        <f>K3470-tblAquisições[[#This Row],[QUANTIDADE PLANEJADA]]</f>
        <v>-50</v>
      </c>
      <c r="O3470" s="106" t="str">
        <f t="shared" si="109"/>
        <v>Faltando Comprar</v>
      </c>
    </row>
    <row r="3471" spans="1:15" ht="47.25">
      <c r="A3471" s="16" t="s">
        <v>17</v>
      </c>
      <c r="B3471" s="16" t="s">
        <v>25</v>
      </c>
      <c r="C3471" s="17" t="s">
        <v>19</v>
      </c>
      <c r="D3471" s="18" t="s">
        <v>1949</v>
      </c>
      <c r="E3471" s="18">
        <v>50</v>
      </c>
      <c r="F3471" s="18" t="s">
        <v>78</v>
      </c>
      <c r="G3471" s="18" t="s">
        <v>22</v>
      </c>
      <c r="H3471" s="18" t="s">
        <v>23</v>
      </c>
      <c r="I3471" s="19">
        <v>3.52</v>
      </c>
      <c r="J3471" s="20">
        <f t="shared" si="108"/>
        <v>176</v>
      </c>
      <c r="K3471" s="106"/>
      <c r="L3471" s="114"/>
      <c r="M3471" s="114">
        <f>tblAquisições[[#This Row],[VALOR UNITARIO COMPRADO]]*tblAquisições[[#This Row],[QUANTIDADE COMPRADA]]</f>
        <v>0</v>
      </c>
      <c r="N3471" s="110">
        <f>K3471-tblAquisições[[#This Row],[QUANTIDADE PLANEJADA]]</f>
        <v>-50</v>
      </c>
      <c r="O3471" s="106" t="str">
        <f t="shared" si="109"/>
        <v>Faltando Comprar</v>
      </c>
    </row>
    <row r="3472" spans="1:15" ht="47.25">
      <c r="A3472" s="16" t="s">
        <v>17</v>
      </c>
      <c r="B3472" s="16" t="s">
        <v>27</v>
      </c>
      <c r="C3472" s="17" t="s">
        <v>19</v>
      </c>
      <c r="D3472" s="18" t="s">
        <v>1949</v>
      </c>
      <c r="E3472" s="18">
        <v>40</v>
      </c>
      <c r="F3472" s="18" t="s">
        <v>78</v>
      </c>
      <c r="G3472" s="18" t="s">
        <v>22</v>
      </c>
      <c r="H3472" s="18" t="s">
        <v>23</v>
      </c>
      <c r="I3472" s="19">
        <v>3.52</v>
      </c>
      <c r="J3472" s="20">
        <f t="shared" si="108"/>
        <v>140.80000000000001</v>
      </c>
      <c r="K3472" s="106"/>
      <c r="L3472" s="114"/>
      <c r="M3472" s="114">
        <f>tblAquisições[[#This Row],[VALOR UNITARIO COMPRADO]]*tblAquisições[[#This Row],[QUANTIDADE COMPRADA]]</f>
        <v>0</v>
      </c>
      <c r="N3472" s="110">
        <f>K3472-tblAquisições[[#This Row],[QUANTIDADE PLANEJADA]]</f>
        <v>-40</v>
      </c>
      <c r="O3472" s="106" t="str">
        <f t="shared" si="109"/>
        <v>Faltando Comprar</v>
      </c>
    </row>
    <row r="3473" spans="1:15" ht="47.25">
      <c r="A3473" s="16" t="s">
        <v>17</v>
      </c>
      <c r="B3473" s="16" t="s">
        <v>28</v>
      </c>
      <c r="C3473" s="17" t="s">
        <v>19</v>
      </c>
      <c r="D3473" s="18" t="s">
        <v>1949</v>
      </c>
      <c r="E3473" s="18">
        <v>23</v>
      </c>
      <c r="F3473" s="18" t="s">
        <v>78</v>
      </c>
      <c r="G3473" s="18" t="s">
        <v>22</v>
      </c>
      <c r="H3473" s="18" t="s">
        <v>23</v>
      </c>
      <c r="I3473" s="19">
        <v>3.52</v>
      </c>
      <c r="J3473" s="20">
        <f t="shared" si="108"/>
        <v>80.959999999999994</v>
      </c>
      <c r="K3473" s="106"/>
      <c r="L3473" s="114"/>
      <c r="M3473" s="114">
        <f>tblAquisições[[#This Row],[VALOR UNITARIO COMPRADO]]*tblAquisições[[#This Row],[QUANTIDADE COMPRADA]]</f>
        <v>0</v>
      </c>
      <c r="N3473" s="110">
        <f>K3473-tblAquisições[[#This Row],[QUANTIDADE PLANEJADA]]</f>
        <v>-23</v>
      </c>
      <c r="O3473" s="106" t="str">
        <f t="shared" si="109"/>
        <v>Faltando Comprar</v>
      </c>
    </row>
    <row r="3474" spans="1:15" ht="47.25">
      <c r="A3474" s="16" t="s">
        <v>17</v>
      </c>
      <c r="B3474" s="16" t="s">
        <v>80</v>
      </c>
      <c r="C3474" s="17" t="s">
        <v>19</v>
      </c>
      <c r="D3474" s="18" t="s">
        <v>1950</v>
      </c>
      <c r="E3474" s="18">
        <v>6</v>
      </c>
      <c r="F3474" s="18" t="s">
        <v>147</v>
      </c>
      <c r="G3474" s="18" t="s">
        <v>39</v>
      </c>
      <c r="H3474" s="21"/>
      <c r="I3474" s="19">
        <v>2.59</v>
      </c>
      <c r="J3474" s="20">
        <f t="shared" si="108"/>
        <v>15.54</v>
      </c>
      <c r="K3474" s="106"/>
      <c r="L3474" s="114"/>
      <c r="M3474" s="114">
        <f>tblAquisições[[#This Row],[VALOR UNITARIO COMPRADO]]*tblAquisições[[#This Row],[QUANTIDADE COMPRADA]]</f>
        <v>0</v>
      </c>
      <c r="N3474" s="110">
        <f>K3474-tblAquisições[[#This Row],[QUANTIDADE PLANEJADA]]</f>
        <v>-6</v>
      </c>
      <c r="O3474" s="106" t="str">
        <f t="shared" si="109"/>
        <v>Faltando Comprar</v>
      </c>
    </row>
    <row r="3475" spans="1:15" ht="31.5">
      <c r="A3475" s="16" t="s">
        <v>17</v>
      </c>
      <c r="B3475" s="16" t="s">
        <v>18</v>
      </c>
      <c r="C3475" s="17" t="s">
        <v>19</v>
      </c>
      <c r="D3475" s="18" t="s">
        <v>1951</v>
      </c>
      <c r="E3475" s="18">
        <v>100</v>
      </c>
      <c r="F3475" s="18" t="s">
        <v>30</v>
      </c>
      <c r="G3475" s="18" t="s">
        <v>22</v>
      </c>
      <c r="H3475" s="18" t="s">
        <v>23</v>
      </c>
      <c r="I3475" s="19">
        <v>4.84</v>
      </c>
      <c r="J3475" s="20">
        <f t="shared" si="108"/>
        <v>484</v>
      </c>
      <c r="K3475" s="106"/>
      <c r="L3475" s="114"/>
      <c r="M3475" s="114">
        <f>tblAquisições[[#This Row],[VALOR UNITARIO COMPRADO]]*tblAquisições[[#This Row],[QUANTIDADE COMPRADA]]</f>
        <v>0</v>
      </c>
      <c r="N3475" s="110">
        <f>K3475-tblAquisições[[#This Row],[QUANTIDADE PLANEJADA]]</f>
        <v>-100</v>
      </c>
      <c r="O3475" s="106" t="str">
        <f t="shared" si="109"/>
        <v>Faltando Comprar</v>
      </c>
    </row>
    <row r="3476" spans="1:15" ht="31.5">
      <c r="A3476" s="16" t="s">
        <v>17</v>
      </c>
      <c r="B3476" s="16" t="s">
        <v>24</v>
      </c>
      <c r="C3476" s="17" t="s">
        <v>19</v>
      </c>
      <c r="D3476" s="18" t="s">
        <v>1951</v>
      </c>
      <c r="E3476" s="18">
        <v>100</v>
      </c>
      <c r="F3476" s="18" t="s">
        <v>30</v>
      </c>
      <c r="G3476" s="18" t="s">
        <v>22</v>
      </c>
      <c r="H3476" s="18" t="s">
        <v>23</v>
      </c>
      <c r="I3476" s="19">
        <v>4.84</v>
      </c>
      <c r="J3476" s="20">
        <f t="shared" si="108"/>
        <v>484</v>
      </c>
      <c r="K3476" s="106"/>
      <c r="L3476" s="114"/>
      <c r="M3476" s="114">
        <f>tblAquisições[[#This Row],[VALOR UNITARIO COMPRADO]]*tblAquisições[[#This Row],[QUANTIDADE COMPRADA]]</f>
        <v>0</v>
      </c>
      <c r="N3476" s="110">
        <f>K3476-tblAquisições[[#This Row],[QUANTIDADE PLANEJADA]]</f>
        <v>-100</v>
      </c>
      <c r="O3476" s="106" t="str">
        <f t="shared" si="109"/>
        <v>Faltando Comprar</v>
      </c>
    </row>
    <row r="3477" spans="1:15" ht="31.5">
      <c r="A3477" s="16" t="s">
        <v>17</v>
      </c>
      <c r="B3477" s="16" t="s">
        <v>25</v>
      </c>
      <c r="C3477" s="17" t="s">
        <v>19</v>
      </c>
      <c r="D3477" s="18" t="s">
        <v>1951</v>
      </c>
      <c r="E3477" s="18">
        <v>100</v>
      </c>
      <c r="F3477" s="18" t="s">
        <v>30</v>
      </c>
      <c r="G3477" s="18" t="s">
        <v>22</v>
      </c>
      <c r="H3477" s="18" t="s">
        <v>23</v>
      </c>
      <c r="I3477" s="19">
        <v>4.84</v>
      </c>
      <c r="J3477" s="20">
        <f t="shared" si="108"/>
        <v>484</v>
      </c>
      <c r="K3477" s="106"/>
      <c r="L3477" s="114"/>
      <c r="M3477" s="114">
        <f>tblAquisições[[#This Row],[VALOR UNITARIO COMPRADO]]*tblAquisições[[#This Row],[QUANTIDADE COMPRADA]]</f>
        <v>0</v>
      </c>
      <c r="N3477" s="110">
        <f>K3477-tblAquisições[[#This Row],[QUANTIDADE PLANEJADA]]</f>
        <v>-100</v>
      </c>
      <c r="O3477" s="106" t="str">
        <f t="shared" si="109"/>
        <v>Faltando Comprar</v>
      </c>
    </row>
    <row r="3478" spans="1:15" ht="31.5">
      <c r="A3478" s="16" t="s">
        <v>17</v>
      </c>
      <c r="B3478" s="16" t="s">
        <v>27</v>
      </c>
      <c r="C3478" s="17" t="s">
        <v>19</v>
      </c>
      <c r="D3478" s="18" t="s">
        <v>1951</v>
      </c>
      <c r="E3478" s="18">
        <v>100</v>
      </c>
      <c r="F3478" s="18" t="s">
        <v>30</v>
      </c>
      <c r="G3478" s="18" t="s">
        <v>22</v>
      </c>
      <c r="H3478" s="18" t="s">
        <v>23</v>
      </c>
      <c r="I3478" s="19">
        <v>4.84</v>
      </c>
      <c r="J3478" s="20">
        <f t="shared" si="108"/>
        <v>484</v>
      </c>
      <c r="K3478" s="106"/>
      <c r="L3478" s="114"/>
      <c r="M3478" s="114">
        <f>tblAquisições[[#This Row],[VALOR UNITARIO COMPRADO]]*tblAquisições[[#This Row],[QUANTIDADE COMPRADA]]</f>
        <v>0</v>
      </c>
      <c r="N3478" s="110">
        <f>K3478-tblAquisições[[#This Row],[QUANTIDADE PLANEJADA]]</f>
        <v>-100</v>
      </c>
      <c r="O3478" s="106" t="str">
        <f t="shared" si="109"/>
        <v>Faltando Comprar</v>
      </c>
    </row>
    <row r="3479" spans="1:15" ht="31.5">
      <c r="A3479" s="16" t="s">
        <v>17</v>
      </c>
      <c r="B3479" s="16" t="s">
        <v>28</v>
      </c>
      <c r="C3479" s="17" t="s">
        <v>19</v>
      </c>
      <c r="D3479" s="18" t="s">
        <v>1952</v>
      </c>
      <c r="E3479" s="18">
        <v>25</v>
      </c>
      <c r="F3479" s="18" t="s">
        <v>21</v>
      </c>
      <c r="G3479" s="18" t="s">
        <v>22</v>
      </c>
      <c r="H3479" s="18" t="s">
        <v>23</v>
      </c>
      <c r="I3479" s="19">
        <v>196.14</v>
      </c>
      <c r="J3479" s="20">
        <f t="shared" si="108"/>
        <v>4903.5</v>
      </c>
      <c r="K3479" s="106"/>
      <c r="L3479" s="114"/>
      <c r="M3479" s="114">
        <f>tblAquisições[[#This Row],[VALOR UNITARIO COMPRADO]]*tblAquisições[[#This Row],[QUANTIDADE COMPRADA]]</f>
        <v>0</v>
      </c>
      <c r="N3479" s="110">
        <f>K3479-tblAquisições[[#This Row],[QUANTIDADE PLANEJADA]]</f>
        <v>-25</v>
      </c>
      <c r="O3479" s="106" t="str">
        <f t="shared" si="109"/>
        <v>Faltando Comprar</v>
      </c>
    </row>
    <row r="3480" spans="1:15" ht="31.5">
      <c r="A3480" s="16" t="s">
        <v>17</v>
      </c>
      <c r="B3480" s="16" t="s">
        <v>26</v>
      </c>
      <c r="C3480" s="17" t="s">
        <v>19</v>
      </c>
      <c r="D3480" s="18" t="s">
        <v>1953</v>
      </c>
      <c r="E3480" s="18">
        <v>15</v>
      </c>
      <c r="F3480" s="18" t="s">
        <v>30</v>
      </c>
      <c r="G3480" s="18" t="s">
        <v>22</v>
      </c>
      <c r="H3480" s="18" t="s">
        <v>23</v>
      </c>
      <c r="I3480" s="19">
        <v>65.17</v>
      </c>
      <c r="J3480" s="20">
        <f t="shared" si="108"/>
        <v>977.55000000000007</v>
      </c>
      <c r="K3480" s="106"/>
      <c r="L3480" s="114"/>
      <c r="M3480" s="114">
        <f>tblAquisições[[#This Row],[VALOR UNITARIO COMPRADO]]*tblAquisições[[#This Row],[QUANTIDADE COMPRADA]]</f>
        <v>0</v>
      </c>
      <c r="N3480" s="110">
        <f>K3480-tblAquisições[[#This Row],[QUANTIDADE PLANEJADA]]</f>
        <v>-15</v>
      </c>
      <c r="O3480" s="106" t="str">
        <f t="shared" si="109"/>
        <v>Faltando Comprar</v>
      </c>
    </row>
    <row r="3481" spans="1:15" ht="31.5">
      <c r="A3481" s="16" t="s">
        <v>17</v>
      </c>
      <c r="B3481" s="16" t="s">
        <v>26</v>
      </c>
      <c r="C3481" s="17" t="s">
        <v>19</v>
      </c>
      <c r="D3481" s="18" t="s">
        <v>1954</v>
      </c>
      <c r="E3481" s="18">
        <v>15</v>
      </c>
      <c r="F3481" s="18" t="s">
        <v>30</v>
      </c>
      <c r="G3481" s="18" t="s">
        <v>22</v>
      </c>
      <c r="H3481" s="18" t="s">
        <v>23</v>
      </c>
      <c r="I3481" s="19">
        <v>74.02</v>
      </c>
      <c r="J3481" s="20">
        <f t="shared" si="108"/>
        <v>1110.3</v>
      </c>
      <c r="K3481" s="106"/>
      <c r="L3481" s="114"/>
      <c r="M3481" s="114">
        <f>tblAquisições[[#This Row],[VALOR UNITARIO COMPRADO]]*tblAquisições[[#This Row],[QUANTIDADE COMPRADA]]</f>
        <v>0</v>
      </c>
      <c r="N3481" s="110">
        <f>K3481-tblAquisições[[#This Row],[QUANTIDADE PLANEJADA]]</f>
        <v>-15</v>
      </c>
      <c r="O3481" s="106" t="str">
        <f t="shared" si="109"/>
        <v>Faltando Comprar</v>
      </c>
    </row>
    <row r="3482" spans="1:15" ht="47.25">
      <c r="A3482" s="16" t="s">
        <v>17</v>
      </c>
      <c r="B3482" s="16" t="s">
        <v>41</v>
      </c>
      <c r="C3482" s="17" t="s">
        <v>19</v>
      </c>
      <c r="D3482" s="18" t="s">
        <v>1955</v>
      </c>
      <c r="E3482" s="18">
        <v>20</v>
      </c>
      <c r="F3482" s="18" t="s">
        <v>78</v>
      </c>
      <c r="G3482" s="18" t="s">
        <v>22</v>
      </c>
      <c r="H3482" s="18" t="s">
        <v>23</v>
      </c>
      <c r="I3482" s="19">
        <v>2.2000000000000002</v>
      </c>
      <c r="J3482" s="20">
        <f t="shared" si="108"/>
        <v>44</v>
      </c>
      <c r="K3482" s="106"/>
      <c r="L3482" s="114"/>
      <c r="M3482" s="114">
        <f>tblAquisições[[#This Row],[VALOR UNITARIO COMPRADO]]*tblAquisições[[#This Row],[QUANTIDADE COMPRADA]]</f>
        <v>0</v>
      </c>
      <c r="N3482" s="110">
        <f>K3482-tblAquisições[[#This Row],[QUANTIDADE PLANEJADA]]</f>
        <v>-20</v>
      </c>
      <c r="O3482" s="106" t="str">
        <f t="shared" si="109"/>
        <v>Faltando Comprar</v>
      </c>
    </row>
    <row r="3483" spans="1:15" ht="47.25">
      <c r="A3483" s="16" t="s">
        <v>17</v>
      </c>
      <c r="B3483" s="16" t="s">
        <v>28</v>
      </c>
      <c r="C3483" s="17" t="s">
        <v>19</v>
      </c>
      <c r="D3483" s="18" t="s">
        <v>1955</v>
      </c>
      <c r="E3483" s="18">
        <v>10</v>
      </c>
      <c r="F3483" s="18" t="s">
        <v>78</v>
      </c>
      <c r="G3483" s="18" t="s">
        <v>22</v>
      </c>
      <c r="H3483" s="22"/>
      <c r="I3483" s="19">
        <v>2.2000000000000002</v>
      </c>
      <c r="J3483" s="20">
        <f t="shared" si="108"/>
        <v>22</v>
      </c>
      <c r="K3483" s="106"/>
      <c r="L3483" s="114"/>
      <c r="M3483" s="114">
        <f>tblAquisições[[#This Row],[VALOR UNITARIO COMPRADO]]*tblAquisições[[#This Row],[QUANTIDADE COMPRADA]]</f>
        <v>0</v>
      </c>
      <c r="N3483" s="110">
        <f>K3483-tblAquisições[[#This Row],[QUANTIDADE PLANEJADA]]</f>
        <v>-10</v>
      </c>
      <c r="O3483" s="106" t="str">
        <f t="shared" si="109"/>
        <v>Faltando Comprar</v>
      </c>
    </row>
    <row r="3484" spans="1:15" ht="47.25">
      <c r="A3484" s="16" t="s">
        <v>17</v>
      </c>
      <c r="B3484" s="16" t="s">
        <v>28</v>
      </c>
      <c r="C3484" s="17" t="s">
        <v>19</v>
      </c>
      <c r="D3484" s="18" t="s">
        <v>1956</v>
      </c>
      <c r="E3484" s="18">
        <v>10</v>
      </c>
      <c r="F3484" s="18" t="s">
        <v>78</v>
      </c>
      <c r="G3484" s="18" t="s">
        <v>22</v>
      </c>
      <c r="H3484" s="18" t="s">
        <v>23</v>
      </c>
      <c r="I3484" s="19">
        <v>54.3</v>
      </c>
      <c r="J3484" s="20">
        <f t="shared" si="108"/>
        <v>543</v>
      </c>
      <c r="K3484" s="106"/>
      <c r="L3484" s="114"/>
      <c r="M3484" s="114">
        <f>tblAquisições[[#This Row],[VALOR UNITARIO COMPRADO]]*tblAquisições[[#This Row],[QUANTIDADE COMPRADA]]</f>
        <v>0</v>
      </c>
      <c r="N3484" s="110">
        <f>K3484-tblAquisições[[#This Row],[QUANTIDADE PLANEJADA]]</f>
        <v>-10</v>
      </c>
      <c r="O3484" s="106" t="str">
        <f t="shared" si="109"/>
        <v>Faltando Comprar</v>
      </c>
    </row>
    <row r="3485" spans="1:15" ht="47.25">
      <c r="A3485" s="16" t="s">
        <v>17</v>
      </c>
      <c r="B3485" s="16" t="s">
        <v>18</v>
      </c>
      <c r="C3485" s="17" t="s">
        <v>19</v>
      </c>
      <c r="D3485" s="18" t="s">
        <v>1957</v>
      </c>
      <c r="E3485" s="18">
        <v>10</v>
      </c>
      <c r="F3485" s="18" t="s">
        <v>78</v>
      </c>
      <c r="G3485" s="18" t="s">
        <v>22</v>
      </c>
      <c r="H3485" s="18" t="s">
        <v>23</v>
      </c>
      <c r="I3485" s="19">
        <v>154.4</v>
      </c>
      <c r="J3485" s="20">
        <f t="shared" si="108"/>
        <v>1544</v>
      </c>
      <c r="K3485" s="106"/>
      <c r="L3485" s="114"/>
      <c r="M3485" s="114">
        <f>tblAquisições[[#This Row],[VALOR UNITARIO COMPRADO]]*tblAquisições[[#This Row],[QUANTIDADE COMPRADA]]</f>
        <v>0</v>
      </c>
      <c r="N3485" s="110">
        <f>K3485-tblAquisições[[#This Row],[QUANTIDADE PLANEJADA]]</f>
        <v>-10</v>
      </c>
      <c r="O3485" s="106" t="str">
        <f t="shared" si="109"/>
        <v>Faltando Comprar</v>
      </c>
    </row>
    <row r="3486" spans="1:15" ht="47.25">
      <c r="A3486" s="16" t="s">
        <v>17</v>
      </c>
      <c r="B3486" s="16" t="s">
        <v>24</v>
      </c>
      <c r="C3486" s="17" t="s">
        <v>19</v>
      </c>
      <c r="D3486" s="18" t="s">
        <v>1957</v>
      </c>
      <c r="E3486" s="18">
        <v>10</v>
      </c>
      <c r="F3486" s="18" t="s">
        <v>78</v>
      </c>
      <c r="G3486" s="18" t="s">
        <v>22</v>
      </c>
      <c r="H3486" s="18" t="s">
        <v>23</v>
      </c>
      <c r="I3486" s="19">
        <v>154.4</v>
      </c>
      <c r="J3486" s="20">
        <f t="shared" si="108"/>
        <v>1544</v>
      </c>
      <c r="K3486" s="106"/>
      <c r="L3486" s="114"/>
      <c r="M3486" s="114">
        <f>tblAquisições[[#This Row],[VALOR UNITARIO COMPRADO]]*tblAquisições[[#This Row],[QUANTIDADE COMPRADA]]</f>
        <v>0</v>
      </c>
      <c r="N3486" s="110">
        <f>K3486-tblAquisições[[#This Row],[QUANTIDADE PLANEJADA]]</f>
        <v>-10</v>
      </c>
      <c r="O3486" s="106" t="str">
        <f t="shared" si="109"/>
        <v>Faltando Comprar</v>
      </c>
    </row>
    <row r="3487" spans="1:15" ht="47.25">
      <c r="A3487" s="16" t="s">
        <v>17</v>
      </c>
      <c r="B3487" s="16" t="s">
        <v>72</v>
      </c>
      <c r="C3487" s="17" t="s">
        <v>19</v>
      </c>
      <c r="D3487" s="18" t="s">
        <v>1958</v>
      </c>
      <c r="E3487" s="18">
        <v>6</v>
      </c>
      <c r="F3487" s="18" t="s">
        <v>239</v>
      </c>
      <c r="G3487" s="18" t="s">
        <v>22</v>
      </c>
      <c r="H3487" s="18" t="s">
        <v>23</v>
      </c>
      <c r="I3487" s="19">
        <v>6.13</v>
      </c>
      <c r="J3487" s="20">
        <f t="shared" si="108"/>
        <v>36.78</v>
      </c>
      <c r="K3487" s="106"/>
      <c r="L3487" s="114"/>
      <c r="M3487" s="114">
        <f>tblAquisições[[#This Row],[VALOR UNITARIO COMPRADO]]*tblAquisições[[#This Row],[QUANTIDADE COMPRADA]]</f>
        <v>0</v>
      </c>
      <c r="N3487" s="110">
        <f>K3487-tblAquisições[[#This Row],[QUANTIDADE PLANEJADA]]</f>
        <v>-6</v>
      </c>
      <c r="O3487" s="106" t="str">
        <f t="shared" si="109"/>
        <v>Faltando Comprar</v>
      </c>
    </row>
    <row r="3488" spans="1:15" ht="47.25">
      <c r="A3488" s="16" t="s">
        <v>17</v>
      </c>
      <c r="B3488" s="16" t="s">
        <v>72</v>
      </c>
      <c r="C3488" s="17" t="s">
        <v>19</v>
      </c>
      <c r="D3488" s="18" t="s">
        <v>1959</v>
      </c>
      <c r="E3488" s="18">
        <v>12</v>
      </c>
      <c r="F3488" s="18" t="s">
        <v>239</v>
      </c>
      <c r="G3488" s="18" t="s">
        <v>22</v>
      </c>
      <c r="H3488" s="18" t="s">
        <v>23</v>
      </c>
      <c r="I3488" s="19">
        <v>5.49</v>
      </c>
      <c r="J3488" s="20">
        <f t="shared" si="108"/>
        <v>65.88</v>
      </c>
      <c r="K3488" s="106"/>
      <c r="L3488" s="114"/>
      <c r="M3488" s="114">
        <f>tblAquisições[[#This Row],[VALOR UNITARIO COMPRADO]]*tblAquisições[[#This Row],[QUANTIDADE COMPRADA]]</f>
        <v>0</v>
      </c>
      <c r="N3488" s="110">
        <f>K3488-tblAquisições[[#This Row],[QUANTIDADE PLANEJADA]]</f>
        <v>-12</v>
      </c>
      <c r="O3488" s="106" t="str">
        <f t="shared" si="109"/>
        <v>Faltando Comprar</v>
      </c>
    </row>
    <row r="3489" spans="1:15" ht="47.25">
      <c r="A3489" s="16" t="s">
        <v>17</v>
      </c>
      <c r="B3489" s="16" t="s">
        <v>72</v>
      </c>
      <c r="C3489" s="17" t="s">
        <v>19</v>
      </c>
      <c r="D3489" s="18" t="s">
        <v>1960</v>
      </c>
      <c r="E3489" s="18">
        <v>12</v>
      </c>
      <c r="F3489" s="18" t="s">
        <v>239</v>
      </c>
      <c r="G3489" s="18" t="s">
        <v>22</v>
      </c>
      <c r="H3489" s="18" t="s">
        <v>23</v>
      </c>
      <c r="I3489" s="19">
        <v>7.22</v>
      </c>
      <c r="J3489" s="20">
        <f t="shared" si="108"/>
        <v>86.64</v>
      </c>
      <c r="K3489" s="106"/>
      <c r="L3489" s="114"/>
      <c r="M3489" s="114">
        <f>tblAquisições[[#This Row],[VALOR UNITARIO COMPRADO]]*tblAquisições[[#This Row],[QUANTIDADE COMPRADA]]</f>
        <v>0</v>
      </c>
      <c r="N3489" s="110">
        <f>K3489-tblAquisições[[#This Row],[QUANTIDADE PLANEJADA]]</f>
        <v>-12</v>
      </c>
      <c r="O3489" s="106" t="str">
        <f t="shared" si="109"/>
        <v>Faltando Comprar</v>
      </c>
    </row>
    <row r="3490" spans="1:15" ht="31.5">
      <c r="A3490" s="16" t="s">
        <v>17</v>
      </c>
      <c r="B3490" s="16" t="s">
        <v>17</v>
      </c>
      <c r="C3490" s="17" t="s">
        <v>19</v>
      </c>
      <c r="D3490" s="18" t="s">
        <v>1961</v>
      </c>
      <c r="E3490" s="18">
        <v>50</v>
      </c>
      <c r="F3490" s="18" t="s">
        <v>38</v>
      </c>
      <c r="G3490" s="18" t="s">
        <v>39</v>
      </c>
      <c r="H3490" s="18" t="s">
        <v>23</v>
      </c>
      <c r="I3490" s="19">
        <v>179.24</v>
      </c>
      <c r="J3490" s="20">
        <f t="shared" si="108"/>
        <v>8962</v>
      </c>
      <c r="K3490" s="106"/>
      <c r="L3490" s="114"/>
      <c r="M3490" s="114">
        <f>tblAquisições[[#This Row],[VALOR UNITARIO COMPRADO]]*tblAquisições[[#This Row],[QUANTIDADE COMPRADA]]</f>
        <v>0</v>
      </c>
      <c r="N3490" s="110">
        <f>K3490-tblAquisições[[#This Row],[QUANTIDADE PLANEJADA]]</f>
        <v>-50</v>
      </c>
      <c r="O3490" s="106" t="str">
        <f t="shared" si="109"/>
        <v>Faltando Comprar</v>
      </c>
    </row>
    <row r="3491" spans="1:15" ht="31.5">
      <c r="A3491" s="16" t="s">
        <v>17</v>
      </c>
      <c r="B3491" s="16" t="s">
        <v>31</v>
      </c>
      <c r="C3491" s="17" t="s">
        <v>19</v>
      </c>
      <c r="D3491" s="18" t="s">
        <v>1962</v>
      </c>
      <c r="E3491" s="18">
        <v>10</v>
      </c>
      <c r="F3491" s="18" t="s">
        <v>21</v>
      </c>
      <c r="G3491" s="18" t="s">
        <v>22</v>
      </c>
      <c r="H3491" s="18" t="s">
        <v>23</v>
      </c>
      <c r="I3491" s="19">
        <v>179.24</v>
      </c>
      <c r="J3491" s="20">
        <f t="shared" si="108"/>
        <v>1792.4</v>
      </c>
      <c r="K3491" s="106"/>
      <c r="L3491" s="114"/>
      <c r="M3491" s="114">
        <f>tblAquisições[[#This Row],[VALOR UNITARIO COMPRADO]]*tblAquisições[[#This Row],[QUANTIDADE COMPRADA]]</f>
        <v>0</v>
      </c>
      <c r="N3491" s="110">
        <f>K3491-tblAquisições[[#This Row],[QUANTIDADE PLANEJADA]]</f>
        <v>-10</v>
      </c>
      <c r="O3491" s="106" t="str">
        <f t="shared" si="109"/>
        <v>Faltando Comprar</v>
      </c>
    </row>
    <row r="3492" spans="1:15" ht="31.5">
      <c r="A3492" s="16" t="s">
        <v>17</v>
      </c>
      <c r="B3492" s="16" t="s">
        <v>28</v>
      </c>
      <c r="C3492" s="17" t="s">
        <v>19</v>
      </c>
      <c r="D3492" s="18" t="s">
        <v>1962</v>
      </c>
      <c r="E3492" s="18">
        <v>30</v>
      </c>
      <c r="F3492" s="18" t="s">
        <v>21</v>
      </c>
      <c r="G3492" s="18" t="s">
        <v>22</v>
      </c>
      <c r="H3492" s="18" t="s">
        <v>23</v>
      </c>
      <c r="I3492" s="19">
        <v>179.24</v>
      </c>
      <c r="J3492" s="20">
        <f t="shared" si="108"/>
        <v>5377.2000000000007</v>
      </c>
      <c r="K3492" s="106"/>
      <c r="L3492" s="114"/>
      <c r="M3492" s="114">
        <f>tblAquisições[[#This Row],[VALOR UNITARIO COMPRADO]]*tblAquisições[[#This Row],[QUANTIDADE COMPRADA]]</f>
        <v>0</v>
      </c>
      <c r="N3492" s="110">
        <f>K3492-tblAquisições[[#This Row],[QUANTIDADE PLANEJADA]]</f>
        <v>-30</v>
      </c>
      <c r="O3492" s="106" t="str">
        <f t="shared" si="109"/>
        <v>Faltando Comprar</v>
      </c>
    </row>
    <row r="3493" spans="1:15" ht="31.5">
      <c r="A3493" s="16" t="s">
        <v>17</v>
      </c>
      <c r="B3493" s="16" t="s">
        <v>28</v>
      </c>
      <c r="C3493" s="17" t="s">
        <v>19</v>
      </c>
      <c r="D3493" s="18" t="s">
        <v>1963</v>
      </c>
      <c r="E3493" s="18">
        <v>12</v>
      </c>
      <c r="F3493" s="18" t="s">
        <v>21</v>
      </c>
      <c r="G3493" s="18" t="s">
        <v>22</v>
      </c>
      <c r="H3493" s="18" t="s">
        <v>23</v>
      </c>
      <c r="I3493" s="19">
        <v>123.72</v>
      </c>
      <c r="J3493" s="20">
        <f t="shared" si="108"/>
        <v>1484.6399999999999</v>
      </c>
      <c r="K3493" s="106"/>
      <c r="L3493" s="114"/>
      <c r="M3493" s="114">
        <f>tblAquisições[[#This Row],[VALOR UNITARIO COMPRADO]]*tblAquisições[[#This Row],[QUANTIDADE COMPRADA]]</f>
        <v>0</v>
      </c>
      <c r="N3493" s="110">
        <f>K3493-tblAquisições[[#This Row],[QUANTIDADE PLANEJADA]]</f>
        <v>-12</v>
      </c>
      <c r="O3493" s="106" t="str">
        <f t="shared" si="109"/>
        <v>Faltando Comprar</v>
      </c>
    </row>
    <row r="3494" spans="1:15" ht="47.25">
      <c r="A3494" s="16" t="s">
        <v>17</v>
      </c>
      <c r="B3494" s="16" t="s">
        <v>26</v>
      </c>
      <c r="C3494" s="17" t="s">
        <v>19</v>
      </c>
      <c r="D3494" s="18" t="s">
        <v>1964</v>
      </c>
      <c r="E3494" s="18">
        <v>15</v>
      </c>
      <c r="F3494" s="18" t="s">
        <v>58</v>
      </c>
      <c r="G3494" s="18" t="s">
        <v>22</v>
      </c>
      <c r="H3494" s="18" t="s">
        <v>23</v>
      </c>
      <c r="I3494" s="19">
        <v>25.2</v>
      </c>
      <c r="J3494" s="20">
        <f t="shared" si="108"/>
        <v>378</v>
      </c>
      <c r="K3494" s="106"/>
      <c r="L3494" s="114"/>
      <c r="M3494" s="114">
        <f>tblAquisições[[#This Row],[VALOR UNITARIO COMPRADO]]*tblAquisições[[#This Row],[QUANTIDADE COMPRADA]]</f>
        <v>0</v>
      </c>
      <c r="N3494" s="110">
        <f>K3494-tblAquisições[[#This Row],[QUANTIDADE PLANEJADA]]</f>
        <v>-15</v>
      </c>
      <c r="O3494" s="106" t="str">
        <f t="shared" si="109"/>
        <v>Faltando Comprar</v>
      </c>
    </row>
    <row r="3495" spans="1:15" ht="47.25">
      <c r="A3495" s="16" t="s">
        <v>17</v>
      </c>
      <c r="B3495" s="16" t="s">
        <v>59</v>
      </c>
      <c r="C3495" s="17" t="s">
        <v>19</v>
      </c>
      <c r="D3495" s="18" t="s">
        <v>1964</v>
      </c>
      <c r="E3495" s="18">
        <v>50</v>
      </c>
      <c r="F3495" s="18" t="s">
        <v>58</v>
      </c>
      <c r="G3495" s="18" t="s">
        <v>22</v>
      </c>
      <c r="H3495" s="18" t="s">
        <v>23</v>
      </c>
      <c r="I3495" s="19">
        <v>25.2</v>
      </c>
      <c r="J3495" s="20">
        <f t="shared" si="108"/>
        <v>1260</v>
      </c>
      <c r="K3495" s="106"/>
      <c r="L3495" s="114"/>
      <c r="M3495" s="114">
        <f>tblAquisições[[#This Row],[VALOR UNITARIO COMPRADO]]*tblAquisições[[#This Row],[QUANTIDADE COMPRADA]]</f>
        <v>0</v>
      </c>
      <c r="N3495" s="110">
        <f>K3495-tblAquisições[[#This Row],[QUANTIDADE PLANEJADA]]</f>
        <v>-50</v>
      </c>
      <c r="O3495" s="106" t="str">
        <f t="shared" si="109"/>
        <v>Faltando Comprar</v>
      </c>
    </row>
    <row r="3496" spans="1:15" ht="47.25">
      <c r="A3496" s="16" t="s">
        <v>17</v>
      </c>
      <c r="B3496" s="16" t="s">
        <v>26</v>
      </c>
      <c r="C3496" s="17" t="s">
        <v>19</v>
      </c>
      <c r="D3496" s="18" t="s">
        <v>1965</v>
      </c>
      <c r="E3496" s="18">
        <v>40</v>
      </c>
      <c r="F3496" s="18" t="s">
        <v>58</v>
      </c>
      <c r="G3496" s="18" t="s">
        <v>22</v>
      </c>
      <c r="H3496" s="18" t="s">
        <v>23</v>
      </c>
      <c r="I3496" s="19">
        <v>3.13</v>
      </c>
      <c r="J3496" s="20">
        <f t="shared" si="108"/>
        <v>125.19999999999999</v>
      </c>
      <c r="K3496" s="106"/>
      <c r="L3496" s="114"/>
      <c r="M3496" s="114">
        <f>tblAquisições[[#This Row],[VALOR UNITARIO COMPRADO]]*tblAquisições[[#This Row],[QUANTIDADE COMPRADA]]</f>
        <v>0</v>
      </c>
      <c r="N3496" s="110">
        <f>K3496-tblAquisições[[#This Row],[QUANTIDADE PLANEJADA]]</f>
        <v>-40</v>
      </c>
      <c r="O3496" s="106" t="str">
        <f t="shared" si="109"/>
        <v>Faltando Comprar</v>
      </c>
    </row>
    <row r="3497" spans="1:15" ht="47.25">
      <c r="A3497" s="16" t="s">
        <v>17</v>
      </c>
      <c r="B3497" s="16" t="s">
        <v>72</v>
      </c>
      <c r="C3497" s="17" t="s">
        <v>19</v>
      </c>
      <c r="D3497" s="18" t="s">
        <v>1965</v>
      </c>
      <c r="E3497" s="18">
        <v>12</v>
      </c>
      <c r="F3497" s="18" t="s">
        <v>58</v>
      </c>
      <c r="G3497" s="18" t="s">
        <v>22</v>
      </c>
      <c r="H3497" s="18" t="s">
        <v>23</v>
      </c>
      <c r="I3497" s="19">
        <v>3.13</v>
      </c>
      <c r="J3497" s="20">
        <f t="shared" si="108"/>
        <v>37.56</v>
      </c>
      <c r="K3497" s="106"/>
      <c r="L3497" s="114"/>
      <c r="M3497" s="114">
        <f>tblAquisições[[#This Row],[VALOR UNITARIO COMPRADO]]*tblAquisições[[#This Row],[QUANTIDADE COMPRADA]]</f>
        <v>0</v>
      </c>
      <c r="N3497" s="110">
        <f>K3497-tblAquisições[[#This Row],[QUANTIDADE PLANEJADA]]</f>
        <v>-12</v>
      </c>
      <c r="O3497" s="106" t="str">
        <f t="shared" si="109"/>
        <v>Faltando Comprar</v>
      </c>
    </row>
    <row r="3498" spans="1:15" ht="31.5">
      <c r="A3498" s="16" t="s">
        <v>17</v>
      </c>
      <c r="B3498" s="16" t="s">
        <v>28</v>
      </c>
      <c r="C3498" s="17" t="s">
        <v>19</v>
      </c>
      <c r="D3498" s="18" t="s">
        <v>1966</v>
      </c>
      <c r="E3498" s="18">
        <v>4</v>
      </c>
      <c r="F3498" s="18" t="s">
        <v>21</v>
      </c>
      <c r="G3498" s="18" t="s">
        <v>22</v>
      </c>
      <c r="H3498" s="18" t="s">
        <v>65</v>
      </c>
      <c r="I3498" s="19">
        <v>103.45</v>
      </c>
      <c r="J3498" s="20">
        <f t="shared" si="108"/>
        <v>413.8</v>
      </c>
      <c r="K3498" s="106"/>
      <c r="L3498" s="114"/>
      <c r="M3498" s="114">
        <f>tblAquisições[[#This Row],[VALOR UNITARIO COMPRADO]]*tblAquisições[[#This Row],[QUANTIDADE COMPRADA]]</f>
        <v>0</v>
      </c>
      <c r="N3498" s="110">
        <f>K3498-tblAquisições[[#This Row],[QUANTIDADE PLANEJADA]]</f>
        <v>-4</v>
      </c>
      <c r="O3498" s="106" t="str">
        <f t="shared" si="109"/>
        <v>Faltando Comprar</v>
      </c>
    </row>
    <row r="3499" spans="1:15" ht="47.25">
      <c r="A3499" s="16" t="s">
        <v>17</v>
      </c>
      <c r="B3499" s="16" t="s">
        <v>28</v>
      </c>
      <c r="C3499" s="17" t="s">
        <v>19</v>
      </c>
      <c r="D3499" s="18" t="s">
        <v>1967</v>
      </c>
      <c r="E3499" s="18">
        <v>8</v>
      </c>
      <c r="F3499" s="18" t="s">
        <v>78</v>
      </c>
      <c r="G3499" s="18" t="s">
        <v>22</v>
      </c>
      <c r="H3499" s="18" t="s">
        <v>65</v>
      </c>
      <c r="I3499" s="19">
        <v>5.66</v>
      </c>
      <c r="J3499" s="20">
        <f t="shared" si="108"/>
        <v>45.28</v>
      </c>
      <c r="K3499" s="106"/>
      <c r="L3499" s="114"/>
      <c r="M3499" s="114">
        <f>tblAquisições[[#This Row],[VALOR UNITARIO COMPRADO]]*tblAquisições[[#This Row],[QUANTIDADE COMPRADA]]</f>
        <v>0</v>
      </c>
      <c r="N3499" s="110">
        <f>K3499-tblAquisições[[#This Row],[QUANTIDADE PLANEJADA]]</f>
        <v>-8</v>
      </c>
      <c r="O3499" s="106" t="str">
        <f t="shared" si="109"/>
        <v>Faltando Comprar</v>
      </c>
    </row>
    <row r="3500" spans="1:15" ht="31.5">
      <c r="A3500" s="16" t="s">
        <v>17</v>
      </c>
      <c r="B3500" s="16" t="s">
        <v>92</v>
      </c>
      <c r="C3500" s="17" t="s">
        <v>19</v>
      </c>
      <c r="D3500" s="18" t="s">
        <v>1968</v>
      </c>
      <c r="E3500" s="18">
        <v>312</v>
      </c>
      <c r="F3500" s="18" t="s">
        <v>38</v>
      </c>
      <c r="G3500" s="18" t="s">
        <v>39</v>
      </c>
      <c r="H3500" s="18" t="s">
        <v>23</v>
      </c>
      <c r="I3500" s="19">
        <v>14.53</v>
      </c>
      <c r="J3500" s="20">
        <f t="shared" si="108"/>
        <v>4533.3599999999997</v>
      </c>
      <c r="K3500" s="106"/>
      <c r="L3500" s="114"/>
      <c r="M3500" s="114">
        <f>tblAquisições[[#This Row],[VALOR UNITARIO COMPRADO]]*tblAquisições[[#This Row],[QUANTIDADE COMPRADA]]</f>
        <v>0</v>
      </c>
      <c r="N3500" s="110">
        <f>K3500-tblAquisições[[#This Row],[QUANTIDADE PLANEJADA]]</f>
        <v>-312</v>
      </c>
      <c r="O3500" s="106" t="str">
        <f t="shared" si="109"/>
        <v>Faltando Comprar</v>
      </c>
    </row>
    <row r="3501" spans="1:15" ht="31.5">
      <c r="A3501" s="16" t="s">
        <v>17</v>
      </c>
      <c r="B3501" s="16" t="s">
        <v>80</v>
      </c>
      <c r="C3501" s="17" t="s">
        <v>19</v>
      </c>
      <c r="D3501" s="18" t="s">
        <v>1968</v>
      </c>
      <c r="E3501" s="18">
        <v>312</v>
      </c>
      <c r="F3501" s="18" t="s">
        <v>38</v>
      </c>
      <c r="G3501" s="18" t="s">
        <v>39</v>
      </c>
      <c r="H3501" s="18" t="s">
        <v>23</v>
      </c>
      <c r="I3501" s="19">
        <v>14.53</v>
      </c>
      <c r="J3501" s="20">
        <f t="shared" si="108"/>
        <v>4533.3599999999997</v>
      </c>
      <c r="K3501" s="106"/>
      <c r="L3501" s="114"/>
      <c r="M3501" s="114">
        <f>tblAquisições[[#This Row],[VALOR UNITARIO COMPRADO]]*tblAquisições[[#This Row],[QUANTIDADE COMPRADA]]</f>
        <v>0</v>
      </c>
      <c r="N3501" s="110">
        <f>K3501-tblAquisições[[#This Row],[QUANTIDADE PLANEJADA]]</f>
        <v>-312</v>
      </c>
      <c r="O3501" s="106" t="str">
        <f t="shared" si="109"/>
        <v>Faltando Comprar</v>
      </c>
    </row>
    <row r="3502" spans="1:15" ht="31.5">
      <c r="A3502" s="16" t="s">
        <v>17</v>
      </c>
      <c r="B3502" s="16" t="s">
        <v>28</v>
      </c>
      <c r="C3502" s="17" t="s">
        <v>19</v>
      </c>
      <c r="D3502" s="18" t="s">
        <v>1969</v>
      </c>
      <c r="E3502" s="18">
        <v>480</v>
      </c>
      <c r="F3502" s="18" t="s">
        <v>21</v>
      </c>
      <c r="G3502" s="18" t="s">
        <v>22</v>
      </c>
      <c r="H3502" s="18" t="s">
        <v>23</v>
      </c>
      <c r="I3502" s="19">
        <v>14.53</v>
      </c>
      <c r="J3502" s="20">
        <f t="shared" si="108"/>
        <v>6974.4</v>
      </c>
      <c r="K3502" s="106"/>
      <c r="L3502" s="114"/>
      <c r="M3502" s="114">
        <f>tblAquisições[[#This Row],[VALOR UNITARIO COMPRADO]]*tblAquisições[[#This Row],[QUANTIDADE COMPRADA]]</f>
        <v>0</v>
      </c>
      <c r="N3502" s="110">
        <f>K3502-tblAquisições[[#This Row],[QUANTIDADE PLANEJADA]]</f>
        <v>-480</v>
      </c>
      <c r="O3502" s="106" t="str">
        <f t="shared" si="109"/>
        <v>Faltando Comprar</v>
      </c>
    </row>
    <row r="3503" spans="1:15" ht="31.5">
      <c r="A3503" s="16" t="s">
        <v>17</v>
      </c>
      <c r="B3503" s="16" t="s">
        <v>80</v>
      </c>
      <c r="C3503" s="17" t="s">
        <v>19</v>
      </c>
      <c r="D3503" s="18" t="s">
        <v>1970</v>
      </c>
      <c r="E3503" s="18">
        <v>30</v>
      </c>
      <c r="F3503" s="18" t="s">
        <v>38</v>
      </c>
      <c r="G3503" s="18" t="s">
        <v>39</v>
      </c>
      <c r="H3503" s="21"/>
      <c r="I3503" s="19">
        <v>12.8</v>
      </c>
      <c r="J3503" s="20">
        <f t="shared" si="108"/>
        <v>384</v>
      </c>
      <c r="K3503" s="106"/>
      <c r="L3503" s="114"/>
      <c r="M3503" s="114">
        <f>tblAquisições[[#This Row],[VALOR UNITARIO COMPRADO]]*tblAquisições[[#This Row],[QUANTIDADE COMPRADA]]</f>
        <v>0</v>
      </c>
      <c r="N3503" s="110">
        <f>K3503-tblAquisições[[#This Row],[QUANTIDADE PLANEJADA]]</f>
        <v>-30</v>
      </c>
      <c r="O3503" s="106" t="str">
        <f t="shared" si="109"/>
        <v>Faltando Comprar</v>
      </c>
    </row>
    <row r="3504" spans="1:15" ht="31.5">
      <c r="A3504" s="16" t="s">
        <v>17</v>
      </c>
      <c r="B3504" s="16" t="s">
        <v>26</v>
      </c>
      <c r="C3504" s="17" t="s">
        <v>19</v>
      </c>
      <c r="D3504" s="18" t="s">
        <v>1971</v>
      </c>
      <c r="E3504" s="18">
        <v>80</v>
      </c>
      <c r="F3504" s="18" t="s">
        <v>21</v>
      </c>
      <c r="G3504" s="18" t="s">
        <v>22</v>
      </c>
      <c r="H3504" s="18" t="s">
        <v>23</v>
      </c>
      <c r="I3504" s="19">
        <v>12.8</v>
      </c>
      <c r="J3504" s="20">
        <f t="shared" si="108"/>
        <v>1024</v>
      </c>
      <c r="K3504" s="106"/>
      <c r="L3504" s="114"/>
      <c r="M3504" s="114">
        <f>tblAquisições[[#This Row],[VALOR UNITARIO COMPRADO]]*tblAquisições[[#This Row],[QUANTIDADE COMPRADA]]</f>
        <v>0</v>
      </c>
      <c r="N3504" s="110">
        <f>K3504-tblAquisições[[#This Row],[QUANTIDADE PLANEJADA]]</f>
        <v>-80</v>
      </c>
      <c r="O3504" s="106" t="str">
        <f t="shared" si="109"/>
        <v>Faltando Comprar</v>
      </c>
    </row>
    <row r="3505" spans="1:15" ht="31.5">
      <c r="A3505" s="16" t="s">
        <v>17</v>
      </c>
      <c r="B3505" s="16" t="s">
        <v>26</v>
      </c>
      <c r="C3505" s="17" t="s">
        <v>19</v>
      </c>
      <c r="D3505" s="18" t="s">
        <v>1972</v>
      </c>
      <c r="E3505" s="18">
        <v>30</v>
      </c>
      <c r="F3505" s="18" t="s">
        <v>30</v>
      </c>
      <c r="G3505" s="18" t="s">
        <v>22</v>
      </c>
      <c r="H3505" s="18" t="s">
        <v>23</v>
      </c>
      <c r="I3505" s="19">
        <v>0.51</v>
      </c>
      <c r="J3505" s="20">
        <f t="shared" si="108"/>
        <v>15.3</v>
      </c>
      <c r="K3505" s="106"/>
      <c r="L3505" s="114"/>
      <c r="M3505" s="114">
        <f>tblAquisições[[#This Row],[VALOR UNITARIO COMPRADO]]*tblAquisições[[#This Row],[QUANTIDADE COMPRADA]]</f>
        <v>0</v>
      </c>
      <c r="N3505" s="110">
        <f>K3505-tblAquisições[[#This Row],[QUANTIDADE PLANEJADA]]</f>
        <v>-30</v>
      </c>
      <c r="O3505" s="106" t="str">
        <f t="shared" si="109"/>
        <v>Faltando Comprar</v>
      </c>
    </row>
    <row r="3506" spans="1:15" ht="31.5">
      <c r="A3506" s="16" t="s">
        <v>17</v>
      </c>
      <c r="B3506" s="16" t="s">
        <v>26</v>
      </c>
      <c r="C3506" s="17" t="s">
        <v>19</v>
      </c>
      <c r="D3506" s="18" t="s">
        <v>1973</v>
      </c>
      <c r="E3506" s="18">
        <v>30</v>
      </c>
      <c r="F3506" s="18" t="s">
        <v>30</v>
      </c>
      <c r="G3506" s="18" t="s">
        <v>22</v>
      </c>
      <c r="H3506" s="18" t="s">
        <v>23</v>
      </c>
      <c r="I3506" s="19">
        <v>0.56000000000000005</v>
      </c>
      <c r="J3506" s="20">
        <f t="shared" si="108"/>
        <v>16.8</v>
      </c>
      <c r="K3506" s="106"/>
      <c r="L3506" s="114"/>
      <c r="M3506" s="114">
        <f>tblAquisições[[#This Row],[VALOR UNITARIO COMPRADO]]*tblAquisições[[#This Row],[QUANTIDADE COMPRADA]]</f>
        <v>0</v>
      </c>
      <c r="N3506" s="110">
        <f>K3506-tblAquisições[[#This Row],[QUANTIDADE PLANEJADA]]</f>
        <v>-30</v>
      </c>
      <c r="O3506" s="106" t="str">
        <f t="shared" si="109"/>
        <v>Faltando Comprar</v>
      </c>
    </row>
    <row r="3507" spans="1:15" ht="47.25">
      <c r="A3507" s="16" t="s">
        <v>17</v>
      </c>
      <c r="B3507" s="16" t="s">
        <v>80</v>
      </c>
      <c r="C3507" s="17" t="s">
        <v>19</v>
      </c>
      <c r="D3507" s="18" t="s">
        <v>1974</v>
      </c>
      <c r="E3507" s="18">
        <v>4</v>
      </c>
      <c r="F3507" s="18" t="s">
        <v>147</v>
      </c>
      <c r="G3507" s="18" t="s">
        <v>39</v>
      </c>
      <c r="H3507" s="18" t="s">
        <v>23</v>
      </c>
      <c r="I3507" s="19">
        <v>1.35</v>
      </c>
      <c r="J3507" s="20">
        <f t="shared" si="108"/>
        <v>5.4</v>
      </c>
      <c r="K3507" s="106"/>
      <c r="L3507" s="114"/>
      <c r="M3507" s="114">
        <f>tblAquisições[[#This Row],[VALOR UNITARIO COMPRADO]]*tblAquisições[[#This Row],[QUANTIDADE COMPRADA]]</f>
        <v>0</v>
      </c>
      <c r="N3507" s="110">
        <f>K3507-tblAquisições[[#This Row],[QUANTIDADE PLANEJADA]]</f>
        <v>-4</v>
      </c>
      <c r="O3507" s="106" t="str">
        <f t="shared" si="109"/>
        <v>Faltando Comprar</v>
      </c>
    </row>
    <row r="3508" spans="1:15" ht="47.25">
      <c r="A3508" s="16" t="s">
        <v>17</v>
      </c>
      <c r="B3508" s="16" t="s">
        <v>28</v>
      </c>
      <c r="C3508" s="17" t="s">
        <v>19</v>
      </c>
      <c r="D3508" s="18" t="s">
        <v>1975</v>
      </c>
      <c r="E3508" s="18">
        <v>25</v>
      </c>
      <c r="F3508" s="18" t="s">
        <v>78</v>
      </c>
      <c r="G3508" s="18" t="s">
        <v>22</v>
      </c>
      <c r="H3508" s="18" t="s">
        <v>23</v>
      </c>
      <c r="I3508" s="19">
        <v>1.35</v>
      </c>
      <c r="J3508" s="20">
        <f t="shared" si="108"/>
        <v>33.75</v>
      </c>
      <c r="K3508" s="106"/>
      <c r="L3508" s="114"/>
      <c r="M3508" s="114">
        <f>tblAquisições[[#This Row],[VALOR UNITARIO COMPRADO]]*tblAquisições[[#This Row],[QUANTIDADE COMPRADA]]</f>
        <v>0</v>
      </c>
      <c r="N3508" s="110">
        <f>K3508-tblAquisições[[#This Row],[QUANTIDADE PLANEJADA]]</f>
        <v>-25</v>
      </c>
      <c r="O3508" s="106" t="str">
        <f t="shared" si="109"/>
        <v>Faltando Comprar</v>
      </c>
    </row>
    <row r="3509" spans="1:15" ht="47.25">
      <c r="A3509" s="16" t="s">
        <v>17</v>
      </c>
      <c r="B3509" s="16" t="s">
        <v>26</v>
      </c>
      <c r="C3509" s="17" t="s">
        <v>19</v>
      </c>
      <c r="D3509" s="18" t="s">
        <v>1976</v>
      </c>
      <c r="E3509" s="18">
        <v>10</v>
      </c>
      <c r="F3509" s="18" t="s">
        <v>78</v>
      </c>
      <c r="G3509" s="18" t="s">
        <v>22</v>
      </c>
      <c r="H3509" s="18" t="s">
        <v>23</v>
      </c>
      <c r="I3509" s="19">
        <v>110.89</v>
      </c>
      <c r="J3509" s="20">
        <f t="shared" si="108"/>
        <v>1108.9000000000001</v>
      </c>
      <c r="K3509" s="106"/>
      <c r="L3509" s="114"/>
      <c r="M3509" s="114">
        <f>tblAquisições[[#This Row],[VALOR UNITARIO COMPRADO]]*tblAquisições[[#This Row],[QUANTIDADE COMPRADA]]</f>
        <v>0</v>
      </c>
      <c r="N3509" s="110">
        <f>K3509-tblAquisições[[#This Row],[QUANTIDADE PLANEJADA]]</f>
        <v>-10</v>
      </c>
      <c r="O3509" s="106" t="str">
        <f t="shared" si="109"/>
        <v>Faltando Comprar</v>
      </c>
    </row>
    <row r="3510" spans="1:15" ht="47.25">
      <c r="A3510" s="16" t="s">
        <v>17</v>
      </c>
      <c r="B3510" s="16" t="s">
        <v>26</v>
      </c>
      <c r="C3510" s="17" t="s">
        <v>19</v>
      </c>
      <c r="D3510" s="18" t="s">
        <v>1977</v>
      </c>
      <c r="E3510" s="18">
        <v>6</v>
      </c>
      <c r="F3510" s="18" t="s">
        <v>78</v>
      </c>
      <c r="G3510" s="18" t="s">
        <v>22</v>
      </c>
      <c r="H3510" s="18" t="s">
        <v>23</v>
      </c>
      <c r="I3510" s="19">
        <v>105.94</v>
      </c>
      <c r="J3510" s="20">
        <f t="shared" si="108"/>
        <v>635.64</v>
      </c>
      <c r="K3510" s="106"/>
      <c r="L3510" s="114"/>
      <c r="M3510" s="114">
        <f>tblAquisições[[#This Row],[VALOR UNITARIO COMPRADO]]*tblAquisições[[#This Row],[QUANTIDADE COMPRADA]]</f>
        <v>0</v>
      </c>
      <c r="N3510" s="110">
        <f>K3510-tblAquisições[[#This Row],[QUANTIDADE PLANEJADA]]</f>
        <v>-6</v>
      </c>
      <c r="O3510" s="106" t="str">
        <f t="shared" si="109"/>
        <v>Faltando Comprar</v>
      </c>
    </row>
    <row r="3511" spans="1:15" ht="31.5">
      <c r="A3511" s="16" t="s">
        <v>17</v>
      </c>
      <c r="B3511" s="16" t="s">
        <v>26</v>
      </c>
      <c r="C3511" s="17" t="s">
        <v>19</v>
      </c>
      <c r="D3511" s="18" t="s">
        <v>1978</v>
      </c>
      <c r="E3511" s="18">
        <v>20</v>
      </c>
      <c r="F3511" s="18" t="s">
        <v>170</v>
      </c>
      <c r="G3511" s="18" t="s">
        <v>22</v>
      </c>
      <c r="H3511" s="18" t="s">
        <v>23</v>
      </c>
      <c r="I3511" s="19">
        <v>42.71</v>
      </c>
      <c r="J3511" s="20">
        <f t="shared" si="108"/>
        <v>854.2</v>
      </c>
      <c r="K3511" s="106"/>
      <c r="L3511" s="114"/>
      <c r="M3511" s="114">
        <f>tblAquisições[[#This Row],[VALOR UNITARIO COMPRADO]]*tblAquisições[[#This Row],[QUANTIDADE COMPRADA]]</f>
        <v>0</v>
      </c>
      <c r="N3511" s="110">
        <f>K3511-tblAquisições[[#This Row],[QUANTIDADE PLANEJADA]]</f>
        <v>-20</v>
      </c>
      <c r="O3511" s="106" t="str">
        <f t="shared" si="109"/>
        <v>Faltando Comprar</v>
      </c>
    </row>
    <row r="3512" spans="1:15" ht="31.5">
      <c r="A3512" s="16" t="s">
        <v>17</v>
      </c>
      <c r="B3512" s="16" t="s">
        <v>18</v>
      </c>
      <c r="C3512" s="17" t="s">
        <v>19</v>
      </c>
      <c r="D3512" s="18" t="s">
        <v>1979</v>
      </c>
      <c r="E3512" s="18">
        <v>50</v>
      </c>
      <c r="F3512" s="18" t="s">
        <v>254</v>
      </c>
      <c r="G3512" s="18" t="s">
        <v>22</v>
      </c>
      <c r="H3512" s="18" t="s">
        <v>23</v>
      </c>
      <c r="I3512" s="19">
        <v>11.64</v>
      </c>
      <c r="J3512" s="20">
        <f t="shared" si="108"/>
        <v>582</v>
      </c>
      <c r="K3512" s="106"/>
      <c r="L3512" s="114"/>
      <c r="M3512" s="114">
        <f>tblAquisições[[#This Row],[VALOR UNITARIO COMPRADO]]*tblAquisições[[#This Row],[QUANTIDADE COMPRADA]]</f>
        <v>0</v>
      </c>
      <c r="N3512" s="110">
        <f>K3512-tblAquisições[[#This Row],[QUANTIDADE PLANEJADA]]</f>
        <v>-50</v>
      </c>
      <c r="O3512" s="106" t="str">
        <f t="shared" si="109"/>
        <v>Faltando Comprar</v>
      </c>
    </row>
    <row r="3513" spans="1:15" ht="31.5">
      <c r="A3513" s="16" t="s">
        <v>17</v>
      </c>
      <c r="B3513" s="16" t="s">
        <v>24</v>
      </c>
      <c r="C3513" s="17" t="s">
        <v>19</v>
      </c>
      <c r="D3513" s="18" t="s">
        <v>1979</v>
      </c>
      <c r="E3513" s="18">
        <v>50</v>
      </c>
      <c r="F3513" s="18" t="s">
        <v>254</v>
      </c>
      <c r="G3513" s="18" t="s">
        <v>22</v>
      </c>
      <c r="H3513" s="18" t="s">
        <v>23</v>
      </c>
      <c r="I3513" s="19">
        <v>11.64</v>
      </c>
      <c r="J3513" s="20">
        <f t="shared" si="108"/>
        <v>582</v>
      </c>
      <c r="K3513" s="106"/>
      <c r="L3513" s="114"/>
      <c r="M3513" s="114">
        <f>tblAquisições[[#This Row],[VALOR UNITARIO COMPRADO]]*tblAquisições[[#This Row],[QUANTIDADE COMPRADA]]</f>
        <v>0</v>
      </c>
      <c r="N3513" s="110">
        <f>K3513-tblAquisições[[#This Row],[QUANTIDADE PLANEJADA]]</f>
        <v>-50</v>
      </c>
      <c r="O3513" s="106" t="str">
        <f t="shared" si="109"/>
        <v>Faltando Comprar</v>
      </c>
    </row>
    <row r="3514" spans="1:15" ht="31.5">
      <c r="A3514" s="16" t="s">
        <v>17</v>
      </c>
      <c r="B3514" s="16" t="s">
        <v>25</v>
      </c>
      <c r="C3514" s="17" t="s">
        <v>19</v>
      </c>
      <c r="D3514" s="18" t="s">
        <v>1979</v>
      </c>
      <c r="E3514" s="18">
        <v>50</v>
      </c>
      <c r="F3514" s="18" t="s">
        <v>254</v>
      </c>
      <c r="G3514" s="18" t="s">
        <v>22</v>
      </c>
      <c r="H3514" s="18" t="s">
        <v>23</v>
      </c>
      <c r="I3514" s="19">
        <v>11.64</v>
      </c>
      <c r="J3514" s="20">
        <f t="shared" si="108"/>
        <v>582</v>
      </c>
      <c r="K3514" s="106"/>
      <c r="L3514" s="114"/>
      <c r="M3514" s="114">
        <f>tblAquisições[[#This Row],[VALOR UNITARIO COMPRADO]]*tblAquisições[[#This Row],[QUANTIDADE COMPRADA]]</f>
        <v>0</v>
      </c>
      <c r="N3514" s="110">
        <f>K3514-tblAquisições[[#This Row],[QUANTIDADE PLANEJADA]]</f>
        <v>-50</v>
      </c>
      <c r="O3514" s="106" t="str">
        <f t="shared" si="109"/>
        <v>Faltando Comprar</v>
      </c>
    </row>
    <row r="3515" spans="1:15" ht="31.5">
      <c r="A3515" s="16" t="s">
        <v>17</v>
      </c>
      <c r="B3515" s="16" t="s">
        <v>28</v>
      </c>
      <c r="C3515" s="17" t="s">
        <v>19</v>
      </c>
      <c r="D3515" s="18" t="s">
        <v>1979</v>
      </c>
      <c r="E3515" s="18">
        <v>12</v>
      </c>
      <c r="F3515" s="18" t="s">
        <v>254</v>
      </c>
      <c r="G3515" s="18" t="s">
        <v>22</v>
      </c>
      <c r="H3515" s="18" t="s">
        <v>100</v>
      </c>
      <c r="I3515" s="19">
        <v>11.64</v>
      </c>
      <c r="J3515" s="20">
        <f t="shared" si="108"/>
        <v>139.68</v>
      </c>
      <c r="K3515" s="106"/>
      <c r="L3515" s="114"/>
      <c r="M3515" s="114">
        <f>tblAquisições[[#This Row],[VALOR UNITARIO COMPRADO]]*tblAquisições[[#This Row],[QUANTIDADE COMPRADA]]</f>
        <v>0</v>
      </c>
      <c r="N3515" s="110">
        <f>K3515-tblAquisições[[#This Row],[QUANTIDADE PLANEJADA]]</f>
        <v>-12</v>
      </c>
      <c r="O3515" s="106" t="str">
        <f t="shared" si="109"/>
        <v>Faltando Comprar</v>
      </c>
    </row>
    <row r="3516" spans="1:15" ht="47.25">
      <c r="A3516" s="16" t="s">
        <v>17</v>
      </c>
      <c r="B3516" s="16" t="s">
        <v>26</v>
      </c>
      <c r="C3516" s="17" t="s">
        <v>19</v>
      </c>
      <c r="D3516" s="18" t="s">
        <v>1980</v>
      </c>
      <c r="E3516" s="18">
        <v>120</v>
      </c>
      <c r="F3516" s="18" t="s">
        <v>239</v>
      </c>
      <c r="G3516" s="18" t="s">
        <v>22</v>
      </c>
      <c r="H3516" s="18" t="s">
        <v>23</v>
      </c>
      <c r="I3516" s="19">
        <v>22.65</v>
      </c>
      <c r="J3516" s="20">
        <f t="shared" si="108"/>
        <v>2718</v>
      </c>
      <c r="K3516" s="106"/>
      <c r="L3516" s="114"/>
      <c r="M3516" s="114">
        <f>tblAquisições[[#This Row],[VALOR UNITARIO COMPRADO]]*tblAquisições[[#This Row],[QUANTIDADE COMPRADA]]</f>
        <v>0</v>
      </c>
      <c r="N3516" s="110">
        <f>K3516-tblAquisições[[#This Row],[QUANTIDADE PLANEJADA]]</f>
        <v>-120</v>
      </c>
      <c r="O3516" s="106" t="str">
        <f t="shared" si="109"/>
        <v>Faltando Comprar</v>
      </c>
    </row>
    <row r="3517" spans="1:15" ht="47.25">
      <c r="A3517" s="16" t="s">
        <v>17</v>
      </c>
      <c r="B3517" s="16" t="s">
        <v>26</v>
      </c>
      <c r="C3517" s="17" t="s">
        <v>19</v>
      </c>
      <c r="D3517" s="18" t="s">
        <v>1981</v>
      </c>
      <c r="E3517" s="18">
        <v>60</v>
      </c>
      <c r="F3517" s="18" t="s">
        <v>239</v>
      </c>
      <c r="G3517" s="18" t="s">
        <v>22</v>
      </c>
      <c r="H3517" s="18" t="s">
        <v>23</v>
      </c>
      <c r="I3517" s="19">
        <v>16</v>
      </c>
      <c r="J3517" s="20">
        <f t="shared" si="108"/>
        <v>960</v>
      </c>
      <c r="K3517" s="106"/>
      <c r="L3517" s="114"/>
      <c r="M3517" s="114">
        <f>tblAquisições[[#This Row],[VALOR UNITARIO COMPRADO]]*tblAquisições[[#This Row],[QUANTIDADE COMPRADA]]</f>
        <v>0</v>
      </c>
      <c r="N3517" s="110">
        <f>K3517-tblAquisições[[#This Row],[QUANTIDADE PLANEJADA]]</f>
        <v>-60</v>
      </c>
      <c r="O3517" s="106" t="str">
        <f t="shared" si="109"/>
        <v>Faltando Comprar</v>
      </c>
    </row>
    <row r="3518" spans="1:15" ht="47.25">
      <c r="A3518" s="16" t="s">
        <v>17</v>
      </c>
      <c r="B3518" s="16" t="s">
        <v>28</v>
      </c>
      <c r="C3518" s="17" t="s">
        <v>19</v>
      </c>
      <c r="D3518" s="18" t="s">
        <v>1981</v>
      </c>
      <c r="E3518" s="18">
        <v>80</v>
      </c>
      <c r="F3518" s="18" t="s">
        <v>239</v>
      </c>
      <c r="G3518" s="18" t="s">
        <v>22</v>
      </c>
      <c r="H3518" s="18" t="s">
        <v>23</v>
      </c>
      <c r="I3518" s="19">
        <v>16</v>
      </c>
      <c r="J3518" s="20">
        <f t="shared" si="108"/>
        <v>1280</v>
      </c>
      <c r="K3518" s="106"/>
      <c r="L3518" s="114"/>
      <c r="M3518" s="114">
        <f>tblAquisições[[#This Row],[VALOR UNITARIO COMPRADO]]*tblAquisições[[#This Row],[QUANTIDADE COMPRADA]]</f>
        <v>0</v>
      </c>
      <c r="N3518" s="110">
        <f>K3518-tblAquisições[[#This Row],[QUANTIDADE PLANEJADA]]</f>
        <v>-80</v>
      </c>
      <c r="O3518" s="106" t="str">
        <f t="shared" si="109"/>
        <v>Faltando Comprar</v>
      </c>
    </row>
    <row r="3519" spans="1:15" ht="47.25">
      <c r="A3519" s="16" t="s">
        <v>17</v>
      </c>
      <c r="B3519" s="16" t="s">
        <v>26</v>
      </c>
      <c r="C3519" s="17" t="s">
        <v>19</v>
      </c>
      <c r="D3519" s="18" t="s">
        <v>1982</v>
      </c>
      <c r="E3519" s="18">
        <v>2</v>
      </c>
      <c r="F3519" s="18" t="s">
        <v>58</v>
      </c>
      <c r="G3519" s="18" t="s">
        <v>22</v>
      </c>
      <c r="H3519" s="18" t="s">
        <v>23</v>
      </c>
      <c r="I3519" s="19">
        <v>32.520000000000003</v>
      </c>
      <c r="J3519" s="20">
        <f t="shared" si="108"/>
        <v>65.040000000000006</v>
      </c>
      <c r="K3519" s="106"/>
      <c r="L3519" s="114"/>
      <c r="M3519" s="114">
        <f>tblAquisições[[#This Row],[VALOR UNITARIO COMPRADO]]*tblAquisições[[#This Row],[QUANTIDADE COMPRADA]]</f>
        <v>0</v>
      </c>
      <c r="N3519" s="110">
        <f>K3519-tblAquisições[[#This Row],[QUANTIDADE PLANEJADA]]</f>
        <v>-2</v>
      </c>
      <c r="O3519" s="106" t="str">
        <f t="shared" si="109"/>
        <v>Faltando Comprar</v>
      </c>
    </row>
    <row r="3520" spans="1:15" ht="47.25">
      <c r="A3520" s="16" t="s">
        <v>17</v>
      </c>
      <c r="B3520" s="16" t="s">
        <v>26</v>
      </c>
      <c r="C3520" s="17" t="s">
        <v>19</v>
      </c>
      <c r="D3520" s="18" t="s">
        <v>1983</v>
      </c>
      <c r="E3520" s="18">
        <v>8</v>
      </c>
      <c r="F3520" s="18" t="s">
        <v>239</v>
      </c>
      <c r="G3520" s="18" t="s">
        <v>22</v>
      </c>
      <c r="H3520" s="18" t="s">
        <v>23</v>
      </c>
      <c r="I3520" s="19">
        <v>13.89</v>
      </c>
      <c r="J3520" s="20">
        <f t="shared" si="108"/>
        <v>111.12</v>
      </c>
      <c r="K3520" s="106"/>
      <c r="L3520" s="114"/>
      <c r="M3520" s="114">
        <f>tblAquisições[[#This Row],[VALOR UNITARIO COMPRADO]]*tblAquisições[[#This Row],[QUANTIDADE COMPRADA]]</f>
        <v>0</v>
      </c>
      <c r="N3520" s="110">
        <f>K3520-tblAquisições[[#This Row],[QUANTIDADE PLANEJADA]]</f>
        <v>-8</v>
      </c>
      <c r="O3520" s="106" t="str">
        <f t="shared" si="109"/>
        <v>Faltando Comprar</v>
      </c>
    </row>
    <row r="3521" spans="1:15" ht="47.25">
      <c r="A3521" s="16" t="s">
        <v>17</v>
      </c>
      <c r="B3521" s="16" t="s">
        <v>28</v>
      </c>
      <c r="C3521" s="17" t="s">
        <v>19</v>
      </c>
      <c r="D3521" s="18" t="s">
        <v>1983</v>
      </c>
      <c r="E3521" s="18">
        <v>10</v>
      </c>
      <c r="F3521" s="18" t="s">
        <v>239</v>
      </c>
      <c r="G3521" s="18" t="s">
        <v>22</v>
      </c>
      <c r="H3521" s="18" t="s">
        <v>23</v>
      </c>
      <c r="I3521" s="19">
        <v>13.89</v>
      </c>
      <c r="J3521" s="20">
        <f t="shared" si="108"/>
        <v>138.9</v>
      </c>
      <c r="K3521" s="106"/>
      <c r="L3521" s="114"/>
      <c r="M3521" s="114">
        <f>tblAquisições[[#This Row],[VALOR UNITARIO COMPRADO]]*tblAquisições[[#This Row],[QUANTIDADE COMPRADA]]</f>
        <v>0</v>
      </c>
      <c r="N3521" s="110">
        <f>K3521-tblAquisições[[#This Row],[QUANTIDADE PLANEJADA]]</f>
        <v>-10</v>
      </c>
      <c r="O3521" s="106" t="str">
        <f t="shared" si="109"/>
        <v>Faltando Comprar</v>
      </c>
    </row>
    <row r="3522" spans="1:15" ht="47.25">
      <c r="A3522" s="16" t="s">
        <v>17</v>
      </c>
      <c r="B3522" s="16" t="s">
        <v>80</v>
      </c>
      <c r="C3522" s="17" t="s">
        <v>19</v>
      </c>
      <c r="D3522" s="32" t="s">
        <v>1984</v>
      </c>
      <c r="E3522" s="18">
        <v>2</v>
      </c>
      <c r="F3522" s="18" t="s">
        <v>191</v>
      </c>
      <c r="G3522" s="18" t="s">
        <v>39</v>
      </c>
      <c r="H3522" s="18" t="s">
        <v>65</v>
      </c>
      <c r="I3522" s="24">
        <v>42.6</v>
      </c>
      <c r="J3522" s="20">
        <f t="shared" ref="J3522:J3585" si="110">E3522*I3522</f>
        <v>85.2</v>
      </c>
      <c r="K3522" s="106"/>
      <c r="L3522" s="114"/>
      <c r="M3522" s="114">
        <f>tblAquisições[[#This Row],[VALOR UNITARIO COMPRADO]]*tblAquisições[[#This Row],[QUANTIDADE COMPRADA]]</f>
        <v>0</v>
      </c>
      <c r="N3522" s="110">
        <f>K3522-tblAquisições[[#This Row],[QUANTIDADE PLANEJADA]]</f>
        <v>-2</v>
      </c>
      <c r="O3522" s="106" t="str">
        <f t="shared" ref="O3522:O3585" si="111">IF(K3522=E3522,"OK",IF(K3522&lt;E3522,"Faltando Comprar","Excedente"))</f>
        <v>Faltando Comprar</v>
      </c>
    </row>
    <row r="3523" spans="1:15" ht="47.25">
      <c r="A3523" s="16" t="s">
        <v>17</v>
      </c>
      <c r="B3523" s="16" t="s">
        <v>26</v>
      </c>
      <c r="C3523" s="17" t="s">
        <v>19</v>
      </c>
      <c r="D3523" s="18" t="s">
        <v>1985</v>
      </c>
      <c r="E3523" s="18">
        <v>30</v>
      </c>
      <c r="F3523" s="18" t="s">
        <v>239</v>
      </c>
      <c r="G3523" s="18" t="s">
        <v>22</v>
      </c>
      <c r="H3523" s="18" t="s">
        <v>23</v>
      </c>
      <c r="I3523" s="19">
        <v>7.3</v>
      </c>
      <c r="J3523" s="20">
        <f t="shared" si="110"/>
        <v>219</v>
      </c>
      <c r="K3523" s="106"/>
      <c r="L3523" s="114"/>
      <c r="M3523" s="114">
        <f>tblAquisições[[#This Row],[VALOR UNITARIO COMPRADO]]*tblAquisições[[#This Row],[QUANTIDADE COMPRADA]]</f>
        <v>0</v>
      </c>
      <c r="N3523" s="110">
        <f>K3523-tblAquisições[[#This Row],[QUANTIDADE PLANEJADA]]</f>
        <v>-30</v>
      </c>
      <c r="O3523" s="106" t="str">
        <f t="shared" si="111"/>
        <v>Faltando Comprar</v>
      </c>
    </row>
    <row r="3524" spans="1:15" ht="47.25">
      <c r="A3524" s="16" t="s">
        <v>17</v>
      </c>
      <c r="B3524" s="16" t="s">
        <v>28</v>
      </c>
      <c r="C3524" s="17" t="s">
        <v>19</v>
      </c>
      <c r="D3524" s="18" t="s">
        <v>1985</v>
      </c>
      <c r="E3524" s="18">
        <v>3</v>
      </c>
      <c r="F3524" s="18" t="s">
        <v>239</v>
      </c>
      <c r="G3524" s="18" t="s">
        <v>22</v>
      </c>
      <c r="H3524" s="18" t="s">
        <v>65</v>
      </c>
      <c r="I3524" s="24">
        <v>42.6</v>
      </c>
      <c r="J3524" s="20">
        <f t="shared" si="110"/>
        <v>127.80000000000001</v>
      </c>
      <c r="K3524" s="106"/>
      <c r="L3524" s="114"/>
      <c r="M3524" s="114">
        <f>tblAquisições[[#This Row],[VALOR UNITARIO COMPRADO]]*tblAquisições[[#This Row],[QUANTIDADE COMPRADA]]</f>
        <v>0</v>
      </c>
      <c r="N3524" s="110">
        <f>K3524-tblAquisições[[#This Row],[QUANTIDADE PLANEJADA]]</f>
        <v>-3</v>
      </c>
      <c r="O3524" s="106" t="str">
        <f t="shared" si="111"/>
        <v>Faltando Comprar</v>
      </c>
    </row>
    <row r="3525" spans="1:15" ht="47.25">
      <c r="A3525" s="16" t="s">
        <v>17</v>
      </c>
      <c r="B3525" s="16" t="s">
        <v>26</v>
      </c>
      <c r="C3525" s="17" t="s">
        <v>19</v>
      </c>
      <c r="D3525" s="18" t="s">
        <v>1986</v>
      </c>
      <c r="E3525" s="18">
        <v>80</v>
      </c>
      <c r="F3525" s="18" t="s">
        <v>239</v>
      </c>
      <c r="G3525" s="18" t="s">
        <v>22</v>
      </c>
      <c r="H3525" s="18" t="s">
        <v>23</v>
      </c>
      <c r="I3525" s="19">
        <v>3.26</v>
      </c>
      <c r="J3525" s="20">
        <f t="shared" si="110"/>
        <v>260.79999999999995</v>
      </c>
      <c r="K3525" s="106"/>
      <c r="L3525" s="114"/>
      <c r="M3525" s="114">
        <f>tblAquisições[[#This Row],[VALOR UNITARIO COMPRADO]]*tblAquisições[[#This Row],[QUANTIDADE COMPRADA]]</f>
        <v>0</v>
      </c>
      <c r="N3525" s="110">
        <f>K3525-tblAquisições[[#This Row],[QUANTIDADE PLANEJADA]]</f>
        <v>-80</v>
      </c>
      <c r="O3525" s="106" t="str">
        <f t="shared" si="111"/>
        <v>Faltando Comprar</v>
      </c>
    </row>
    <row r="3526" spans="1:15" ht="47.25">
      <c r="A3526" s="16" t="s">
        <v>17</v>
      </c>
      <c r="B3526" s="16" t="s">
        <v>80</v>
      </c>
      <c r="C3526" s="17" t="s">
        <v>19</v>
      </c>
      <c r="D3526" s="18" t="s">
        <v>1987</v>
      </c>
      <c r="E3526" s="18">
        <v>40</v>
      </c>
      <c r="F3526" s="18" t="s">
        <v>191</v>
      </c>
      <c r="G3526" s="18" t="s">
        <v>39</v>
      </c>
      <c r="H3526" s="18" t="s">
        <v>23</v>
      </c>
      <c r="I3526" s="19">
        <v>7.75</v>
      </c>
      <c r="J3526" s="20">
        <f t="shared" si="110"/>
        <v>310</v>
      </c>
      <c r="K3526" s="106"/>
      <c r="L3526" s="114"/>
      <c r="M3526" s="114">
        <f>tblAquisições[[#This Row],[VALOR UNITARIO COMPRADO]]*tblAquisições[[#This Row],[QUANTIDADE COMPRADA]]</f>
        <v>0</v>
      </c>
      <c r="N3526" s="110">
        <f>K3526-tblAquisições[[#This Row],[QUANTIDADE PLANEJADA]]</f>
        <v>-40</v>
      </c>
      <c r="O3526" s="106" t="str">
        <f t="shared" si="111"/>
        <v>Faltando Comprar</v>
      </c>
    </row>
    <row r="3527" spans="1:15" ht="31.5">
      <c r="A3527" s="16" t="s">
        <v>17</v>
      </c>
      <c r="B3527" s="16" t="s">
        <v>80</v>
      </c>
      <c r="C3527" s="17" t="s">
        <v>19</v>
      </c>
      <c r="D3527" s="18" t="s">
        <v>1988</v>
      </c>
      <c r="E3527" s="18">
        <v>20</v>
      </c>
      <c r="F3527" s="18" t="s">
        <v>38</v>
      </c>
      <c r="G3527" s="18" t="s">
        <v>39</v>
      </c>
      <c r="H3527" s="18" t="s">
        <v>23</v>
      </c>
      <c r="I3527" s="19">
        <v>81.430000000000007</v>
      </c>
      <c r="J3527" s="20">
        <f t="shared" si="110"/>
        <v>1628.6000000000001</v>
      </c>
      <c r="K3527" s="106"/>
      <c r="L3527" s="114"/>
      <c r="M3527" s="114">
        <f>tblAquisições[[#This Row],[VALOR UNITARIO COMPRADO]]*tblAquisições[[#This Row],[QUANTIDADE COMPRADA]]</f>
        <v>0</v>
      </c>
      <c r="N3527" s="110">
        <f>K3527-tblAquisições[[#This Row],[QUANTIDADE PLANEJADA]]</f>
        <v>-20</v>
      </c>
      <c r="O3527" s="106" t="str">
        <f t="shared" si="111"/>
        <v>Faltando Comprar</v>
      </c>
    </row>
    <row r="3528" spans="1:15" ht="31.5">
      <c r="A3528" s="16" t="s">
        <v>17</v>
      </c>
      <c r="B3528" s="16" t="s">
        <v>31</v>
      </c>
      <c r="C3528" s="17" t="s">
        <v>19</v>
      </c>
      <c r="D3528" s="18" t="s">
        <v>1989</v>
      </c>
      <c r="E3528" s="18">
        <v>15</v>
      </c>
      <c r="F3528" s="18" t="s">
        <v>21</v>
      </c>
      <c r="G3528" s="18" t="s">
        <v>22</v>
      </c>
      <c r="H3528" s="18" t="s">
        <v>23</v>
      </c>
      <c r="I3528" s="19">
        <v>81.430000000000007</v>
      </c>
      <c r="J3528" s="20">
        <f t="shared" si="110"/>
        <v>1221.45</v>
      </c>
      <c r="K3528" s="106"/>
      <c r="L3528" s="114"/>
      <c r="M3528" s="114">
        <f>tblAquisições[[#This Row],[VALOR UNITARIO COMPRADO]]*tblAquisições[[#This Row],[QUANTIDADE COMPRADA]]</f>
        <v>0</v>
      </c>
      <c r="N3528" s="110">
        <f>K3528-tblAquisições[[#This Row],[QUANTIDADE PLANEJADA]]</f>
        <v>-15</v>
      </c>
      <c r="O3528" s="106" t="str">
        <f t="shared" si="111"/>
        <v>Faltando Comprar</v>
      </c>
    </row>
    <row r="3529" spans="1:15" ht="31.5">
      <c r="A3529" s="16" t="s">
        <v>17</v>
      </c>
      <c r="B3529" s="16" t="s">
        <v>41</v>
      </c>
      <c r="C3529" s="17" t="s">
        <v>19</v>
      </c>
      <c r="D3529" s="18" t="s">
        <v>1989</v>
      </c>
      <c r="E3529" s="18">
        <v>10</v>
      </c>
      <c r="F3529" s="18" t="s">
        <v>21</v>
      </c>
      <c r="G3529" s="18" t="s">
        <v>22</v>
      </c>
      <c r="H3529" s="18" t="s">
        <v>23</v>
      </c>
      <c r="I3529" s="19">
        <v>81.430000000000007</v>
      </c>
      <c r="J3529" s="20">
        <f t="shared" si="110"/>
        <v>814.30000000000007</v>
      </c>
      <c r="K3529" s="106"/>
      <c r="L3529" s="114"/>
      <c r="M3529" s="114">
        <f>tblAquisições[[#This Row],[VALOR UNITARIO COMPRADO]]*tblAquisições[[#This Row],[QUANTIDADE COMPRADA]]</f>
        <v>0</v>
      </c>
      <c r="N3529" s="110">
        <f>K3529-tblAquisições[[#This Row],[QUANTIDADE PLANEJADA]]</f>
        <v>-10</v>
      </c>
      <c r="O3529" s="106" t="str">
        <f t="shared" si="111"/>
        <v>Faltando Comprar</v>
      </c>
    </row>
    <row r="3530" spans="1:15" ht="31.5">
      <c r="A3530" s="16" t="s">
        <v>17</v>
      </c>
      <c r="B3530" s="16" t="s">
        <v>26</v>
      </c>
      <c r="C3530" s="17" t="s">
        <v>19</v>
      </c>
      <c r="D3530" s="18" t="s">
        <v>1989</v>
      </c>
      <c r="E3530" s="18">
        <v>15</v>
      </c>
      <c r="F3530" s="18" t="s">
        <v>21</v>
      </c>
      <c r="G3530" s="18" t="s">
        <v>22</v>
      </c>
      <c r="H3530" s="18" t="s">
        <v>23</v>
      </c>
      <c r="I3530" s="19">
        <v>81.430000000000007</v>
      </c>
      <c r="J3530" s="20">
        <f t="shared" si="110"/>
        <v>1221.45</v>
      </c>
      <c r="K3530" s="106"/>
      <c r="L3530" s="114"/>
      <c r="M3530" s="114">
        <f>tblAquisições[[#This Row],[VALOR UNITARIO COMPRADO]]*tblAquisições[[#This Row],[QUANTIDADE COMPRADA]]</f>
        <v>0</v>
      </c>
      <c r="N3530" s="110">
        <f>K3530-tblAquisições[[#This Row],[QUANTIDADE PLANEJADA]]</f>
        <v>-15</v>
      </c>
      <c r="O3530" s="106" t="str">
        <f t="shared" si="111"/>
        <v>Faltando Comprar</v>
      </c>
    </row>
    <row r="3531" spans="1:15" ht="31.5">
      <c r="A3531" s="16" t="s">
        <v>17</v>
      </c>
      <c r="B3531" s="16" t="s">
        <v>28</v>
      </c>
      <c r="C3531" s="17" t="s">
        <v>19</v>
      </c>
      <c r="D3531" s="18" t="s">
        <v>1989</v>
      </c>
      <c r="E3531" s="18">
        <v>80</v>
      </c>
      <c r="F3531" s="18" t="s">
        <v>21</v>
      </c>
      <c r="G3531" s="18" t="s">
        <v>22</v>
      </c>
      <c r="H3531" s="18" t="s">
        <v>23</v>
      </c>
      <c r="I3531" s="19">
        <v>81.430000000000007</v>
      </c>
      <c r="J3531" s="20">
        <f t="shared" si="110"/>
        <v>6514.4000000000005</v>
      </c>
      <c r="K3531" s="106"/>
      <c r="L3531" s="114"/>
      <c r="M3531" s="114">
        <f>tblAquisições[[#This Row],[VALOR UNITARIO COMPRADO]]*tblAquisições[[#This Row],[QUANTIDADE COMPRADA]]</f>
        <v>0</v>
      </c>
      <c r="N3531" s="110">
        <f>K3531-tblAquisições[[#This Row],[QUANTIDADE PLANEJADA]]</f>
        <v>-80</v>
      </c>
      <c r="O3531" s="106" t="str">
        <f t="shared" si="111"/>
        <v>Faltando Comprar</v>
      </c>
    </row>
    <row r="3532" spans="1:15" ht="31.5">
      <c r="A3532" s="16" t="s">
        <v>17</v>
      </c>
      <c r="B3532" s="16" t="s">
        <v>26</v>
      </c>
      <c r="C3532" s="17" t="s">
        <v>19</v>
      </c>
      <c r="D3532" s="18" t="s">
        <v>1990</v>
      </c>
      <c r="E3532" s="18">
        <v>30</v>
      </c>
      <c r="F3532" s="18" t="s">
        <v>21</v>
      </c>
      <c r="G3532" s="18" t="s">
        <v>22</v>
      </c>
      <c r="H3532" s="18" t="s">
        <v>23</v>
      </c>
      <c r="I3532" s="19">
        <v>67.680000000000007</v>
      </c>
      <c r="J3532" s="20">
        <f t="shared" si="110"/>
        <v>2030.4</v>
      </c>
      <c r="K3532" s="106"/>
      <c r="L3532" s="114"/>
      <c r="M3532" s="114">
        <f>tblAquisições[[#This Row],[VALOR UNITARIO COMPRADO]]*tblAquisições[[#This Row],[QUANTIDADE COMPRADA]]</f>
        <v>0</v>
      </c>
      <c r="N3532" s="110">
        <f>K3532-tblAquisições[[#This Row],[QUANTIDADE PLANEJADA]]</f>
        <v>-30</v>
      </c>
      <c r="O3532" s="106" t="str">
        <f t="shared" si="111"/>
        <v>Faltando Comprar</v>
      </c>
    </row>
    <row r="3533" spans="1:15" ht="31.5">
      <c r="A3533" s="16" t="s">
        <v>17</v>
      </c>
      <c r="B3533" s="16" t="s">
        <v>18</v>
      </c>
      <c r="C3533" s="17" t="s">
        <v>19</v>
      </c>
      <c r="D3533" s="18" t="s">
        <v>1991</v>
      </c>
      <c r="E3533" s="18">
        <v>10</v>
      </c>
      <c r="F3533" s="18" t="s">
        <v>21</v>
      </c>
      <c r="G3533" s="18" t="s">
        <v>22</v>
      </c>
      <c r="H3533" s="18" t="s">
        <v>23</v>
      </c>
      <c r="I3533" s="19">
        <v>121.48</v>
      </c>
      <c r="J3533" s="20">
        <f t="shared" si="110"/>
        <v>1214.8</v>
      </c>
      <c r="K3533" s="106"/>
      <c r="L3533" s="114"/>
      <c r="M3533" s="114">
        <f>tblAquisições[[#This Row],[VALOR UNITARIO COMPRADO]]*tblAquisições[[#This Row],[QUANTIDADE COMPRADA]]</f>
        <v>0</v>
      </c>
      <c r="N3533" s="110">
        <f>K3533-tblAquisições[[#This Row],[QUANTIDADE PLANEJADA]]</f>
        <v>-10</v>
      </c>
      <c r="O3533" s="106" t="str">
        <f t="shared" si="111"/>
        <v>Faltando Comprar</v>
      </c>
    </row>
    <row r="3534" spans="1:15" ht="31.5">
      <c r="A3534" s="16" t="s">
        <v>17</v>
      </c>
      <c r="B3534" s="16" t="s">
        <v>24</v>
      </c>
      <c r="C3534" s="17" t="s">
        <v>19</v>
      </c>
      <c r="D3534" s="18" t="s">
        <v>1991</v>
      </c>
      <c r="E3534" s="18">
        <v>10</v>
      </c>
      <c r="F3534" s="18" t="s">
        <v>21</v>
      </c>
      <c r="G3534" s="18" t="s">
        <v>22</v>
      </c>
      <c r="H3534" s="18" t="s">
        <v>23</v>
      </c>
      <c r="I3534" s="19">
        <v>121.48</v>
      </c>
      <c r="J3534" s="20">
        <f t="shared" si="110"/>
        <v>1214.8</v>
      </c>
      <c r="K3534" s="106"/>
      <c r="L3534" s="114"/>
      <c r="M3534" s="114">
        <f>tblAquisições[[#This Row],[VALOR UNITARIO COMPRADO]]*tblAquisições[[#This Row],[QUANTIDADE COMPRADA]]</f>
        <v>0</v>
      </c>
      <c r="N3534" s="110">
        <f>K3534-tblAquisições[[#This Row],[QUANTIDADE PLANEJADA]]</f>
        <v>-10</v>
      </c>
      <c r="O3534" s="106" t="str">
        <f t="shared" si="111"/>
        <v>Faltando Comprar</v>
      </c>
    </row>
    <row r="3535" spans="1:15" ht="31.5">
      <c r="A3535" s="16" t="s">
        <v>17</v>
      </c>
      <c r="B3535" s="16" t="s">
        <v>25</v>
      </c>
      <c r="C3535" s="17" t="s">
        <v>19</v>
      </c>
      <c r="D3535" s="18" t="s">
        <v>1991</v>
      </c>
      <c r="E3535" s="18">
        <v>10</v>
      </c>
      <c r="F3535" s="18" t="s">
        <v>21</v>
      </c>
      <c r="G3535" s="18" t="s">
        <v>22</v>
      </c>
      <c r="H3535" s="18" t="s">
        <v>23</v>
      </c>
      <c r="I3535" s="19">
        <v>121.48</v>
      </c>
      <c r="J3535" s="20">
        <f t="shared" si="110"/>
        <v>1214.8</v>
      </c>
      <c r="K3535" s="106"/>
      <c r="L3535" s="114"/>
      <c r="M3535" s="114">
        <f>tblAquisições[[#This Row],[VALOR UNITARIO COMPRADO]]*tblAquisições[[#This Row],[QUANTIDADE COMPRADA]]</f>
        <v>0</v>
      </c>
      <c r="N3535" s="110">
        <f>K3535-tblAquisições[[#This Row],[QUANTIDADE PLANEJADA]]</f>
        <v>-10</v>
      </c>
      <c r="O3535" s="106" t="str">
        <f t="shared" si="111"/>
        <v>Faltando Comprar</v>
      </c>
    </row>
    <row r="3536" spans="1:15" ht="31.5">
      <c r="A3536" s="16" t="s">
        <v>17</v>
      </c>
      <c r="B3536" s="16" t="s">
        <v>41</v>
      </c>
      <c r="C3536" s="17" t="s">
        <v>19</v>
      </c>
      <c r="D3536" s="18" t="s">
        <v>1991</v>
      </c>
      <c r="E3536" s="18">
        <v>30</v>
      </c>
      <c r="F3536" s="18" t="s">
        <v>21</v>
      </c>
      <c r="G3536" s="18" t="s">
        <v>22</v>
      </c>
      <c r="H3536" s="18" t="s">
        <v>23</v>
      </c>
      <c r="I3536" s="19">
        <v>121.48</v>
      </c>
      <c r="J3536" s="20">
        <f t="shared" si="110"/>
        <v>3644.4</v>
      </c>
      <c r="K3536" s="106"/>
      <c r="L3536" s="114"/>
      <c r="M3536" s="114">
        <f>tblAquisições[[#This Row],[VALOR UNITARIO COMPRADO]]*tblAquisições[[#This Row],[QUANTIDADE COMPRADA]]</f>
        <v>0</v>
      </c>
      <c r="N3536" s="110">
        <f>K3536-tblAquisições[[#This Row],[QUANTIDADE PLANEJADA]]</f>
        <v>-30</v>
      </c>
      <c r="O3536" s="106" t="str">
        <f t="shared" si="111"/>
        <v>Faltando Comprar</v>
      </c>
    </row>
    <row r="3537" spans="1:15" ht="31.5">
      <c r="A3537" s="16" t="s">
        <v>17</v>
      </c>
      <c r="B3537" s="16" t="s">
        <v>28</v>
      </c>
      <c r="C3537" s="17" t="s">
        <v>19</v>
      </c>
      <c r="D3537" s="18" t="s">
        <v>1991</v>
      </c>
      <c r="E3537" s="18">
        <v>24</v>
      </c>
      <c r="F3537" s="18" t="s">
        <v>21</v>
      </c>
      <c r="G3537" s="18" t="s">
        <v>22</v>
      </c>
      <c r="H3537" s="18" t="s">
        <v>23</v>
      </c>
      <c r="I3537" s="19">
        <v>121.48</v>
      </c>
      <c r="J3537" s="20">
        <f t="shared" si="110"/>
        <v>2915.52</v>
      </c>
      <c r="K3537" s="106"/>
      <c r="L3537" s="114"/>
      <c r="M3537" s="114">
        <f>tblAquisições[[#This Row],[VALOR UNITARIO COMPRADO]]*tblAquisições[[#This Row],[QUANTIDADE COMPRADA]]</f>
        <v>0</v>
      </c>
      <c r="N3537" s="110">
        <f>K3537-tblAquisições[[#This Row],[QUANTIDADE PLANEJADA]]</f>
        <v>-24</v>
      </c>
      <c r="O3537" s="106" t="str">
        <f t="shared" si="111"/>
        <v>Faltando Comprar</v>
      </c>
    </row>
    <row r="3538" spans="1:15" ht="31.5">
      <c r="A3538" s="16" t="s">
        <v>17</v>
      </c>
      <c r="B3538" s="16" t="s">
        <v>28</v>
      </c>
      <c r="C3538" s="17" t="s">
        <v>19</v>
      </c>
      <c r="D3538" s="18" t="s">
        <v>1992</v>
      </c>
      <c r="E3538" s="18">
        <v>20</v>
      </c>
      <c r="F3538" s="18" t="s">
        <v>21</v>
      </c>
      <c r="G3538" s="18" t="s">
        <v>22</v>
      </c>
      <c r="H3538" s="18" t="s">
        <v>23</v>
      </c>
      <c r="I3538" s="19">
        <v>127.96</v>
      </c>
      <c r="J3538" s="20">
        <f t="shared" si="110"/>
        <v>2559.1999999999998</v>
      </c>
      <c r="K3538" s="106"/>
      <c r="L3538" s="114"/>
      <c r="M3538" s="114">
        <f>tblAquisições[[#This Row],[VALOR UNITARIO COMPRADO]]*tblAquisições[[#This Row],[QUANTIDADE COMPRADA]]</f>
        <v>0</v>
      </c>
      <c r="N3538" s="110">
        <f>K3538-tblAquisições[[#This Row],[QUANTIDADE PLANEJADA]]</f>
        <v>-20</v>
      </c>
      <c r="O3538" s="106" t="str">
        <f t="shared" si="111"/>
        <v>Faltando Comprar</v>
      </c>
    </row>
    <row r="3539" spans="1:15" ht="31.5">
      <c r="A3539" s="16" t="s">
        <v>17</v>
      </c>
      <c r="B3539" s="16" t="s">
        <v>31</v>
      </c>
      <c r="C3539" s="17" t="s">
        <v>19</v>
      </c>
      <c r="D3539" s="18" t="s">
        <v>1993</v>
      </c>
      <c r="E3539" s="18">
        <v>20</v>
      </c>
      <c r="F3539" s="18" t="s">
        <v>21</v>
      </c>
      <c r="G3539" s="18" t="s">
        <v>22</v>
      </c>
      <c r="H3539" s="18" t="s">
        <v>23</v>
      </c>
      <c r="I3539" s="19">
        <v>5.5</v>
      </c>
      <c r="J3539" s="20">
        <f t="shared" si="110"/>
        <v>110</v>
      </c>
      <c r="K3539" s="106"/>
      <c r="L3539" s="114"/>
      <c r="M3539" s="114">
        <f>tblAquisições[[#This Row],[VALOR UNITARIO COMPRADO]]*tblAquisições[[#This Row],[QUANTIDADE COMPRADA]]</f>
        <v>0</v>
      </c>
      <c r="N3539" s="110">
        <f>K3539-tblAquisições[[#This Row],[QUANTIDADE PLANEJADA]]</f>
        <v>-20</v>
      </c>
      <c r="O3539" s="106" t="str">
        <f t="shared" si="111"/>
        <v>Faltando Comprar</v>
      </c>
    </row>
    <row r="3540" spans="1:15" ht="31.5">
      <c r="A3540" s="16" t="s">
        <v>17</v>
      </c>
      <c r="B3540" s="16" t="s">
        <v>41</v>
      </c>
      <c r="C3540" s="17" t="s">
        <v>19</v>
      </c>
      <c r="D3540" s="18" t="s">
        <v>1993</v>
      </c>
      <c r="E3540" s="18">
        <v>50</v>
      </c>
      <c r="F3540" s="18" t="s">
        <v>21</v>
      </c>
      <c r="G3540" s="18" t="s">
        <v>22</v>
      </c>
      <c r="H3540" s="18" t="s">
        <v>23</v>
      </c>
      <c r="I3540" s="19">
        <v>5.5</v>
      </c>
      <c r="J3540" s="20">
        <f t="shared" si="110"/>
        <v>275</v>
      </c>
      <c r="K3540" s="106"/>
      <c r="L3540" s="114"/>
      <c r="M3540" s="114">
        <f>tblAquisições[[#This Row],[VALOR UNITARIO COMPRADO]]*tblAquisições[[#This Row],[QUANTIDADE COMPRADA]]</f>
        <v>0</v>
      </c>
      <c r="N3540" s="110">
        <f>K3540-tblAquisições[[#This Row],[QUANTIDADE PLANEJADA]]</f>
        <v>-50</v>
      </c>
      <c r="O3540" s="106" t="str">
        <f t="shared" si="111"/>
        <v>Faltando Comprar</v>
      </c>
    </row>
    <row r="3541" spans="1:15" ht="47.25">
      <c r="A3541" s="16" t="s">
        <v>17</v>
      </c>
      <c r="B3541" s="16" t="s">
        <v>25</v>
      </c>
      <c r="C3541" s="17" t="s">
        <v>19</v>
      </c>
      <c r="D3541" s="18" t="s">
        <v>1994</v>
      </c>
      <c r="E3541" s="18">
        <v>4</v>
      </c>
      <c r="F3541" s="18" t="s">
        <v>131</v>
      </c>
      <c r="G3541" s="18" t="s">
        <v>22</v>
      </c>
      <c r="H3541" s="18" t="s">
        <v>23</v>
      </c>
      <c r="I3541" s="19">
        <v>11.33</v>
      </c>
      <c r="J3541" s="20">
        <f t="shared" si="110"/>
        <v>45.32</v>
      </c>
      <c r="K3541" s="106"/>
      <c r="L3541" s="114"/>
      <c r="M3541" s="114">
        <f>tblAquisições[[#This Row],[VALOR UNITARIO COMPRADO]]*tblAquisições[[#This Row],[QUANTIDADE COMPRADA]]</f>
        <v>0</v>
      </c>
      <c r="N3541" s="110">
        <f>K3541-tblAquisições[[#This Row],[QUANTIDADE PLANEJADA]]</f>
        <v>-4</v>
      </c>
      <c r="O3541" s="106" t="str">
        <f t="shared" si="111"/>
        <v>Faltando Comprar</v>
      </c>
    </row>
    <row r="3542" spans="1:15" ht="47.25">
      <c r="A3542" s="16" t="s">
        <v>17</v>
      </c>
      <c r="B3542" s="16" t="s">
        <v>27</v>
      </c>
      <c r="C3542" s="17" t="s">
        <v>19</v>
      </c>
      <c r="D3542" s="18" t="s">
        <v>1994</v>
      </c>
      <c r="E3542" s="18">
        <v>3</v>
      </c>
      <c r="F3542" s="18" t="s">
        <v>131</v>
      </c>
      <c r="G3542" s="18" t="s">
        <v>22</v>
      </c>
      <c r="H3542" s="18" t="s">
        <v>23</v>
      </c>
      <c r="I3542" s="19">
        <v>11.33</v>
      </c>
      <c r="J3542" s="20">
        <f t="shared" si="110"/>
        <v>33.99</v>
      </c>
      <c r="K3542" s="106"/>
      <c r="L3542" s="114"/>
      <c r="M3542" s="114">
        <f>tblAquisições[[#This Row],[VALOR UNITARIO COMPRADO]]*tblAquisições[[#This Row],[QUANTIDADE COMPRADA]]</f>
        <v>0</v>
      </c>
      <c r="N3542" s="110">
        <f>K3542-tblAquisições[[#This Row],[QUANTIDADE PLANEJADA]]</f>
        <v>-3</v>
      </c>
      <c r="O3542" s="106" t="str">
        <f t="shared" si="111"/>
        <v>Faltando Comprar</v>
      </c>
    </row>
    <row r="3543" spans="1:15" ht="31.5">
      <c r="A3543" s="16" t="s">
        <v>17</v>
      </c>
      <c r="B3543" s="16" t="s">
        <v>34</v>
      </c>
      <c r="C3543" s="17" t="s">
        <v>19</v>
      </c>
      <c r="D3543" s="18" t="s">
        <v>1995</v>
      </c>
      <c r="E3543" s="18">
        <v>10</v>
      </c>
      <c r="F3543" s="18" t="s">
        <v>21</v>
      </c>
      <c r="G3543" s="18" t="s">
        <v>22</v>
      </c>
      <c r="H3543" s="18" t="s">
        <v>23</v>
      </c>
      <c r="I3543" s="19">
        <v>18</v>
      </c>
      <c r="J3543" s="20">
        <f t="shared" si="110"/>
        <v>180</v>
      </c>
      <c r="K3543" s="106"/>
      <c r="L3543" s="114"/>
      <c r="M3543" s="114">
        <f>tblAquisições[[#This Row],[VALOR UNITARIO COMPRADO]]*tblAquisições[[#This Row],[QUANTIDADE COMPRADA]]</f>
        <v>0</v>
      </c>
      <c r="N3543" s="110">
        <f>K3543-tblAquisições[[#This Row],[QUANTIDADE PLANEJADA]]</f>
        <v>-10</v>
      </c>
      <c r="O3543" s="106" t="str">
        <f t="shared" si="111"/>
        <v>Faltando Comprar</v>
      </c>
    </row>
    <row r="3544" spans="1:15" ht="31.5">
      <c r="A3544" s="16" t="s">
        <v>17</v>
      </c>
      <c r="B3544" s="16" t="s">
        <v>18</v>
      </c>
      <c r="C3544" s="17" t="s">
        <v>19</v>
      </c>
      <c r="D3544" s="18" t="s">
        <v>1995</v>
      </c>
      <c r="E3544" s="18">
        <v>20</v>
      </c>
      <c r="F3544" s="18" t="s">
        <v>21</v>
      </c>
      <c r="G3544" s="18" t="s">
        <v>22</v>
      </c>
      <c r="H3544" s="18" t="s">
        <v>23</v>
      </c>
      <c r="I3544" s="19">
        <v>18</v>
      </c>
      <c r="J3544" s="20">
        <f t="shared" si="110"/>
        <v>360</v>
      </c>
      <c r="K3544" s="106"/>
      <c r="L3544" s="114"/>
      <c r="M3544" s="114">
        <f>tblAquisições[[#This Row],[VALOR UNITARIO COMPRADO]]*tblAquisições[[#This Row],[QUANTIDADE COMPRADA]]</f>
        <v>0</v>
      </c>
      <c r="N3544" s="110">
        <f>K3544-tblAquisições[[#This Row],[QUANTIDADE PLANEJADA]]</f>
        <v>-20</v>
      </c>
      <c r="O3544" s="106" t="str">
        <f t="shared" si="111"/>
        <v>Faltando Comprar</v>
      </c>
    </row>
    <row r="3545" spans="1:15" ht="31.5">
      <c r="A3545" s="16" t="s">
        <v>17</v>
      </c>
      <c r="B3545" s="16" t="s">
        <v>24</v>
      </c>
      <c r="C3545" s="17" t="s">
        <v>19</v>
      </c>
      <c r="D3545" s="18" t="s">
        <v>1995</v>
      </c>
      <c r="E3545" s="18">
        <v>20</v>
      </c>
      <c r="F3545" s="18" t="s">
        <v>21</v>
      </c>
      <c r="G3545" s="18" t="s">
        <v>22</v>
      </c>
      <c r="H3545" s="18" t="s">
        <v>23</v>
      </c>
      <c r="I3545" s="19">
        <v>18</v>
      </c>
      <c r="J3545" s="20">
        <f t="shared" si="110"/>
        <v>360</v>
      </c>
      <c r="K3545" s="106"/>
      <c r="L3545" s="114"/>
      <c r="M3545" s="114">
        <f>tblAquisições[[#This Row],[VALOR UNITARIO COMPRADO]]*tblAquisições[[#This Row],[QUANTIDADE COMPRADA]]</f>
        <v>0</v>
      </c>
      <c r="N3545" s="110">
        <f>K3545-tblAquisições[[#This Row],[QUANTIDADE PLANEJADA]]</f>
        <v>-20</v>
      </c>
      <c r="O3545" s="106" t="str">
        <f t="shared" si="111"/>
        <v>Faltando Comprar</v>
      </c>
    </row>
    <row r="3546" spans="1:15" ht="31.5">
      <c r="A3546" s="16" t="s">
        <v>17</v>
      </c>
      <c r="B3546" s="16" t="s">
        <v>25</v>
      </c>
      <c r="C3546" s="17" t="s">
        <v>19</v>
      </c>
      <c r="D3546" s="18" t="s">
        <v>1995</v>
      </c>
      <c r="E3546" s="18">
        <v>20</v>
      </c>
      <c r="F3546" s="18" t="s">
        <v>21</v>
      </c>
      <c r="G3546" s="18" t="s">
        <v>22</v>
      </c>
      <c r="H3546" s="18" t="s">
        <v>23</v>
      </c>
      <c r="I3546" s="19">
        <v>18</v>
      </c>
      <c r="J3546" s="20">
        <f t="shared" si="110"/>
        <v>360</v>
      </c>
      <c r="K3546" s="106"/>
      <c r="L3546" s="114"/>
      <c r="M3546" s="114">
        <f>tblAquisições[[#This Row],[VALOR UNITARIO COMPRADO]]*tblAquisições[[#This Row],[QUANTIDADE COMPRADA]]</f>
        <v>0</v>
      </c>
      <c r="N3546" s="110">
        <f>K3546-tblAquisições[[#This Row],[QUANTIDADE PLANEJADA]]</f>
        <v>-20</v>
      </c>
      <c r="O3546" s="106" t="str">
        <f t="shared" si="111"/>
        <v>Faltando Comprar</v>
      </c>
    </row>
    <row r="3547" spans="1:15" ht="31.5">
      <c r="A3547" s="16" t="s">
        <v>17</v>
      </c>
      <c r="B3547" s="16" t="s">
        <v>27</v>
      </c>
      <c r="C3547" s="17" t="s">
        <v>19</v>
      </c>
      <c r="D3547" s="18" t="s">
        <v>1995</v>
      </c>
      <c r="E3547" s="18">
        <v>20</v>
      </c>
      <c r="F3547" s="18" t="s">
        <v>21</v>
      </c>
      <c r="G3547" s="18" t="s">
        <v>22</v>
      </c>
      <c r="H3547" s="18" t="s">
        <v>23</v>
      </c>
      <c r="I3547" s="19">
        <v>18</v>
      </c>
      <c r="J3547" s="20">
        <f t="shared" si="110"/>
        <v>360</v>
      </c>
      <c r="K3547" s="106"/>
      <c r="L3547" s="114"/>
      <c r="M3547" s="114">
        <f>tblAquisições[[#This Row],[VALOR UNITARIO COMPRADO]]*tblAquisições[[#This Row],[QUANTIDADE COMPRADA]]</f>
        <v>0</v>
      </c>
      <c r="N3547" s="110">
        <f>K3547-tblAquisições[[#This Row],[QUANTIDADE PLANEJADA]]</f>
        <v>-20</v>
      </c>
      <c r="O3547" s="106" t="str">
        <f t="shared" si="111"/>
        <v>Faltando Comprar</v>
      </c>
    </row>
    <row r="3548" spans="1:15" ht="31.5">
      <c r="A3548" s="16" t="s">
        <v>17</v>
      </c>
      <c r="B3548" s="16" t="s">
        <v>28</v>
      </c>
      <c r="C3548" s="17" t="s">
        <v>19</v>
      </c>
      <c r="D3548" s="18" t="s">
        <v>1995</v>
      </c>
      <c r="E3548" s="18">
        <v>22</v>
      </c>
      <c r="F3548" s="18" t="s">
        <v>21</v>
      </c>
      <c r="G3548" s="18" t="s">
        <v>22</v>
      </c>
      <c r="H3548" s="18" t="s">
        <v>23</v>
      </c>
      <c r="I3548" s="19">
        <v>18</v>
      </c>
      <c r="J3548" s="20">
        <f t="shared" si="110"/>
        <v>396</v>
      </c>
      <c r="K3548" s="106"/>
      <c r="L3548" s="114"/>
      <c r="M3548" s="114">
        <f>tblAquisições[[#This Row],[VALOR UNITARIO COMPRADO]]*tblAquisições[[#This Row],[QUANTIDADE COMPRADA]]</f>
        <v>0</v>
      </c>
      <c r="N3548" s="110">
        <f>K3548-tblAquisições[[#This Row],[QUANTIDADE PLANEJADA]]</f>
        <v>-22</v>
      </c>
      <c r="O3548" s="106" t="str">
        <f t="shared" si="111"/>
        <v>Faltando Comprar</v>
      </c>
    </row>
    <row r="3549" spans="1:15" ht="47.25">
      <c r="A3549" s="16" t="s">
        <v>17</v>
      </c>
      <c r="B3549" s="16" t="s">
        <v>26</v>
      </c>
      <c r="C3549" s="17" t="s">
        <v>19</v>
      </c>
      <c r="D3549" s="18" t="s">
        <v>1996</v>
      </c>
      <c r="E3549" s="18">
        <v>48</v>
      </c>
      <c r="F3549" s="18" t="s">
        <v>239</v>
      </c>
      <c r="G3549" s="18" t="s">
        <v>22</v>
      </c>
      <c r="H3549" s="18" t="s">
        <v>23</v>
      </c>
      <c r="I3549" s="19">
        <v>15.01</v>
      </c>
      <c r="J3549" s="20">
        <f t="shared" si="110"/>
        <v>720.48</v>
      </c>
      <c r="K3549" s="106"/>
      <c r="L3549" s="114"/>
      <c r="M3549" s="114">
        <f>tblAquisições[[#This Row],[VALOR UNITARIO COMPRADO]]*tblAquisições[[#This Row],[QUANTIDADE COMPRADA]]</f>
        <v>0</v>
      </c>
      <c r="N3549" s="110">
        <f>K3549-tblAquisições[[#This Row],[QUANTIDADE PLANEJADA]]</f>
        <v>-48</v>
      </c>
      <c r="O3549" s="106" t="str">
        <f t="shared" si="111"/>
        <v>Faltando Comprar</v>
      </c>
    </row>
    <row r="3550" spans="1:15" ht="47.25">
      <c r="A3550" s="16" t="s">
        <v>17</v>
      </c>
      <c r="B3550" s="16" t="s">
        <v>28</v>
      </c>
      <c r="C3550" s="17" t="s">
        <v>19</v>
      </c>
      <c r="D3550" s="18" t="s">
        <v>1996</v>
      </c>
      <c r="E3550" s="18">
        <v>20</v>
      </c>
      <c r="F3550" s="18" t="s">
        <v>239</v>
      </c>
      <c r="G3550" s="18" t="s">
        <v>22</v>
      </c>
      <c r="H3550" s="18" t="s">
        <v>23</v>
      </c>
      <c r="I3550" s="19">
        <v>15.01</v>
      </c>
      <c r="J3550" s="20">
        <f t="shared" si="110"/>
        <v>300.2</v>
      </c>
      <c r="K3550" s="106"/>
      <c r="L3550" s="114"/>
      <c r="M3550" s="114">
        <f>tblAquisições[[#This Row],[VALOR UNITARIO COMPRADO]]*tblAquisições[[#This Row],[QUANTIDADE COMPRADA]]</f>
        <v>0</v>
      </c>
      <c r="N3550" s="110">
        <f>K3550-tblAquisições[[#This Row],[QUANTIDADE PLANEJADA]]</f>
        <v>-20</v>
      </c>
      <c r="O3550" s="106" t="str">
        <f t="shared" si="111"/>
        <v>Faltando Comprar</v>
      </c>
    </row>
    <row r="3551" spans="1:15" ht="47.25">
      <c r="A3551" s="16" t="s">
        <v>17</v>
      </c>
      <c r="B3551" s="16" t="s">
        <v>28</v>
      </c>
      <c r="C3551" s="17" t="s">
        <v>19</v>
      </c>
      <c r="D3551" s="18" t="s">
        <v>1997</v>
      </c>
      <c r="E3551" s="18">
        <v>20</v>
      </c>
      <c r="F3551" s="18" t="s">
        <v>78</v>
      </c>
      <c r="G3551" s="18" t="s">
        <v>22</v>
      </c>
      <c r="H3551" s="18" t="s">
        <v>53</v>
      </c>
      <c r="I3551" s="19">
        <v>21.89</v>
      </c>
      <c r="J3551" s="20">
        <f t="shared" si="110"/>
        <v>437.8</v>
      </c>
      <c r="K3551" s="106"/>
      <c r="L3551" s="114"/>
      <c r="M3551" s="114">
        <f>tblAquisições[[#This Row],[VALOR UNITARIO COMPRADO]]*tblAquisições[[#This Row],[QUANTIDADE COMPRADA]]</f>
        <v>0</v>
      </c>
      <c r="N3551" s="110">
        <f>K3551-tblAquisições[[#This Row],[QUANTIDADE PLANEJADA]]</f>
        <v>-20</v>
      </c>
      <c r="O3551" s="106" t="str">
        <f t="shared" si="111"/>
        <v>Faltando Comprar</v>
      </c>
    </row>
    <row r="3552" spans="1:15" ht="31.5">
      <c r="A3552" s="16" t="s">
        <v>17</v>
      </c>
      <c r="B3552" s="16" t="s">
        <v>80</v>
      </c>
      <c r="C3552" s="17" t="s">
        <v>19</v>
      </c>
      <c r="D3552" s="18" t="s">
        <v>1998</v>
      </c>
      <c r="E3552" s="18">
        <v>6</v>
      </c>
      <c r="F3552" s="18" t="s">
        <v>38</v>
      </c>
      <c r="G3552" s="18" t="s">
        <v>39</v>
      </c>
      <c r="H3552" s="18" t="s">
        <v>23</v>
      </c>
      <c r="I3552" s="19">
        <v>69.3</v>
      </c>
      <c r="J3552" s="20">
        <f t="shared" si="110"/>
        <v>415.79999999999995</v>
      </c>
      <c r="K3552" s="106"/>
      <c r="L3552" s="114"/>
      <c r="M3552" s="114">
        <f>tblAquisições[[#This Row],[VALOR UNITARIO COMPRADO]]*tblAquisições[[#This Row],[QUANTIDADE COMPRADA]]</f>
        <v>0</v>
      </c>
      <c r="N3552" s="110">
        <f>K3552-tblAquisições[[#This Row],[QUANTIDADE PLANEJADA]]</f>
        <v>-6</v>
      </c>
      <c r="O3552" s="106" t="str">
        <f t="shared" si="111"/>
        <v>Faltando Comprar</v>
      </c>
    </row>
    <row r="3553" spans="1:15" ht="31.5">
      <c r="A3553" s="16" t="s">
        <v>17</v>
      </c>
      <c r="B3553" s="16" t="s">
        <v>18</v>
      </c>
      <c r="C3553" s="17" t="s">
        <v>19</v>
      </c>
      <c r="D3553" s="18" t="s">
        <v>1999</v>
      </c>
      <c r="E3553" s="18">
        <v>5</v>
      </c>
      <c r="F3553" s="18" t="s">
        <v>21</v>
      </c>
      <c r="G3553" s="18" t="s">
        <v>22</v>
      </c>
      <c r="H3553" s="18" t="s">
        <v>23</v>
      </c>
      <c r="I3553" s="19">
        <v>69.3</v>
      </c>
      <c r="J3553" s="20">
        <f t="shared" si="110"/>
        <v>346.5</v>
      </c>
      <c r="K3553" s="106"/>
      <c r="L3553" s="114"/>
      <c r="M3553" s="114">
        <f>tblAquisições[[#This Row],[VALOR UNITARIO COMPRADO]]*tblAquisições[[#This Row],[QUANTIDADE COMPRADA]]</f>
        <v>0</v>
      </c>
      <c r="N3553" s="110">
        <f>K3553-tblAquisições[[#This Row],[QUANTIDADE PLANEJADA]]</f>
        <v>-5</v>
      </c>
      <c r="O3553" s="106" t="str">
        <f t="shared" si="111"/>
        <v>Faltando Comprar</v>
      </c>
    </row>
    <row r="3554" spans="1:15" ht="31.5">
      <c r="A3554" s="16" t="s">
        <v>17</v>
      </c>
      <c r="B3554" s="16" t="s">
        <v>24</v>
      </c>
      <c r="C3554" s="17" t="s">
        <v>19</v>
      </c>
      <c r="D3554" s="18" t="s">
        <v>1999</v>
      </c>
      <c r="E3554" s="18">
        <v>5</v>
      </c>
      <c r="F3554" s="18" t="s">
        <v>21</v>
      </c>
      <c r="G3554" s="18" t="s">
        <v>22</v>
      </c>
      <c r="H3554" s="18" t="s">
        <v>23</v>
      </c>
      <c r="I3554" s="19">
        <v>69.3</v>
      </c>
      <c r="J3554" s="20">
        <f t="shared" si="110"/>
        <v>346.5</v>
      </c>
      <c r="K3554" s="106"/>
      <c r="L3554" s="114"/>
      <c r="M3554" s="114">
        <f>tblAquisições[[#This Row],[VALOR UNITARIO COMPRADO]]*tblAquisições[[#This Row],[QUANTIDADE COMPRADA]]</f>
        <v>0</v>
      </c>
      <c r="N3554" s="110">
        <f>K3554-tblAquisições[[#This Row],[QUANTIDADE PLANEJADA]]</f>
        <v>-5</v>
      </c>
      <c r="O3554" s="106" t="str">
        <f t="shared" si="111"/>
        <v>Faltando Comprar</v>
      </c>
    </row>
    <row r="3555" spans="1:15" ht="31.5">
      <c r="A3555" s="16" t="s">
        <v>17</v>
      </c>
      <c r="B3555" s="16" t="s">
        <v>25</v>
      </c>
      <c r="C3555" s="17" t="s">
        <v>19</v>
      </c>
      <c r="D3555" s="18" t="s">
        <v>1999</v>
      </c>
      <c r="E3555" s="18">
        <v>5</v>
      </c>
      <c r="F3555" s="18" t="s">
        <v>21</v>
      </c>
      <c r="G3555" s="18" t="s">
        <v>22</v>
      </c>
      <c r="H3555" s="18" t="s">
        <v>23</v>
      </c>
      <c r="I3555" s="19">
        <v>69.3</v>
      </c>
      <c r="J3555" s="20">
        <f t="shared" si="110"/>
        <v>346.5</v>
      </c>
      <c r="K3555" s="106"/>
      <c r="L3555" s="114"/>
      <c r="M3555" s="114">
        <f>tblAquisições[[#This Row],[VALOR UNITARIO COMPRADO]]*tblAquisições[[#This Row],[QUANTIDADE COMPRADA]]</f>
        <v>0</v>
      </c>
      <c r="N3555" s="110">
        <f>K3555-tblAquisições[[#This Row],[QUANTIDADE PLANEJADA]]</f>
        <v>-5</v>
      </c>
      <c r="O3555" s="106" t="str">
        <f t="shared" si="111"/>
        <v>Faltando Comprar</v>
      </c>
    </row>
    <row r="3556" spans="1:15" ht="31.5">
      <c r="A3556" s="16" t="s">
        <v>17</v>
      </c>
      <c r="B3556" s="16" t="s">
        <v>80</v>
      </c>
      <c r="C3556" s="17" t="s">
        <v>19</v>
      </c>
      <c r="D3556" s="18" t="s">
        <v>2000</v>
      </c>
      <c r="E3556" s="18">
        <v>10</v>
      </c>
      <c r="F3556" s="18" t="s">
        <v>38</v>
      </c>
      <c r="G3556" s="18" t="s">
        <v>39</v>
      </c>
      <c r="H3556" s="21"/>
      <c r="I3556" s="19">
        <v>56.1</v>
      </c>
      <c r="J3556" s="20">
        <f t="shared" si="110"/>
        <v>561</v>
      </c>
      <c r="K3556" s="106"/>
      <c r="L3556" s="114"/>
      <c r="M3556" s="114">
        <f>tblAquisições[[#This Row],[VALOR UNITARIO COMPRADO]]*tblAquisições[[#This Row],[QUANTIDADE COMPRADA]]</f>
        <v>0</v>
      </c>
      <c r="N3556" s="110">
        <f>K3556-tblAquisições[[#This Row],[QUANTIDADE PLANEJADA]]</f>
        <v>-10</v>
      </c>
      <c r="O3556" s="106" t="str">
        <f t="shared" si="111"/>
        <v>Faltando Comprar</v>
      </c>
    </row>
    <row r="3557" spans="1:15" ht="31.5">
      <c r="A3557" s="16" t="s">
        <v>17</v>
      </c>
      <c r="B3557" s="16" t="s">
        <v>31</v>
      </c>
      <c r="C3557" s="17" t="s">
        <v>19</v>
      </c>
      <c r="D3557" s="18" t="s">
        <v>2001</v>
      </c>
      <c r="E3557" s="18">
        <v>20</v>
      </c>
      <c r="F3557" s="18" t="s">
        <v>21</v>
      </c>
      <c r="G3557" s="18" t="s">
        <v>22</v>
      </c>
      <c r="H3557" s="18" t="s">
        <v>23</v>
      </c>
      <c r="I3557" s="19">
        <v>56.1</v>
      </c>
      <c r="J3557" s="20">
        <f t="shared" si="110"/>
        <v>1122</v>
      </c>
      <c r="K3557" s="106"/>
      <c r="L3557" s="114"/>
      <c r="M3557" s="114">
        <f>tblAquisições[[#This Row],[VALOR UNITARIO COMPRADO]]*tblAquisições[[#This Row],[QUANTIDADE COMPRADA]]</f>
        <v>0</v>
      </c>
      <c r="N3557" s="110">
        <f>K3557-tblAquisições[[#This Row],[QUANTIDADE PLANEJADA]]</f>
        <v>-20</v>
      </c>
      <c r="O3557" s="106" t="str">
        <f t="shared" si="111"/>
        <v>Faltando Comprar</v>
      </c>
    </row>
    <row r="3558" spans="1:15" ht="31.5">
      <c r="A3558" s="16" t="s">
        <v>17</v>
      </c>
      <c r="B3558" s="16" t="s">
        <v>41</v>
      </c>
      <c r="C3558" s="17" t="s">
        <v>19</v>
      </c>
      <c r="D3558" s="18" t="s">
        <v>2001</v>
      </c>
      <c r="E3558" s="18">
        <v>50</v>
      </c>
      <c r="F3558" s="18" t="s">
        <v>21</v>
      </c>
      <c r="G3558" s="18" t="s">
        <v>22</v>
      </c>
      <c r="H3558" s="18" t="s">
        <v>23</v>
      </c>
      <c r="I3558" s="19">
        <v>56.1</v>
      </c>
      <c r="J3558" s="20">
        <f t="shared" si="110"/>
        <v>2805</v>
      </c>
      <c r="K3558" s="106"/>
      <c r="L3558" s="114"/>
      <c r="M3558" s="114">
        <f>tblAquisições[[#This Row],[VALOR UNITARIO COMPRADO]]*tblAquisições[[#This Row],[QUANTIDADE COMPRADA]]</f>
        <v>0</v>
      </c>
      <c r="N3558" s="110">
        <f>K3558-tblAquisições[[#This Row],[QUANTIDADE PLANEJADA]]</f>
        <v>-50</v>
      </c>
      <c r="O3558" s="106" t="str">
        <f t="shared" si="111"/>
        <v>Faltando Comprar</v>
      </c>
    </row>
    <row r="3559" spans="1:15" ht="31.5">
      <c r="A3559" s="16" t="s">
        <v>17</v>
      </c>
      <c r="B3559" s="16" t="s">
        <v>26</v>
      </c>
      <c r="C3559" s="17" t="s">
        <v>19</v>
      </c>
      <c r="D3559" s="18" t="s">
        <v>2001</v>
      </c>
      <c r="E3559" s="18">
        <v>5</v>
      </c>
      <c r="F3559" s="18" t="s">
        <v>21</v>
      </c>
      <c r="G3559" s="18" t="s">
        <v>22</v>
      </c>
      <c r="H3559" s="18" t="s">
        <v>23</v>
      </c>
      <c r="I3559" s="19">
        <v>56.1</v>
      </c>
      <c r="J3559" s="20">
        <f t="shared" si="110"/>
        <v>280.5</v>
      </c>
      <c r="K3559" s="106"/>
      <c r="L3559" s="114"/>
      <c r="M3559" s="114">
        <f>tblAquisições[[#This Row],[VALOR UNITARIO COMPRADO]]*tblAquisições[[#This Row],[QUANTIDADE COMPRADA]]</f>
        <v>0</v>
      </c>
      <c r="N3559" s="110">
        <f>K3559-tblAquisições[[#This Row],[QUANTIDADE PLANEJADA]]</f>
        <v>-5</v>
      </c>
      <c r="O3559" s="106" t="str">
        <f t="shared" si="111"/>
        <v>Faltando Comprar</v>
      </c>
    </row>
    <row r="3560" spans="1:15" ht="31.5">
      <c r="A3560" s="16" t="s">
        <v>17</v>
      </c>
      <c r="B3560" s="16" t="s">
        <v>28</v>
      </c>
      <c r="C3560" s="17" t="s">
        <v>19</v>
      </c>
      <c r="D3560" s="18" t="s">
        <v>2001</v>
      </c>
      <c r="E3560" s="18">
        <v>50</v>
      </c>
      <c r="F3560" s="18" t="s">
        <v>21</v>
      </c>
      <c r="G3560" s="18" t="s">
        <v>22</v>
      </c>
      <c r="H3560" s="18" t="s">
        <v>23</v>
      </c>
      <c r="I3560" s="19">
        <v>56.1</v>
      </c>
      <c r="J3560" s="20">
        <f t="shared" si="110"/>
        <v>2805</v>
      </c>
      <c r="K3560" s="106"/>
      <c r="L3560" s="114"/>
      <c r="M3560" s="114">
        <f>tblAquisições[[#This Row],[VALOR UNITARIO COMPRADO]]*tblAquisições[[#This Row],[QUANTIDADE COMPRADA]]</f>
        <v>0</v>
      </c>
      <c r="N3560" s="110">
        <f>K3560-tblAquisições[[#This Row],[QUANTIDADE PLANEJADA]]</f>
        <v>-50</v>
      </c>
      <c r="O3560" s="106" t="str">
        <f t="shared" si="111"/>
        <v>Faltando Comprar</v>
      </c>
    </row>
    <row r="3561" spans="1:15" ht="31.5">
      <c r="A3561" s="16" t="s">
        <v>17</v>
      </c>
      <c r="B3561" s="16" t="s">
        <v>28</v>
      </c>
      <c r="C3561" s="17" t="s">
        <v>19</v>
      </c>
      <c r="D3561" s="18" t="s">
        <v>2002</v>
      </c>
      <c r="E3561" s="18">
        <v>75</v>
      </c>
      <c r="F3561" s="18" t="s">
        <v>21</v>
      </c>
      <c r="G3561" s="18" t="s">
        <v>22</v>
      </c>
      <c r="H3561" s="18" t="s">
        <v>23</v>
      </c>
      <c r="I3561" s="19">
        <v>13.95</v>
      </c>
      <c r="J3561" s="20">
        <f t="shared" si="110"/>
        <v>1046.25</v>
      </c>
      <c r="K3561" s="106"/>
      <c r="L3561" s="114"/>
      <c r="M3561" s="114">
        <f>tblAquisições[[#This Row],[VALOR UNITARIO COMPRADO]]*tblAquisições[[#This Row],[QUANTIDADE COMPRADA]]</f>
        <v>0</v>
      </c>
      <c r="N3561" s="110">
        <f>K3561-tblAquisições[[#This Row],[QUANTIDADE PLANEJADA]]</f>
        <v>-75</v>
      </c>
      <c r="O3561" s="106" t="str">
        <f t="shared" si="111"/>
        <v>Faltando Comprar</v>
      </c>
    </row>
    <row r="3562" spans="1:15" ht="31.5">
      <c r="A3562" s="16" t="s">
        <v>17</v>
      </c>
      <c r="B3562" s="16" t="s">
        <v>41</v>
      </c>
      <c r="C3562" s="17" t="s">
        <v>19</v>
      </c>
      <c r="D3562" s="18" t="s">
        <v>2003</v>
      </c>
      <c r="E3562" s="18">
        <v>20</v>
      </c>
      <c r="F3562" s="18" t="s">
        <v>21</v>
      </c>
      <c r="G3562" s="18" t="s">
        <v>22</v>
      </c>
      <c r="H3562" s="18" t="s">
        <v>23</v>
      </c>
      <c r="I3562" s="19">
        <v>3.19</v>
      </c>
      <c r="J3562" s="20">
        <f t="shared" si="110"/>
        <v>63.8</v>
      </c>
      <c r="K3562" s="106"/>
      <c r="L3562" s="114"/>
      <c r="M3562" s="114">
        <f>tblAquisições[[#This Row],[VALOR UNITARIO COMPRADO]]*tblAquisições[[#This Row],[QUANTIDADE COMPRADA]]</f>
        <v>0</v>
      </c>
      <c r="N3562" s="110">
        <f>K3562-tblAquisições[[#This Row],[QUANTIDADE PLANEJADA]]</f>
        <v>-20</v>
      </c>
      <c r="O3562" s="106" t="str">
        <f t="shared" si="111"/>
        <v>Faltando Comprar</v>
      </c>
    </row>
    <row r="3563" spans="1:15" ht="31.5">
      <c r="A3563" s="16" t="s">
        <v>17</v>
      </c>
      <c r="B3563" s="16" t="s">
        <v>80</v>
      </c>
      <c r="C3563" s="17" t="s">
        <v>19</v>
      </c>
      <c r="D3563" s="18" t="s">
        <v>2004</v>
      </c>
      <c r="E3563" s="18">
        <v>20</v>
      </c>
      <c r="F3563" s="18" t="s">
        <v>38</v>
      </c>
      <c r="G3563" s="18" t="s">
        <v>39</v>
      </c>
      <c r="H3563" s="18" t="s">
        <v>23</v>
      </c>
      <c r="I3563" s="19">
        <v>104.97</v>
      </c>
      <c r="J3563" s="20">
        <f t="shared" si="110"/>
        <v>2099.4</v>
      </c>
      <c r="K3563" s="106"/>
      <c r="L3563" s="114"/>
      <c r="M3563" s="114">
        <f>tblAquisições[[#This Row],[VALOR UNITARIO COMPRADO]]*tblAquisições[[#This Row],[QUANTIDADE COMPRADA]]</f>
        <v>0</v>
      </c>
      <c r="N3563" s="110">
        <f>K3563-tblAquisições[[#This Row],[QUANTIDADE PLANEJADA]]</f>
        <v>-20</v>
      </c>
      <c r="O3563" s="106" t="str">
        <f t="shared" si="111"/>
        <v>Faltando Comprar</v>
      </c>
    </row>
    <row r="3564" spans="1:15" ht="31.5">
      <c r="A3564" s="16" t="s">
        <v>17</v>
      </c>
      <c r="B3564" s="16" t="s">
        <v>26</v>
      </c>
      <c r="C3564" s="17" t="s">
        <v>19</v>
      </c>
      <c r="D3564" s="18" t="s">
        <v>2005</v>
      </c>
      <c r="E3564" s="18">
        <v>100</v>
      </c>
      <c r="F3564" s="18" t="s">
        <v>21</v>
      </c>
      <c r="G3564" s="18" t="s">
        <v>22</v>
      </c>
      <c r="H3564" s="18" t="s">
        <v>23</v>
      </c>
      <c r="I3564" s="19">
        <v>104.97</v>
      </c>
      <c r="J3564" s="20">
        <f t="shared" si="110"/>
        <v>10497</v>
      </c>
      <c r="K3564" s="106"/>
      <c r="L3564" s="114"/>
      <c r="M3564" s="114">
        <f>tblAquisições[[#This Row],[VALOR UNITARIO COMPRADO]]*tblAquisições[[#This Row],[QUANTIDADE COMPRADA]]</f>
        <v>0</v>
      </c>
      <c r="N3564" s="110">
        <f>K3564-tblAquisições[[#This Row],[QUANTIDADE PLANEJADA]]</f>
        <v>-100</v>
      </c>
      <c r="O3564" s="106" t="str">
        <f t="shared" si="111"/>
        <v>Faltando Comprar</v>
      </c>
    </row>
    <row r="3565" spans="1:15" ht="47.25">
      <c r="A3565" s="16" t="s">
        <v>17</v>
      </c>
      <c r="B3565" s="16" t="s">
        <v>80</v>
      </c>
      <c r="C3565" s="17" t="s">
        <v>19</v>
      </c>
      <c r="D3565" s="18" t="s">
        <v>2006</v>
      </c>
      <c r="E3565" s="18">
        <v>10</v>
      </c>
      <c r="F3565" s="18" t="s">
        <v>147</v>
      </c>
      <c r="G3565" s="18" t="s">
        <v>39</v>
      </c>
      <c r="H3565" s="18" t="s">
        <v>83</v>
      </c>
      <c r="I3565" s="19">
        <v>267.86</v>
      </c>
      <c r="J3565" s="20">
        <f t="shared" si="110"/>
        <v>2678.6000000000004</v>
      </c>
      <c r="K3565" s="106"/>
      <c r="L3565" s="114"/>
      <c r="M3565" s="114">
        <f>tblAquisições[[#This Row],[VALOR UNITARIO COMPRADO]]*tblAquisições[[#This Row],[QUANTIDADE COMPRADA]]</f>
        <v>0</v>
      </c>
      <c r="N3565" s="110">
        <f>K3565-tblAquisições[[#This Row],[QUANTIDADE PLANEJADA]]</f>
        <v>-10</v>
      </c>
      <c r="O3565" s="106" t="str">
        <f t="shared" si="111"/>
        <v>Faltando Comprar</v>
      </c>
    </row>
    <row r="3566" spans="1:15" ht="47.25">
      <c r="A3566" s="16" t="s">
        <v>17</v>
      </c>
      <c r="B3566" s="16" t="s">
        <v>31</v>
      </c>
      <c r="C3566" s="17" t="s">
        <v>19</v>
      </c>
      <c r="D3566" s="18" t="s">
        <v>2007</v>
      </c>
      <c r="E3566" s="18">
        <v>50</v>
      </c>
      <c r="F3566" s="18" t="s">
        <v>78</v>
      </c>
      <c r="G3566" s="18" t="s">
        <v>22</v>
      </c>
      <c r="H3566" s="18" t="s">
        <v>23</v>
      </c>
      <c r="I3566" s="19">
        <v>7</v>
      </c>
      <c r="J3566" s="20">
        <f t="shared" si="110"/>
        <v>350</v>
      </c>
      <c r="K3566" s="106"/>
      <c r="L3566" s="114"/>
      <c r="M3566" s="114">
        <f>tblAquisições[[#This Row],[VALOR UNITARIO COMPRADO]]*tblAquisições[[#This Row],[QUANTIDADE COMPRADA]]</f>
        <v>0</v>
      </c>
      <c r="N3566" s="110">
        <f>K3566-tblAquisições[[#This Row],[QUANTIDADE PLANEJADA]]</f>
        <v>-50</v>
      </c>
      <c r="O3566" s="106" t="str">
        <f t="shared" si="111"/>
        <v>Faltando Comprar</v>
      </c>
    </row>
    <row r="3567" spans="1:15" ht="47.25">
      <c r="A3567" s="16" t="s">
        <v>17</v>
      </c>
      <c r="B3567" s="16" t="s">
        <v>18</v>
      </c>
      <c r="C3567" s="17" t="s">
        <v>19</v>
      </c>
      <c r="D3567" s="18" t="s">
        <v>2007</v>
      </c>
      <c r="E3567" s="18">
        <v>1000</v>
      </c>
      <c r="F3567" s="18" t="s">
        <v>78</v>
      </c>
      <c r="G3567" s="18" t="s">
        <v>22</v>
      </c>
      <c r="H3567" s="18" t="s">
        <v>23</v>
      </c>
      <c r="I3567" s="19">
        <v>7</v>
      </c>
      <c r="J3567" s="20">
        <f t="shared" si="110"/>
        <v>7000</v>
      </c>
      <c r="K3567" s="106"/>
      <c r="L3567" s="114"/>
      <c r="M3567" s="114">
        <f>tblAquisições[[#This Row],[VALOR UNITARIO COMPRADO]]*tblAquisições[[#This Row],[QUANTIDADE COMPRADA]]</f>
        <v>0</v>
      </c>
      <c r="N3567" s="110">
        <f>K3567-tblAquisições[[#This Row],[QUANTIDADE PLANEJADA]]</f>
        <v>-1000</v>
      </c>
      <c r="O3567" s="106" t="str">
        <f t="shared" si="111"/>
        <v>Faltando Comprar</v>
      </c>
    </row>
    <row r="3568" spans="1:15" ht="47.25">
      <c r="A3568" s="16" t="s">
        <v>17</v>
      </c>
      <c r="B3568" s="16" t="s">
        <v>24</v>
      </c>
      <c r="C3568" s="17" t="s">
        <v>19</v>
      </c>
      <c r="D3568" s="18" t="s">
        <v>2007</v>
      </c>
      <c r="E3568" s="18">
        <v>1000</v>
      </c>
      <c r="F3568" s="18" t="s">
        <v>78</v>
      </c>
      <c r="G3568" s="18" t="s">
        <v>22</v>
      </c>
      <c r="H3568" s="18" t="s">
        <v>23</v>
      </c>
      <c r="I3568" s="19">
        <v>7</v>
      </c>
      <c r="J3568" s="20">
        <f t="shared" si="110"/>
        <v>7000</v>
      </c>
      <c r="K3568" s="106"/>
      <c r="L3568" s="114"/>
      <c r="M3568" s="114">
        <f>tblAquisições[[#This Row],[VALOR UNITARIO COMPRADO]]*tblAquisições[[#This Row],[QUANTIDADE COMPRADA]]</f>
        <v>0</v>
      </c>
      <c r="N3568" s="110">
        <f>K3568-tblAquisições[[#This Row],[QUANTIDADE PLANEJADA]]</f>
        <v>-1000</v>
      </c>
      <c r="O3568" s="106" t="str">
        <f t="shared" si="111"/>
        <v>Faltando Comprar</v>
      </c>
    </row>
    <row r="3569" spans="1:15" ht="47.25">
      <c r="A3569" s="16" t="s">
        <v>17</v>
      </c>
      <c r="B3569" s="16" t="s">
        <v>25</v>
      </c>
      <c r="C3569" s="17" t="s">
        <v>19</v>
      </c>
      <c r="D3569" s="18" t="s">
        <v>2007</v>
      </c>
      <c r="E3569" s="18">
        <v>1000</v>
      </c>
      <c r="F3569" s="18" t="s">
        <v>78</v>
      </c>
      <c r="G3569" s="18" t="s">
        <v>22</v>
      </c>
      <c r="H3569" s="18" t="s">
        <v>23</v>
      </c>
      <c r="I3569" s="19">
        <v>7</v>
      </c>
      <c r="J3569" s="20">
        <f t="shared" si="110"/>
        <v>7000</v>
      </c>
      <c r="K3569" s="106"/>
      <c r="L3569" s="114"/>
      <c r="M3569" s="114">
        <f>tblAquisições[[#This Row],[VALOR UNITARIO COMPRADO]]*tblAquisições[[#This Row],[QUANTIDADE COMPRADA]]</f>
        <v>0</v>
      </c>
      <c r="N3569" s="110">
        <f>K3569-tblAquisições[[#This Row],[QUANTIDADE PLANEJADA]]</f>
        <v>-1000</v>
      </c>
      <c r="O3569" s="106" t="str">
        <f t="shared" si="111"/>
        <v>Faltando Comprar</v>
      </c>
    </row>
    <row r="3570" spans="1:15" ht="47.25">
      <c r="A3570" s="16" t="s">
        <v>17</v>
      </c>
      <c r="B3570" s="16" t="s">
        <v>28</v>
      </c>
      <c r="C3570" s="17" t="s">
        <v>19</v>
      </c>
      <c r="D3570" s="18" t="s">
        <v>2007</v>
      </c>
      <c r="E3570" s="18">
        <v>24</v>
      </c>
      <c r="F3570" s="18" t="s">
        <v>78</v>
      </c>
      <c r="G3570" s="18" t="s">
        <v>22</v>
      </c>
      <c r="H3570" s="18" t="s">
        <v>53</v>
      </c>
      <c r="I3570" s="19">
        <v>7</v>
      </c>
      <c r="J3570" s="20">
        <f t="shared" si="110"/>
        <v>168</v>
      </c>
      <c r="K3570" s="106"/>
      <c r="L3570" s="114"/>
      <c r="M3570" s="114">
        <f>tblAquisições[[#This Row],[VALOR UNITARIO COMPRADO]]*tblAquisições[[#This Row],[QUANTIDADE COMPRADA]]</f>
        <v>0</v>
      </c>
      <c r="N3570" s="110">
        <f>K3570-tblAquisições[[#This Row],[QUANTIDADE PLANEJADA]]</f>
        <v>-24</v>
      </c>
      <c r="O3570" s="106" t="str">
        <f t="shared" si="111"/>
        <v>Faltando Comprar</v>
      </c>
    </row>
    <row r="3571" spans="1:15" ht="31.5">
      <c r="A3571" s="16" t="s">
        <v>17</v>
      </c>
      <c r="B3571" s="16" t="s">
        <v>18</v>
      </c>
      <c r="C3571" s="17" t="s">
        <v>19</v>
      </c>
      <c r="D3571" s="18" t="s">
        <v>2008</v>
      </c>
      <c r="E3571" s="18">
        <v>10</v>
      </c>
      <c r="F3571" s="18" t="s">
        <v>30</v>
      </c>
      <c r="G3571" s="18" t="s">
        <v>22</v>
      </c>
      <c r="H3571" s="18" t="s">
        <v>23</v>
      </c>
      <c r="I3571" s="19">
        <v>160</v>
      </c>
      <c r="J3571" s="20">
        <f t="shared" si="110"/>
        <v>1600</v>
      </c>
      <c r="K3571" s="106"/>
      <c r="L3571" s="114"/>
      <c r="M3571" s="114">
        <f>tblAquisições[[#This Row],[VALOR UNITARIO COMPRADO]]*tblAquisições[[#This Row],[QUANTIDADE COMPRADA]]</f>
        <v>0</v>
      </c>
      <c r="N3571" s="110">
        <f>K3571-tblAquisições[[#This Row],[QUANTIDADE PLANEJADA]]</f>
        <v>-10</v>
      </c>
      <c r="O3571" s="106" t="str">
        <f t="shared" si="111"/>
        <v>Faltando Comprar</v>
      </c>
    </row>
    <row r="3572" spans="1:15" ht="31.5">
      <c r="A3572" s="16" t="s">
        <v>17</v>
      </c>
      <c r="B3572" s="16" t="s">
        <v>24</v>
      </c>
      <c r="C3572" s="17" t="s">
        <v>19</v>
      </c>
      <c r="D3572" s="18" t="s">
        <v>2008</v>
      </c>
      <c r="E3572" s="18">
        <v>10</v>
      </c>
      <c r="F3572" s="18" t="s">
        <v>30</v>
      </c>
      <c r="G3572" s="18" t="s">
        <v>22</v>
      </c>
      <c r="H3572" s="18" t="s">
        <v>23</v>
      </c>
      <c r="I3572" s="19">
        <v>160</v>
      </c>
      <c r="J3572" s="20">
        <f t="shared" si="110"/>
        <v>1600</v>
      </c>
      <c r="K3572" s="106"/>
      <c r="L3572" s="114"/>
      <c r="M3572" s="114">
        <f>tblAquisições[[#This Row],[VALOR UNITARIO COMPRADO]]*tblAquisições[[#This Row],[QUANTIDADE COMPRADA]]</f>
        <v>0</v>
      </c>
      <c r="N3572" s="110">
        <f>K3572-tblAquisições[[#This Row],[QUANTIDADE PLANEJADA]]</f>
        <v>-10</v>
      </c>
      <c r="O3572" s="106" t="str">
        <f t="shared" si="111"/>
        <v>Faltando Comprar</v>
      </c>
    </row>
    <row r="3573" spans="1:15" ht="31.5">
      <c r="A3573" s="16" t="s">
        <v>17</v>
      </c>
      <c r="B3573" s="16" t="s">
        <v>25</v>
      </c>
      <c r="C3573" s="17" t="s">
        <v>19</v>
      </c>
      <c r="D3573" s="18" t="s">
        <v>2008</v>
      </c>
      <c r="E3573" s="18">
        <v>10</v>
      </c>
      <c r="F3573" s="18" t="s">
        <v>30</v>
      </c>
      <c r="G3573" s="18" t="s">
        <v>22</v>
      </c>
      <c r="H3573" s="18" t="s">
        <v>23</v>
      </c>
      <c r="I3573" s="19">
        <v>160</v>
      </c>
      <c r="J3573" s="20">
        <f t="shared" si="110"/>
        <v>1600</v>
      </c>
      <c r="K3573" s="106"/>
      <c r="L3573" s="114"/>
      <c r="M3573" s="114">
        <f>tblAquisições[[#This Row],[VALOR UNITARIO COMPRADO]]*tblAquisições[[#This Row],[QUANTIDADE COMPRADA]]</f>
        <v>0</v>
      </c>
      <c r="N3573" s="110">
        <f>K3573-tblAquisições[[#This Row],[QUANTIDADE PLANEJADA]]</f>
        <v>-10</v>
      </c>
      <c r="O3573" s="106" t="str">
        <f t="shared" si="111"/>
        <v>Faltando Comprar</v>
      </c>
    </row>
    <row r="3574" spans="1:15" ht="31.5">
      <c r="A3574" s="16" t="s">
        <v>17</v>
      </c>
      <c r="B3574" s="16" t="s">
        <v>27</v>
      </c>
      <c r="C3574" s="17" t="s">
        <v>19</v>
      </c>
      <c r="D3574" s="18" t="s">
        <v>2008</v>
      </c>
      <c r="E3574" s="18">
        <v>20</v>
      </c>
      <c r="F3574" s="18" t="s">
        <v>30</v>
      </c>
      <c r="G3574" s="18" t="s">
        <v>22</v>
      </c>
      <c r="H3574" s="18" t="s">
        <v>23</v>
      </c>
      <c r="I3574" s="19">
        <v>160</v>
      </c>
      <c r="J3574" s="20">
        <f t="shared" si="110"/>
        <v>3200</v>
      </c>
      <c r="K3574" s="106"/>
      <c r="L3574" s="114"/>
      <c r="M3574" s="114">
        <f>tblAquisições[[#This Row],[VALOR UNITARIO COMPRADO]]*tblAquisições[[#This Row],[QUANTIDADE COMPRADA]]</f>
        <v>0</v>
      </c>
      <c r="N3574" s="110">
        <f>K3574-tblAquisições[[#This Row],[QUANTIDADE PLANEJADA]]</f>
        <v>-20</v>
      </c>
      <c r="O3574" s="106" t="str">
        <f t="shared" si="111"/>
        <v>Faltando Comprar</v>
      </c>
    </row>
    <row r="3575" spans="1:15" ht="31.5">
      <c r="A3575" s="16" t="s">
        <v>17</v>
      </c>
      <c r="B3575" s="16" t="s">
        <v>28</v>
      </c>
      <c r="C3575" s="17" t="s">
        <v>19</v>
      </c>
      <c r="D3575" s="18" t="s">
        <v>2009</v>
      </c>
      <c r="E3575" s="18">
        <v>25</v>
      </c>
      <c r="F3575" s="18" t="s">
        <v>324</v>
      </c>
      <c r="G3575" s="18" t="s">
        <v>22</v>
      </c>
      <c r="H3575" s="18" t="s">
        <v>23</v>
      </c>
      <c r="I3575" s="19">
        <v>11.35</v>
      </c>
      <c r="J3575" s="20">
        <f t="shared" si="110"/>
        <v>283.75</v>
      </c>
      <c r="K3575" s="106"/>
      <c r="L3575" s="114"/>
      <c r="M3575" s="114">
        <f>tblAquisições[[#This Row],[VALOR UNITARIO COMPRADO]]*tblAquisições[[#This Row],[QUANTIDADE COMPRADA]]</f>
        <v>0</v>
      </c>
      <c r="N3575" s="110">
        <f>K3575-tblAquisições[[#This Row],[QUANTIDADE PLANEJADA]]</f>
        <v>-25</v>
      </c>
      <c r="O3575" s="106" t="str">
        <f t="shared" si="111"/>
        <v>Faltando Comprar</v>
      </c>
    </row>
    <row r="3576" spans="1:15" ht="31.5">
      <c r="A3576" s="16" t="s">
        <v>17</v>
      </c>
      <c r="B3576" s="16" t="s">
        <v>17</v>
      </c>
      <c r="C3576" s="17" t="s">
        <v>19</v>
      </c>
      <c r="D3576" s="18" t="s">
        <v>2010</v>
      </c>
      <c r="E3576" s="18">
        <v>1000</v>
      </c>
      <c r="F3576" s="18" t="s">
        <v>38</v>
      </c>
      <c r="G3576" s="18" t="s">
        <v>39</v>
      </c>
      <c r="H3576" s="18" t="s">
        <v>23</v>
      </c>
      <c r="I3576" s="19">
        <v>0.85</v>
      </c>
      <c r="J3576" s="20">
        <f t="shared" si="110"/>
        <v>850</v>
      </c>
      <c r="K3576" s="106"/>
      <c r="L3576" s="114"/>
      <c r="M3576" s="114">
        <f>tblAquisições[[#This Row],[VALOR UNITARIO COMPRADO]]*tblAquisições[[#This Row],[QUANTIDADE COMPRADA]]</f>
        <v>0</v>
      </c>
      <c r="N3576" s="110">
        <f>K3576-tblAquisições[[#This Row],[QUANTIDADE PLANEJADA]]</f>
        <v>-1000</v>
      </c>
      <c r="O3576" s="106" t="str">
        <f t="shared" si="111"/>
        <v>Faltando Comprar</v>
      </c>
    </row>
    <row r="3577" spans="1:15" ht="31.5">
      <c r="A3577" s="16" t="s">
        <v>17</v>
      </c>
      <c r="B3577" s="16" t="s">
        <v>31</v>
      </c>
      <c r="C3577" s="17" t="s">
        <v>19</v>
      </c>
      <c r="D3577" s="18" t="s">
        <v>2011</v>
      </c>
      <c r="E3577" s="18">
        <v>80</v>
      </c>
      <c r="F3577" s="18" t="s">
        <v>21</v>
      </c>
      <c r="G3577" s="18" t="s">
        <v>22</v>
      </c>
      <c r="H3577" s="18" t="s">
        <v>23</v>
      </c>
      <c r="I3577" s="19">
        <v>0.85</v>
      </c>
      <c r="J3577" s="20">
        <f t="shared" si="110"/>
        <v>68</v>
      </c>
      <c r="K3577" s="106"/>
      <c r="L3577" s="114"/>
      <c r="M3577" s="114">
        <f>tblAquisições[[#This Row],[VALOR UNITARIO COMPRADO]]*tblAquisições[[#This Row],[QUANTIDADE COMPRADA]]</f>
        <v>0</v>
      </c>
      <c r="N3577" s="110">
        <f>K3577-tblAquisições[[#This Row],[QUANTIDADE PLANEJADA]]</f>
        <v>-80</v>
      </c>
      <c r="O3577" s="106" t="str">
        <f t="shared" si="111"/>
        <v>Faltando Comprar</v>
      </c>
    </row>
    <row r="3578" spans="1:15" ht="31.5">
      <c r="A3578" s="16" t="s">
        <v>17</v>
      </c>
      <c r="B3578" s="16" t="s">
        <v>18</v>
      </c>
      <c r="C3578" s="17" t="s">
        <v>19</v>
      </c>
      <c r="D3578" s="18" t="s">
        <v>2011</v>
      </c>
      <c r="E3578" s="18">
        <v>1000</v>
      </c>
      <c r="F3578" s="18" t="s">
        <v>21</v>
      </c>
      <c r="G3578" s="18" t="s">
        <v>22</v>
      </c>
      <c r="H3578" s="18" t="s">
        <v>23</v>
      </c>
      <c r="I3578" s="19">
        <v>0.85</v>
      </c>
      <c r="J3578" s="20">
        <f t="shared" si="110"/>
        <v>850</v>
      </c>
      <c r="K3578" s="106"/>
      <c r="L3578" s="114"/>
      <c r="M3578" s="114">
        <f>tblAquisições[[#This Row],[VALOR UNITARIO COMPRADO]]*tblAquisições[[#This Row],[QUANTIDADE COMPRADA]]</f>
        <v>0</v>
      </c>
      <c r="N3578" s="110">
        <f>K3578-tblAquisições[[#This Row],[QUANTIDADE PLANEJADA]]</f>
        <v>-1000</v>
      </c>
      <c r="O3578" s="106" t="str">
        <f t="shared" si="111"/>
        <v>Faltando Comprar</v>
      </c>
    </row>
    <row r="3579" spans="1:15" ht="31.5">
      <c r="A3579" s="16" t="s">
        <v>17</v>
      </c>
      <c r="B3579" s="16" t="s">
        <v>24</v>
      </c>
      <c r="C3579" s="17" t="s">
        <v>19</v>
      </c>
      <c r="D3579" s="18" t="s">
        <v>2011</v>
      </c>
      <c r="E3579" s="18">
        <v>1000</v>
      </c>
      <c r="F3579" s="18" t="s">
        <v>21</v>
      </c>
      <c r="G3579" s="18" t="s">
        <v>22</v>
      </c>
      <c r="H3579" s="18" t="s">
        <v>23</v>
      </c>
      <c r="I3579" s="19">
        <v>0.85</v>
      </c>
      <c r="J3579" s="20">
        <f t="shared" si="110"/>
        <v>850</v>
      </c>
      <c r="K3579" s="106"/>
      <c r="L3579" s="114"/>
      <c r="M3579" s="114">
        <f>tblAquisições[[#This Row],[VALOR UNITARIO COMPRADO]]*tblAquisições[[#This Row],[QUANTIDADE COMPRADA]]</f>
        <v>0</v>
      </c>
      <c r="N3579" s="110">
        <f>K3579-tblAquisições[[#This Row],[QUANTIDADE PLANEJADA]]</f>
        <v>-1000</v>
      </c>
      <c r="O3579" s="106" t="str">
        <f t="shared" si="111"/>
        <v>Faltando Comprar</v>
      </c>
    </row>
    <row r="3580" spans="1:15" ht="31.5">
      <c r="A3580" s="16" t="s">
        <v>17</v>
      </c>
      <c r="B3580" s="16" t="s">
        <v>25</v>
      </c>
      <c r="C3580" s="17" t="s">
        <v>19</v>
      </c>
      <c r="D3580" s="18" t="s">
        <v>2011</v>
      </c>
      <c r="E3580" s="18">
        <v>1000</v>
      </c>
      <c r="F3580" s="18" t="s">
        <v>21</v>
      </c>
      <c r="G3580" s="18" t="s">
        <v>22</v>
      </c>
      <c r="H3580" s="18" t="s">
        <v>23</v>
      </c>
      <c r="I3580" s="19">
        <v>0.85</v>
      </c>
      <c r="J3580" s="20">
        <f t="shared" si="110"/>
        <v>850</v>
      </c>
      <c r="K3580" s="106"/>
      <c r="L3580" s="114"/>
      <c r="M3580" s="114">
        <f>tblAquisições[[#This Row],[VALOR UNITARIO COMPRADO]]*tblAquisições[[#This Row],[QUANTIDADE COMPRADA]]</f>
        <v>0</v>
      </c>
      <c r="N3580" s="110">
        <f>K3580-tblAquisições[[#This Row],[QUANTIDADE PLANEJADA]]</f>
        <v>-1000</v>
      </c>
      <c r="O3580" s="106" t="str">
        <f t="shared" si="111"/>
        <v>Faltando Comprar</v>
      </c>
    </row>
    <row r="3581" spans="1:15" ht="31.5">
      <c r="A3581" s="16" t="s">
        <v>17</v>
      </c>
      <c r="B3581" s="16" t="s">
        <v>27</v>
      </c>
      <c r="C3581" s="17" t="s">
        <v>19</v>
      </c>
      <c r="D3581" s="18" t="s">
        <v>2011</v>
      </c>
      <c r="E3581" s="18">
        <v>1000</v>
      </c>
      <c r="F3581" s="18" t="s">
        <v>21</v>
      </c>
      <c r="G3581" s="18" t="s">
        <v>22</v>
      </c>
      <c r="H3581" s="18" t="s">
        <v>23</v>
      </c>
      <c r="I3581" s="19">
        <v>0.85</v>
      </c>
      <c r="J3581" s="20">
        <f t="shared" si="110"/>
        <v>850</v>
      </c>
      <c r="K3581" s="106"/>
      <c r="L3581" s="114"/>
      <c r="M3581" s="114">
        <f>tblAquisições[[#This Row],[VALOR UNITARIO COMPRADO]]*tblAquisições[[#This Row],[QUANTIDADE COMPRADA]]</f>
        <v>0</v>
      </c>
      <c r="N3581" s="110">
        <f>K3581-tblAquisições[[#This Row],[QUANTIDADE PLANEJADA]]</f>
        <v>-1000</v>
      </c>
      <c r="O3581" s="106" t="str">
        <f t="shared" si="111"/>
        <v>Faltando Comprar</v>
      </c>
    </row>
    <row r="3582" spans="1:15" ht="31.5">
      <c r="A3582" s="16" t="s">
        <v>17</v>
      </c>
      <c r="B3582" s="16" t="s">
        <v>28</v>
      </c>
      <c r="C3582" s="17" t="s">
        <v>19</v>
      </c>
      <c r="D3582" s="18" t="s">
        <v>2011</v>
      </c>
      <c r="E3582" s="18">
        <v>1000</v>
      </c>
      <c r="F3582" s="18" t="s">
        <v>21</v>
      </c>
      <c r="G3582" s="18" t="s">
        <v>22</v>
      </c>
      <c r="H3582" s="18" t="s">
        <v>23</v>
      </c>
      <c r="I3582" s="19">
        <v>0.85</v>
      </c>
      <c r="J3582" s="20">
        <f t="shared" si="110"/>
        <v>850</v>
      </c>
      <c r="K3582" s="106"/>
      <c r="L3582" s="114"/>
      <c r="M3582" s="114">
        <f>tblAquisições[[#This Row],[VALOR UNITARIO COMPRADO]]*tblAquisições[[#This Row],[QUANTIDADE COMPRADA]]</f>
        <v>0</v>
      </c>
      <c r="N3582" s="110">
        <f>K3582-tblAquisições[[#This Row],[QUANTIDADE PLANEJADA]]</f>
        <v>-1000</v>
      </c>
      <c r="O3582" s="106" t="str">
        <f t="shared" si="111"/>
        <v>Faltando Comprar</v>
      </c>
    </row>
    <row r="3583" spans="1:15" ht="31.5">
      <c r="A3583" s="16" t="s">
        <v>17</v>
      </c>
      <c r="B3583" s="16" t="s">
        <v>17</v>
      </c>
      <c r="C3583" s="17" t="s">
        <v>19</v>
      </c>
      <c r="D3583" s="18" t="s">
        <v>2012</v>
      </c>
      <c r="E3583" s="18">
        <v>1000</v>
      </c>
      <c r="F3583" s="18" t="s">
        <v>38</v>
      </c>
      <c r="G3583" s="18" t="s">
        <v>39</v>
      </c>
      <c r="H3583" s="18" t="s">
        <v>23</v>
      </c>
      <c r="I3583" s="19">
        <v>6.44</v>
      </c>
      <c r="J3583" s="20">
        <f t="shared" si="110"/>
        <v>6440</v>
      </c>
      <c r="K3583" s="106"/>
      <c r="L3583" s="114"/>
      <c r="M3583" s="114">
        <f>tblAquisições[[#This Row],[VALOR UNITARIO COMPRADO]]*tblAquisições[[#This Row],[QUANTIDADE COMPRADA]]</f>
        <v>0</v>
      </c>
      <c r="N3583" s="110">
        <f>K3583-tblAquisições[[#This Row],[QUANTIDADE PLANEJADA]]</f>
        <v>-1000</v>
      </c>
      <c r="O3583" s="106" t="str">
        <f t="shared" si="111"/>
        <v>Faltando Comprar</v>
      </c>
    </row>
    <row r="3584" spans="1:15" ht="31.5">
      <c r="A3584" s="16" t="s">
        <v>17</v>
      </c>
      <c r="B3584" s="16" t="s">
        <v>34</v>
      </c>
      <c r="C3584" s="17" t="s">
        <v>19</v>
      </c>
      <c r="D3584" s="18" t="s">
        <v>2013</v>
      </c>
      <c r="E3584" s="18">
        <v>20</v>
      </c>
      <c r="F3584" s="18" t="s">
        <v>21</v>
      </c>
      <c r="G3584" s="18" t="s">
        <v>22</v>
      </c>
      <c r="H3584" s="18" t="s">
        <v>23</v>
      </c>
      <c r="I3584" s="19">
        <v>6.44</v>
      </c>
      <c r="J3584" s="20">
        <f t="shared" si="110"/>
        <v>128.80000000000001</v>
      </c>
      <c r="K3584" s="106"/>
      <c r="L3584" s="114"/>
      <c r="M3584" s="114">
        <f>tblAquisições[[#This Row],[VALOR UNITARIO COMPRADO]]*tblAquisições[[#This Row],[QUANTIDADE COMPRADA]]</f>
        <v>0</v>
      </c>
      <c r="N3584" s="110">
        <f>K3584-tblAquisições[[#This Row],[QUANTIDADE PLANEJADA]]</f>
        <v>-20</v>
      </c>
      <c r="O3584" s="106" t="str">
        <f t="shared" si="111"/>
        <v>Faltando Comprar</v>
      </c>
    </row>
    <row r="3585" spans="1:15" ht="31.5">
      <c r="A3585" s="16" t="s">
        <v>17</v>
      </c>
      <c r="B3585" s="16" t="s">
        <v>31</v>
      </c>
      <c r="C3585" s="17" t="s">
        <v>19</v>
      </c>
      <c r="D3585" s="18" t="s">
        <v>2013</v>
      </c>
      <c r="E3585" s="18">
        <v>140</v>
      </c>
      <c r="F3585" s="18" t="s">
        <v>21</v>
      </c>
      <c r="G3585" s="18" t="s">
        <v>22</v>
      </c>
      <c r="H3585" s="18" t="s">
        <v>23</v>
      </c>
      <c r="I3585" s="19">
        <v>6.44</v>
      </c>
      <c r="J3585" s="20">
        <f t="shared" si="110"/>
        <v>901.6</v>
      </c>
      <c r="K3585" s="106"/>
      <c r="L3585" s="114"/>
      <c r="M3585" s="114">
        <f>tblAquisições[[#This Row],[VALOR UNITARIO COMPRADO]]*tblAquisições[[#This Row],[QUANTIDADE COMPRADA]]</f>
        <v>0</v>
      </c>
      <c r="N3585" s="110">
        <f>K3585-tblAquisições[[#This Row],[QUANTIDADE PLANEJADA]]</f>
        <v>-140</v>
      </c>
      <c r="O3585" s="106" t="str">
        <f t="shared" si="111"/>
        <v>Faltando Comprar</v>
      </c>
    </row>
    <row r="3586" spans="1:15" ht="31.5">
      <c r="A3586" s="16" t="s">
        <v>17</v>
      </c>
      <c r="B3586" s="16" t="s">
        <v>18</v>
      </c>
      <c r="C3586" s="17" t="s">
        <v>19</v>
      </c>
      <c r="D3586" s="18" t="s">
        <v>2013</v>
      </c>
      <c r="E3586" s="18">
        <v>1200</v>
      </c>
      <c r="F3586" s="18" t="s">
        <v>21</v>
      </c>
      <c r="G3586" s="18" t="s">
        <v>22</v>
      </c>
      <c r="H3586" s="18" t="s">
        <v>23</v>
      </c>
      <c r="I3586" s="19">
        <v>6.44</v>
      </c>
      <c r="J3586" s="20">
        <f t="shared" ref="J3586:J3649" si="112">E3586*I3586</f>
        <v>7728.0000000000009</v>
      </c>
      <c r="K3586" s="106"/>
      <c r="L3586" s="114"/>
      <c r="M3586" s="114">
        <f>tblAquisições[[#This Row],[VALOR UNITARIO COMPRADO]]*tblAquisições[[#This Row],[QUANTIDADE COMPRADA]]</f>
        <v>0</v>
      </c>
      <c r="N3586" s="110">
        <f>K3586-tblAquisições[[#This Row],[QUANTIDADE PLANEJADA]]</f>
        <v>-1200</v>
      </c>
      <c r="O3586" s="106" t="str">
        <f t="shared" ref="O3586:O3649" si="113">IF(K3586=E3586,"OK",IF(K3586&lt;E3586,"Faltando Comprar","Excedente"))</f>
        <v>Faltando Comprar</v>
      </c>
    </row>
    <row r="3587" spans="1:15" ht="31.5">
      <c r="A3587" s="16" t="s">
        <v>17</v>
      </c>
      <c r="B3587" s="16" t="s">
        <v>24</v>
      </c>
      <c r="C3587" s="17" t="s">
        <v>19</v>
      </c>
      <c r="D3587" s="18" t="s">
        <v>2013</v>
      </c>
      <c r="E3587" s="18">
        <v>1200</v>
      </c>
      <c r="F3587" s="18" t="s">
        <v>21</v>
      </c>
      <c r="G3587" s="18" t="s">
        <v>22</v>
      </c>
      <c r="H3587" s="18" t="s">
        <v>23</v>
      </c>
      <c r="I3587" s="19">
        <v>6.44</v>
      </c>
      <c r="J3587" s="20">
        <f t="shared" si="112"/>
        <v>7728.0000000000009</v>
      </c>
      <c r="K3587" s="106"/>
      <c r="L3587" s="114"/>
      <c r="M3587" s="114">
        <f>tblAquisições[[#This Row],[VALOR UNITARIO COMPRADO]]*tblAquisições[[#This Row],[QUANTIDADE COMPRADA]]</f>
        <v>0</v>
      </c>
      <c r="N3587" s="110">
        <f>K3587-tblAquisições[[#This Row],[QUANTIDADE PLANEJADA]]</f>
        <v>-1200</v>
      </c>
      <c r="O3587" s="106" t="str">
        <f t="shared" si="113"/>
        <v>Faltando Comprar</v>
      </c>
    </row>
    <row r="3588" spans="1:15" ht="31.5">
      <c r="A3588" s="16" t="s">
        <v>17</v>
      </c>
      <c r="B3588" s="16" t="s">
        <v>25</v>
      </c>
      <c r="C3588" s="17" t="s">
        <v>19</v>
      </c>
      <c r="D3588" s="18" t="s">
        <v>2013</v>
      </c>
      <c r="E3588" s="18">
        <v>1200</v>
      </c>
      <c r="F3588" s="18" t="s">
        <v>21</v>
      </c>
      <c r="G3588" s="18" t="s">
        <v>22</v>
      </c>
      <c r="H3588" s="18" t="s">
        <v>23</v>
      </c>
      <c r="I3588" s="19">
        <v>6.44</v>
      </c>
      <c r="J3588" s="20">
        <f t="shared" si="112"/>
        <v>7728.0000000000009</v>
      </c>
      <c r="K3588" s="106"/>
      <c r="L3588" s="114"/>
      <c r="M3588" s="114">
        <f>tblAquisições[[#This Row],[VALOR UNITARIO COMPRADO]]*tblAquisições[[#This Row],[QUANTIDADE COMPRADA]]</f>
        <v>0</v>
      </c>
      <c r="N3588" s="110">
        <f>K3588-tblAquisições[[#This Row],[QUANTIDADE PLANEJADA]]</f>
        <v>-1200</v>
      </c>
      <c r="O3588" s="106" t="str">
        <f t="shared" si="113"/>
        <v>Faltando Comprar</v>
      </c>
    </row>
    <row r="3589" spans="1:15" ht="31.5">
      <c r="A3589" s="16" t="s">
        <v>17</v>
      </c>
      <c r="B3589" s="16" t="s">
        <v>41</v>
      </c>
      <c r="C3589" s="17" t="s">
        <v>19</v>
      </c>
      <c r="D3589" s="18" t="s">
        <v>2013</v>
      </c>
      <c r="E3589" s="18">
        <v>100</v>
      </c>
      <c r="F3589" s="18" t="s">
        <v>21</v>
      </c>
      <c r="G3589" s="18" t="s">
        <v>22</v>
      </c>
      <c r="H3589" s="18" t="s">
        <v>23</v>
      </c>
      <c r="I3589" s="19">
        <v>6.44</v>
      </c>
      <c r="J3589" s="20">
        <f t="shared" si="112"/>
        <v>644</v>
      </c>
      <c r="K3589" s="106"/>
      <c r="L3589" s="114"/>
      <c r="M3589" s="114">
        <f>tblAquisições[[#This Row],[VALOR UNITARIO COMPRADO]]*tblAquisições[[#This Row],[QUANTIDADE COMPRADA]]</f>
        <v>0</v>
      </c>
      <c r="N3589" s="110">
        <f>K3589-tblAquisições[[#This Row],[QUANTIDADE PLANEJADA]]</f>
        <v>-100</v>
      </c>
      <c r="O3589" s="106" t="str">
        <f t="shared" si="113"/>
        <v>Faltando Comprar</v>
      </c>
    </row>
    <row r="3590" spans="1:15" ht="31.5">
      <c r="A3590" s="16" t="s">
        <v>17</v>
      </c>
      <c r="B3590" s="16" t="s">
        <v>26</v>
      </c>
      <c r="C3590" s="17" t="s">
        <v>19</v>
      </c>
      <c r="D3590" s="18" t="s">
        <v>2013</v>
      </c>
      <c r="E3590" s="18">
        <v>500</v>
      </c>
      <c r="F3590" s="18" t="s">
        <v>21</v>
      </c>
      <c r="G3590" s="18" t="s">
        <v>22</v>
      </c>
      <c r="H3590" s="18" t="s">
        <v>23</v>
      </c>
      <c r="I3590" s="19">
        <v>6.44</v>
      </c>
      <c r="J3590" s="20">
        <f t="shared" si="112"/>
        <v>3220</v>
      </c>
      <c r="K3590" s="106"/>
      <c r="L3590" s="114"/>
      <c r="M3590" s="114">
        <f>tblAquisições[[#This Row],[VALOR UNITARIO COMPRADO]]*tblAquisições[[#This Row],[QUANTIDADE COMPRADA]]</f>
        <v>0</v>
      </c>
      <c r="N3590" s="110">
        <f>K3590-tblAquisições[[#This Row],[QUANTIDADE PLANEJADA]]</f>
        <v>-500</v>
      </c>
      <c r="O3590" s="106" t="str">
        <f t="shared" si="113"/>
        <v>Faltando Comprar</v>
      </c>
    </row>
    <row r="3591" spans="1:15" ht="31.5">
      <c r="A3591" s="16" t="s">
        <v>17</v>
      </c>
      <c r="B3591" s="16" t="s">
        <v>28</v>
      </c>
      <c r="C3591" s="17" t="s">
        <v>19</v>
      </c>
      <c r="D3591" s="18" t="s">
        <v>2013</v>
      </c>
      <c r="E3591" s="18">
        <v>1000</v>
      </c>
      <c r="F3591" s="18" t="s">
        <v>21</v>
      </c>
      <c r="G3591" s="18" t="s">
        <v>22</v>
      </c>
      <c r="H3591" s="18" t="s">
        <v>23</v>
      </c>
      <c r="I3591" s="19">
        <v>6.44</v>
      </c>
      <c r="J3591" s="20">
        <f t="shared" si="112"/>
        <v>6440</v>
      </c>
      <c r="K3591" s="106"/>
      <c r="L3591" s="114"/>
      <c r="M3591" s="114">
        <f>tblAquisições[[#This Row],[VALOR UNITARIO COMPRADO]]*tblAquisições[[#This Row],[QUANTIDADE COMPRADA]]</f>
        <v>0</v>
      </c>
      <c r="N3591" s="110">
        <f>K3591-tblAquisições[[#This Row],[QUANTIDADE PLANEJADA]]</f>
        <v>-1000</v>
      </c>
      <c r="O3591" s="106" t="str">
        <f t="shared" si="113"/>
        <v>Faltando Comprar</v>
      </c>
    </row>
    <row r="3592" spans="1:15" ht="31.5">
      <c r="A3592" s="16" t="s">
        <v>17</v>
      </c>
      <c r="B3592" s="16" t="s">
        <v>34</v>
      </c>
      <c r="C3592" s="17" t="s">
        <v>19</v>
      </c>
      <c r="D3592" s="18" t="s">
        <v>2014</v>
      </c>
      <c r="E3592" s="18">
        <v>20</v>
      </c>
      <c r="F3592" s="18" t="s">
        <v>21</v>
      </c>
      <c r="G3592" s="18" t="s">
        <v>22</v>
      </c>
      <c r="H3592" s="18" t="s">
        <v>23</v>
      </c>
      <c r="I3592" s="19">
        <v>1.1299999999999999</v>
      </c>
      <c r="J3592" s="20">
        <f t="shared" si="112"/>
        <v>22.599999999999998</v>
      </c>
      <c r="K3592" s="106"/>
      <c r="L3592" s="114"/>
      <c r="M3592" s="114">
        <f>tblAquisições[[#This Row],[VALOR UNITARIO COMPRADO]]*tblAquisições[[#This Row],[QUANTIDADE COMPRADA]]</f>
        <v>0</v>
      </c>
      <c r="N3592" s="110">
        <f>K3592-tblAquisições[[#This Row],[QUANTIDADE PLANEJADA]]</f>
        <v>-20</v>
      </c>
      <c r="O3592" s="106" t="str">
        <f t="shared" si="113"/>
        <v>Faltando Comprar</v>
      </c>
    </row>
    <row r="3593" spans="1:15" ht="31.5">
      <c r="A3593" s="16" t="s">
        <v>17</v>
      </c>
      <c r="B3593" s="16" t="s">
        <v>18</v>
      </c>
      <c r="C3593" s="17" t="s">
        <v>19</v>
      </c>
      <c r="D3593" s="18" t="s">
        <v>2014</v>
      </c>
      <c r="E3593" s="18">
        <v>200</v>
      </c>
      <c r="F3593" s="18" t="s">
        <v>21</v>
      </c>
      <c r="G3593" s="18" t="s">
        <v>22</v>
      </c>
      <c r="H3593" s="18" t="s">
        <v>23</v>
      </c>
      <c r="I3593" s="19">
        <v>1.1299999999999999</v>
      </c>
      <c r="J3593" s="20">
        <f t="shared" si="112"/>
        <v>225.99999999999997</v>
      </c>
      <c r="K3593" s="106"/>
      <c r="L3593" s="114"/>
      <c r="M3593" s="114">
        <f>tblAquisições[[#This Row],[VALOR UNITARIO COMPRADO]]*tblAquisições[[#This Row],[QUANTIDADE COMPRADA]]</f>
        <v>0</v>
      </c>
      <c r="N3593" s="110">
        <f>K3593-tblAquisições[[#This Row],[QUANTIDADE PLANEJADA]]</f>
        <v>-200</v>
      </c>
      <c r="O3593" s="106" t="str">
        <f t="shared" si="113"/>
        <v>Faltando Comprar</v>
      </c>
    </row>
    <row r="3594" spans="1:15" ht="31.5">
      <c r="A3594" s="16" t="s">
        <v>17</v>
      </c>
      <c r="B3594" s="16" t="s">
        <v>24</v>
      </c>
      <c r="C3594" s="17" t="s">
        <v>19</v>
      </c>
      <c r="D3594" s="18" t="s">
        <v>2014</v>
      </c>
      <c r="E3594" s="18">
        <v>200</v>
      </c>
      <c r="F3594" s="18" t="s">
        <v>21</v>
      </c>
      <c r="G3594" s="18" t="s">
        <v>22</v>
      </c>
      <c r="H3594" s="18" t="s">
        <v>23</v>
      </c>
      <c r="I3594" s="19">
        <v>1.1299999999999999</v>
      </c>
      <c r="J3594" s="20">
        <f t="shared" si="112"/>
        <v>225.99999999999997</v>
      </c>
      <c r="K3594" s="106"/>
      <c r="L3594" s="114"/>
      <c r="M3594" s="114">
        <f>tblAquisições[[#This Row],[VALOR UNITARIO COMPRADO]]*tblAquisições[[#This Row],[QUANTIDADE COMPRADA]]</f>
        <v>0</v>
      </c>
      <c r="N3594" s="110">
        <f>K3594-tblAquisições[[#This Row],[QUANTIDADE PLANEJADA]]</f>
        <v>-200</v>
      </c>
      <c r="O3594" s="106" t="str">
        <f t="shared" si="113"/>
        <v>Faltando Comprar</v>
      </c>
    </row>
    <row r="3595" spans="1:15" ht="31.5">
      <c r="A3595" s="16" t="s">
        <v>17</v>
      </c>
      <c r="B3595" s="16" t="s">
        <v>25</v>
      </c>
      <c r="C3595" s="17" t="s">
        <v>19</v>
      </c>
      <c r="D3595" s="18" t="s">
        <v>2014</v>
      </c>
      <c r="E3595" s="18">
        <v>200</v>
      </c>
      <c r="F3595" s="18" t="s">
        <v>21</v>
      </c>
      <c r="G3595" s="18" t="s">
        <v>22</v>
      </c>
      <c r="H3595" s="18" t="s">
        <v>23</v>
      </c>
      <c r="I3595" s="19">
        <v>1.1299999999999999</v>
      </c>
      <c r="J3595" s="20">
        <f t="shared" si="112"/>
        <v>225.99999999999997</v>
      </c>
      <c r="K3595" s="106"/>
      <c r="L3595" s="114"/>
      <c r="M3595" s="114">
        <f>tblAquisições[[#This Row],[VALOR UNITARIO COMPRADO]]*tblAquisições[[#This Row],[QUANTIDADE COMPRADA]]</f>
        <v>0</v>
      </c>
      <c r="N3595" s="110">
        <f>K3595-tblAquisições[[#This Row],[QUANTIDADE PLANEJADA]]</f>
        <v>-200</v>
      </c>
      <c r="O3595" s="106" t="str">
        <f t="shared" si="113"/>
        <v>Faltando Comprar</v>
      </c>
    </row>
    <row r="3596" spans="1:15" ht="31.5">
      <c r="A3596" s="16" t="s">
        <v>17</v>
      </c>
      <c r="B3596" s="16" t="s">
        <v>41</v>
      </c>
      <c r="C3596" s="17" t="s">
        <v>19</v>
      </c>
      <c r="D3596" s="18" t="s">
        <v>2014</v>
      </c>
      <c r="E3596" s="18">
        <v>100</v>
      </c>
      <c r="F3596" s="18" t="s">
        <v>21</v>
      </c>
      <c r="G3596" s="18" t="s">
        <v>22</v>
      </c>
      <c r="H3596" s="18" t="s">
        <v>23</v>
      </c>
      <c r="I3596" s="19">
        <v>1.1299999999999999</v>
      </c>
      <c r="J3596" s="20">
        <f t="shared" si="112"/>
        <v>112.99999999999999</v>
      </c>
      <c r="K3596" s="106"/>
      <c r="L3596" s="114"/>
      <c r="M3596" s="114">
        <f>tblAquisições[[#This Row],[VALOR UNITARIO COMPRADO]]*tblAquisições[[#This Row],[QUANTIDADE COMPRADA]]</f>
        <v>0</v>
      </c>
      <c r="N3596" s="110">
        <f>K3596-tblAquisições[[#This Row],[QUANTIDADE PLANEJADA]]</f>
        <v>-100</v>
      </c>
      <c r="O3596" s="106" t="str">
        <f t="shared" si="113"/>
        <v>Faltando Comprar</v>
      </c>
    </row>
    <row r="3597" spans="1:15" ht="31.5">
      <c r="A3597" s="16" t="s">
        <v>17</v>
      </c>
      <c r="B3597" s="16" t="s">
        <v>26</v>
      </c>
      <c r="C3597" s="17" t="s">
        <v>19</v>
      </c>
      <c r="D3597" s="18" t="s">
        <v>2014</v>
      </c>
      <c r="E3597" s="18">
        <v>200</v>
      </c>
      <c r="F3597" s="18" t="s">
        <v>21</v>
      </c>
      <c r="G3597" s="18" t="s">
        <v>22</v>
      </c>
      <c r="H3597" s="18" t="s">
        <v>23</v>
      </c>
      <c r="I3597" s="19">
        <v>1.1299999999999999</v>
      </c>
      <c r="J3597" s="20">
        <f t="shared" si="112"/>
        <v>225.99999999999997</v>
      </c>
      <c r="K3597" s="106"/>
      <c r="L3597" s="114"/>
      <c r="M3597" s="114">
        <f>tblAquisições[[#This Row],[VALOR UNITARIO COMPRADO]]*tblAquisições[[#This Row],[QUANTIDADE COMPRADA]]</f>
        <v>0</v>
      </c>
      <c r="N3597" s="110">
        <f>K3597-tblAquisições[[#This Row],[QUANTIDADE PLANEJADA]]</f>
        <v>-200</v>
      </c>
      <c r="O3597" s="106" t="str">
        <f t="shared" si="113"/>
        <v>Faltando Comprar</v>
      </c>
    </row>
    <row r="3598" spans="1:15" ht="31.5">
      <c r="A3598" s="16" t="s">
        <v>17</v>
      </c>
      <c r="B3598" s="16" t="s">
        <v>27</v>
      </c>
      <c r="C3598" s="17" t="s">
        <v>19</v>
      </c>
      <c r="D3598" s="18" t="s">
        <v>2014</v>
      </c>
      <c r="E3598" s="18">
        <v>150</v>
      </c>
      <c r="F3598" s="18" t="s">
        <v>21</v>
      </c>
      <c r="G3598" s="18" t="s">
        <v>22</v>
      </c>
      <c r="H3598" s="18" t="s">
        <v>23</v>
      </c>
      <c r="I3598" s="19">
        <v>1.1299999999999999</v>
      </c>
      <c r="J3598" s="20">
        <f t="shared" si="112"/>
        <v>169.49999999999997</v>
      </c>
      <c r="K3598" s="106"/>
      <c r="L3598" s="114"/>
      <c r="M3598" s="114">
        <f>tblAquisições[[#This Row],[VALOR UNITARIO COMPRADO]]*tblAquisições[[#This Row],[QUANTIDADE COMPRADA]]</f>
        <v>0</v>
      </c>
      <c r="N3598" s="110">
        <f>K3598-tblAquisições[[#This Row],[QUANTIDADE PLANEJADA]]</f>
        <v>-150</v>
      </c>
      <c r="O3598" s="106" t="str">
        <f t="shared" si="113"/>
        <v>Faltando Comprar</v>
      </c>
    </row>
    <row r="3599" spans="1:15" ht="31.5">
      <c r="A3599" s="16" t="s">
        <v>17</v>
      </c>
      <c r="B3599" s="16" t="s">
        <v>28</v>
      </c>
      <c r="C3599" s="17" t="s">
        <v>19</v>
      </c>
      <c r="D3599" s="18" t="s">
        <v>2014</v>
      </c>
      <c r="E3599" s="18">
        <v>1000</v>
      </c>
      <c r="F3599" s="18" t="s">
        <v>21</v>
      </c>
      <c r="G3599" s="18" t="s">
        <v>22</v>
      </c>
      <c r="H3599" s="18" t="s">
        <v>23</v>
      </c>
      <c r="I3599" s="19">
        <v>1.1299999999999999</v>
      </c>
      <c r="J3599" s="20">
        <f t="shared" si="112"/>
        <v>1130</v>
      </c>
      <c r="K3599" s="106"/>
      <c r="L3599" s="114"/>
      <c r="M3599" s="114">
        <f>tblAquisições[[#This Row],[VALOR UNITARIO COMPRADO]]*tblAquisições[[#This Row],[QUANTIDADE COMPRADA]]</f>
        <v>0</v>
      </c>
      <c r="N3599" s="110">
        <f>K3599-tblAquisições[[#This Row],[QUANTIDADE PLANEJADA]]</f>
        <v>-1000</v>
      </c>
      <c r="O3599" s="106" t="str">
        <f t="shared" si="113"/>
        <v>Faltando Comprar</v>
      </c>
    </row>
    <row r="3600" spans="1:15" ht="31.5">
      <c r="A3600" s="16" t="s">
        <v>17</v>
      </c>
      <c r="B3600" s="16" t="s">
        <v>26</v>
      </c>
      <c r="C3600" s="17" t="s">
        <v>19</v>
      </c>
      <c r="D3600" s="18" t="s">
        <v>2015</v>
      </c>
      <c r="E3600" s="18">
        <v>50</v>
      </c>
      <c r="F3600" s="18" t="s">
        <v>30</v>
      </c>
      <c r="G3600" s="18" t="s">
        <v>22</v>
      </c>
      <c r="H3600" s="18" t="s">
        <v>23</v>
      </c>
      <c r="I3600" s="19">
        <v>22.59</v>
      </c>
      <c r="J3600" s="20">
        <f t="shared" si="112"/>
        <v>1129.5</v>
      </c>
      <c r="K3600" s="106"/>
      <c r="L3600" s="114"/>
      <c r="M3600" s="114">
        <f>tblAquisições[[#This Row],[VALOR UNITARIO COMPRADO]]*tblAquisições[[#This Row],[QUANTIDADE COMPRADA]]</f>
        <v>0</v>
      </c>
      <c r="N3600" s="110">
        <f>K3600-tblAquisições[[#This Row],[QUANTIDADE PLANEJADA]]</f>
        <v>-50</v>
      </c>
      <c r="O3600" s="106" t="str">
        <f t="shared" si="113"/>
        <v>Faltando Comprar</v>
      </c>
    </row>
    <row r="3601" spans="1:15" ht="31.5">
      <c r="A3601" s="16" t="s">
        <v>17</v>
      </c>
      <c r="B3601" s="16" t="s">
        <v>31</v>
      </c>
      <c r="C3601" s="17" t="s">
        <v>19</v>
      </c>
      <c r="D3601" s="18" t="s">
        <v>2016</v>
      </c>
      <c r="E3601" s="18">
        <v>5</v>
      </c>
      <c r="F3601" s="18" t="s">
        <v>328</v>
      </c>
      <c r="G3601" s="18" t="s">
        <v>22</v>
      </c>
      <c r="H3601" s="18" t="s">
        <v>23</v>
      </c>
      <c r="I3601" s="19">
        <v>25.5</v>
      </c>
      <c r="J3601" s="20">
        <f t="shared" si="112"/>
        <v>127.5</v>
      </c>
      <c r="K3601" s="106"/>
      <c r="L3601" s="114"/>
      <c r="M3601" s="114">
        <f>tblAquisições[[#This Row],[VALOR UNITARIO COMPRADO]]*tblAquisições[[#This Row],[QUANTIDADE COMPRADA]]</f>
        <v>0</v>
      </c>
      <c r="N3601" s="110">
        <f>K3601-tblAquisições[[#This Row],[QUANTIDADE PLANEJADA]]</f>
        <v>-5</v>
      </c>
      <c r="O3601" s="106" t="str">
        <f t="shared" si="113"/>
        <v>Faltando Comprar</v>
      </c>
    </row>
    <row r="3602" spans="1:15" ht="47.25">
      <c r="A3602" s="16" t="s">
        <v>17</v>
      </c>
      <c r="B3602" s="16" t="s">
        <v>28</v>
      </c>
      <c r="C3602" s="17" t="s">
        <v>19</v>
      </c>
      <c r="D3602" s="18" t="s">
        <v>2017</v>
      </c>
      <c r="E3602" s="18">
        <v>3</v>
      </c>
      <c r="F3602" s="18" t="s">
        <v>78</v>
      </c>
      <c r="G3602" s="18" t="s">
        <v>22</v>
      </c>
      <c r="H3602" s="18" t="s">
        <v>23</v>
      </c>
      <c r="I3602" s="19">
        <v>13.62</v>
      </c>
      <c r="J3602" s="20">
        <f t="shared" si="112"/>
        <v>40.86</v>
      </c>
      <c r="K3602" s="106"/>
      <c r="L3602" s="114"/>
      <c r="M3602" s="114">
        <f>tblAquisições[[#This Row],[VALOR UNITARIO COMPRADO]]*tblAquisições[[#This Row],[QUANTIDADE COMPRADA]]</f>
        <v>0</v>
      </c>
      <c r="N3602" s="110">
        <f>K3602-tblAquisições[[#This Row],[QUANTIDADE PLANEJADA]]</f>
        <v>-3</v>
      </c>
      <c r="O3602" s="106" t="str">
        <f t="shared" si="113"/>
        <v>Faltando Comprar</v>
      </c>
    </row>
    <row r="3603" spans="1:15" ht="47.25">
      <c r="A3603" s="16" t="s">
        <v>17</v>
      </c>
      <c r="B3603" s="16" t="s">
        <v>26</v>
      </c>
      <c r="C3603" s="17" t="s">
        <v>19</v>
      </c>
      <c r="D3603" s="18" t="s">
        <v>2018</v>
      </c>
      <c r="E3603" s="18">
        <v>2</v>
      </c>
      <c r="F3603" s="18" t="s">
        <v>78</v>
      </c>
      <c r="G3603" s="18" t="s">
        <v>22</v>
      </c>
      <c r="H3603" s="18" t="s">
        <v>23</v>
      </c>
      <c r="I3603" s="19">
        <v>72.83</v>
      </c>
      <c r="J3603" s="20">
        <f t="shared" si="112"/>
        <v>145.66</v>
      </c>
      <c r="K3603" s="106"/>
      <c r="L3603" s="114"/>
      <c r="M3603" s="114">
        <f>tblAquisições[[#This Row],[VALOR UNITARIO COMPRADO]]*tblAquisições[[#This Row],[QUANTIDADE COMPRADA]]</f>
        <v>0</v>
      </c>
      <c r="N3603" s="110">
        <f>K3603-tblAquisições[[#This Row],[QUANTIDADE PLANEJADA]]</f>
        <v>-2</v>
      </c>
      <c r="O3603" s="106" t="str">
        <f t="shared" si="113"/>
        <v>Faltando Comprar</v>
      </c>
    </row>
    <row r="3604" spans="1:15" ht="47.25">
      <c r="A3604" s="16" t="s">
        <v>17</v>
      </c>
      <c r="B3604" s="16" t="s">
        <v>27</v>
      </c>
      <c r="C3604" s="17" t="s">
        <v>19</v>
      </c>
      <c r="D3604" s="18" t="s">
        <v>2018</v>
      </c>
      <c r="E3604" s="18">
        <v>4</v>
      </c>
      <c r="F3604" s="18" t="s">
        <v>78</v>
      </c>
      <c r="G3604" s="18" t="s">
        <v>22</v>
      </c>
      <c r="H3604" s="18" t="s">
        <v>23</v>
      </c>
      <c r="I3604" s="19">
        <v>72.83</v>
      </c>
      <c r="J3604" s="20">
        <f t="shared" si="112"/>
        <v>291.32</v>
      </c>
      <c r="K3604" s="106"/>
      <c r="L3604" s="114"/>
      <c r="M3604" s="114">
        <f>tblAquisições[[#This Row],[VALOR UNITARIO COMPRADO]]*tblAquisições[[#This Row],[QUANTIDADE COMPRADA]]</f>
        <v>0</v>
      </c>
      <c r="N3604" s="110">
        <f>K3604-tblAquisições[[#This Row],[QUANTIDADE PLANEJADA]]</f>
        <v>-4</v>
      </c>
      <c r="O3604" s="106" t="str">
        <f t="shared" si="113"/>
        <v>Faltando Comprar</v>
      </c>
    </row>
    <row r="3605" spans="1:15" ht="47.25">
      <c r="A3605" s="16" t="s">
        <v>17</v>
      </c>
      <c r="B3605" s="16" t="s">
        <v>80</v>
      </c>
      <c r="C3605" s="17" t="s">
        <v>19</v>
      </c>
      <c r="D3605" s="18" t="s">
        <v>2019</v>
      </c>
      <c r="E3605" s="18">
        <v>30</v>
      </c>
      <c r="F3605" s="18" t="s">
        <v>191</v>
      </c>
      <c r="G3605" s="18" t="s">
        <v>39</v>
      </c>
      <c r="H3605" s="18" t="s">
        <v>65</v>
      </c>
      <c r="I3605" s="24">
        <v>262.11</v>
      </c>
      <c r="J3605" s="20">
        <f t="shared" si="112"/>
        <v>7863.3</v>
      </c>
      <c r="K3605" s="106"/>
      <c r="L3605" s="114"/>
      <c r="M3605" s="114">
        <f>tblAquisições[[#This Row],[VALOR UNITARIO COMPRADO]]*tblAquisições[[#This Row],[QUANTIDADE COMPRADA]]</f>
        <v>0</v>
      </c>
      <c r="N3605" s="110">
        <f>K3605-tblAquisições[[#This Row],[QUANTIDADE PLANEJADA]]</f>
        <v>-30</v>
      </c>
      <c r="O3605" s="106" t="str">
        <f t="shared" si="113"/>
        <v>Faltando Comprar</v>
      </c>
    </row>
    <row r="3606" spans="1:15" ht="31.5">
      <c r="A3606" s="16" t="s">
        <v>17</v>
      </c>
      <c r="B3606" s="16" t="s">
        <v>26</v>
      </c>
      <c r="C3606" s="17" t="s">
        <v>19</v>
      </c>
      <c r="D3606" s="18" t="s">
        <v>2020</v>
      </c>
      <c r="E3606" s="18">
        <v>20</v>
      </c>
      <c r="F3606" s="18" t="s">
        <v>1369</v>
      </c>
      <c r="G3606" s="18" t="s">
        <v>22</v>
      </c>
      <c r="H3606" s="18" t="s">
        <v>23</v>
      </c>
      <c r="I3606" s="19">
        <v>10.33</v>
      </c>
      <c r="J3606" s="20">
        <f t="shared" si="112"/>
        <v>206.6</v>
      </c>
      <c r="K3606" s="106"/>
      <c r="L3606" s="114"/>
      <c r="M3606" s="114">
        <f>tblAquisições[[#This Row],[VALOR UNITARIO COMPRADO]]*tblAquisições[[#This Row],[QUANTIDADE COMPRADA]]</f>
        <v>0</v>
      </c>
      <c r="N3606" s="110">
        <f>K3606-tblAquisições[[#This Row],[QUANTIDADE PLANEJADA]]</f>
        <v>-20</v>
      </c>
      <c r="O3606" s="106" t="str">
        <f t="shared" si="113"/>
        <v>Faltando Comprar</v>
      </c>
    </row>
    <row r="3607" spans="1:15" ht="31.5">
      <c r="A3607" s="16" t="s">
        <v>17</v>
      </c>
      <c r="B3607" s="16" t="s">
        <v>26</v>
      </c>
      <c r="C3607" s="17" t="s">
        <v>19</v>
      </c>
      <c r="D3607" s="18" t="s">
        <v>2021</v>
      </c>
      <c r="E3607" s="18">
        <v>15</v>
      </c>
      <c r="F3607" s="18" t="s">
        <v>1369</v>
      </c>
      <c r="G3607" s="18" t="s">
        <v>22</v>
      </c>
      <c r="H3607" s="18" t="s">
        <v>23</v>
      </c>
      <c r="I3607" s="19">
        <v>7.76</v>
      </c>
      <c r="J3607" s="20">
        <f t="shared" si="112"/>
        <v>116.39999999999999</v>
      </c>
      <c r="K3607" s="106"/>
      <c r="L3607" s="114"/>
      <c r="M3607" s="114">
        <f>tblAquisições[[#This Row],[VALOR UNITARIO COMPRADO]]*tblAquisições[[#This Row],[QUANTIDADE COMPRADA]]</f>
        <v>0</v>
      </c>
      <c r="N3607" s="110">
        <f>K3607-tblAquisições[[#This Row],[QUANTIDADE PLANEJADA]]</f>
        <v>-15</v>
      </c>
      <c r="O3607" s="106" t="str">
        <f t="shared" si="113"/>
        <v>Faltando Comprar</v>
      </c>
    </row>
    <row r="3608" spans="1:15" ht="31.5">
      <c r="A3608" s="16" t="s">
        <v>17</v>
      </c>
      <c r="B3608" s="16" t="s">
        <v>25</v>
      </c>
      <c r="C3608" s="17" t="s">
        <v>19</v>
      </c>
      <c r="D3608" s="18" t="s">
        <v>2022</v>
      </c>
      <c r="E3608" s="18">
        <v>6</v>
      </c>
      <c r="F3608" s="18" t="s">
        <v>30</v>
      </c>
      <c r="G3608" s="18" t="s">
        <v>22</v>
      </c>
      <c r="H3608" s="18" t="s">
        <v>23</v>
      </c>
      <c r="I3608" s="19">
        <v>34.79</v>
      </c>
      <c r="J3608" s="20">
        <f t="shared" si="112"/>
        <v>208.74</v>
      </c>
      <c r="K3608" s="106"/>
      <c r="L3608" s="114"/>
      <c r="M3608" s="114">
        <f>tblAquisições[[#This Row],[VALOR UNITARIO COMPRADO]]*tblAquisições[[#This Row],[QUANTIDADE COMPRADA]]</f>
        <v>0</v>
      </c>
      <c r="N3608" s="110">
        <f>K3608-tblAquisições[[#This Row],[QUANTIDADE PLANEJADA]]</f>
        <v>-6</v>
      </c>
      <c r="O3608" s="106" t="str">
        <f t="shared" si="113"/>
        <v>Faltando Comprar</v>
      </c>
    </row>
    <row r="3609" spans="1:15" ht="31.5">
      <c r="A3609" s="16" t="s">
        <v>17</v>
      </c>
      <c r="B3609" s="16" t="s">
        <v>26</v>
      </c>
      <c r="C3609" s="17" t="s">
        <v>19</v>
      </c>
      <c r="D3609" s="18" t="s">
        <v>2022</v>
      </c>
      <c r="E3609" s="18">
        <v>4</v>
      </c>
      <c r="F3609" s="18" t="s">
        <v>30</v>
      </c>
      <c r="G3609" s="18" t="s">
        <v>22</v>
      </c>
      <c r="H3609" s="18" t="s">
        <v>23</v>
      </c>
      <c r="I3609" s="19">
        <v>34.79</v>
      </c>
      <c r="J3609" s="20">
        <f t="shared" si="112"/>
        <v>139.16</v>
      </c>
      <c r="K3609" s="106"/>
      <c r="L3609" s="114"/>
      <c r="M3609" s="114">
        <f>tblAquisições[[#This Row],[VALOR UNITARIO COMPRADO]]*tblAquisições[[#This Row],[QUANTIDADE COMPRADA]]</f>
        <v>0</v>
      </c>
      <c r="N3609" s="110">
        <f>K3609-tblAquisições[[#This Row],[QUANTIDADE PLANEJADA]]</f>
        <v>-4</v>
      </c>
      <c r="O3609" s="106" t="str">
        <f t="shared" si="113"/>
        <v>Faltando Comprar</v>
      </c>
    </row>
    <row r="3610" spans="1:15" ht="31.5">
      <c r="A3610" s="16" t="s">
        <v>17</v>
      </c>
      <c r="B3610" s="16" t="s">
        <v>27</v>
      </c>
      <c r="C3610" s="17" t="s">
        <v>19</v>
      </c>
      <c r="D3610" s="18" t="s">
        <v>2022</v>
      </c>
      <c r="E3610" s="18">
        <v>5</v>
      </c>
      <c r="F3610" s="18" t="s">
        <v>30</v>
      </c>
      <c r="G3610" s="18" t="s">
        <v>22</v>
      </c>
      <c r="H3610" s="18" t="s">
        <v>23</v>
      </c>
      <c r="I3610" s="19">
        <v>34.79</v>
      </c>
      <c r="J3610" s="20">
        <f t="shared" si="112"/>
        <v>173.95</v>
      </c>
      <c r="K3610" s="106"/>
      <c r="L3610" s="114"/>
      <c r="M3610" s="114">
        <f>tblAquisições[[#This Row],[VALOR UNITARIO COMPRADO]]*tblAquisições[[#This Row],[QUANTIDADE COMPRADA]]</f>
        <v>0</v>
      </c>
      <c r="N3610" s="110">
        <f>K3610-tblAquisições[[#This Row],[QUANTIDADE PLANEJADA]]</f>
        <v>-5</v>
      </c>
      <c r="O3610" s="106" t="str">
        <f t="shared" si="113"/>
        <v>Faltando Comprar</v>
      </c>
    </row>
    <row r="3611" spans="1:15" ht="47.25">
      <c r="A3611" s="16" t="s">
        <v>17</v>
      </c>
      <c r="B3611" s="16" t="s">
        <v>80</v>
      </c>
      <c r="C3611" s="17" t="s">
        <v>19</v>
      </c>
      <c r="D3611" s="18" t="s">
        <v>2023</v>
      </c>
      <c r="E3611" s="18">
        <v>2</v>
      </c>
      <c r="F3611" s="18" t="s">
        <v>147</v>
      </c>
      <c r="G3611" s="18" t="s">
        <v>39</v>
      </c>
      <c r="H3611" s="21"/>
      <c r="I3611" s="19">
        <v>17.27</v>
      </c>
      <c r="J3611" s="20">
        <f t="shared" si="112"/>
        <v>34.54</v>
      </c>
      <c r="K3611" s="106"/>
      <c r="L3611" s="114"/>
      <c r="M3611" s="114">
        <f>tblAquisições[[#This Row],[VALOR UNITARIO COMPRADO]]*tblAquisições[[#This Row],[QUANTIDADE COMPRADA]]</f>
        <v>0</v>
      </c>
      <c r="N3611" s="110">
        <f>K3611-tblAquisições[[#This Row],[QUANTIDADE PLANEJADA]]</f>
        <v>-2</v>
      </c>
      <c r="O3611" s="106" t="str">
        <f t="shared" si="113"/>
        <v>Faltando Comprar</v>
      </c>
    </row>
    <row r="3612" spans="1:15" ht="47.25">
      <c r="A3612" s="16" t="s">
        <v>17</v>
      </c>
      <c r="B3612" s="16" t="s">
        <v>28</v>
      </c>
      <c r="C3612" s="17" t="s">
        <v>19</v>
      </c>
      <c r="D3612" s="18" t="s">
        <v>2024</v>
      </c>
      <c r="E3612" s="18">
        <v>25</v>
      </c>
      <c r="F3612" s="18" t="s">
        <v>78</v>
      </c>
      <c r="G3612" s="18" t="s">
        <v>22</v>
      </c>
      <c r="H3612" s="18" t="s">
        <v>65</v>
      </c>
      <c r="I3612" s="19">
        <v>79.260000000000005</v>
      </c>
      <c r="J3612" s="20">
        <f t="shared" si="112"/>
        <v>1981.5000000000002</v>
      </c>
      <c r="K3612" s="106"/>
      <c r="L3612" s="114"/>
      <c r="M3612" s="114">
        <f>tblAquisições[[#This Row],[VALOR UNITARIO COMPRADO]]*tblAquisições[[#This Row],[QUANTIDADE COMPRADA]]</f>
        <v>0</v>
      </c>
      <c r="N3612" s="110">
        <f>K3612-tblAquisições[[#This Row],[QUANTIDADE PLANEJADA]]</f>
        <v>-25</v>
      </c>
      <c r="O3612" s="106" t="str">
        <f t="shared" si="113"/>
        <v>Faltando Comprar</v>
      </c>
    </row>
    <row r="3613" spans="1:15" ht="31.5">
      <c r="A3613" s="16" t="s">
        <v>17</v>
      </c>
      <c r="B3613" s="16" t="s">
        <v>28</v>
      </c>
      <c r="C3613" s="17" t="s">
        <v>19</v>
      </c>
      <c r="D3613" s="18" t="s">
        <v>2025</v>
      </c>
      <c r="E3613" s="18">
        <v>4</v>
      </c>
      <c r="F3613" s="18" t="s">
        <v>324</v>
      </c>
      <c r="G3613" s="18" t="s">
        <v>22</v>
      </c>
      <c r="H3613" s="18" t="s">
        <v>23</v>
      </c>
      <c r="I3613" s="19">
        <v>456.97</v>
      </c>
      <c r="J3613" s="20">
        <f t="shared" si="112"/>
        <v>1827.88</v>
      </c>
      <c r="K3613" s="106"/>
      <c r="L3613" s="114"/>
      <c r="M3613" s="114">
        <f>tblAquisições[[#This Row],[VALOR UNITARIO COMPRADO]]*tblAquisições[[#This Row],[QUANTIDADE COMPRADA]]</f>
        <v>0</v>
      </c>
      <c r="N3613" s="110">
        <f>K3613-tblAquisições[[#This Row],[QUANTIDADE PLANEJADA]]</f>
        <v>-4</v>
      </c>
      <c r="O3613" s="106" t="str">
        <f t="shared" si="113"/>
        <v>Faltando Comprar</v>
      </c>
    </row>
    <row r="3614" spans="1:15" ht="47.25">
      <c r="A3614" s="16" t="s">
        <v>17</v>
      </c>
      <c r="B3614" s="16" t="s">
        <v>34</v>
      </c>
      <c r="C3614" s="17" t="s">
        <v>19</v>
      </c>
      <c r="D3614" s="18" t="s">
        <v>2026</v>
      </c>
      <c r="E3614" s="18">
        <v>5</v>
      </c>
      <c r="F3614" s="18" t="s">
        <v>78</v>
      </c>
      <c r="G3614" s="18" t="s">
        <v>22</v>
      </c>
      <c r="H3614" s="18" t="s">
        <v>23</v>
      </c>
      <c r="I3614" s="19">
        <v>6.22</v>
      </c>
      <c r="J3614" s="20">
        <f t="shared" si="112"/>
        <v>31.099999999999998</v>
      </c>
      <c r="K3614" s="106"/>
      <c r="L3614" s="114"/>
      <c r="M3614" s="114">
        <f>tblAquisições[[#This Row],[VALOR UNITARIO COMPRADO]]*tblAquisições[[#This Row],[QUANTIDADE COMPRADA]]</f>
        <v>0</v>
      </c>
      <c r="N3614" s="110">
        <f>K3614-tblAquisições[[#This Row],[QUANTIDADE PLANEJADA]]</f>
        <v>-5</v>
      </c>
      <c r="O3614" s="106" t="str">
        <f t="shared" si="113"/>
        <v>Faltando Comprar</v>
      </c>
    </row>
    <row r="3615" spans="1:15" ht="47.25">
      <c r="A3615" s="16" t="s">
        <v>17</v>
      </c>
      <c r="B3615" s="16" t="s">
        <v>28</v>
      </c>
      <c r="C3615" s="17" t="s">
        <v>19</v>
      </c>
      <c r="D3615" s="18" t="s">
        <v>2026</v>
      </c>
      <c r="E3615" s="18">
        <v>12</v>
      </c>
      <c r="F3615" s="18" t="s">
        <v>78</v>
      </c>
      <c r="G3615" s="18" t="s">
        <v>22</v>
      </c>
      <c r="H3615" s="18" t="s">
        <v>65</v>
      </c>
      <c r="I3615" s="24">
        <v>76.900000000000006</v>
      </c>
      <c r="J3615" s="20">
        <f t="shared" si="112"/>
        <v>922.80000000000007</v>
      </c>
      <c r="K3615" s="106"/>
      <c r="L3615" s="114"/>
      <c r="M3615" s="114">
        <f>tblAquisições[[#This Row],[VALOR UNITARIO COMPRADO]]*tblAquisições[[#This Row],[QUANTIDADE COMPRADA]]</f>
        <v>0</v>
      </c>
      <c r="N3615" s="110">
        <f>K3615-tblAquisições[[#This Row],[QUANTIDADE PLANEJADA]]</f>
        <v>-12</v>
      </c>
      <c r="O3615" s="106" t="str">
        <f t="shared" si="113"/>
        <v>Faltando Comprar</v>
      </c>
    </row>
    <row r="3616" spans="1:15" ht="47.25">
      <c r="A3616" s="16" t="s">
        <v>17</v>
      </c>
      <c r="B3616" s="16" t="s">
        <v>80</v>
      </c>
      <c r="C3616" s="17" t="s">
        <v>19</v>
      </c>
      <c r="D3616" s="18" t="s">
        <v>2027</v>
      </c>
      <c r="E3616" s="18">
        <v>10</v>
      </c>
      <c r="F3616" s="18" t="s">
        <v>147</v>
      </c>
      <c r="G3616" s="18" t="s">
        <v>39</v>
      </c>
      <c r="H3616" s="21"/>
      <c r="I3616" s="19">
        <v>45.11</v>
      </c>
      <c r="J3616" s="20">
        <f t="shared" si="112"/>
        <v>451.1</v>
      </c>
      <c r="K3616" s="106"/>
      <c r="L3616" s="114"/>
      <c r="M3616" s="114">
        <f>tblAquisições[[#This Row],[VALOR UNITARIO COMPRADO]]*tblAquisições[[#This Row],[QUANTIDADE COMPRADA]]</f>
        <v>0</v>
      </c>
      <c r="N3616" s="110">
        <f>K3616-tblAquisições[[#This Row],[QUANTIDADE PLANEJADA]]</f>
        <v>-10</v>
      </c>
      <c r="O3616" s="106" t="str">
        <f t="shared" si="113"/>
        <v>Faltando Comprar</v>
      </c>
    </row>
    <row r="3617" spans="1:15" ht="47.25">
      <c r="A3617" s="16" t="s">
        <v>17</v>
      </c>
      <c r="B3617" s="16" t="s">
        <v>34</v>
      </c>
      <c r="C3617" s="17" t="s">
        <v>19</v>
      </c>
      <c r="D3617" s="18" t="s">
        <v>2028</v>
      </c>
      <c r="E3617" s="18">
        <v>5</v>
      </c>
      <c r="F3617" s="18" t="s">
        <v>78</v>
      </c>
      <c r="G3617" s="18" t="s">
        <v>22</v>
      </c>
      <c r="H3617" s="18" t="s">
        <v>100</v>
      </c>
      <c r="I3617" s="19">
        <v>274.43</v>
      </c>
      <c r="J3617" s="20">
        <f t="shared" si="112"/>
        <v>1372.15</v>
      </c>
      <c r="K3617" s="106"/>
      <c r="L3617" s="114"/>
      <c r="M3617" s="114">
        <f>tblAquisições[[#This Row],[VALOR UNITARIO COMPRADO]]*tblAquisições[[#This Row],[QUANTIDADE COMPRADA]]</f>
        <v>0</v>
      </c>
      <c r="N3617" s="110">
        <f>K3617-tblAquisições[[#This Row],[QUANTIDADE PLANEJADA]]</f>
        <v>-5</v>
      </c>
      <c r="O3617" s="106" t="str">
        <f t="shared" si="113"/>
        <v>Faltando Comprar</v>
      </c>
    </row>
    <row r="3618" spans="1:15" ht="47.25">
      <c r="A3618" s="16" t="s">
        <v>17</v>
      </c>
      <c r="B3618" s="16" t="s">
        <v>28</v>
      </c>
      <c r="C3618" s="17" t="s">
        <v>19</v>
      </c>
      <c r="D3618" s="18" t="s">
        <v>2028</v>
      </c>
      <c r="E3618" s="18">
        <v>5</v>
      </c>
      <c r="F3618" s="18" t="s">
        <v>78</v>
      </c>
      <c r="G3618" s="18" t="s">
        <v>22</v>
      </c>
      <c r="H3618" s="18" t="s">
        <v>65</v>
      </c>
      <c r="I3618" s="19">
        <v>274.43</v>
      </c>
      <c r="J3618" s="20">
        <f t="shared" si="112"/>
        <v>1372.15</v>
      </c>
      <c r="K3618" s="106"/>
      <c r="L3618" s="114"/>
      <c r="M3618" s="114">
        <f>tblAquisições[[#This Row],[VALOR UNITARIO COMPRADO]]*tblAquisições[[#This Row],[QUANTIDADE COMPRADA]]</f>
        <v>0</v>
      </c>
      <c r="N3618" s="110">
        <f>K3618-tblAquisições[[#This Row],[QUANTIDADE PLANEJADA]]</f>
        <v>-5</v>
      </c>
      <c r="O3618" s="106" t="str">
        <f t="shared" si="113"/>
        <v>Faltando Comprar</v>
      </c>
    </row>
    <row r="3619" spans="1:15" ht="31.5">
      <c r="A3619" s="16" t="s">
        <v>17</v>
      </c>
      <c r="B3619" s="16" t="s">
        <v>26</v>
      </c>
      <c r="C3619" s="17" t="s">
        <v>19</v>
      </c>
      <c r="D3619" s="18" t="s">
        <v>2029</v>
      </c>
      <c r="E3619" s="18">
        <v>10</v>
      </c>
      <c r="F3619" s="18" t="s">
        <v>30</v>
      </c>
      <c r="G3619" s="18" t="s">
        <v>22</v>
      </c>
      <c r="H3619" s="18" t="s">
        <v>23</v>
      </c>
      <c r="I3619" s="19">
        <v>265</v>
      </c>
      <c r="J3619" s="20">
        <f t="shared" si="112"/>
        <v>2650</v>
      </c>
      <c r="K3619" s="106"/>
      <c r="L3619" s="114"/>
      <c r="M3619" s="114">
        <f>tblAquisições[[#This Row],[VALOR UNITARIO COMPRADO]]*tblAquisições[[#This Row],[QUANTIDADE COMPRADA]]</f>
        <v>0</v>
      </c>
      <c r="N3619" s="110">
        <f>K3619-tblAquisições[[#This Row],[QUANTIDADE PLANEJADA]]</f>
        <v>-10</v>
      </c>
      <c r="O3619" s="106" t="str">
        <f t="shared" si="113"/>
        <v>Faltando Comprar</v>
      </c>
    </row>
    <row r="3620" spans="1:15" ht="31.5">
      <c r="A3620" s="16" t="s">
        <v>17</v>
      </c>
      <c r="B3620" s="16" t="s">
        <v>26</v>
      </c>
      <c r="C3620" s="17" t="s">
        <v>19</v>
      </c>
      <c r="D3620" s="18" t="s">
        <v>2030</v>
      </c>
      <c r="E3620" s="18">
        <v>30</v>
      </c>
      <c r="F3620" s="18" t="s">
        <v>30</v>
      </c>
      <c r="G3620" s="18" t="s">
        <v>22</v>
      </c>
      <c r="H3620" s="18" t="s">
        <v>23</v>
      </c>
      <c r="I3620" s="19">
        <v>24.3</v>
      </c>
      <c r="J3620" s="20">
        <f t="shared" si="112"/>
        <v>729</v>
      </c>
      <c r="K3620" s="106"/>
      <c r="L3620" s="114"/>
      <c r="M3620" s="114">
        <f>tblAquisições[[#This Row],[VALOR UNITARIO COMPRADO]]*tblAquisições[[#This Row],[QUANTIDADE COMPRADA]]</f>
        <v>0</v>
      </c>
      <c r="N3620" s="110">
        <f>K3620-tblAquisições[[#This Row],[QUANTIDADE PLANEJADA]]</f>
        <v>-30</v>
      </c>
      <c r="O3620" s="106" t="str">
        <f t="shared" si="113"/>
        <v>Faltando Comprar</v>
      </c>
    </row>
    <row r="3621" spans="1:15" ht="47.25">
      <c r="A3621" s="16" t="s">
        <v>17</v>
      </c>
      <c r="B3621" s="16" t="s">
        <v>31</v>
      </c>
      <c r="C3621" s="17" t="s">
        <v>19</v>
      </c>
      <c r="D3621" s="18" t="s">
        <v>2031</v>
      </c>
      <c r="E3621" s="18">
        <v>10</v>
      </c>
      <c r="F3621" s="18" t="s">
        <v>131</v>
      </c>
      <c r="G3621" s="18" t="s">
        <v>22</v>
      </c>
      <c r="H3621" s="18" t="s">
        <v>23</v>
      </c>
      <c r="I3621" s="19">
        <v>64.41</v>
      </c>
      <c r="J3621" s="20">
        <f t="shared" si="112"/>
        <v>644.09999999999991</v>
      </c>
      <c r="K3621" s="106"/>
      <c r="L3621" s="114"/>
      <c r="M3621" s="114">
        <f>tblAquisições[[#This Row],[VALOR UNITARIO COMPRADO]]*tblAquisições[[#This Row],[QUANTIDADE COMPRADA]]</f>
        <v>0</v>
      </c>
      <c r="N3621" s="110">
        <f>K3621-tblAquisições[[#This Row],[QUANTIDADE PLANEJADA]]</f>
        <v>-10</v>
      </c>
      <c r="O3621" s="106" t="str">
        <f t="shared" si="113"/>
        <v>Faltando Comprar</v>
      </c>
    </row>
    <row r="3622" spans="1:15" ht="47.25">
      <c r="A3622" s="16" t="s">
        <v>17</v>
      </c>
      <c r="B3622" s="16" t="s">
        <v>72</v>
      </c>
      <c r="C3622" s="17" t="s">
        <v>19</v>
      </c>
      <c r="D3622" s="18" t="s">
        <v>2031</v>
      </c>
      <c r="E3622" s="18">
        <v>10</v>
      </c>
      <c r="F3622" s="18" t="s">
        <v>131</v>
      </c>
      <c r="G3622" s="18" t="s">
        <v>22</v>
      </c>
      <c r="H3622" s="18" t="s">
        <v>23</v>
      </c>
      <c r="I3622" s="19">
        <v>64.41</v>
      </c>
      <c r="J3622" s="20">
        <f t="shared" si="112"/>
        <v>644.09999999999991</v>
      </c>
      <c r="K3622" s="106"/>
      <c r="L3622" s="114"/>
      <c r="M3622" s="114">
        <f>tblAquisições[[#This Row],[VALOR UNITARIO COMPRADO]]*tblAquisições[[#This Row],[QUANTIDADE COMPRADA]]</f>
        <v>0</v>
      </c>
      <c r="N3622" s="110">
        <f>K3622-tblAquisições[[#This Row],[QUANTIDADE PLANEJADA]]</f>
        <v>-10</v>
      </c>
      <c r="O3622" s="106" t="str">
        <f t="shared" si="113"/>
        <v>Faltando Comprar</v>
      </c>
    </row>
    <row r="3623" spans="1:15" ht="31.5">
      <c r="A3623" s="16" t="s">
        <v>17</v>
      </c>
      <c r="B3623" s="16" t="s">
        <v>18</v>
      </c>
      <c r="C3623" s="17" t="s">
        <v>19</v>
      </c>
      <c r="D3623" s="18" t="s">
        <v>2032</v>
      </c>
      <c r="E3623" s="18">
        <v>50</v>
      </c>
      <c r="F3623" s="18" t="s">
        <v>328</v>
      </c>
      <c r="G3623" s="18" t="s">
        <v>22</v>
      </c>
      <c r="H3623" s="18" t="s">
        <v>23</v>
      </c>
      <c r="I3623" s="19">
        <v>83.75</v>
      </c>
      <c r="J3623" s="20">
        <f t="shared" si="112"/>
        <v>4187.5</v>
      </c>
      <c r="K3623" s="106"/>
      <c r="L3623" s="114"/>
      <c r="M3623" s="114">
        <f>tblAquisições[[#This Row],[VALOR UNITARIO COMPRADO]]*tblAquisições[[#This Row],[QUANTIDADE COMPRADA]]</f>
        <v>0</v>
      </c>
      <c r="N3623" s="110">
        <f>K3623-tblAquisições[[#This Row],[QUANTIDADE PLANEJADA]]</f>
        <v>-50</v>
      </c>
      <c r="O3623" s="106" t="str">
        <f t="shared" si="113"/>
        <v>Faltando Comprar</v>
      </c>
    </row>
    <row r="3624" spans="1:15" ht="31.5">
      <c r="A3624" s="16" t="s">
        <v>17</v>
      </c>
      <c r="B3624" s="16" t="s">
        <v>24</v>
      </c>
      <c r="C3624" s="17" t="s">
        <v>19</v>
      </c>
      <c r="D3624" s="18" t="s">
        <v>2032</v>
      </c>
      <c r="E3624" s="18">
        <v>50</v>
      </c>
      <c r="F3624" s="18" t="s">
        <v>328</v>
      </c>
      <c r="G3624" s="18" t="s">
        <v>22</v>
      </c>
      <c r="H3624" s="18" t="s">
        <v>23</v>
      </c>
      <c r="I3624" s="19">
        <v>83.75</v>
      </c>
      <c r="J3624" s="20">
        <f t="shared" si="112"/>
        <v>4187.5</v>
      </c>
      <c r="K3624" s="106"/>
      <c r="L3624" s="114"/>
      <c r="M3624" s="114">
        <f>tblAquisições[[#This Row],[VALOR UNITARIO COMPRADO]]*tblAquisições[[#This Row],[QUANTIDADE COMPRADA]]</f>
        <v>0</v>
      </c>
      <c r="N3624" s="110">
        <f>K3624-tblAquisições[[#This Row],[QUANTIDADE PLANEJADA]]</f>
        <v>-50</v>
      </c>
      <c r="O3624" s="106" t="str">
        <f t="shared" si="113"/>
        <v>Faltando Comprar</v>
      </c>
    </row>
    <row r="3625" spans="1:15" ht="31.5">
      <c r="A3625" s="16" t="s">
        <v>17</v>
      </c>
      <c r="B3625" s="16" t="s">
        <v>25</v>
      </c>
      <c r="C3625" s="17" t="s">
        <v>19</v>
      </c>
      <c r="D3625" s="18" t="s">
        <v>2032</v>
      </c>
      <c r="E3625" s="18">
        <v>50</v>
      </c>
      <c r="F3625" s="18" t="s">
        <v>328</v>
      </c>
      <c r="G3625" s="18" t="s">
        <v>22</v>
      </c>
      <c r="H3625" s="18" t="s">
        <v>23</v>
      </c>
      <c r="I3625" s="19">
        <v>83.75</v>
      </c>
      <c r="J3625" s="20">
        <f t="shared" si="112"/>
        <v>4187.5</v>
      </c>
      <c r="K3625" s="106"/>
      <c r="L3625" s="114"/>
      <c r="M3625" s="114">
        <f>tblAquisições[[#This Row],[VALOR UNITARIO COMPRADO]]*tblAquisições[[#This Row],[QUANTIDADE COMPRADA]]</f>
        <v>0</v>
      </c>
      <c r="N3625" s="110">
        <f>K3625-tblAquisições[[#This Row],[QUANTIDADE PLANEJADA]]</f>
        <v>-50</v>
      </c>
      <c r="O3625" s="106" t="str">
        <f t="shared" si="113"/>
        <v>Faltando Comprar</v>
      </c>
    </row>
    <row r="3626" spans="1:15" ht="31.5">
      <c r="A3626" s="16" t="s">
        <v>17</v>
      </c>
      <c r="B3626" s="16" t="s">
        <v>41</v>
      </c>
      <c r="C3626" s="17" t="s">
        <v>19</v>
      </c>
      <c r="D3626" s="18" t="s">
        <v>2032</v>
      </c>
      <c r="E3626" s="18">
        <v>5</v>
      </c>
      <c r="F3626" s="18" t="s">
        <v>328</v>
      </c>
      <c r="G3626" s="18" t="s">
        <v>22</v>
      </c>
      <c r="H3626" s="18" t="s">
        <v>23</v>
      </c>
      <c r="I3626" s="19">
        <v>83.75</v>
      </c>
      <c r="J3626" s="20">
        <f t="shared" si="112"/>
        <v>418.75</v>
      </c>
      <c r="K3626" s="106"/>
      <c r="L3626" s="114"/>
      <c r="M3626" s="114">
        <f>tblAquisições[[#This Row],[VALOR UNITARIO COMPRADO]]*tblAquisições[[#This Row],[QUANTIDADE COMPRADA]]</f>
        <v>0</v>
      </c>
      <c r="N3626" s="110">
        <f>K3626-tblAquisições[[#This Row],[QUANTIDADE PLANEJADA]]</f>
        <v>-5</v>
      </c>
      <c r="O3626" s="106" t="str">
        <f t="shared" si="113"/>
        <v>Faltando Comprar</v>
      </c>
    </row>
    <row r="3627" spans="1:15" ht="31.5">
      <c r="A3627" s="16" t="s">
        <v>17</v>
      </c>
      <c r="B3627" s="16" t="s">
        <v>28</v>
      </c>
      <c r="C3627" s="17" t="s">
        <v>19</v>
      </c>
      <c r="D3627" s="18" t="s">
        <v>2032</v>
      </c>
      <c r="E3627" s="18">
        <v>50</v>
      </c>
      <c r="F3627" s="18" t="s">
        <v>328</v>
      </c>
      <c r="G3627" s="18" t="s">
        <v>22</v>
      </c>
      <c r="H3627" s="18" t="s">
        <v>23</v>
      </c>
      <c r="I3627" s="19">
        <v>83.75</v>
      </c>
      <c r="J3627" s="20">
        <f t="shared" si="112"/>
        <v>4187.5</v>
      </c>
      <c r="K3627" s="106"/>
      <c r="L3627" s="114"/>
      <c r="M3627" s="114">
        <f>tblAquisições[[#This Row],[VALOR UNITARIO COMPRADO]]*tblAquisições[[#This Row],[QUANTIDADE COMPRADA]]</f>
        <v>0</v>
      </c>
      <c r="N3627" s="110">
        <f>K3627-tblAquisições[[#This Row],[QUANTIDADE PLANEJADA]]</f>
        <v>-50</v>
      </c>
      <c r="O3627" s="106" t="str">
        <f t="shared" si="113"/>
        <v>Faltando Comprar</v>
      </c>
    </row>
    <row r="3628" spans="1:15" ht="31.5">
      <c r="A3628" s="16" t="s">
        <v>17</v>
      </c>
      <c r="B3628" s="16" t="s">
        <v>34</v>
      </c>
      <c r="C3628" s="17" t="s">
        <v>19</v>
      </c>
      <c r="D3628" s="18" t="s">
        <v>2033</v>
      </c>
      <c r="E3628" s="18">
        <v>40</v>
      </c>
      <c r="F3628" s="18" t="s">
        <v>21</v>
      </c>
      <c r="G3628" s="18" t="s">
        <v>22</v>
      </c>
      <c r="H3628" s="18" t="s">
        <v>23</v>
      </c>
      <c r="I3628" s="19">
        <v>25.24</v>
      </c>
      <c r="J3628" s="20">
        <f t="shared" si="112"/>
        <v>1009.5999999999999</v>
      </c>
      <c r="K3628" s="106"/>
      <c r="L3628" s="114"/>
      <c r="M3628" s="114">
        <f>tblAquisições[[#This Row],[VALOR UNITARIO COMPRADO]]*tblAquisições[[#This Row],[QUANTIDADE COMPRADA]]</f>
        <v>0</v>
      </c>
      <c r="N3628" s="110">
        <f>K3628-tblAquisições[[#This Row],[QUANTIDADE PLANEJADA]]</f>
        <v>-40</v>
      </c>
      <c r="O3628" s="106" t="str">
        <f t="shared" si="113"/>
        <v>Faltando Comprar</v>
      </c>
    </row>
    <row r="3629" spans="1:15" ht="31.5">
      <c r="A3629" s="16" t="s">
        <v>17</v>
      </c>
      <c r="B3629" s="16" t="s">
        <v>31</v>
      </c>
      <c r="C3629" s="17" t="s">
        <v>19</v>
      </c>
      <c r="D3629" s="18" t="s">
        <v>2033</v>
      </c>
      <c r="E3629" s="18">
        <v>50</v>
      </c>
      <c r="F3629" s="18" t="s">
        <v>21</v>
      </c>
      <c r="G3629" s="18" t="s">
        <v>22</v>
      </c>
      <c r="H3629" s="18" t="s">
        <v>23</v>
      </c>
      <c r="I3629" s="19">
        <v>25.24</v>
      </c>
      <c r="J3629" s="20">
        <f t="shared" si="112"/>
        <v>1262</v>
      </c>
      <c r="K3629" s="106"/>
      <c r="L3629" s="114"/>
      <c r="M3629" s="114">
        <f>tblAquisições[[#This Row],[VALOR UNITARIO COMPRADO]]*tblAquisições[[#This Row],[QUANTIDADE COMPRADA]]</f>
        <v>0</v>
      </c>
      <c r="N3629" s="110">
        <f>K3629-tblAquisições[[#This Row],[QUANTIDADE PLANEJADA]]</f>
        <v>-50</v>
      </c>
      <c r="O3629" s="106" t="str">
        <f t="shared" si="113"/>
        <v>Faltando Comprar</v>
      </c>
    </row>
    <row r="3630" spans="1:15" ht="31.5">
      <c r="A3630" s="16" t="s">
        <v>17</v>
      </c>
      <c r="B3630" s="16" t="s">
        <v>18</v>
      </c>
      <c r="C3630" s="17" t="s">
        <v>19</v>
      </c>
      <c r="D3630" s="18" t="s">
        <v>2033</v>
      </c>
      <c r="E3630" s="18">
        <v>100</v>
      </c>
      <c r="F3630" s="18" t="s">
        <v>21</v>
      </c>
      <c r="G3630" s="18" t="s">
        <v>22</v>
      </c>
      <c r="H3630" s="18" t="s">
        <v>23</v>
      </c>
      <c r="I3630" s="19">
        <v>25.24</v>
      </c>
      <c r="J3630" s="20">
        <f t="shared" si="112"/>
        <v>2524</v>
      </c>
      <c r="K3630" s="106"/>
      <c r="L3630" s="114"/>
      <c r="M3630" s="114">
        <f>tblAquisições[[#This Row],[VALOR UNITARIO COMPRADO]]*tblAquisições[[#This Row],[QUANTIDADE COMPRADA]]</f>
        <v>0</v>
      </c>
      <c r="N3630" s="110">
        <f>K3630-tblAquisições[[#This Row],[QUANTIDADE PLANEJADA]]</f>
        <v>-100</v>
      </c>
      <c r="O3630" s="106" t="str">
        <f t="shared" si="113"/>
        <v>Faltando Comprar</v>
      </c>
    </row>
    <row r="3631" spans="1:15" ht="31.5">
      <c r="A3631" s="16" t="s">
        <v>17</v>
      </c>
      <c r="B3631" s="16" t="s">
        <v>24</v>
      </c>
      <c r="C3631" s="17" t="s">
        <v>19</v>
      </c>
      <c r="D3631" s="18" t="s">
        <v>2033</v>
      </c>
      <c r="E3631" s="18">
        <v>100</v>
      </c>
      <c r="F3631" s="18" t="s">
        <v>21</v>
      </c>
      <c r="G3631" s="18" t="s">
        <v>22</v>
      </c>
      <c r="H3631" s="18" t="s">
        <v>23</v>
      </c>
      <c r="I3631" s="19">
        <v>25.24</v>
      </c>
      <c r="J3631" s="20">
        <f t="shared" si="112"/>
        <v>2524</v>
      </c>
      <c r="K3631" s="106"/>
      <c r="L3631" s="114"/>
      <c r="M3631" s="114">
        <f>tblAquisições[[#This Row],[VALOR UNITARIO COMPRADO]]*tblAquisições[[#This Row],[QUANTIDADE COMPRADA]]</f>
        <v>0</v>
      </c>
      <c r="N3631" s="110">
        <f>K3631-tblAquisições[[#This Row],[QUANTIDADE PLANEJADA]]</f>
        <v>-100</v>
      </c>
      <c r="O3631" s="106" t="str">
        <f t="shared" si="113"/>
        <v>Faltando Comprar</v>
      </c>
    </row>
    <row r="3632" spans="1:15" ht="31.5">
      <c r="A3632" s="16" t="s">
        <v>17</v>
      </c>
      <c r="B3632" s="16" t="s">
        <v>25</v>
      </c>
      <c r="C3632" s="17" t="s">
        <v>19</v>
      </c>
      <c r="D3632" s="18" t="s">
        <v>2033</v>
      </c>
      <c r="E3632" s="18">
        <v>100</v>
      </c>
      <c r="F3632" s="18" t="s">
        <v>21</v>
      </c>
      <c r="G3632" s="18" t="s">
        <v>22</v>
      </c>
      <c r="H3632" s="18" t="s">
        <v>23</v>
      </c>
      <c r="I3632" s="19">
        <v>25.24</v>
      </c>
      <c r="J3632" s="20">
        <f t="shared" si="112"/>
        <v>2524</v>
      </c>
      <c r="K3632" s="106"/>
      <c r="L3632" s="114"/>
      <c r="M3632" s="114">
        <f>tblAquisições[[#This Row],[VALOR UNITARIO COMPRADO]]*tblAquisições[[#This Row],[QUANTIDADE COMPRADA]]</f>
        <v>0</v>
      </c>
      <c r="N3632" s="110">
        <f>K3632-tblAquisições[[#This Row],[QUANTIDADE PLANEJADA]]</f>
        <v>-100</v>
      </c>
      <c r="O3632" s="106" t="str">
        <f t="shared" si="113"/>
        <v>Faltando Comprar</v>
      </c>
    </row>
    <row r="3633" spans="1:15" ht="31.5">
      <c r="A3633" s="16" t="s">
        <v>17</v>
      </c>
      <c r="B3633" s="16" t="s">
        <v>41</v>
      </c>
      <c r="C3633" s="17" t="s">
        <v>19</v>
      </c>
      <c r="D3633" s="18" t="s">
        <v>2033</v>
      </c>
      <c r="E3633" s="18">
        <v>300</v>
      </c>
      <c r="F3633" s="18" t="s">
        <v>21</v>
      </c>
      <c r="G3633" s="18" t="s">
        <v>22</v>
      </c>
      <c r="H3633" s="18" t="s">
        <v>83</v>
      </c>
      <c r="I3633" s="19">
        <v>25.24</v>
      </c>
      <c r="J3633" s="20">
        <f t="shared" si="112"/>
        <v>7571.9999999999991</v>
      </c>
      <c r="K3633" s="106"/>
      <c r="L3633" s="114"/>
      <c r="M3633" s="114">
        <f>tblAquisições[[#This Row],[VALOR UNITARIO COMPRADO]]*tblAquisições[[#This Row],[QUANTIDADE COMPRADA]]</f>
        <v>0</v>
      </c>
      <c r="N3633" s="110">
        <f>K3633-tblAquisições[[#This Row],[QUANTIDADE PLANEJADA]]</f>
        <v>-300</v>
      </c>
      <c r="O3633" s="106" t="str">
        <f t="shared" si="113"/>
        <v>Faltando Comprar</v>
      </c>
    </row>
    <row r="3634" spans="1:15" ht="31.5">
      <c r="A3634" s="16" t="s">
        <v>17</v>
      </c>
      <c r="B3634" s="16" t="s">
        <v>26</v>
      </c>
      <c r="C3634" s="17" t="s">
        <v>19</v>
      </c>
      <c r="D3634" s="18" t="s">
        <v>2033</v>
      </c>
      <c r="E3634" s="18">
        <v>10</v>
      </c>
      <c r="F3634" s="18" t="s">
        <v>21</v>
      </c>
      <c r="G3634" s="18" t="s">
        <v>22</v>
      </c>
      <c r="H3634" s="18" t="s">
        <v>23</v>
      </c>
      <c r="I3634" s="19">
        <v>25.24</v>
      </c>
      <c r="J3634" s="20">
        <f t="shared" si="112"/>
        <v>252.39999999999998</v>
      </c>
      <c r="K3634" s="106"/>
      <c r="L3634" s="114"/>
      <c r="M3634" s="114">
        <f>tblAquisições[[#This Row],[VALOR UNITARIO COMPRADO]]*tblAquisições[[#This Row],[QUANTIDADE COMPRADA]]</f>
        <v>0</v>
      </c>
      <c r="N3634" s="110">
        <f>K3634-tblAquisições[[#This Row],[QUANTIDADE PLANEJADA]]</f>
        <v>-10</v>
      </c>
      <c r="O3634" s="106" t="str">
        <f t="shared" si="113"/>
        <v>Faltando Comprar</v>
      </c>
    </row>
    <row r="3635" spans="1:15" ht="31.5">
      <c r="A3635" s="16" t="s">
        <v>17</v>
      </c>
      <c r="B3635" s="16" t="s">
        <v>27</v>
      </c>
      <c r="C3635" s="17" t="s">
        <v>19</v>
      </c>
      <c r="D3635" s="18" t="s">
        <v>2033</v>
      </c>
      <c r="E3635" s="18">
        <v>150</v>
      </c>
      <c r="F3635" s="18" t="s">
        <v>21</v>
      </c>
      <c r="G3635" s="18" t="s">
        <v>22</v>
      </c>
      <c r="H3635" s="18" t="s">
        <v>23</v>
      </c>
      <c r="I3635" s="19">
        <v>25.24</v>
      </c>
      <c r="J3635" s="20">
        <f t="shared" si="112"/>
        <v>3785.9999999999995</v>
      </c>
      <c r="K3635" s="106"/>
      <c r="L3635" s="114"/>
      <c r="M3635" s="114">
        <f>tblAquisições[[#This Row],[VALOR UNITARIO COMPRADO]]*tblAquisições[[#This Row],[QUANTIDADE COMPRADA]]</f>
        <v>0</v>
      </c>
      <c r="N3635" s="110">
        <f>K3635-tblAquisições[[#This Row],[QUANTIDADE PLANEJADA]]</f>
        <v>-150</v>
      </c>
      <c r="O3635" s="106" t="str">
        <f t="shared" si="113"/>
        <v>Faltando Comprar</v>
      </c>
    </row>
    <row r="3636" spans="1:15" ht="31.5">
      <c r="A3636" s="16" t="s">
        <v>17</v>
      </c>
      <c r="B3636" s="16" t="s">
        <v>28</v>
      </c>
      <c r="C3636" s="17" t="s">
        <v>19</v>
      </c>
      <c r="D3636" s="18" t="s">
        <v>2033</v>
      </c>
      <c r="E3636" s="18">
        <v>15</v>
      </c>
      <c r="F3636" s="18" t="s">
        <v>21</v>
      </c>
      <c r="G3636" s="18" t="s">
        <v>22</v>
      </c>
      <c r="H3636" s="18" t="s">
        <v>23</v>
      </c>
      <c r="I3636" s="19">
        <v>25.24</v>
      </c>
      <c r="J3636" s="20">
        <f t="shared" si="112"/>
        <v>378.59999999999997</v>
      </c>
      <c r="K3636" s="106"/>
      <c r="L3636" s="114"/>
      <c r="M3636" s="114">
        <f>tblAquisições[[#This Row],[VALOR UNITARIO COMPRADO]]*tblAquisições[[#This Row],[QUANTIDADE COMPRADA]]</f>
        <v>0</v>
      </c>
      <c r="N3636" s="110">
        <f>K3636-tblAquisições[[#This Row],[QUANTIDADE PLANEJADA]]</f>
        <v>-15</v>
      </c>
      <c r="O3636" s="106" t="str">
        <f t="shared" si="113"/>
        <v>Faltando Comprar</v>
      </c>
    </row>
    <row r="3637" spans="1:15" ht="47.25">
      <c r="A3637" s="16" t="s">
        <v>17</v>
      </c>
      <c r="B3637" s="16" t="s">
        <v>28</v>
      </c>
      <c r="C3637" s="17" t="s">
        <v>19</v>
      </c>
      <c r="D3637" s="18" t="s">
        <v>2034</v>
      </c>
      <c r="E3637" s="18">
        <v>50</v>
      </c>
      <c r="F3637" s="18" t="s">
        <v>78</v>
      </c>
      <c r="G3637" s="18" t="s">
        <v>22</v>
      </c>
      <c r="H3637" s="18" t="s">
        <v>83</v>
      </c>
      <c r="I3637" s="19">
        <v>412.89</v>
      </c>
      <c r="J3637" s="20">
        <f t="shared" si="112"/>
        <v>20644.5</v>
      </c>
      <c r="K3637" s="106"/>
      <c r="L3637" s="114"/>
      <c r="M3637" s="114">
        <f>tblAquisições[[#This Row],[VALOR UNITARIO COMPRADO]]*tblAquisições[[#This Row],[QUANTIDADE COMPRADA]]</f>
        <v>0</v>
      </c>
      <c r="N3637" s="110">
        <f>K3637-tblAquisições[[#This Row],[QUANTIDADE PLANEJADA]]</f>
        <v>-50</v>
      </c>
      <c r="O3637" s="106" t="str">
        <f t="shared" si="113"/>
        <v>Faltando Comprar</v>
      </c>
    </row>
    <row r="3638" spans="1:15" ht="31.5">
      <c r="A3638" s="16" t="s">
        <v>17</v>
      </c>
      <c r="B3638" s="16" t="s">
        <v>18</v>
      </c>
      <c r="C3638" s="17" t="s">
        <v>19</v>
      </c>
      <c r="D3638" s="18" t="s">
        <v>2035</v>
      </c>
      <c r="E3638" s="18">
        <v>10</v>
      </c>
      <c r="F3638" s="18" t="s">
        <v>324</v>
      </c>
      <c r="G3638" s="18" t="s">
        <v>22</v>
      </c>
      <c r="H3638" s="18" t="s">
        <v>23</v>
      </c>
      <c r="I3638" s="19">
        <v>53.6</v>
      </c>
      <c r="J3638" s="20">
        <f t="shared" si="112"/>
        <v>536</v>
      </c>
      <c r="K3638" s="106"/>
      <c r="L3638" s="114"/>
      <c r="M3638" s="114">
        <f>tblAquisições[[#This Row],[VALOR UNITARIO COMPRADO]]*tblAquisições[[#This Row],[QUANTIDADE COMPRADA]]</f>
        <v>0</v>
      </c>
      <c r="N3638" s="110">
        <f>K3638-tblAquisições[[#This Row],[QUANTIDADE PLANEJADA]]</f>
        <v>-10</v>
      </c>
      <c r="O3638" s="106" t="str">
        <f t="shared" si="113"/>
        <v>Faltando Comprar</v>
      </c>
    </row>
    <row r="3639" spans="1:15" ht="31.5">
      <c r="A3639" s="16" t="s">
        <v>17</v>
      </c>
      <c r="B3639" s="16" t="s">
        <v>24</v>
      </c>
      <c r="C3639" s="17" t="s">
        <v>19</v>
      </c>
      <c r="D3639" s="18" t="s">
        <v>2035</v>
      </c>
      <c r="E3639" s="18">
        <v>10</v>
      </c>
      <c r="F3639" s="18" t="s">
        <v>324</v>
      </c>
      <c r="G3639" s="18" t="s">
        <v>22</v>
      </c>
      <c r="H3639" s="18" t="s">
        <v>23</v>
      </c>
      <c r="I3639" s="19">
        <v>53.6</v>
      </c>
      <c r="J3639" s="20">
        <f t="shared" si="112"/>
        <v>536</v>
      </c>
      <c r="K3639" s="106"/>
      <c r="L3639" s="114"/>
      <c r="M3639" s="114">
        <f>tblAquisições[[#This Row],[VALOR UNITARIO COMPRADO]]*tblAquisições[[#This Row],[QUANTIDADE COMPRADA]]</f>
        <v>0</v>
      </c>
      <c r="N3639" s="110">
        <f>K3639-tblAquisições[[#This Row],[QUANTIDADE PLANEJADA]]</f>
        <v>-10</v>
      </c>
      <c r="O3639" s="106" t="str">
        <f t="shared" si="113"/>
        <v>Faltando Comprar</v>
      </c>
    </row>
    <row r="3640" spans="1:15" ht="31.5">
      <c r="A3640" s="16" t="s">
        <v>17</v>
      </c>
      <c r="B3640" s="16" t="s">
        <v>25</v>
      </c>
      <c r="C3640" s="17" t="s">
        <v>19</v>
      </c>
      <c r="D3640" s="18" t="s">
        <v>2035</v>
      </c>
      <c r="E3640" s="18">
        <v>10</v>
      </c>
      <c r="F3640" s="18" t="s">
        <v>324</v>
      </c>
      <c r="G3640" s="18" t="s">
        <v>22</v>
      </c>
      <c r="H3640" s="18" t="s">
        <v>23</v>
      </c>
      <c r="I3640" s="19">
        <v>53.6</v>
      </c>
      <c r="J3640" s="20">
        <f t="shared" si="112"/>
        <v>536</v>
      </c>
      <c r="K3640" s="106"/>
      <c r="L3640" s="114"/>
      <c r="M3640" s="114">
        <f>tblAquisições[[#This Row],[VALOR UNITARIO COMPRADO]]*tblAquisições[[#This Row],[QUANTIDADE COMPRADA]]</f>
        <v>0</v>
      </c>
      <c r="N3640" s="110">
        <f>K3640-tblAquisições[[#This Row],[QUANTIDADE PLANEJADA]]</f>
        <v>-10</v>
      </c>
      <c r="O3640" s="106" t="str">
        <f t="shared" si="113"/>
        <v>Faltando Comprar</v>
      </c>
    </row>
    <row r="3641" spans="1:15" ht="47.25">
      <c r="A3641" s="16" t="s">
        <v>17</v>
      </c>
      <c r="B3641" s="16" t="s">
        <v>34</v>
      </c>
      <c r="C3641" s="17" t="s">
        <v>19</v>
      </c>
      <c r="D3641" s="18" t="s">
        <v>2036</v>
      </c>
      <c r="E3641" s="18">
        <v>6</v>
      </c>
      <c r="F3641" s="18" t="s">
        <v>391</v>
      </c>
      <c r="G3641" s="18" t="s">
        <v>22</v>
      </c>
      <c r="H3641" s="18" t="s">
        <v>23</v>
      </c>
      <c r="I3641" s="19">
        <v>372.61</v>
      </c>
      <c r="J3641" s="20">
        <f t="shared" si="112"/>
        <v>2235.66</v>
      </c>
      <c r="K3641" s="106"/>
      <c r="L3641" s="114"/>
      <c r="M3641" s="114">
        <f>tblAquisições[[#This Row],[VALOR UNITARIO COMPRADO]]*tblAquisições[[#This Row],[QUANTIDADE COMPRADA]]</f>
        <v>0</v>
      </c>
      <c r="N3641" s="110">
        <f>K3641-tblAquisições[[#This Row],[QUANTIDADE PLANEJADA]]</f>
        <v>-6</v>
      </c>
      <c r="O3641" s="106" t="str">
        <f t="shared" si="113"/>
        <v>Faltando Comprar</v>
      </c>
    </row>
    <row r="3642" spans="1:15" ht="47.25">
      <c r="A3642" s="16" t="s">
        <v>17</v>
      </c>
      <c r="B3642" s="16" t="s">
        <v>28</v>
      </c>
      <c r="C3642" s="17" t="s">
        <v>19</v>
      </c>
      <c r="D3642" s="18" t="s">
        <v>2037</v>
      </c>
      <c r="E3642" s="18">
        <v>15</v>
      </c>
      <c r="F3642" s="18" t="s">
        <v>78</v>
      </c>
      <c r="G3642" s="18" t="s">
        <v>22</v>
      </c>
      <c r="H3642" s="18" t="s">
        <v>23</v>
      </c>
      <c r="I3642" s="19">
        <v>33.81</v>
      </c>
      <c r="J3642" s="20">
        <f t="shared" si="112"/>
        <v>507.15000000000003</v>
      </c>
      <c r="K3642" s="106"/>
      <c r="L3642" s="114"/>
      <c r="M3642" s="114">
        <f>tblAquisições[[#This Row],[VALOR UNITARIO COMPRADO]]*tblAquisições[[#This Row],[QUANTIDADE COMPRADA]]</f>
        <v>0</v>
      </c>
      <c r="N3642" s="110">
        <f>K3642-tblAquisições[[#This Row],[QUANTIDADE PLANEJADA]]</f>
        <v>-15</v>
      </c>
      <c r="O3642" s="106" t="str">
        <f t="shared" si="113"/>
        <v>Faltando Comprar</v>
      </c>
    </row>
    <row r="3643" spans="1:15" ht="31.5">
      <c r="A3643" s="16" t="s">
        <v>17</v>
      </c>
      <c r="B3643" s="16" t="s">
        <v>28</v>
      </c>
      <c r="C3643" s="17" t="s">
        <v>19</v>
      </c>
      <c r="D3643" s="18" t="s">
        <v>2038</v>
      </c>
      <c r="E3643" s="18">
        <v>60</v>
      </c>
      <c r="F3643" s="18" t="s">
        <v>21</v>
      </c>
      <c r="G3643" s="18" t="s">
        <v>22</v>
      </c>
      <c r="H3643" s="18" t="s">
        <v>23</v>
      </c>
      <c r="I3643" s="19">
        <v>20.03</v>
      </c>
      <c r="J3643" s="20">
        <f t="shared" si="112"/>
        <v>1201.8000000000002</v>
      </c>
      <c r="K3643" s="106"/>
      <c r="L3643" s="114"/>
      <c r="M3643" s="114">
        <f>tblAquisições[[#This Row],[VALOR UNITARIO COMPRADO]]*tblAquisições[[#This Row],[QUANTIDADE COMPRADA]]</f>
        <v>0</v>
      </c>
      <c r="N3643" s="110">
        <f>K3643-tblAquisições[[#This Row],[QUANTIDADE PLANEJADA]]</f>
        <v>-60</v>
      </c>
      <c r="O3643" s="106" t="str">
        <f t="shared" si="113"/>
        <v>Faltando Comprar</v>
      </c>
    </row>
    <row r="3644" spans="1:15" ht="31.5">
      <c r="A3644" s="16" t="s">
        <v>17</v>
      </c>
      <c r="B3644" s="16" t="s">
        <v>26</v>
      </c>
      <c r="C3644" s="17" t="s">
        <v>19</v>
      </c>
      <c r="D3644" s="18" t="s">
        <v>2039</v>
      </c>
      <c r="E3644" s="18">
        <v>10</v>
      </c>
      <c r="F3644" s="18" t="s">
        <v>21</v>
      </c>
      <c r="G3644" s="18" t="s">
        <v>22</v>
      </c>
      <c r="H3644" s="18" t="s">
        <v>23</v>
      </c>
      <c r="I3644" s="19">
        <v>8.1</v>
      </c>
      <c r="J3644" s="20">
        <f t="shared" si="112"/>
        <v>81</v>
      </c>
      <c r="K3644" s="106"/>
      <c r="L3644" s="114"/>
      <c r="M3644" s="114">
        <f>tblAquisições[[#This Row],[VALOR UNITARIO COMPRADO]]*tblAquisições[[#This Row],[QUANTIDADE COMPRADA]]</f>
        <v>0</v>
      </c>
      <c r="N3644" s="110">
        <f>K3644-tblAquisições[[#This Row],[QUANTIDADE PLANEJADA]]</f>
        <v>-10</v>
      </c>
      <c r="O3644" s="106" t="str">
        <f t="shared" si="113"/>
        <v>Faltando Comprar</v>
      </c>
    </row>
    <row r="3645" spans="1:15" ht="31.5">
      <c r="A3645" s="16" t="s">
        <v>17</v>
      </c>
      <c r="B3645" s="16" t="s">
        <v>28</v>
      </c>
      <c r="C3645" s="17" t="s">
        <v>19</v>
      </c>
      <c r="D3645" s="18" t="s">
        <v>2039</v>
      </c>
      <c r="E3645" s="18">
        <v>30</v>
      </c>
      <c r="F3645" s="18" t="s">
        <v>21</v>
      </c>
      <c r="G3645" s="18" t="s">
        <v>22</v>
      </c>
      <c r="H3645" s="18" t="s">
        <v>23</v>
      </c>
      <c r="I3645" s="19">
        <v>8.1</v>
      </c>
      <c r="J3645" s="20">
        <f t="shared" si="112"/>
        <v>243</v>
      </c>
      <c r="K3645" s="106"/>
      <c r="L3645" s="114"/>
      <c r="M3645" s="114">
        <f>tblAquisições[[#This Row],[VALOR UNITARIO COMPRADO]]*tblAquisições[[#This Row],[QUANTIDADE COMPRADA]]</f>
        <v>0</v>
      </c>
      <c r="N3645" s="110">
        <f>K3645-tblAquisições[[#This Row],[QUANTIDADE PLANEJADA]]</f>
        <v>-30</v>
      </c>
      <c r="O3645" s="106" t="str">
        <f t="shared" si="113"/>
        <v>Faltando Comprar</v>
      </c>
    </row>
    <row r="3646" spans="1:15" ht="31.5">
      <c r="A3646" s="16" t="s">
        <v>17</v>
      </c>
      <c r="B3646" s="16" t="s">
        <v>31</v>
      </c>
      <c r="C3646" s="17" t="s">
        <v>19</v>
      </c>
      <c r="D3646" s="18" t="s">
        <v>2040</v>
      </c>
      <c r="E3646" s="18">
        <v>1</v>
      </c>
      <c r="F3646" s="18" t="s">
        <v>30</v>
      </c>
      <c r="G3646" s="18" t="s">
        <v>22</v>
      </c>
      <c r="H3646" s="18" t="s">
        <v>23</v>
      </c>
      <c r="I3646" s="19">
        <v>3750</v>
      </c>
      <c r="J3646" s="20">
        <f t="shared" si="112"/>
        <v>3750</v>
      </c>
      <c r="K3646" s="106"/>
      <c r="L3646" s="114"/>
      <c r="M3646" s="114">
        <f>tblAquisições[[#This Row],[VALOR UNITARIO COMPRADO]]*tblAquisições[[#This Row],[QUANTIDADE COMPRADA]]</f>
        <v>0</v>
      </c>
      <c r="N3646" s="110">
        <f>K3646-tblAquisições[[#This Row],[QUANTIDADE PLANEJADA]]</f>
        <v>-1</v>
      </c>
      <c r="O3646" s="106" t="str">
        <f t="shared" si="113"/>
        <v>Faltando Comprar</v>
      </c>
    </row>
    <row r="3647" spans="1:15" ht="31.5">
      <c r="A3647" s="16" t="s">
        <v>17</v>
      </c>
      <c r="B3647" s="16" t="s">
        <v>80</v>
      </c>
      <c r="C3647" s="17" t="s">
        <v>19</v>
      </c>
      <c r="D3647" s="18" t="s">
        <v>2041</v>
      </c>
      <c r="E3647" s="18">
        <v>30</v>
      </c>
      <c r="F3647" s="18" t="s">
        <v>38</v>
      </c>
      <c r="G3647" s="18" t="s">
        <v>39</v>
      </c>
      <c r="H3647" s="18" t="s">
        <v>23</v>
      </c>
      <c r="I3647" s="19">
        <v>62.5</v>
      </c>
      <c r="J3647" s="20">
        <f t="shared" si="112"/>
        <v>1875</v>
      </c>
      <c r="K3647" s="106"/>
      <c r="L3647" s="114"/>
      <c r="M3647" s="114">
        <f>tblAquisições[[#This Row],[VALOR UNITARIO COMPRADO]]*tblAquisições[[#This Row],[QUANTIDADE COMPRADA]]</f>
        <v>0</v>
      </c>
      <c r="N3647" s="110">
        <f>K3647-tblAquisições[[#This Row],[QUANTIDADE PLANEJADA]]</f>
        <v>-30</v>
      </c>
      <c r="O3647" s="106" t="str">
        <f t="shared" si="113"/>
        <v>Faltando Comprar</v>
      </c>
    </row>
    <row r="3648" spans="1:15" ht="47.25">
      <c r="A3648" s="16" t="s">
        <v>17</v>
      </c>
      <c r="B3648" s="16" t="s">
        <v>31</v>
      </c>
      <c r="C3648" s="17" t="s">
        <v>19</v>
      </c>
      <c r="D3648" s="18" t="s">
        <v>2042</v>
      </c>
      <c r="E3648" s="18">
        <v>10</v>
      </c>
      <c r="F3648" s="18" t="s">
        <v>78</v>
      </c>
      <c r="G3648" s="18" t="s">
        <v>22</v>
      </c>
      <c r="H3648" s="18" t="s">
        <v>23</v>
      </c>
      <c r="I3648" s="19">
        <v>18.579999999999998</v>
      </c>
      <c r="J3648" s="20">
        <f t="shared" si="112"/>
        <v>185.79999999999998</v>
      </c>
      <c r="K3648" s="106"/>
      <c r="L3648" s="114"/>
      <c r="M3648" s="114">
        <f>tblAquisições[[#This Row],[VALOR UNITARIO COMPRADO]]*tblAquisições[[#This Row],[QUANTIDADE COMPRADA]]</f>
        <v>0</v>
      </c>
      <c r="N3648" s="110">
        <f>K3648-tblAquisições[[#This Row],[QUANTIDADE PLANEJADA]]</f>
        <v>-10</v>
      </c>
      <c r="O3648" s="106" t="str">
        <f t="shared" si="113"/>
        <v>Faltando Comprar</v>
      </c>
    </row>
    <row r="3649" spans="1:15" ht="47.25">
      <c r="A3649" s="16" t="s">
        <v>17</v>
      </c>
      <c r="B3649" s="16" t="s">
        <v>28</v>
      </c>
      <c r="C3649" s="17" t="s">
        <v>19</v>
      </c>
      <c r="D3649" s="18" t="s">
        <v>2042</v>
      </c>
      <c r="E3649" s="18">
        <v>30</v>
      </c>
      <c r="F3649" s="18" t="s">
        <v>78</v>
      </c>
      <c r="G3649" s="18" t="s">
        <v>22</v>
      </c>
      <c r="H3649" s="18" t="s">
        <v>53</v>
      </c>
      <c r="I3649" s="19">
        <v>18.579999999999998</v>
      </c>
      <c r="J3649" s="20">
        <f t="shared" si="112"/>
        <v>557.4</v>
      </c>
      <c r="K3649" s="106"/>
      <c r="L3649" s="114"/>
      <c r="M3649" s="114">
        <f>tblAquisições[[#This Row],[VALOR UNITARIO COMPRADO]]*tblAquisições[[#This Row],[QUANTIDADE COMPRADA]]</f>
        <v>0</v>
      </c>
      <c r="N3649" s="110">
        <f>K3649-tblAquisições[[#This Row],[QUANTIDADE PLANEJADA]]</f>
        <v>-30</v>
      </c>
      <c r="O3649" s="106" t="str">
        <f t="shared" si="113"/>
        <v>Faltando Comprar</v>
      </c>
    </row>
    <row r="3650" spans="1:15" ht="47.25">
      <c r="A3650" s="16" t="s">
        <v>17</v>
      </c>
      <c r="B3650" s="16" t="s">
        <v>31</v>
      </c>
      <c r="C3650" s="17" t="s">
        <v>19</v>
      </c>
      <c r="D3650" s="18" t="s">
        <v>2043</v>
      </c>
      <c r="E3650" s="18">
        <v>10</v>
      </c>
      <c r="F3650" s="18" t="s">
        <v>78</v>
      </c>
      <c r="G3650" s="18" t="s">
        <v>22</v>
      </c>
      <c r="H3650" s="18" t="s">
        <v>23</v>
      </c>
      <c r="I3650" s="19">
        <v>12.9</v>
      </c>
      <c r="J3650" s="20">
        <f t="shared" ref="J3650:J3713" si="114">E3650*I3650</f>
        <v>129</v>
      </c>
      <c r="K3650" s="106"/>
      <c r="L3650" s="114"/>
      <c r="M3650" s="114">
        <f>tblAquisições[[#This Row],[VALOR UNITARIO COMPRADO]]*tblAquisições[[#This Row],[QUANTIDADE COMPRADA]]</f>
        <v>0</v>
      </c>
      <c r="N3650" s="110">
        <f>K3650-tblAquisições[[#This Row],[QUANTIDADE PLANEJADA]]</f>
        <v>-10</v>
      </c>
      <c r="O3650" s="106" t="str">
        <f t="shared" ref="O3650:O3713" si="115">IF(K3650=E3650,"OK",IF(K3650&lt;E3650,"Faltando Comprar","Excedente"))</f>
        <v>Faltando Comprar</v>
      </c>
    </row>
    <row r="3651" spans="1:15" ht="47.25">
      <c r="A3651" s="16" t="s">
        <v>17</v>
      </c>
      <c r="B3651" s="16" t="s">
        <v>18</v>
      </c>
      <c r="C3651" s="17" t="s">
        <v>19</v>
      </c>
      <c r="D3651" s="18" t="s">
        <v>2043</v>
      </c>
      <c r="E3651" s="18">
        <v>20</v>
      </c>
      <c r="F3651" s="18" t="s">
        <v>78</v>
      </c>
      <c r="G3651" s="18" t="s">
        <v>22</v>
      </c>
      <c r="H3651" s="18" t="s">
        <v>23</v>
      </c>
      <c r="I3651" s="19">
        <v>12.9</v>
      </c>
      <c r="J3651" s="20">
        <f t="shared" si="114"/>
        <v>258</v>
      </c>
      <c r="K3651" s="106"/>
      <c r="L3651" s="114"/>
      <c r="M3651" s="114">
        <f>tblAquisições[[#This Row],[VALOR UNITARIO COMPRADO]]*tblAquisições[[#This Row],[QUANTIDADE COMPRADA]]</f>
        <v>0</v>
      </c>
      <c r="N3651" s="110">
        <f>K3651-tblAquisições[[#This Row],[QUANTIDADE PLANEJADA]]</f>
        <v>-20</v>
      </c>
      <c r="O3651" s="106" t="str">
        <f t="shared" si="115"/>
        <v>Faltando Comprar</v>
      </c>
    </row>
    <row r="3652" spans="1:15" ht="47.25">
      <c r="A3652" s="16" t="s">
        <v>17</v>
      </c>
      <c r="B3652" s="16" t="s">
        <v>24</v>
      </c>
      <c r="C3652" s="17" t="s">
        <v>19</v>
      </c>
      <c r="D3652" s="18" t="s">
        <v>2043</v>
      </c>
      <c r="E3652" s="18">
        <v>20</v>
      </c>
      <c r="F3652" s="18" t="s">
        <v>78</v>
      </c>
      <c r="G3652" s="18" t="s">
        <v>22</v>
      </c>
      <c r="H3652" s="18" t="s">
        <v>23</v>
      </c>
      <c r="I3652" s="19">
        <v>12.9</v>
      </c>
      <c r="J3652" s="20">
        <f t="shared" si="114"/>
        <v>258</v>
      </c>
      <c r="K3652" s="106"/>
      <c r="L3652" s="114"/>
      <c r="M3652" s="114">
        <f>tblAquisições[[#This Row],[VALOR UNITARIO COMPRADO]]*tblAquisições[[#This Row],[QUANTIDADE COMPRADA]]</f>
        <v>0</v>
      </c>
      <c r="N3652" s="110">
        <f>K3652-tblAquisições[[#This Row],[QUANTIDADE PLANEJADA]]</f>
        <v>-20</v>
      </c>
      <c r="O3652" s="106" t="str">
        <f t="shared" si="115"/>
        <v>Faltando Comprar</v>
      </c>
    </row>
    <row r="3653" spans="1:15" ht="47.25">
      <c r="A3653" s="16" t="s">
        <v>17</v>
      </c>
      <c r="B3653" s="16" t="s">
        <v>25</v>
      </c>
      <c r="C3653" s="17" t="s">
        <v>19</v>
      </c>
      <c r="D3653" s="18" t="s">
        <v>2043</v>
      </c>
      <c r="E3653" s="18">
        <v>20</v>
      </c>
      <c r="F3653" s="18" t="s">
        <v>78</v>
      </c>
      <c r="G3653" s="18" t="s">
        <v>22</v>
      </c>
      <c r="H3653" s="18" t="s">
        <v>23</v>
      </c>
      <c r="I3653" s="19">
        <v>12.9</v>
      </c>
      <c r="J3653" s="20">
        <f t="shared" si="114"/>
        <v>258</v>
      </c>
      <c r="K3653" s="106"/>
      <c r="L3653" s="114"/>
      <c r="M3653" s="114">
        <f>tblAquisições[[#This Row],[VALOR UNITARIO COMPRADO]]*tblAquisições[[#This Row],[QUANTIDADE COMPRADA]]</f>
        <v>0</v>
      </c>
      <c r="N3653" s="110">
        <f>K3653-tblAquisições[[#This Row],[QUANTIDADE PLANEJADA]]</f>
        <v>-20</v>
      </c>
      <c r="O3653" s="106" t="str">
        <f t="shared" si="115"/>
        <v>Faltando Comprar</v>
      </c>
    </row>
    <row r="3654" spans="1:15" ht="47.25">
      <c r="A3654" s="16" t="s">
        <v>17</v>
      </c>
      <c r="B3654" s="16" t="s">
        <v>28</v>
      </c>
      <c r="C3654" s="17" t="s">
        <v>19</v>
      </c>
      <c r="D3654" s="18" t="s">
        <v>2043</v>
      </c>
      <c r="E3654" s="18">
        <v>30</v>
      </c>
      <c r="F3654" s="18" t="s">
        <v>78</v>
      </c>
      <c r="G3654" s="18" t="s">
        <v>22</v>
      </c>
      <c r="H3654" s="18" t="s">
        <v>53</v>
      </c>
      <c r="I3654" s="19">
        <v>12.9</v>
      </c>
      <c r="J3654" s="20">
        <f t="shared" si="114"/>
        <v>387</v>
      </c>
      <c r="K3654" s="106"/>
      <c r="L3654" s="114"/>
      <c r="M3654" s="114">
        <f>tblAquisições[[#This Row],[VALOR UNITARIO COMPRADO]]*tblAquisições[[#This Row],[QUANTIDADE COMPRADA]]</f>
        <v>0</v>
      </c>
      <c r="N3654" s="110">
        <f>K3654-tblAquisições[[#This Row],[QUANTIDADE PLANEJADA]]</f>
        <v>-30</v>
      </c>
      <c r="O3654" s="106" t="str">
        <f t="shared" si="115"/>
        <v>Faltando Comprar</v>
      </c>
    </row>
    <row r="3655" spans="1:15" ht="47.25">
      <c r="A3655" s="16" t="s">
        <v>17</v>
      </c>
      <c r="B3655" s="16" t="s">
        <v>26</v>
      </c>
      <c r="C3655" s="17" t="s">
        <v>19</v>
      </c>
      <c r="D3655" s="18" t="s">
        <v>2044</v>
      </c>
      <c r="E3655" s="18">
        <v>20</v>
      </c>
      <c r="F3655" s="18" t="s">
        <v>239</v>
      </c>
      <c r="G3655" s="18" t="s">
        <v>22</v>
      </c>
      <c r="H3655" s="18" t="s">
        <v>23</v>
      </c>
      <c r="I3655" s="19">
        <v>1.87</v>
      </c>
      <c r="J3655" s="20">
        <f t="shared" si="114"/>
        <v>37.400000000000006</v>
      </c>
      <c r="K3655" s="106"/>
      <c r="L3655" s="114"/>
      <c r="M3655" s="114">
        <f>tblAquisições[[#This Row],[VALOR UNITARIO COMPRADO]]*tblAquisições[[#This Row],[QUANTIDADE COMPRADA]]</f>
        <v>0</v>
      </c>
      <c r="N3655" s="110">
        <f>K3655-tblAquisições[[#This Row],[QUANTIDADE PLANEJADA]]</f>
        <v>-20</v>
      </c>
      <c r="O3655" s="106" t="str">
        <f t="shared" si="115"/>
        <v>Faltando Comprar</v>
      </c>
    </row>
    <row r="3656" spans="1:15" ht="47.25">
      <c r="A3656" s="16" t="s">
        <v>17</v>
      </c>
      <c r="B3656" s="16" t="s">
        <v>80</v>
      </c>
      <c r="C3656" s="17" t="s">
        <v>19</v>
      </c>
      <c r="D3656" s="18" t="s">
        <v>2045</v>
      </c>
      <c r="E3656" s="18">
        <v>1</v>
      </c>
      <c r="F3656" s="18" t="s">
        <v>147</v>
      </c>
      <c r="G3656" s="18" t="s">
        <v>39</v>
      </c>
      <c r="H3656" s="21"/>
      <c r="I3656" s="19">
        <v>539.1</v>
      </c>
      <c r="J3656" s="20">
        <f t="shared" si="114"/>
        <v>539.1</v>
      </c>
      <c r="K3656" s="106"/>
      <c r="L3656" s="114"/>
      <c r="M3656" s="114">
        <f>tblAquisições[[#This Row],[VALOR UNITARIO COMPRADO]]*tblAquisições[[#This Row],[QUANTIDADE COMPRADA]]</f>
        <v>0</v>
      </c>
      <c r="N3656" s="110">
        <f>K3656-tblAquisições[[#This Row],[QUANTIDADE PLANEJADA]]</f>
        <v>-1</v>
      </c>
      <c r="O3656" s="106" t="str">
        <f t="shared" si="115"/>
        <v>Faltando Comprar</v>
      </c>
    </row>
    <row r="3657" spans="1:15" ht="31.5">
      <c r="A3657" s="16" t="s">
        <v>17</v>
      </c>
      <c r="B3657" s="16" t="s">
        <v>31</v>
      </c>
      <c r="C3657" s="17" t="s">
        <v>19</v>
      </c>
      <c r="D3657" s="18" t="s">
        <v>2046</v>
      </c>
      <c r="E3657" s="18">
        <v>30</v>
      </c>
      <c r="F3657" s="18" t="s">
        <v>21</v>
      </c>
      <c r="G3657" s="18" t="s">
        <v>22</v>
      </c>
      <c r="H3657" s="18" t="s">
        <v>23</v>
      </c>
      <c r="I3657" s="19">
        <v>172.86</v>
      </c>
      <c r="J3657" s="20">
        <f t="shared" si="114"/>
        <v>5185.8</v>
      </c>
      <c r="K3657" s="106"/>
      <c r="L3657" s="114"/>
      <c r="M3657" s="114">
        <f>tblAquisições[[#This Row],[VALOR UNITARIO COMPRADO]]*tblAquisições[[#This Row],[QUANTIDADE COMPRADA]]</f>
        <v>0</v>
      </c>
      <c r="N3657" s="110">
        <f>K3657-tblAquisições[[#This Row],[QUANTIDADE PLANEJADA]]</f>
        <v>-30</v>
      </c>
      <c r="O3657" s="106" t="str">
        <f t="shared" si="115"/>
        <v>Faltando Comprar</v>
      </c>
    </row>
    <row r="3658" spans="1:15" ht="47.25">
      <c r="A3658" s="16" t="s">
        <v>17</v>
      </c>
      <c r="B3658" s="16" t="s">
        <v>80</v>
      </c>
      <c r="C3658" s="17" t="s">
        <v>19</v>
      </c>
      <c r="D3658" s="18" t="s">
        <v>2047</v>
      </c>
      <c r="E3658" s="18">
        <v>10</v>
      </c>
      <c r="F3658" s="18" t="s">
        <v>147</v>
      </c>
      <c r="G3658" s="18" t="s">
        <v>39</v>
      </c>
      <c r="H3658" s="21"/>
      <c r="I3658" s="19">
        <v>8.14</v>
      </c>
      <c r="J3658" s="20">
        <f t="shared" si="114"/>
        <v>81.400000000000006</v>
      </c>
      <c r="K3658" s="106"/>
      <c r="L3658" s="114"/>
      <c r="M3658" s="114">
        <f>tblAquisições[[#This Row],[VALOR UNITARIO COMPRADO]]*tblAquisições[[#This Row],[QUANTIDADE COMPRADA]]</f>
        <v>0</v>
      </c>
      <c r="N3658" s="110">
        <f>K3658-tblAquisições[[#This Row],[QUANTIDADE PLANEJADA]]</f>
        <v>-10</v>
      </c>
      <c r="O3658" s="106" t="str">
        <f t="shared" si="115"/>
        <v>Faltando Comprar</v>
      </c>
    </row>
    <row r="3659" spans="1:15" ht="31.5">
      <c r="A3659" s="16" t="s">
        <v>17</v>
      </c>
      <c r="B3659" s="16" t="s">
        <v>28</v>
      </c>
      <c r="C3659" s="17" t="s">
        <v>19</v>
      </c>
      <c r="D3659" s="18" t="s">
        <v>2048</v>
      </c>
      <c r="E3659" s="18">
        <v>12</v>
      </c>
      <c r="F3659" s="18" t="s">
        <v>324</v>
      </c>
      <c r="G3659" s="18" t="s">
        <v>22</v>
      </c>
      <c r="H3659" s="18" t="s">
        <v>23</v>
      </c>
      <c r="I3659" s="19">
        <v>517.21</v>
      </c>
      <c r="J3659" s="20">
        <f t="shared" si="114"/>
        <v>6206.52</v>
      </c>
      <c r="K3659" s="106"/>
      <c r="L3659" s="114"/>
      <c r="M3659" s="114">
        <f>tblAquisições[[#This Row],[VALOR UNITARIO COMPRADO]]*tblAquisições[[#This Row],[QUANTIDADE COMPRADA]]</f>
        <v>0</v>
      </c>
      <c r="N3659" s="110">
        <f>K3659-tblAquisições[[#This Row],[QUANTIDADE PLANEJADA]]</f>
        <v>-12</v>
      </c>
      <c r="O3659" s="106" t="str">
        <f t="shared" si="115"/>
        <v>Faltando Comprar</v>
      </c>
    </row>
    <row r="3660" spans="1:15" ht="31.5">
      <c r="A3660" s="16" t="s">
        <v>17</v>
      </c>
      <c r="B3660" s="16" t="s">
        <v>80</v>
      </c>
      <c r="C3660" s="17" t="s">
        <v>19</v>
      </c>
      <c r="D3660" s="18" t="s">
        <v>2049</v>
      </c>
      <c r="E3660" s="18">
        <v>100</v>
      </c>
      <c r="F3660" s="18" t="s">
        <v>38</v>
      </c>
      <c r="G3660" s="18" t="s">
        <v>39</v>
      </c>
      <c r="H3660" s="18" t="s">
        <v>23</v>
      </c>
      <c r="I3660" s="19">
        <v>16.93</v>
      </c>
      <c r="J3660" s="20">
        <f t="shared" si="114"/>
        <v>1693</v>
      </c>
      <c r="K3660" s="106"/>
      <c r="L3660" s="114"/>
      <c r="M3660" s="114">
        <f>tblAquisições[[#This Row],[VALOR UNITARIO COMPRADO]]*tblAquisições[[#This Row],[QUANTIDADE COMPRADA]]</f>
        <v>0</v>
      </c>
      <c r="N3660" s="110">
        <f>K3660-tblAquisições[[#This Row],[QUANTIDADE PLANEJADA]]</f>
        <v>-100</v>
      </c>
      <c r="O3660" s="106" t="str">
        <f t="shared" si="115"/>
        <v>Faltando Comprar</v>
      </c>
    </row>
    <row r="3661" spans="1:15" ht="47.25">
      <c r="A3661" s="16" t="s">
        <v>17</v>
      </c>
      <c r="B3661" s="16" t="s">
        <v>34</v>
      </c>
      <c r="C3661" s="17" t="s">
        <v>19</v>
      </c>
      <c r="D3661" s="18" t="s">
        <v>2050</v>
      </c>
      <c r="E3661" s="18">
        <v>5</v>
      </c>
      <c r="F3661" s="18" t="s">
        <v>78</v>
      </c>
      <c r="G3661" s="18" t="s">
        <v>22</v>
      </c>
      <c r="H3661" s="18" t="s">
        <v>100</v>
      </c>
      <c r="I3661" s="19">
        <v>131.47</v>
      </c>
      <c r="J3661" s="20">
        <f t="shared" si="114"/>
        <v>657.35</v>
      </c>
      <c r="K3661" s="106"/>
      <c r="L3661" s="114"/>
      <c r="M3661" s="114">
        <f>tblAquisições[[#This Row],[VALOR UNITARIO COMPRADO]]*tblAquisições[[#This Row],[QUANTIDADE COMPRADA]]</f>
        <v>0</v>
      </c>
      <c r="N3661" s="110">
        <f>K3661-tblAquisições[[#This Row],[QUANTIDADE PLANEJADA]]</f>
        <v>-5</v>
      </c>
      <c r="O3661" s="106" t="str">
        <f t="shared" si="115"/>
        <v>Faltando Comprar</v>
      </c>
    </row>
    <row r="3662" spans="1:15" ht="47.25">
      <c r="A3662" s="16" t="s">
        <v>17</v>
      </c>
      <c r="B3662" s="16" t="s">
        <v>27</v>
      </c>
      <c r="C3662" s="17" t="s">
        <v>19</v>
      </c>
      <c r="D3662" s="18" t="s">
        <v>2051</v>
      </c>
      <c r="E3662" s="18">
        <v>200</v>
      </c>
      <c r="F3662" s="18" t="s">
        <v>78</v>
      </c>
      <c r="G3662" s="18" t="s">
        <v>22</v>
      </c>
      <c r="H3662" s="18" t="s">
        <v>23</v>
      </c>
      <c r="I3662" s="19">
        <v>4.25</v>
      </c>
      <c r="J3662" s="20">
        <f t="shared" si="114"/>
        <v>850</v>
      </c>
      <c r="K3662" s="106"/>
      <c r="L3662" s="114"/>
      <c r="M3662" s="114">
        <f>tblAquisições[[#This Row],[VALOR UNITARIO COMPRADO]]*tblAquisições[[#This Row],[QUANTIDADE COMPRADA]]</f>
        <v>0</v>
      </c>
      <c r="N3662" s="110">
        <f>K3662-tblAquisições[[#This Row],[QUANTIDADE PLANEJADA]]</f>
        <v>-200</v>
      </c>
      <c r="O3662" s="106" t="str">
        <f t="shared" si="115"/>
        <v>Faltando Comprar</v>
      </c>
    </row>
    <row r="3663" spans="1:15" ht="31.5">
      <c r="A3663" s="16" t="s">
        <v>17</v>
      </c>
      <c r="B3663" s="16" t="s">
        <v>80</v>
      </c>
      <c r="C3663" s="17" t="s">
        <v>19</v>
      </c>
      <c r="D3663" s="18" t="s">
        <v>2052</v>
      </c>
      <c r="E3663" s="18">
        <v>20</v>
      </c>
      <c r="F3663" s="18" t="s">
        <v>38</v>
      </c>
      <c r="G3663" s="18" t="s">
        <v>39</v>
      </c>
      <c r="H3663" s="21"/>
      <c r="I3663" s="19">
        <v>44.84</v>
      </c>
      <c r="J3663" s="20">
        <f t="shared" si="114"/>
        <v>896.80000000000007</v>
      </c>
      <c r="K3663" s="106"/>
      <c r="L3663" s="114"/>
      <c r="M3663" s="114">
        <f>tblAquisições[[#This Row],[VALOR UNITARIO COMPRADO]]*tblAquisições[[#This Row],[QUANTIDADE COMPRADA]]</f>
        <v>0</v>
      </c>
      <c r="N3663" s="110">
        <f>K3663-tblAquisições[[#This Row],[QUANTIDADE PLANEJADA]]</f>
        <v>-20</v>
      </c>
      <c r="O3663" s="106" t="str">
        <f t="shared" si="115"/>
        <v>Faltando Comprar</v>
      </c>
    </row>
    <row r="3664" spans="1:15" ht="31.5">
      <c r="A3664" s="16" t="s">
        <v>17</v>
      </c>
      <c r="B3664" s="16" t="s">
        <v>28</v>
      </c>
      <c r="C3664" s="17" t="s">
        <v>19</v>
      </c>
      <c r="D3664" s="18" t="s">
        <v>2053</v>
      </c>
      <c r="E3664" s="18">
        <v>120</v>
      </c>
      <c r="F3664" s="18" t="s">
        <v>21</v>
      </c>
      <c r="G3664" s="18" t="s">
        <v>22</v>
      </c>
      <c r="H3664" s="18" t="s">
        <v>23</v>
      </c>
      <c r="I3664" s="19">
        <v>12.55</v>
      </c>
      <c r="J3664" s="20">
        <f t="shared" si="114"/>
        <v>1506</v>
      </c>
      <c r="K3664" s="106"/>
      <c r="L3664" s="114"/>
      <c r="M3664" s="114">
        <f>tblAquisições[[#This Row],[VALOR UNITARIO COMPRADO]]*tblAquisições[[#This Row],[QUANTIDADE COMPRADA]]</f>
        <v>0</v>
      </c>
      <c r="N3664" s="110">
        <f>K3664-tblAquisições[[#This Row],[QUANTIDADE PLANEJADA]]</f>
        <v>-120</v>
      </c>
      <c r="O3664" s="106" t="str">
        <f t="shared" si="115"/>
        <v>Faltando Comprar</v>
      </c>
    </row>
    <row r="3665" spans="1:15" ht="31.5">
      <c r="A3665" s="16" t="s">
        <v>17</v>
      </c>
      <c r="B3665" s="16" t="s">
        <v>26</v>
      </c>
      <c r="C3665" s="17" t="s">
        <v>19</v>
      </c>
      <c r="D3665" s="18" t="s">
        <v>2054</v>
      </c>
      <c r="E3665" s="18">
        <v>5</v>
      </c>
      <c r="F3665" s="18" t="s">
        <v>30</v>
      </c>
      <c r="G3665" s="18" t="s">
        <v>22</v>
      </c>
      <c r="H3665" s="18" t="s">
        <v>23</v>
      </c>
      <c r="I3665" s="19">
        <v>37.56</v>
      </c>
      <c r="J3665" s="20">
        <f t="shared" si="114"/>
        <v>187.8</v>
      </c>
      <c r="K3665" s="106"/>
      <c r="L3665" s="114"/>
      <c r="M3665" s="114">
        <f>tblAquisições[[#This Row],[VALOR UNITARIO COMPRADO]]*tblAquisições[[#This Row],[QUANTIDADE COMPRADA]]</f>
        <v>0</v>
      </c>
      <c r="N3665" s="110">
        <f>K3665-tblAquisições[[#This Row],[QUANTIDADE PLANEJADA]]</f>
        <v>-5</v>
      </c>
      <c r="O3665" s="106" t="str">
        <f t="shared" si="115"/>
        <v>Faltando Comprar</v>
      </c>
    </row>
    <row r="3666" spans="1:15" ht="31.5">
      <c r="A3666" s="16" t="s">
        <v>17</v>
      </c>
      <c r="B3666" s="16" t="s">
        <v>41</v>
      </c>
      <c r="C3666" s="17" t="s">
        <v>19</v>
      </c>
      <c r="D3666" s="18" t="s">
        <v>2055</v>
      </c>
      <c r="E3666" s="18">
        <v>50</v>
      </c>
      <c r="F3666" s="18" t="s">
        <v>21</v>
      </c>
      <c r="G3666" s="18" t="s">
        <v>22</v>
      </c>
      <c r="H3666" s="18" t="s">
        <v>23</v>
      </c>
      <c r="I3666" s="19">
        <v>13.93</v>
      </c>
      <c r="J3666" s="20">
        <f t="shared" si="114"/>
        <v>696.5</v>
      </c>
      <c r="K3666" s="106"/>
      <c r="L3666" s="114"/>
      <c r="M3666" s="114">
        <f>tblAquisições[[#This Row],[VALOR UNITARIO COMPRADO]]*tblAquisições[[#This Row],[QUANTIDADE COMPRADA]]</f>
        <v>0</v>
      </c>
      <c r="N3666" s="110">
        <f>K3666-tblAquisições[[#This Row],[QUANTIDADE PLANEJADA]]</f>
        <v>-50</v>
      </c>
      <c r="O3666" s="106" t="str">
        <f t="shared" si="115"/>
        <v>Faltando Comprar</v>
      </c>
    </row>
    <row r="3667" spans="1:15" ht="31.5">
      <c r="A3667" s="16" t="s">
        <v>17</v>
      </c>
      <c r="B3667" s="16" t="s">
        <v>28</v>
      </c>
      <c r="C3667" s="17" t="s">
        <v>19</v>
      </c>
      <c r="D3667" s="18" t="s">
        <v>2055</v>
      </c>
      <c r="E3667" s="18">
        <v>100</v>
      </c>
      <c r="F3667" s="18" t="s">
        <v>21</v>
      </c>
      <c r="G3667" s="18" t="s">
        <v>22</v>
      </c>
      <c r="H3667" s="18" t="s">
        <v>23</v>
      </c>
      <c r="I3667" s="19">
        <v>13.93</v>
      </c>
      <c r="J3667" s="20">
        <f t="shared" si="114"/>
        <v>1393</v>
      </c>
      <c r="K3667" s="106"/>
      <c r="L3667" s="114"/>
      <c r="M3667" s="114">
        <f>tblAquisições[[#This Row],[VALOR UNITARIO COMPRADO]]*tblAquisições[[#This Row],[QUANTIDADE COMPRADA]]</f>
        <v>0</v>
      </c>
      <c r="N3667" s="110">
        <f>K3667-tblAquisições[[#This Row],[QUANTIDADE PLANEJADA]]</f>
        <v>-100</v>
      </c>
      <c r="O3667" s="106" t="str">
        <f t="shared" si="115"/>
        <v>Faltando Comprar</v>
      </c>
    </row>
    <row r="3668" spans="1:15" ht="47.25">
      <c r="A3668" s="16" t="s">
        <v>17</v>
      </c>
      <c r="B3668" s="16" t="s">
        <v>28</v>
      </c>
      <c r="C3668" s="17" t="s">
        <v>19</v>
      </c>
      <c r="D3668" s="18" t="s">
        <v>2056</v>
      </c>
      <c r="E3668" s="18">
        <v>2</v>
      </c>
      <c r="F3668" s="18" t="s">
        <v>313</v>
      </c>
      <c r="G3668" s="18" t="s">
        <v>22</v>
      </c>
      <c r="H3668" s="18" t="s">
        <v>65</v>
      </c>
      <c r="I3668" s="19">
        <v>30.02</v>
      </c>
      <c r="J3668" s="20">
        <f t="shared" si="114"/>
        <v>60.04</v>
      </c>
      <c r="K3668" s="106"/>
      <c r="L3668" s="114"/>
      <c r="M3668" s="114">
        <f>tblAquisições[[#This Row],[VALOR UNITARIO COMPRADO]]*tblAquisições[[#This Row],[QUANTIDADE COMPRADA]]</f>
        <v>0</v>
      </c>
      <c r="N3668" s="110">
        <f>K3668-tblAquisições[[#This Row],[QUANTIDADE PLANEJADA]]</f>
        <v>-2</v>
      </c>
      <c r="O3668" s="106" t="str">
        <f t="shared" si="115"/>
        <v>Faltando Comprar</v>
      </c>
    </row>
    <row r="3669" spans="1:15" ht="31.5">
      <c r="A3669" s="16" t="s">
        <v>17</v>
      </c>
      <c r="B3669" s="16" t="s">
        <v>26</v>
      </c>
      <c r="C3669" s="17" t="s">
        <v>19</v>
      </c>
      <c r="D3669" s="18" t="s">
        <v>2057</v>
      </c>
      <c r="E3669" s="18">
        <v>5</v>
      </c>
      <c r="F3669" s="18" t="s">
        <v>30</v>
      </c>
      <c r="G3669" s="18" t="s">
        <v>22</v>
      </c>
      <c r="H3669" s="18" t="s">
        <v>23</v>
      </c>
      <c r="I3669" s="19">
        <v>64.89</v>
      </c>
      <c r="J3669" s="20">
        <f t="shared" si="114"/>
        <v>324.45</v>
      </c>
      <c r="K3669" s="106"/>
      <c r="L3669" s="114"/>
      <c r="M3669" s="114">
        <f>tblAquisições[[#This Row],[VALOR UNITARIO COMPRADO]]*tblAquisições[[#This Row],[QUANTIDADE COMPRADA]]</f>
        <v>0</v>
      </c>
      <c r="N3669" s="110">
        <f>K3669-tblAquisições[[#This Row],[QUANTIDADE PLANEJADA]]</f>
        <v>-5</v>
      </c>
      <c r="O3669" s="106" t="str">
        <f t="shared" si="115"/>
        <v>Faltando Comprar</v>
      </c>
    </row>
    <row r="3670" spans="1:15" ht="31.5">
      <c r="A3670" s="16" t="s">
        <v>17</v>
      </c>
      <c r="B3670" s="16" t="s">
        <v>26</v>
      </c>
      <c r="C3670" s="17" t="s">
        <v>19</v>
      </c>
      <c r="D3670" s="18" t="s">
        <v>2058</v>
      </c>
      <c r="E3670" s="18">
        <v>5</v>
      </c>
      <c r="F3670" s="18" t="s">
        <v>30</v>
      </c>
      <c r="G3670" s="18" t="s">
        <v>22</v>
      </c>
      <c r="H3670" s="18" t="s">
        <v>23</v>
      </c>
      <c r="I3670" s="19">
        <v>18.03</v>
      </c>
      <c r="J3670" s="20">
        <f t="shared" si="114"/>
        <v>90.15</v>
      </c>
      <c r="K3670" s="106"/>
      <c r="L3670" s="114"/>
      <c r="M3670" s="114">
        <f>tblAquisições[[#This Row],[VALOR UNITARIO COMPRADO]]*tblAquisições[[#This Row],[QUANTIDADE COMPRADA]]</f>
        <v>0</v>
      </c>
      <c r="N3670" s="110">
        <f>K3670-tblAquisições[[#This Row],[QUANTIDADE PLANEJADA]]</f>
        <v>-5</v>
      </c>
      <c r="O3670" s="106" t="str">
        <f t="shared" si="115"/>
        <v>Faltando Comprar</v>
      </c>
    </row>
    <row r="3671" spans="1:15" ht="47.25">
      <c r="A3671" s="16" t="s">
        <v>17</v>
      </c>
      <c r="B3671" s="16" t="s">
        <v>18</v>
      </c>
      <c r="C3671" s="17" t="s">
        <v>19</v>
      </c>
      <c r="D3671" s="18" t="s">
        <v>2059</v>
      </c>
      <c r="E3671" s="18">
        <v>200</v>
      </c>
      <c r="F3671" s="18" t="s">
        <v>78</v>
      </c>
      <c r="G3671" s="18" t="s">
        <v>22</v>
      </c>
      <c r="H3671" s="18" t="s">
        <v>23</v>
      </c>
      <c r="I3671" s="19">
        <v>4.09</v>
      </c>
      <c r="J3671" s="20">
        <f t="shared" si="114"/>
        <v>818</v>
      </c>
      <c r="K3671" s="106"/>
      <c r="L3671" s="114"/>
      <c r="M3671" s="114">
        <f>tblAquisições[[#This Row],[VALOR UNITARIO COMPRADO]]*tblAquisições[[#This Row],[QUANTIDADE COMPRADA]]</f>
        <v>0</v>
      </c>
      <c r="N3671" s="110">
        <f>K3671-tblAquisições[[#This Row],[QUANTIDADE PLANEJADA]]</f>
        <v>-200</v>
      </c>
      <c r="O3671" s="106" t="str">
        <f t="shared" si="115"/>
        <v>Faltando Comprar</v>
      </c>
    </row>
    <row r="3672" spans="1:15" ht="47.25">
      <c r="A3672" s="16" t="s">
        <v>17</v>
      </c>
      <c r="B3672" s="16" t="s">
        <v>24</v>
      </c>
      <c r="C3672" s="17" t="s">
        <v>19</v>
      </c>
      <c r="D3672" s="18" t="s">
        <v>2059</v>
      </c>
      <c r="E3672" s="18">
        <v>200</v>
      </c>
      <c r="F3672" s="18" t="s">
        <v>78</v>
      </c>
      <c r="G3672" s="18" t="s">
        <v>22</v>
      </c>
      <c r="H3672" s="18" t="s">
        <v>23</v>
      </c>
      <c r="I3672" s="19">
        <v>4.09</v>
      </c>
      <c r="J3672" s="20">
        <f t="shared" si="114"/>
        <v>818</v>
      </c>
      <c r="K3672" s="106"/>
      <c r="L3672" s="114"/>
      <c r="M3672" s="114">
        <f>tblAquisições[[#This Row],[VALOR UNITARIO COMPRADO]]*tblAquisições[[#This Row],[QUANTIDADE COMPRADA]]</f>
        <v>0</v>
      </c>
      <c r="N3672" s="110">
        <f>K3672-tblAquisições[[#This Row],[QUANTIDADE PLANEJADA]]</f>
        <v>-200</v>
      </c>
      <c r="O3672" s="106" t="str">
        <f t="shared" si="115"/>
        <v>Faltando Comprar</v>
      </c>
    </row>
    <row r="3673" spans="1:15" ht="47.25">
      <c r="A3673" s="16" t="s">
        <v>17</v>
      </c>
      <c r="B3673" s="16" t="s">
        <v>25</v>
      </c>
      <c r="C3673" s="17" t="s">
        <v>19</v>
      </c>
      <c r="D3673" s="18" t="s">
        <v>2059</v>
      </c>
      <c r="E3673" s="18">
        <v>200</v>
      </c>
      <c r="F3673" s="18" t="s">
        <v>78</v>
      </c>
      <c r="G3673" s="18" t="s">
        <v>22</v>
      </c>
      <c r="H3673" s="18" t="s">
        <v>23</v>
      </c>
      <c r="I3673" s="19">
        <v>4.09</v>
      </c>
      <c r="J3673" s="20">
        <f t="shared" si="114"/>
        <v>818</v>
      </c>
      <c r="K3673" s="106"/>
      <c r="L3673" s="114"/>
      <c r="M3673" s="114">
        <f>tblAquisições[[#This Row],[VALOR UNITARIO COMPRADO]]*tblAquisições[[#This Row],[QUANTIDADE COMPRADA]]</f>
        <v>0</v>
      </c>
      <c r="N3673" s="110">
        <f>K3673-tblAquisições[[#This Row],[QUANTIDADE PLANEJADA]]</f>
        <v>-200</v>
      </c>
      <c r="O3673" s="106" t="str">
        <f t="shared" si="115"/>
        <v>Faltando Comprar</v>
      </c>
    </row>
    <row r="3674" spans="1:15" ht="47.25">
      <c r="A3674" s="16" t="s">
        <v>17</v>
      </c>
      <c r="B3674" s="16" t="s">
        <v>27</v>
      </c>
      <c r="C3674" s="17" t="s">
        <v>19</v>
      </c>
      <c r="D3674" s="18" t="s">
        <v>2059</v>
      </c>
      <c r="E3674" s="18">
        <v>200</v>
      </c>
      <c r="F3674" s="18" t="s">
        <v>78</v>
      </c>
      <c r="G3674" s="18" t="s">
        <v>22</v>
      </c>
      <c r="H3674" s="18" t="s">
        <v>23</v>
      </c>
      <c r="I3674" s="19">
        <v>4.09</v>
      </c>
      <c r="J3674" s="20">
        <f t="shared" si="114"/>
        <v>818</v>
      </c>
      <c r="K3674" s="106"/>
      <c r="L3674" s="114"/>
      <c r="M3674" s="114">
        <f>tblAquisições[[#This Row],[VALOR UNITARIO COMPRADO]]*tblAquisições[[#This Row],[QUANTIDADE COMPRADA]]</f>
        <v>0</v>
      </c>
      <c r="N3674" s="110">
        <f>K3674-tblAquisições[[#This Row],[QUANTIDADE PLANEJADA]]</f>
        <v>-200</v>
      </c>
      <c r="O3674" s="106" t="str">
        <f t="shared" si="115"/>
        <v>Faltando Comprar</v>
      </c>
    </row>
    <row r="3675" spans="1:15" ht="31.5">
      <c r="A3675" s="16" t="s">
        <v>17</v>
      </c>
      <c r="B3675" s="16" t="s">
        <v>26</v>
      </c>
      <c r="C3675" s="17" t="s">
        <v>19</v>
      </c>
      <c r="D3675" s="18" t="s">
        <v>2060</v>
      </c>
      <c r="E3675" s="18">
        <v>5</v>
      </c>
      <c r="F3675" s="18" t="s">
        <v>30</v>
      </c>
      <c r="G3675" s="18" t="s">
        <v>22</v>
      </c>
      <c r="H3675" s="18" t="s">
        <v>23</v>
      </c>
      <c r="I3675" s="19">
        <v>170.73</v>
      </c>
      <c r="J3675" s="20">
        <f t="shared" si="114"/>
        <v>853.65</v>
      </c>
      <c r="K3675" s="106"/>
      <c r="L3675" s="114"/>
      <c r="M3675" s="114">
        <f>tblAquisições[[#This Row],[VALOR UNITARIO COMPRADO]]*tblAquisições[[#This Row],[QUANTIDADE COMPRADA]]</f>
        <v>0</v>
      </c>
      <c r="N3675" s="110">
        <f>K3675-tblAquisições[[#This Row],[QUANTIDADE PLANEJADA]]</f>
        <v>-5</v>
      </c>
      <c r="O3675" s="106" t="str">
        <f t="shared" si="115"/>
        <v>Faltando Comprar</v>
      </c>
    </row>
    <row r="3676" spans="1:15" ht="31.5">
      <c r="A3676" s="16" t="s">
        <v>17</v>
      </c>
      <c r="B3676" s="16" t="s">
        <v>28</v>
      </c>
      <c r="C3676" s="17" t="s">
        <v>19</v>
      </c>
      <c r="D3676" s="18" t="s">
        <v>2061</v>
      </c>
      <c r="E3676" s="18">
        <v>25</v>
      </c>
      <c r="F3676" s="18" t="s">
        <v>21</v>
      </c>
      <c r="G3676" s="18" t="s">
        <v>22</v>
      </c>
      <c r="H3676" s="18" t="s">
        <v>23</v>
      </c>
      <c r="I3676" s="19">
        <v>45.24</v>
      </c>
      <c r="J3676" s="20">
        <f t="shared" si="114"/>
        <v>1131</v>
      </c>
      <c r="K3676" s="106"/>
      <c r="L3676" s="114"/>
      <c r="M3676" s="114">
        <f>tblAquisições[[#This Row],[VALOR UNITARIO COMPRADO]]*tblAquisições[[#This Row],[QUANTIDADE COMPRADA]]</f>
        <v>0</v>
      </c>
      <c r="N3676" s="110">
        <f>K3676-tblAquisições[[#This Row],[QUANTIDADE PLANEJADA]]</f>
        <v>-25</v>
      </c>
      <c r="O3676" s="106" t="str">
        <f t="shared" si="115"/>
        <v>Faltando Comprar</v>
      </c>
    </row>
    <row r="3677" spans="1:15" ht="47.25">
      <c r="A3677" s="16" t="s">
        <v>17</v>
      </c>
      <c r="B3677" s="16" t="s">
        <v>18</v>
      </c>
      <c r="C3677" s="17" t="s">
        <v>19</v>
      </c>
      <c r="D3677" s="18" t="s">
        <v>2062</v>
      </c>
      <c r="E3677" s="18">
        <v>200</v>
      </c>
      <c r="F3677" s="18" t="s">
        <v>78</v>
      </c>
      <c r="G3677" s="18" t="s">
        <v>22</v>
      </c>
      <c r="H3677" s="18" t="s">
        <v>23</v>
      </c>
      <c r="I3677" s="19">
        <v>2.5</v>
      </c>
      <c r="J3677" s="20">
        <f t="shared" si="114"/>
        <v>500</v>
      </c>
      <c r="K3677" s="106"/>
      <c r="L3677" s="114"/>
      <c r="M3677" s="114">
        <f>tblAquisições[[#This Row],[VALOR UNITARIO COMPRADO]]*tblAquisições[[#This Row],[QUANTIDADE COMPRADA]]</f>
        <v>0</v>
      </c>
      <c r="N3677" s="110">
        <f>K3677-tblAquisições[[#This Row],[QUANTIDADE PLANEJADA]]</f>
        <v>-200</v>
      </c>
      <c r="O3677" s="106" t="str">
        <f t="shared" si="115"/>
        <v>Faltando Comprar</v>
      </c>
    </row>
    <row r="3678" spans="1:15" ht="47.25">
      <c r="A3678" s="16" t="s">
        <v>17</v>
      </c>
      <c r="B3678" s="16" t="s">
        <v>24</v>
      </c>
      <c r="C3678" s="17" t="s">
        <v>19</v>
      </c>
      <c r="D3678" s="18" t="s">
        <v>2062</v>
      </c>
      <c r="E3678" s="18">
        <v>200</v>
      </c>
      <c r="F3678" s="18" t="s">
        <v>78</v>
      </c>
      <c r="G3678" s="18" t="s">
        <v>22</v>
      </c>
      <c r="H3678" s="18" t="s">
        <v>23</v>
      </c>
      <c r="I3678" s="19">
        <v>2.5</v>
      </c>
      <c r="J3678" s="20">
        <f t="shared" si="114"/>
        <v>500</v>
      </c>
      <c r="K3678" s="106"/>
      <c r="L3678" s="114"/>
      <c r="M3678" s="114">
        <f>tblAquisições[[#This Row],[VALOR UNITARIO COMPRADO]]*tblAquisições[[#This Row],[QUANTIDADE COMPRADA]]</f>
        <v>0</v>
      </c>
      <c r="N3678" s="110">
        <f>K3678-tblAquisições[[#This Row],[QUANTIDADE PLANEJADA]]</f>
        <v>-200</v>
      </c>
      <c r="O3678" s="106" t="str">
        <f t="shared" si="115"/>
        <v>Faltando Comprar</v>
      </c>
    </row>
    <row r="3679" spans="1:15" ht="47.25">
      <c r="A3679" s="16" t="s">
        <v>17</v>
      </c>
      <c r="B3679" s="16" t="s">
        <v>25</v>
      </c>
      <c r="C3679" s="17" t="s">
        <v>19</v>
      </c>
      <c r="D3679" s="18" t="s">
        <v>2062</v>
      </c>
      <c r="E3679" s="18">
        <v>200</v>
      </c>
      <c r="F3679" s="18" t="s">
        <v>78</v>
      </c>
      <c r="G3679" s="18" t="s">
        <v>22</v>
      </c>
      <c r="H3679" s="18" t="s">
        <v>23</v>
      </c>
      <c r="I3679" s="19">
        <v>2.5</v>
      </c>
      <c r="J3679" s="20">
        <f t="shared" si="114"/>
        <v>500</v>
      </c>
      <c r="K3679" s="106"/>
      <c r="L3679" s="114"/>
      <c r="M3679" s="114">
        <f>tblAquisições[[#This Row],[VALOR UNITARIO COMPRADO]]*tblAquisições[[#This Row],[QUANTIDADE COMPRADA]]</f>
        <v>0</v>
      </c>
      <c r="N3679" s="110">
        <f>K3679-tblAquisições[[#This Row],[QUANTIDADE PLANEJADA]]</f>
        <v>-200</v>
      </c>
      <c r="O3679" s="106" t="str">
        <f t="shared" si="115"/>
        <v>Faltando Comprar</v>
      </c>
    </row>
    <row r="3680" spans="1:15" ht="47.25">
      <c r="A3680" s="16" t="s">
        <v>17</v>
      </c>
      <c r="B3680" s="16" t="s">
        <v>27</v>
      </c>
      <c r="C3680" s="17" t="s">
        <v>19</v>
      </c>
      <c r="D3680" s="18" t="s">
        <v>2062</v>
      </c>
      <c r="E3680" s="18">
        <v>200</v>
      </c>
      <c r="F3680" s="18" t="s">
        <v>78</v>
      </c>
      <c r="G3680" s="18" t="s">
        <v>22</v>
      </c>
      <c r="H3680" s="18" t="s">
        <v>23</v>
      </c>
      <c r="I3680" s="19">
        <v>2.5</v>
      </c>
      <c r="J3680" s="20">
        <f t="shared" si="114"/>
        <v>500</v>
      </c>
      <c r="K3680" s="106"/>
      <c r="L3680" s="114"/>
      <c r="M3680" s="114">
        <f>tblAquisições[[#This Row],[VALOR UNITARIO COMPRADO]]*tblAquisições[[#This Row],[QUANTIDADE COMPRADA]]</f>
        <v>0</v>
      </c>
      <c r="N3680" s="110">
        <f>K3680-tblAquisições[[#This Row],[QUANTIDADE PLANEJADA]]</f>
        <v>-200</v>
      </c>
      <c r="O3680" s="106" t="str">
        <f t="shared" si="115"/>
        <v>Faltando Comprar</v>
      </c>
    </row>
    <row r="3681" spans="1:15" ht="31.5">
      <c r="A3681" s="16" t="s">
        <v>17</v>
      </c>
      <c r="B3681" s="16" t="s">
        <v>34</v>
      </c>
      <c r="C3681" s="17" t="s">
        <v>19</v>
      </c>
      <c r="D3681" s="18" t="s">
        <v>2063</v>
      </c>
      <c r="E3681" s="18">
        <v>20</v>
      </c>
      <c r="F3681" s="18" t="s">
        <v>21</v>
      </c>
      <c r="G3681" s="18" t="s">
        <v>22</v>
      </c>
      <c r="H3681" s="18" t="s">
        <v>23</v>
      </c>
      <c r="I3681" s="19">
        <v>7.13</v>
      </c>
      <c r="J3681" s="20">
        <f t="shared" si="114"/>
        <v>142.6</v>
      </c>
      <c r="K3681" s="106"/>
      <c r="L3681" s="114"/>
      <c r="M3681" s="114">
        <f>tblAquisições[[#This Row],[VALOR UNITARIO COMPRADO]]*tblAquisições[[#This Row],[QUANTIDADE COMPRADA]]</f>
        <v>0</v>
      </c>
      <c r="N3681" s="110">
        <f>K3681-tblAquisições[[#This Row],[QUANTIDADE PLANEJADA]]</f>
        <v>-20</v>
      </c>
      <c r="O3681" s="106" t="str">
        <f t="shared" si="115"/>
        <v>Faltando Comprar</v>
      </c>
    </row>
    <row r="3682" spans="1:15" ht="31.5">
      <c r="A3682" s="16" t="s">
        <v>17</v>
      </c>
      <c r="B3682" s="16" t="s">
        <v>31</v>
      </c>
      <c r="C3682" s="17" t="s">
        <v>19</v>
      </c>
      <c r="D3682" s="18" t="s">
        <v>2063</v>
      </c>
      <c r="E3682" s="18">
        <v>40</v>
      </c>
      <c r="F3682" s="18" t="s">
        <v>21</v>
      </c>
      <c r="G3682" s="18" t="s">
        <v>22</v>
      </c>
      <c r="H3682" s="18" t="s">
        <v>23</v>
      </c>
      <c r="I3682" s="19">
        <v>7.13</v>
      </c>
      <c r="J3682" s="20">
        <f t="shared" si="114"/>
        <v>285.2</v>
      </c>
      <c r="K3682" s="106"/>
      <c r="L3682" s="114"/>
      <c r="M3682" s="114">
        <f>tblAquisições[[#This Row],[VALOR UNITARIO COMPRADO]]*tblAquisições[[#This Row],[QUANTIDADE COMPRADA]]</f>
        <v>0</v>
      </c>
      <c r="N3682" s="110">
        <f>K3682-tblAquisições[[#This Row],[QUANTIDADE PLANEJADA]]</f>
        <v>-40</v>
      </c>
      <c r="O3682" s="106" t="str">
        <f t="shared" si="115"/>
        <v>Faltando Comprar</v>
      </c>
    </row>
    <row r="3683" spans="1:15" ht="31.5">
      <c r="A3683" s="16" t="s">
        <v>17</v>
      </c>
      <c r="B3683" s="16" t="s">
        <v>41</v>
      </c>
      <c r="C3683" s="17" t="s">
        <v>19</v>
      </c>
      <c r="D3683" s="18" t="s">
        <v>2063</v>
      </c>
      <c r="E3683" s="18">
        <v>50</v>
      </c>
      <c r="F3683" s="18" t="s">
        <v>21</v>
      </c>
      <c r="G3683" s="18" t="s">
        <v>22</v>
      </c>
      <c r="H3683" s="18" t="s">
        <v>23</v>
      </c>
      <c r="I3683" s="19">
        <v>7.13</v>
      </c>
      <c r="J3683" s="20">
        <f t="shared" si="114"/>
        <v>356.5</v>
      </c>
      <c r="K3683" s="106"/>
      <c r="L3683" s="114"/>
      <c r="M3683" s="114">
        <f>tblAquisições[[#This Row],[VALOR UNITARIO COMPRADO]]*tblAquisições[[#This Row],[QUANTIDADE COMPRADA]]</f>
        <v>0</v>
      </c>
      <c r="N3683" s="110">
        <f>K3683-tblAquisições[[#This Row],[QUANTIDADE PLANEJADA]]</f>
        <v>-50</v>
      </c>
      <c r="O3683" s="106" t="str">
        <f t="shared" si="115"/>
        <v>Faltando Comprar</v>
      </c>
    </row>
    <row r="3684" spans="1:15" ht="31.5">
      <c r="A3684" s="16" t="s">
        <v>17</v>
      </c>
      <c r="B3684" s="16" t="s">
        <v>26</v>
      </c>
      <c r="C3684" s="17" t="s">
        <v>19</v>
      </c>
      <c r="D3684" s="18" t="s">
        <v>2063</v>
      </c>
      <c r="E3684" s="18">
        <v>5</v>
      </c>
      <c r="F3684" s="18" t="s">
        <v>21</v>
      </c>
      <c r="G3684" s="18" t="s">
        <v>22</v>
      </c>
      <c r="H3684" s="18" t="s">
        <v>23</v>
      </c>
      <c r="I3684" s="19">
        <v>7.13</v>
      </c>
      <c r="J3684" s="20">
        <f t="shared" si="114"/>
        <v>35.65</v>
      </c>
      <c r="K3684" s="106"/>
      <c r="L3684" s="114"/>
      <c r="M3684" s="114">
        <f>tblAquisições[[#This Row],[VALOR UNITARIO COMPRADO]]*tblAquisições[[#This Row],[QUANTIDADE COMPRADA]]</f>
        <v>0</v>
      </c>
      <c r="N3684" s="110">
        <f>K3684-tblAquisições[[#This Row],[QUANTIDADE PLANEJADA]]</f>
        <v>-5</v>
      </c>
      <c r="O3684" s="106" t="str">
        <f t="shared" si="115"/>
        <v>Faltando Comprar</v>
      </c>
    </row>
    <row r="3685" spans="1:15" ht="31.5">
      <c r="A3685" s="16" t="s">
        <v>17</v>
      </c>
      <c r="B3685" s="16" t="s">
        <v>28</v>
      </c>
      <c r="C3685" s="17" t="s">
        <v>19</v>
      </c>
      <c r="D3685" s="18" t="s">
        <v>2064</v>
      </c>
      <c r="E3685" s="18">
        <v>10</v>
      </c>
      <c r="F3685" s="18" t="s">
        <v>21</v>
      </c>
      <c r="G3685" s="18" t="s">
        <v>22</v>
      </c>
      <c r="H3685" s="18" t="s">
        <v>23</v>
      </c>
      <c r="I3685" s="19">
        <v>407.18</v>
      </c>
      <c r="J3685" s="20">
        <f t="shared" si="114"/>
        <v>4071.8</v>
      </c>
      <c r="K3685" s="106"/>
      <c r="L3685" s="114"/>
      <c r="M3685" s="114">
        <f>tblAquisições[[#This Row],[VALOR UNITARIO COMPRADO]]*tblAquisições[[#This Row],[QUANTIDADE COMPRADA]]</f>
        <v>0</v>
      </c>
      <c r="N3685" s="110">
        <f>K3685-tblAquisições[[#This Row],[QUANTIDADE PLANEJADA]]</f>
        <v>-10</v>
      </c>
      <c r="O3685" s="106" t="str">
        <f t="shared" si="115"/>
        <v>Faltando Comprar</v>
      </c>
    </row>
    <row r="3686" spans="1:15" ht="31.5">
      <c r="A3686" s="16" t="s">
        <v>17</v>
      </c>
      <c r="B3686" s="16" t="s">
        <v>80</v>
      </c>
      <c r="C3686" s="17" t="s">
        <v>19</v>
      </c>
      <c r="D3686" s="18" t="s">
        <v>2065</v>
      </c>
      <c r="E3686" s="18">
        <v>40</v>
      </c>
      <c r="F3686" s="18" t="s">
        <v>38</v>
      </c>
      <c r="G3686" s="18" t="s">
        <v>39</v>
      </c>
      <c r="H3686" s="18" t="s">
        <v>23</v>
      </c>
      <c r="I3686" s="19">
        <v>36</v>
      </c>
      <c r="J3686" s="20">
        <f t="shared" si="114"/>
        <v>1440</v>
      </c>
      <c r="K3686" s="106"/>
      <c r="L3686" s="114"/>
      <c r="M3686" s="114">
        <f>tblAquisições[[#This Row],[VALOR UNITARIO COMPRADO]]*tblAquisições[[#This Row],[QUANTIDADE COMPRADA]]</f>
        <v>0</v>
      </c>
      <c r="N3686" s="110">
        <f>K3686-tblAquisições[[#This Row],[QUANTIDADE PLANEJADA]]</f>
        <v>-40</v>
      </c>
      <c r="O3686" s="106" t="str">
        <f t="shared" si="115"/>
        <v>Faltando Comprar</v>
      </c>
    </row>
    <row r="3687" spans="1:15" ht="31.5">
      <c r="A3687" s="16" t="s">
        <v>17</v>
      </c>
      <c r="B3687" s="16" t="s">
        <v>28</v>
      </c>
      <c r="C3687" s="17" t="s">
        <v>19</v>
      </c>
      <c r="D3687" s="18" t="s">
        <v>2066</v>
      </c>
      <c r="E3687" s="18">
        <v>120</v>
      </c>
      <c r="F3687" s="18" t="s">
        <v>21</v>
      </c>
      <c r="G3687" s="18" t="s">
        <v>22</v>
      </c>
      <c r="H3687" s="18" t="s">
        <v>23</v>
      </c>
      <c r="I3687" s="19">
        <v>36</v>
      </c>
      <c r="J3687" s="20">
        <f t="shared" si="114"/>
        <v>4320</v>
      </c>
      <c r="K3687" s="106"/>
      <c r="L3687" s="114"/>
      <c r="M3687" s="114">
        <f>tblAquisições[[#This Row],[VALOR UNITARIO COMPRADO]]*tblAquisições[[#This Row],[QUANTIDADE COMPRADA]]</f>
        <v>0</v>
      </c>
      <c r="N3687" s="110">
        <f>K3687-tblAquisições[[#This Row],[QUANTIDADE PLANEJADA]]</f>
        <v>-120</v>
      </c>
      <c r="O3687" s="106" t="str">
        <f t="shared" si="115"/>
        <v>Faltando Comprar</v>
      </c>
    </row>
    <row r="3688" spans="1:15" ht="31.5">
      <c r="A3688" s="16" t="s">
        <v>17</v>
      </c>
      <c r="B3688" s="16" t="s">
        <v>31</v>
      </c>
      <c r="C3688" s="17" t="s">
        <v>19</v>
      </c>
      <c r="D3688" s="18" t="s">
        <v>2067</v>
      </c>
      <c r="E3688" s="18">
        <v>10</v>
      </c>
      <c r="F3688" s="18" t="s">
        <v>328</v>
      </c>
      <c r="G3688" s="18" t="s">
        <v>22</v>
      </c>
      <c r="H3688" s="18" t="s">
        <v>23</v>
      </c>
      <c r="I3688" s="19">
        <v>93.29</v>
      </c>
      <c r="J3688" s="20">
        <f t="shared" si="114"/>
        <v>932.90000000000009</v>
      </c>
      <c r="K3688" s="106"/>
      <c r="L3688" s="114"/>
      <c r="M3688" s="114">
        <f>tblAquisições[[#This Row],[VALOR UNITARIO COMPRADO]]*tblAquisições[[#This Row],[QUANTIDADE COMPRADA]]</f>
        <v>0</v>
      </c>
      <c r="N3688" s="110">
        <f>K3688-tblAquisições[[#This Row],[QUANTIDADE PLANEJADA]]</f>
        <v>-10</v>
      </c>
      <c r="O3688" s="106" t="str">
        <f t="shared" si="115"/>
        <v>Faltando Comprar</v>
      </c>
    </row>
    <row r="3689" spans="1:15" ht="31.5">
      <c r="A3689" s="16" t="s">
        <v>17</v>
      </c>
      <c r="B3689" s="16" t="s">
        <v>26</v>
      </c>
      <c r="C3689" s="17" t="s">
        <v>19</v>
      </c>
      <c r="D3689" s="18" t="s">
        <v>2067</v>
      </c>
      <c r="E3689" s="18">
        <v>2</v>
      </c>
      <c r="F3689" s="18" t="s">
        <v>328</v>
      </c>
      <c r="G3689" s="18" t="s">
        <v>22</v>
      </c>
      <c r="H3689" s="18" t="s">
        <v>23</v>
      </c>
      <c r="I3689" s="19">
        <v>93.29</v>
      </c>
      <c r="J3689" s="20">
        <f t="shared" si="114"/>
        <v>186.58</v>
      </c>
      <c r="K3689" s="106"/>
      <c r="L3689" s="114"/>
      <c r="M3689" s="114">
        <f>tblAquisições[[#This Row],[VALOR UNITARIO COMPRADO]]*tblAquisições[[#This Row],[QUANTIDADE COMPRADA]]</f>
        <v>0</v>
      </c>
      <c r="N3689" s="110">
        <f>K3689-tblAquisições[[#This Row],[QUANTIDADE PLANEJADA]]</f>
        <v>-2</v>
      </c>
      <c r="O3689" s="106" t="str">
        <f t="shared" si="115"/>
        <v>Faltando Comprar</v>
      </c>
    </row>
    <row r="3690" spans="1:15" ht="31.5">
      <c r="A3690" s="16" t="s">
        <v>17</v>
      </c>
      <c r="B3690" s="16" t="s">
        <v>28</v>
      </c>
      <c r="C3690" s="17" t="s">
        <v>19</v>
      </c>
      <c r="D3690" s="18" t="s">
        <v>2067</v>
      </c>
      <c r="E3690" s="18">
        <v>4</v>
      </c>
      <c r="F3690" s="18" t="s">
        <v>328</v>
      </c>
      <c r="G3690" s="18" t="s">
        <v>22</v>
      </c>
      <c r="H3690" s="18" t="s">
        <v>23</v>
      </c>
      <c r="I3690" s="19">
        <v>93.29</v>
      </c>
      <c r="J3690" s="20">
        <f t="shared" si="114"/>
        <v>373.16</v>
      </c>
      <c r="K3690" s="106"/>
      <c r="L3690" s="114"/>
      <c r="M3690" s="114">
        <f>tblAquisições[[#This Row],[VALOR UNITARIO COMPRADO]]*tblAquisições[[#This Row],[QUANTIDADE COMPRADA]]</f>
        <v>0</v>
      </c>
      <c r="N3690" s="110">
        <f>K3690-tblAquisições[[#This Row],[QUANTIDADE PLANEJADA]]</f>
        <v>-4</v>
      </c>
      <c r="O3690" s="106" t="str">
        <f t="shared" si="115"/>
        <v>Faltando Comprar</v>
      </c>
    </row>
    <row r="3691" spans="1:15" ht="31.5">
      <c r="A3691" s="16" t="s">
        <v>17</v>
      </c>
      <c r="B3691" s="16" t="s">
        <v>26</v>
      </c>
      <c r="C3691" s="17" t="s">
        <v>19</v>
      </c>
      <c r="D3691" s="18" t="s">
        <v>2068</v>
      </c>
      <c r="E3691" s="18">
        <v>5</v>
      </c>
      <c r="F3691" s="18" t="s">
        <v>21</v>
      </c>
      <c r="G3691" s="18" t="s">
        <v>22</v>
      </c>
      <c r="H3691" s="18" t="s">
        <v>23</v>
      </c>
      <c r="I3691" s="19">
        <v>54.96</v>
      </c>
      <c r="J3691" s="20">
        <f t="shared" si="114"/>
        <v>274.8</v>
      </c>
      <c r="K3691" s="106"/>
      <c r="L3691" s="114"/>
      <c r="M3691" s="114">
        <f>tblAquisições[[#This Row],[VALOR UNITARIO COMPRADO]]*tblAquisições[[#This Row],[QUANTIDADE COMPRADA]]</f>
        <v>0</v>
      </c>
      <c r="N3691" s="110">
        <f>K3691-tblAquisições[[#This Row],[QUANTIDADE PLANEJADA]]</f>
        <v>-5</v>
      </c>
      <c r="O3691" s="106" t="str">
        <f t="shared" si="115"/>
        <v>Faltando Comprar</v>
      </c>
    </row>
    <row r="3692" spans="1:15" ht="47.25">
      <c r="A3692" s="16" t="s">
        <v>17</v>
      </c>
      <c r="B3692" s="16" t="s">
        <v>28</v>
      </c>
      <c r="C3692" s="17" t="s">
        <v>19</v>
      </c>
      <c r="D3692" s="18" t="s">
        <v>2069</v>
      </c>
      <c r="E3692" s="18">
        <v>3</v>
      </c>
      <c r="F3692" s="18" t="s">
        <v>78</v>
      </c>
      <c r="G3692" s="18" t="s">
        <v>22</v>
      </c>
      <c r="H3692" s="18" t="s">
        <v>23</v>
      </c>
      <c r="I3692" s="19">
        <v>45.89</v>
      </c>
      <c r="J3692" s="20">
        <f t="shared" si="114"/>
        <v>137.67000000000002</v>
      </c>
      <c r="K3692" s="106"/>
      <c r="L3692" s="114"/>
      <c r="M3692" s="114">
        <f>tblAquisições[[#This Row],[VALOR UNITARIO COMPRADO]]*tblAquisições[[#This Row],[QUANTIDADE COMPRADA]]</f>
        <v>0</v>
      </c>
      <c r="N3692" s="110">
        <f>K3692-tblAquisições[[#This Row],[QUANTIDADE PLANEJADA]]</f>
        <v>-3</v>
      </c>
      <c r="O3692" s="106" t="str">
        <f t="shared" si="115"/>
        <v>Faltando Comprar</v>
      </c>
    </row>
    <row r="3693" spans="1:15" ht="31.5">
      <c r="A3693" s="16" t="s">
        <v>17</v>
      </c>
      <c r="B3693" s="16" t="s">
        <v>26</v>
      </c>
      <c r="C3693" s="17" t="s">
        <v>19</v>
      </c>
      <c r="D3693" s="18" t="s">
        <v>2070</v>
      </c>
      <c r="E3693" s="18">
        <v>5</v>
      </c>
      <c r="F3693" s="18" t="s">
        <v>21</v>
      </c>
      <c r="G3693" s="18" t="s">
        <v>22</v>
      </c>
      <c r="H3693" s="18" t="s">
        <v>23</v>
      </c>
      <c r="I3693" s="19">
        <v>2.56</v>
      </c>
      <c r="J3693" s="20">
        <f t="shared" si="114"/>
        <v>12.8</v>
      </c>
      <c r="K3693" s="106"/>
      <c r="L3693" s="114"/>
      <c r="M3693" s="114">
        <f>tblAquisições[[#This Row],[VALOR UNITARIO COMPRADO]]*tblAquisições[[#This Row],[QUANTIDADE COMPRADA]]</f>
        <v>0</v>
      </c>
      <c r="N3693" s="110">
        <f>K3693-tblAquisições[[#This Row],[QUANTIDADE PLANEJADA]]</f>
        <v>-5</v>
      </c>
      <c r="O3693" s="106" t="str">
        <f t="shared" si="115"/>
        <v>Faltando Comprar</v>
      </c>
    </row>
    <row r="3694" spans="1:15" ht="31.5">
      <c r="A3694" s="16" t="s">
        <v>17</v>
      </c>
      <c r="B3694" s="16" t="s">
        <v>28</v>
      </c>
      <c r="C3694" s="17" t="s">
        <v>19</v>
      </c>
      <c r="D3694" s="18" t="s">
        <v>2070</v>
      </c>
      <c r="E3694" s="18">
        <v>100</v>
      </c>
      <c r="F3694" s="18" t="s">
        <v>21</v>
      </c>
      <c r="G3694" s="18" t="s">
        <v>22</v>
      </c>
      <c r="H3694" s="18" t="s">
        <v>23</v>
      </c>
      <c r="I3694" s="19">
        <v>2.56</v>
      </c>
      <c r="J3694" s="20">
        <f t="shared" si="114"/>
        <v>256</v>
      </c>
      <c r="K3694" s="106"/>
      <c r="L3694" s="114"/>
      <c r="M3694" s="114">
        <f>tblAquisições[[#This Row],[VALOR UNITARIO COMPRADO]]*tblAquisições[[#This Row],[QUANTIDADE COMPRADA]]</f>
        <v>0</v>
      </c>
      <c r="N3694" s="110">
        <f>K3694-tblAquisições[[#This Row],[QUANTIDADE PLANEJADA]]</f>
        <v>-100</v>
      </c>
      <c r="O3694" s="106" t="str">
        <f t="shared" si="115"/>
        <v>Faltando Comprar</v>
      </c>
    </row>
    <row r="3695" spans="1:15" ht="31.5">
      <c r="A3695" s="16" t="s">
        <v>17</v>
      </c>
      <c r="B3695" s="16" t="s">
        <v>26</v>
      </c>
      <c r="C3695" s="17" t="s">
        <v>19</v>
      </c>
      <c r="D3695" s="18" t="s">
        <v>2071</v>
      </c>
      <c r="E3695" s="18">
        <v>8</v>
      </c>
      <c r="F3695" s="18" t="s">
        <v>30</v>
      </c>
      <c r="G3695" s="18" t="s">
        <v>22</v>
      </c>
      <c r="H3695" s="18" t="s">
        <v>23</v>
      </c>
      <c r="I3695" s="19">
        <v>249.87</v>
      </c>
      <c r="J3695" s="20">
        <f t="shared" si="114"/>
        <v>1998.96</v>
      </c>
      <c r="K3695" s="106"/>
      <c r="L3695" s="114"/>
      <c r="M3695" s="114">
        <f>tblAquisições[[#This Row],[VALOR UNITARIO COMPRADO]]*tblAquisições[[#This Row],[QUANTIDADE COMPRADA]]</f>
        <v>0</v>
      </c>
      <c r="N3695" s="110">
        <f>K3695-tblAquisições[[#This Row],[QUANTIDADE PLANEJADA]]</f>
        <v>-8</v>
      </c>
      <c r="O3695" s="106" t="str">
        <f t="shared" si="115"/>
        <v>Faltando Comprar</v>
      </c>
    </row>
    <row r="3696" spans="1:15" ht="31.5">
      <c r="A3696" s="16" t="s">
        <v>17</v>
      </c>
      <c r="B3696" s="16" t="s">
        <v>26</v>
      </c>
      <c r="C3696" s="17" t="s">
        <v>19</v>
      </c>
      <c r="D3696" s="18" t="s">
        <v>2072</v>
      </c>
      <c r="E3696" s="18">
        <v>25</v>
      </c>
      <c r="F3696" s="18" t="s">
        <v>30</v>
      </c>
      <c r="G3696" s="18" t="s">
        <v>22</v>
      </c>
      <c r="H3696" s="18" t="s">
        <v>23</v>
      </c>
      <c r="I3696" s="19">
        <v>0.5</v>
      </c>
      <c r="J3696" s="20">
        <f t="shared" si="114"/>
        <v>12.5</v>
      </c>
      <c r="K3696" s="106"/>
      <c r="L3696" s="114"/>
      <c r="M3696" s="114">
        <f>tblAquisições[[#This Row],[VALOR UNITARIO COMPRADO]]*tblAquisições[[#This Row],[QUANTIDADE COMPRADA]]</f>
        <v>0</v>
      </c>
      <c r="N3696" s="110">
        <f>K3696-tblAquisições[[#This Row],[QUANTIDADE PLANEJADA]]</f>
        <v>-25</v>
      </c>
      <c r="O3696" s="106" t="str">
        <f t="shared" si="115"/>
        <v>Faltando Comprar</v>
      </c>
    </row>
    <row r="3697" spans="1:15" ht="31.5">
      <c r="A3697" s="16" t="s">
        <v>17</v>
      </c>
      <c r="B3697" s="16" t="s">
        <v>28</v>
      </c>
      <c r="C3697" s="17" t="s">
        <v>19</v>
      </c>
      <c r="D3697" s="18" t="s">
        <v>2073</v>
      </c>
      <c r="E3697" s="18">
        <v>80</v>
      </c>
      <c r="F3697" s="18" t="s">
        <v>21</v>
      </c>
      <c r="G3697" s="18" t="s">
        <v>22</v>
      </c>
      <c r="H3697" s="18" t="s">
        <v>23</v>
      </c>
      <c r="I3697" s="19">
        <v>83.95</v>
      </c>
      <c r="J3697" s="20">
        <f t="shared" si="114"/>
        <v>6716</v>
      </c>
      <c r="K3697" s="106"/>
      <c r="L3697" s="114"/>
      <c r="M3697" s="114">
        <f>tblAquisições[[#This Row],[VALOR UNITARIO COMPRADO]]*tblAquisições[[#This Row],[QUANTIDADE COMPRADA]]</f>
        <v>0</v>
      </c>
      <c r="N3697" s="110">
        <f>K3697-tblAquisições[[#This Row],[QUANTIDADE PLANEJADA]]</f>
        <v>-80</v>
      </c>
      <c r="O3697" s="106" t="str">
        <f t="shared" si="115"/>
        <v>Faltando Comprar</v>
      </c>
    </row>
    <row r="3698" spans="1:15" ht="47.25">
      <c r="A3698" s="16" t="s">
        <v>17</v>
      </c>
      <c r="B3698" s="16" t="s">
        <v>34</v>
      </c>
      <c r="C3698" s="17" t="s">
        <v>19</v>
      </c>
      <c r="D3698" s="18" t="s">
        <v>2074</v>
      </c>
      <c r="E3698" s="18">
        <v>10</v>
      </c>
      <c r="F3698" s="18" t="s">
        <v>78</v>
      </c>
      <c r="G3698" s="18" t="s">
        <v>22</v>
      </c>
      <c r="H3698" s="18" t="s">
        <v>23</v>
      </c>
      <c r="I3698" s="19">
        <v>29.63</v>
      </c>
      <c r="J3698" s="20">
        <f t="shared" si="114"/>
        <v>296.3</v>
      </c>
      <c r="K3698" s="106"/>
      <c r="L3698" s="114"/>
      <c r="M3698" s="114">
        <f>tblAquisições[[#This Row],[VALOR UNITARIO COMPRADO]]*tblAquisições[[#This Row],[QUANTIDADE COMPRADA]]</f>
        <v>0</v>
      </c>
      <c r="N3698" s="110">
        <f>K3698-tblAquisições[[#This Row],[QUANTIDADE PLANEJADA]]</f>
        <v>-10</v>
      </c>
      <c r="O3698" s="106" t="str">
        <f t="shared" si="115"/>
        <v>Faltando Comprar</v>
      </c>
    </row>
    <row r="3699" spans="1:15" ht="47.25">
      <c r="A3699" s="16" t="s">
        <v>17</v>
      </c>
      <c r="B3699" s="16" t="s">
        <v>26</v>
      </c>
      <c r="C3699" s="17" t="s">
        <v>19</v>
      </c>
      <c r="D3699" s="18" t="s">
        <v>2075</v>
      </c>
      <c r="E3699" s="18">
        <v>36</v>
      </c>
      <c r="F3699" s="18" t="s">
        <v>239</v>
      </c>
      <c r="G3699" s="18" t="s">
        <v>22</v>
      </c>
      <c r="H3699" s="18" t="s">
        <v>23</v>
      </c>
      <c r="I3699" s="19">
        <v>9.6999999999999993</v>
      </c>
      <c r="J3699" s="20">
        <f t="shared" si="114"/>
        <v>349.2</v>
      </c>
      <c r="K3699" s="106"/>
      <c r="L3699" s="114"/>
      <c r="M3699" s="114">
        <f>tblAquisições[[#This Row],[VALOR UNITARIO COMPRADO]]*tblAquisições[[#This Row],[QUANTIDADE COMPRADA]]</f>
        <v>0</v>
      </c>
      <c r="N3699" s="110">
        <f>K3699-tblAquisições[[#This Row],[QUANTIDADE PLANEJADA]]</f>
        <v>-36</v>
      </c>
      <c r="O3699" s="106" t="str">
        <f t="shared" si="115"/>
        <v>Faltando Comprar</v>
      </c>
    </row>
    <row r="3700" spans="1:15" ht="47.25">
      <c r="A3700" s="16" t="s">
        <v>17</v>
      </c>
      <c r="B3700" s="16" t="s">
        <v>26</v>
      </c>
      <c r="C3700" s="17" t="s">
        <v>19</v>
      </c>
      <c r="D3700" s="18" t="s">
        <v>2076</v>
      </c>
      <c r="E3700" s="18">
        <v>80</v>
      </c>
      <c r="F3700" s="18" t="s">
        <v>239</v>
      </c>
      <c r="G3700" s="18" t="s">
        <v>22</v>
      </c>
      <c r="H3700" s="18" t="s">
        <v>23</v>
      </c>
      <c r="I3700" s="19">
        <v>9</v>
      </c>
      <c r="J3700" s="20">
        <f t="shared" si="114"/>
        <v>720</v>
      </c>
      <c r="K3700" s="106"/>
      <c r="L3700" s="114"/>
      <c r="M3700" s="114">
        <f>tblAquisições[[#This Row],[VALOR UNITARIO COMPRADO]]*tblAquisições[[#This Row],[QUANTIDADE COMPRADA]]</f>
        <v>0</v>
      </c>
      <c r="N3700" s="110">
        <f>K3700-tblAquisições[[#This Row],[QUANTIDADE PLANEJADA]]</f>
        <v>-80</v>
      </c>
      <c r="O3700" s="106" t="str">
        <f t="shared" si="115"/>
        <v>Faltando Comprar</v>
      </c>
    </row>
    <row r="3701" spans="1:15" ht="31.5">
      <c r="A3701" s="16" t="s">
        <v>17</v>
      </c>
      <c r="B3701" s="16" t="s">
        <v>80</v>
      </c>
      <c r="C3701" s="17" t="s">
        <v>19</v>
      </c>
      <c r="D3701" s="18" t="s">
        <v>2077</v>
      </c>
      <c r="E3701" s="18">
        <v>5</v>
      </c>
      <c r="F3701" s="18" t="s">
        <v>82</v>
      </c>
      <c r="G3701" s="18" t="s">
        <v>39</v>
      </c>
      <c r="H3701" s="21"/>
      <c r="I3701" s="19">
        <v>102.33</v>
      </c>
      <c r="J3701" s="20">
        <f t="shared" si="114"/>
        <v>511.65</v>
      </c>
      <c r="K3701" s="106"/>
      <c r="L3701" s="114"/>
      <c r="M3701" s="114">
        <f>tblAquisições[[#This Row],[VALOR UNITARIO COMPRADO]]*tblAquisições[[#This Row],[QUANTIDADE COMPRADA]]</f>
        <v>0</v>
      </c>
      <c r="N3701" s="110">
        <f>K3701-tblAquisições[[#This Row],[QUANTIDADE PLANEJADA]]</f>
        <v>-5</v>
      </c>
      <c r="O3701" s="106" t="str">
        <f t="shared" si="115"/>
        <v>Faltando Comprar</v>
      </c>
    </row>
    <row r="3702" spans="1:15" ht="31.5">
      <c r="A3702" s="16" t="s">
        <v>17</v>
      </c>
      <c r="B3702" s="16" t="s">
        <v>26</v>
      </c>
      <c r="C3702" s="17" t="s">
        <v>19</v>
      </c>
      <c r="D3702" s="18" t="s">
        <v>2078</v>
      </c>
      <c r="E3702" s="18">
        <v>5</v>
      </c>
      <c r="F3702" s="18" t="s">
        <v>30</v>
      </c>
      <c r="G3702" s="18" t="s">
        <v>22</v>
      </c>
      <c r="H3702" s="18" t="s">
        <v>23</v>
      </c>
      <c r="I3702" s="19">
        <v>102.33</v>
      </c>
      <c r="J3702" s="20">
        <f t="shared" si="114"/>
        <v>511.65</v>
      </c>
      <c r="K3702" s="106"/>
      <c r="L3702" s="114"/>
      <c r="M3702" s="114">
        <f>tblAquisições[[#This Row],[VALOR UNITARIO COMPRADO]]*tblAquisições[[#This Row],[QUANTIDADE COMPRADA]]</f>
        <v>0</v>
      </c>
      <c r="N3702" s="110">
        <f>K3702-tblAquisições[[#This Row],[QUANTIDADE PLANEJADA]]</f>
        <v>-5</v>
      </c>
      <c r="O3702" s="106" t="str">
        <f t="shared" si="115"/>
        <v>Faltando Comprar</v>
      </c>
    </row>
    <row r="3703" spans="1:15" ht="31.5">
      <c r="A3703" s="16" t="s">
        <v>17</v>
      </c>
      <c r="B3703" s="16" t="s">
        <v>26</v>
      </c>
      <c r="C3703" s="17" t="s">
        <v>19</v>
      </c>
      <c r="D3703" s="18" t="s">
        <v>2079</v>
      </c>
      <c r="E3703" s="18">
        <v>5</v>
      </c>
      <c r="F3703" s="18" t="s">
        <v>30</v>
      </c>
      <c r="G3703" s="18" t="s">
        <v>22</v>
      </c>
      <c r="H3703" s="18" t="s">
        <v>23</v>
      </c>
      <c r="I3703" s="19">
        <v>130</v>
      </c>
      <c r="J3703" s="20">
        <f t="shared" si="114"/>
        <v>650</v>
      </c>
      <c r="K3703" s="106"/>
      <c r="L3703" s="114"/>
      <c r="M3703" s="114">
        <f>tblAquisições[[#This Row],[VALOR UNITARIO COMPRADO]]*tblAquisições[[#This Row],[QUANTIDADE COMPRADA]]</f>
        <v>0</v>
      </c>
      <c r="N3703" s="110">
        <f>K3703-tblAquisições[[#This Row],[QUANTIDADE PLANEJADA]]</f>
        <v>-5</v>
      </c>
      <c r="O3703" s="106" t="str">
        <f t="shared" si="115"/>
        <v>Faltando Comprar</v>
      </c>
    </row>
    <row r="3704" spans="1:15" ht="31.5">
      <c r="A3704" s="16" t="s">
        <v>17</v>
      </c>
      <c r="B3704" s="16" t="s">
        <v>18</v>
      </c>
      <c r="C3704" s="17" t="s">
        <v>19</v>
      </c>
      <c r="D3704" s="18" t="s">
        <v>2080</v>
      </c>
      <c r="E3704" s="18">
        <v>8</v>
      </c>
      <c r="F3704" s="18" t="s">
        <v>1455</v>
      </c>
      <c r="G3704" s="18" t="s">
        <v>127</v>
      </c>
      <c r="H3704" s="18" t="s">
        <v>23</v>
      </c>
      <c r="I3704" s="19">
        <v>463.94</v>
      </c>
      <c r="J3704" s="20">
        <f t="shared" si="114"/>
        <v>3711.52</v>
      </c>
      <c r="K3704" s="106"/>
      <c r="L3704" s="114"/>
      <c r="M3704" s="114">
        <f>tblAquisições[[#This Row],[VALOR UNITARIO COMPRADO]]*tblAquisições[[#This Row],[QUANTIDADE COMPRADA]]</f>
        <v>0</v>
      </c>
      <c r="N3704" s="110">
        <f>K3704-tblAquisições[[#This Row],[QUANTIDADE PLANEJADA]]</f>
        <v>-8</v>
      </c>
      <c r="O3704" s="106" t="str">
        <f t="shared" si="115"/>
        <v>Faltando Comprar</v>
      </c>
    </row>
    <row r="3705" spans="1:15" ht="31.5">
      <c r="A3705" s="16" t="s">
        <v>17</v>
      </c>
      <c r="B3705" s="16" t="s">
        <v>24</v>
      </c>
      <c r="C3705" s="17" t="s">
        <v>19</v>
      </c>
      <c r="D3705" s="18" t="s">
        <v>2080</v>
      </c>
      <c r="E3705" s="18">
        <v>8</v>
      </c>
      <c r="F3705" s="18" t="s">
        <v>1455</v>
      </c>
      <c r="G3705" s="18" t="s">
        <v>127</v>
      </c>
      <c r="H3705" s="18" t="s">
        <v>23</v>
      </c>
      <c r="I3705" s="19">
        <v>463.94</v>
      </c>
      <c r="J3705" s="20">
        <f t="shared" si="114"/>
        <v>3711.52</v>
      </c>
      <c r="K3705" s="106"/>
      <c r="L3705" s="114"/>
      <c r="M3705" s="114">
        <f>tblAquisições[[#This Row],[VALOR UNITARIO COMPRADO]]*tblAquisições[[#This Row],[QUANTIDADE COMPRADA]]</f>
        <v>0</v>
      </c>
      <c r="N3705" s="110">
        <f>K3705-tblAquisições[[#This Row],[QUANTIDADE PLANEJADA]]</f>
        <v>-8</v>
      </c>
      <c r="O3705" s="106" t="str">
        <f t="shared" si="115"/>
        <v>Faltando Comprar</v>
      </c>
    </row>
    <row r="3706" spans="1:15" ht="31.5">
      <c r="A3706" s="16" t="s">
        <v>17</v>
      </c>
      <c r="B3706" s="16" t="s">
        <v>25</v>
      </c>
      <c r="C3706" s="17" t="s">
        <v>19</v>
      </c>
      <c r="D3706" s="18" t="s">
        <v>2080</v>
      </c>
      <c r="E3706" s="18">
        <v>8</v>
      </c>
      <c r="F3706" s="18" t="s">
        <v>1455</v>
      </c>
      <c r="G3706" s="18" t="s">
        <v>127</v>
      </c>
      <c r="H3706" s="18" t="s">
        <v>23</v>
      </c>
      <c r="I3706" s="19">
        <v>463.94</v>
      </c>
      <c r="J3706" s="20">
        <f t="shared" si="114"/>
        <v>3711.52</v>
      </c>
      <c r="K3706" s="106"/>
      <c r="L3706" s="114"/>
      <c r="M3706" s="114">
        <f>tblAquisições[[#This Row],[VALOR UNITARIO COMPRADO]]*tblAquisições[[#This Row],[QUANTIDADE COMPRADA]]</f>
        <v>0</v>
      </c>
      <c r="N3706" s="110">
        <f>K3706-tblAquisições[[#This Row],[QUANTIDADE PLANEJADA]]</f>
        <v>-8</v>
      </c>
      <c r="O3706" s="106" t="str">
        <f t="shared" si="115"/>
        <v>Faltando Comprar</v>
      </c>
    </row>
    <row r="3707" spans="1:15" ht="31.5">
      <c r="A3707" s="16" t="s">
        <v>17</v>
      </c>
      <c r="B3707" s="16" t="s">
        <v>34</v>
      </c>
      <c r="C3707" s="17" t="s">
        <v>19</v>
      </c>
      <c r="D3707" s="18" t="s">
        <v>2081</v>
      </c>
      <c r="E3707" s="18">
        <v>12</v>
      </c>
      <c r="F3707" s="18" t="s">
        <v>21</v>
      </c>
      <c r="G3707" s="18" t="s">
        <v>22</v>
      </c>
      <c r="H3707" s="18" t="s">
        <v>23</v>
      </c>
      <c r="I3707" s="19">
        <v>11.86</v>
      </c>
      <c r="J3707" s="20">
        <f t="shared" si="114"/>
        <v>142.32</v>
      </c>
      <c r="K3707" s="106"/>
      <c r="L3707" s="114"/>
      <c r="M3707" s="114">
        <f>tblAquisições[[#This Row],[VALOR UNITARIO COMPRADO]]*tblAquisições[[#This Row],[QUANTIDADE COMPRADA]]</f>
        <v>0</v>
      </c>
      <c r="N3707" s="110">
        <f>K3707-tblAquisições[[#This Row],[QUANTIDADE PLANEJADA]]</f>
        <v>-12</v>
      </c>
      <c r="O3707" s="106" t="str">
        <f t="shared" si="115"/>
        <v>Faltando Comprar</v>
      </c>
    </row>
    <row r="3708" spans="1:15" ht="31.5">
      <c r="A3708" s="16" t="s">
        <v>17</v>
      </c>
      <c r="B3708" s="16" t="s">
        <v>31</v>
      </c>
      <c r="C3708" s="17" t="s">
        <v>19</v>
      </c>
      <c r="D3708" s="18" t="s">
        <v>2081</v>
      </c>
      <c r="E3708" s="18">
        <v>5</v>
      </c>
      <c r="F3708" s="18" t="s">
        <v>21</v>
      </c>
      <c r="G3708" s="18" t="s">
        <v>22</v>
      </c>
      <c r="H3708" s="18" t="s">
        <v>23</v>
      </c>
      <c r="I3708" s="19">
        <v>11.86</v>
      </c>
      <c r="J3708" s="20">
        <f t="shared" si="114"/>
        <v>59.3</v>
      </c>
      <c r="K3708" s="106"/>
      <c r="L3708" s="114"/>
      <c r="M3708" s="114">
        <f>tblAquisições[[#This Row],[VALOR UNITARIO COMPRADO]]*tblAquisições[[#This Row],[QUANTIDADE COMPRADA]]</f>
        <v>0</v>
      </c>
      <c r="N3708" s="110">
        <f>K3708-tblAquisições[[#This Row],[QUANTIDADE PLANEJADA]]</f>
        <v>-5</v>
      </c>
      <c r="O3708" s="106" t="str">
        <f t="shared" si="115"/>
        <v>Faltando Comprar</v>
      </c>
    </row>
    <row r="3709" spans="1:15" ht="31.5">
      <c r="A3709" s="16" t="s">
        <v>17</v>
      </c>
      <c r="B3709" s="16" t="s">
        <v>41</v>
      </c>
      <c r="C3709" s="17" t="s">
        <v>19</v>
      </c>
      <c r="D3709" s="18" t="s">
        <v>2081</v>
      </c>
      <c r="E3709" s="18">
        <v>10</v>
      </c>
      <c r="F3709" s="18" t="s">
        <v>21</v>
      </c>
      <c r="G3709" s="18" t="s">
        <v>22</v>
      </c>
      <c r="H3709" s="18" t="s">
        <v>23</v>
      </c>
      <c r="I3709" s="19">
        <v>11.86</v>
      </c>
      <c r="J3709" s="20">
        <f t="shared" si="114"/>
        <v>118.6</v>
      </c>
      <c r="K3709" s="106"/>
      <c r="L3709" s="114"/>
      <c r="M3709" s="114">
        <f>tblAquisições[[#This Row],[VALOR UNITARIO COMPRADO]]*tblAquisições[[#This Row],[QUANTIDADE COMPRADA]]</f>
        <v>0</v>
      </c>
      <c r="N3709" s="110">
        <f>K3709-tblAquisições[[#This Row],[QUANTIDADE PLANEJADA]]</f>
        <v>-10</v>
      </c>
      <c r="O3709" s="106" t="str">
        <f t="shared" si="115"/>
        <v>Faltando Comprar</v>
      </c>
    </row>
    <row r="3710" spans="1:15" ht="31.5">
      <c r="A3710" s="16" t="s">
        <v>17</v>
      </c>
      <c r="B3710" s="16" t="s">
        <v>27</v>
      </c>
      <c r="C3710" s="17" t="s">
        <v>19</v>
      </c>
      <c r="D3710" s="18" t="s">
        <v>2081</v>
      </c>
      <c r="E3710" s="18">
        <v>50</v>
      </c>
      <c r="F3710" s="18" t="s">
        <v>21</v>
      </c>
      <c r="G3710" s="18" t="s">
        <v>22</v>
      </c>
      <c r="H3710" s="18" t="s">
        <v>23</v>
      </c>
      <c r="I3710" s="19">
        <v>11.86</v>
      </c>
      <c r="J3710" s="20">
        <f t="shared" si="114"/>
        <v>593</v>
      </c>
      <c r="K3710" s="106"/>
      <c r="L3710" s="114"/>
      <c r="M3710" s="114">
        <f>tblAquisições[[#This Row],[VALOR UNITARIO COMPRADO]]*tblAquisições[[#This Row],[QUANTIDADE COMPRADA]]</f>
        <v>0</v>
      </c>
      <c r="N3710" s="110">
        <f>K3710-tblAquisições[[#This Row],[QUANTIDADE PLANEJADA]]</f>
        <v>-50</v>
      </c>
      <c r="O3710" s="106" t="str">
        <f t="shared" si="115"/>
        <v>Faltando Comprar</v>
      </c>
    </row>
    <row r="3711" spans="1:15" ht="31.5">
      <c r="A3711" s="16" t="s">
        <v>17</v>
      </c>
      <c r="B3711" s="16" t="s">
        <v>28</v>
      </c>
      <c r="C3711" s="17" t="s">
        <v>19</v>
      </c>
      <c r="D3711" s="18" t="s">
        <v>2081</v>
      </c>
      <c r="E3711" s="18">
        <v>12</v>
      </c>
      <c r="F3711" s="18" t="s">
        <v>21</v>
      </c>
      <c r="G3711" s="18" t="s">
        <v>22</v>
      </c>
      <c r="H3711" s="18" t="s">
        <v>23</v>
      </c>
      <c r="I3711" s="19">
        <v>11.86</v>
      </c>
      <c r="J3711" s="20">
        <f t="shared" si="114"/>
        <v>142.32</v>
      </c>
      <c r="K3711" s="106"/>
      <c r="L3711" s="114"/>
      <c r="M3711" s="114">
        <f>tblAquisições[[#This Row],[VALOR UNITARIO COMPRADO]]*tblAquisições[[#This Row],[QUANTIDADE COMPRADA]]</f>
        <v>0</v>
      </c>
      <c r="N3711" s="110">
        <f>K3711-tblAquisições[[#This Row],[QUANTIDADE PLANEJADA]]</f>
        <v>-12</v>
      </c>
      <c r="O3711" s="106" t="str">
        <f t="shared" si="115"/>
        <v>Faltando Comprar</v>
      </c>
    </row>
    <row r="3712" spans="1:15" ht="47.25">
      <c r="A3712" s="16" t="s">
        <v>17</v>
      </c>
      <c r="B3712" s="16" t="s">
        <v>26</v>
      </c>
      <c r="C3712" s="17" t="s">
        <v>19</v>
      </c>
      <c r="D3712" s="18" t="s">
        <v>2082</v>
      </c>
      <c r="E3712" s="18">
        <v>50</v>
      </c>
      <c r="F3712" s="18" t="s">
        <v>78</v>
      </c>
      <c r="G3712" s="18" t="s">
        <v>22</v>
      </c>
      <c r="H3712" s="18" t="s">
        <v>23</v>
      </c>
      <c r="I3712" s="19">
        <v>6.42</v>
      </c>
      <c r="J3712" s="20">
        <f t="shared" si="114"/>
        <v>321</v>
      </c>
      <c r="K3712" s="106"/>
      <c r="L3712" s="114"/>
      <c r="M3712" s="114">
        <f>tblAquisições[[#This Row],[VALOR UNITARIO COMPRADO]]*tblAquisições[[#This Row],[QUANTIDADE COMPRADA]]</f>
        <v>0</v>
      </c>
      <c r="N3712" s="110">
        <f>K3712-tblAquisições[[#This Row],[QUANTIDADE PLANEJADA]]</f>
        <v>-50</v>
      </c>
      <c r="O3712" s="106" t="str">
        <f t="shared" si="115"/>
        <v>Faltando Comprar</v>
      </c>
    </row>
    <row r="3713" spans="1:15" ht="47.25">
      <c r="A3713" s="16" t="s">
        <v>17</v>
      </c>
      <c r="B3713" s="16" t="s">
        <v>28</v>
      </c>
      <c r="C3713" s="17" t="s">
        <v>19</v>
      </c>
      <c r="D3713" s="18" t="s">
        <v>2082</v>
      </c>
      <c r="E3713" s="18">
        <v>24</v>
      </c>
      <c r="F3713" s="18" t="s">
        <v>78</v>
      </c>
      <c r="G3713" s="18" t="s">
        <v>22</v>
      </c>
      <c r="H3713" s="18" t="s">
        <v>23</v>
      </c>
      <c r="I3713" s="19">
        <v>6.42</v>
      </c>
      <c r="J3713" s="20">
        <f t="shared" si="114"/>
        <v>154.07999999999998</v>
      </c>
      <c r="K3713" s="106"/>
      <c r="L3713" s="114"/>
      <c r="M3713" s="114">
        <f>tblAquisições[[#This Row],[VALOR UNITARIO COMPRADO]]*tblAquisições[[#This Row],[QUANTIDADE COMPRADA]]</f>
        <v>0</v>
      </c>
      <c r="N3713" s="110">
        <f>K3713-tblAquisições[[#This Row],[QUANTIDADE PLANEJADA]]</f>
        <v>-24</v>
      </c>
      <c r="O3713" s="106" t="str">
        <f t="shared" si="115"/>
        <v>Faltando Comprar</v>
      </c>
    </row>
    <row r="3714" spans="1:15" ht="47.25">
      <c r="A3714" s="16" t="s">
        <v>17</v>
      </c>
      <c r="B3714" s="16" t="s">
        <v>18</v>
      </c>
      <c r="C3714" s="17" t="s">
        <v>19</v>
      </c>
      <c r="D3714" s="18" t="s">
        <v>2083</v>
      </c>
      <c r="E3714" s="18">
        <v>50</v>
      </c>
      <c r="F3714" s="18" t="s">
        <v>78</v>
      </c>
      <c r="G3714" s="18" t="s">
        <v>22</v>
      </c>
      <c r="H3714" s="18" t="s">
        <v>23</v>
      </c>
      <c r="I3714" s="19">
        <v>6.06</v>
      </c>
      <c r="J3714" s="20">
        <f t="shared" ref="J3714:J3777" si="116">E3714*I3714</f>
        <v>303</v>
      </c>
      <c r="K3714" s="106"/>
      <c r="L3714" s="114"/>
      <c r="M3714" s="114">
        <f>tblAquisições[[#This Row],[VALOR UNITARIO COMPRADO]]*tblAquisições[[#This Row],[QUANTIDADE COMPRADA]]</f>
        <v>0</v>
      </c>
      <c r="N3714" s="110">
        <f>K3714-tblAquisições[[#This Row],[QUANTIDADE PLANEJADA]]</f>
        <v>-50</v>
      </c>
      <c r="O3714" s="106" t="str">
        <f t="shared" ref="O3714:O3777" si="117">IF(K3714=E3714,"OK",IF(K3714&lt;E3714,"Faltando Comprar","Excedente"))</f>
        <v>Faltando Comprar</v>
      </c>
    </row>
    <row r="3715" spans="1:15" ht="47.25">
      <c r="A3715" s="16" t="s">
        <v>17</v>
      </c>
      <c r="B3715" s="16" t="s">
        <v>24</v>
      </c>
      <c r="C3715" s="17" t="s">
        <v>19</v>
      </c>
      <c r="D3715" s="18" t="s">
        <v>2083</v>
      </c>
      <c r="E3715" s="18">
        <v>50</v>
      </c>
      <c r="F3715" s="18" t="s">
        <v>78</v>
      </c>
      <c r="G3715" s="18" t="s">
        <v>22</v>
      </c>
      <c r="H3715" s="18" t="s">
        <v>23</v>
      </c>
      <c r="I3715" s="19">
        <v>6.06</v>
      </c>
      <c r="J3715" s="20">
        <f t="shared" si="116"/>
        <v>303</v>
      </c>
      <c r="K3715" s="106"/>
      <c r="L3715" s="114"/>
      <c r="M3715" s="114">
        <f>tblAquisições[[#This Row],[VALOR UNITARIO COMPRADO]]*tblAquisições[[#This Row],[QUANTIDADE COMPRADA]]</f>
        <v>0</v>
      </c>
      <c r="N3715" s="110">
        <f>K3715-tblAquisições[[#This Row],[QUANTIDADE PLANEJADA]]</f>
        <v>-50</v>
      </c>
      <c r="O3715" s="106" t="str">
        <f t="shared" si="117"/>
        <v>Faltando Comprar</v>
      </c>
    </row>
    <row r="3716" spans="1:15" ht="47.25">
      <c r="A3716" s="16" t="s">
        <v>17</v>
      </c>
      <c r="B3716" s="16" t="s">
        <v>25</v>
      </c>
      <c r="C3716" s="17" t="s">
        <v>19</v>
      </c>
      <c r="D3716" s="18" t="s">
        <v>2083</v>
      </c>
      <c r="E3716" s="18">
        <v>50</v>
      </c>
      <c r="F3716" s="18" t="s">
        <v>78</v>
      </c>
      <c r="G3716" s="18" t="s">
        <v>22</v>
      </c>
      <c r="H3716" s="18" t="s">
        <v>23</v>
      </c>
      <c r="I3716" s="19">
        <v>6.06</v>
      </c>
      <c r="J3716" s="20">
        <f t="shared" si="116"/>
        <v>303</v>
      </c>
      <c r="K3716" s="106"/>
      <c r="L3716" s="114"/>
      <c r="M3716" s="114">
        <f>tblAquisições[[#This Row],[VALOR UNITARIO COMPRADO]]*tblAquisições[[#This Row],[QUANTIDADE COMPRADA]]</f>
        <v>0</v>
      </c>
      <c r="N3716" s="110">
        <f>K3716-tblAquisições[[#This Row],[QUANTIDADE PLANEJADA]]</f>
        <v>-50</v>
      </c>
      <c r="O3716" s="106" t="str">
        <f t="shared" si="117"/>
        <v>Faltando Comprar</v>
      </c>
    </row>
    <row r="3717" spans="1:15" ht="47.25">
      <c r="A3717" s="16" t="s">
        <v>17</v>
      </c>
      <c r="B3717" s="16" t="s">
        <v>34</v>
      </c>
      <c r="C3717" s="17" t="s">
        <v>19</v>
      </c>
      <c r="D3717" s="18" t="s">
        <v>2084</v>
      </c>
      <c r="E3717" s="18">
        <v>500</v>
      </c>
      <c r="F3717" s="18" t="s">
        <v>78</v>
      </c>
      <c r="G3717" s="18" t="s">
        <v>22</v>
      </c>
      <c r="H3717" s="18" t="s">
        <v>23</v>
      </c>
      <c r="I3717" s="19">
        <v>13.13</v>
      </c>
      <c r="J3717" s="20">
        <f t="shared" si="116"/>
        <v>6565</v>
      </c>
      <c r="K3717" s="106"/>
      <c r="L3717" s="114"/>
      <c r="M3717" s="114">
        <f>tblAquisições[[#This Row],[VALOR UNITARIO COMPRADO]]*tblAquisições[[#This Row],[QUANTIDADE COMPRADA]]</f>
        <v>0</v>
      </c>
      <c r="N3717" s="110">
        <f>K3717-tblAquisições[[#This Row],[QUANTIDADE PLANEJADA]]</f>
        <v>-500</v>
      </c>
      <c r="O3717" s="106" t="str">
        <f t="shared" si="117"/>
        <v>Faltando Comprar</v>
      </c>
    </row>
    <row r="3718" spans="1:15" ht="47.25">
      <c r="A3718" s="16" t="s">
        <v>17</v>
      </c>
      <c r="B3718" s="16" t="s">
        <v>31</v>
      </c>
      <c r="C3718" s="17" t="s">
        <v>19</v>
      </c>
      <c r="D3718" s="18" t="s">
        <v>2084</v>
      </c>
      <c r="E3718" s="18">
        <v>500</v>
      </c>
      <c r="F3718" s="18" t="s">
        <v>78</v>
      </c>
      <c r="G3718" s="18" t="s">
        <v>22</v>
      </c>
      <c r="H3718" s="18" t="s">
        <v>23</v>
      </c>
      <c r="I3718" s="19">
        <v>13.13</v>
      </c>
      <c r="J3718" s="20">
        <f t="shared" si="116"/>
        <v>6565</v>
      </c>
      <c r="K3718" s="106"/>
      <c r="L3718" s="114"/>
      <c r="M3718" s="114">
        <f>tblAquisições[[#This Row],[VALOR UNITARIO COMPRADO]]*tblAquisições[[#This Row],[QUANTIDADE COMPRADA]]</f>
        <v>0</v>
      </c>
      <c r="N3718" s="110">
        <f>K3718-tblAquisições[[#This Row],[QUANTIDADE PLANEJADA]]</f>
        <v>-500</v>
      </c>
      <c r="O3718" s="106" t="str">
        <f t="shared" si="117"/>
        <v>Faltando Comprar</v>
      </c>
    </row>
    <row r="3719" spans="1:15" ht="47.25">
      <c r="A3719" s="16" t="s">
        <v>17</v>
      </c>
      <c r="B3719" s="16" t="s">
        <v>25</v>
      </c>
      <c r="C3719" s="17" t="s">
        <v>19</v>
      </c>
      <c r="D3719" s="18" t="s">
        <v>2084</v>
      </c>
      <c r="E3719" s="18">
        <v>1000</v>
      </c>
      <c r="F3719" s="18" t="s">
        <v>78</v>
      </c>
      <c r="G3719" s="18" t="s">
        <v>22</v>
      </c>
      <c r="H3719" s="18" t="s">
        <v>23</v>
      </c>
      <c r="I3719" s="19">
        <v>13.13</v>
      </c>
      <c r="J3719" s="20">
        <f t="shared" si="116"/>
        <v>13130</v>
      </c>
      <c r="K3719" s="106"/>
      <c r="L3719" s="114"/>
      <c r="M3719" s="114">
        <f>tblAquisições[[#This Row],[VALOR UNITARIO COMPRADO]]*tblAquisições[[#This Row],[QUANTIDADE COMPRADA]]</f>
        <v>0</v>
      </c>
      <c r="N3719" s="110">
        <f>K3719-tblAquisições[[#This Row],[QUANTIDADE PLANEJADA]]</f>
        <v>-1000</v>
      </c>
      <c r="O3719" s="106" t="str">
        <f t="shared" si="117"/>
        <v>Faltando Comprar</v>
      </c>
    </row>
    <row r="3720" spans="1:15" ht="47.25">
      <c r="A3720" s="16" t="s">
        <v>17</v>
      </c>
      <c r="B3720" s="16" t="s">
        <v>28</v>
      </c>
      <c r="C3720" s="17" t="s">
        <v>19</v>
      </c>
      <c r="D3720" s="18" t="s">
        <v>2084</v>
      </c>
      <c r="E3720" s="18">
        <v>30</v>
      </c>
      <c r="F3720" s="18" t="s">
        <v>78</v>
      </c>
      <c r="G3720" s="18" t="s">
        <v>22</v>
      </c>
      <c r="H3720" s="18" t="s">
        <v>53</v>
      </c>
      <c r="I3720" s="19">
        <v>13.13</v>
      </c>
      <c r="J3720" s="20">
        <f t="shared" si="116"/>
        <v>393.90000000000003</v>
      </c>
      <c r="K3720" s="106"/>
      <c r="L3720" s="114"/>
      <c r="M3720" s="114">
        <f>tblAquisições[[#This Row],[VALOR UNITARIO COMPRADO]]*tblAquisições[[#This Row],[QUANTIDADE COMPRADA]]</f>
        <v>0</v>
      </c>
      <c r="N3720" s="110">
        <f>K3720-tblAquisições[[#This Row],[QUANTIDADE PLANEJADA]]</f>
        <v>-30</v>
      </c>
      <c r="O3720" s="106" t="str">
        <f t="shared" si="117"/>
        <v>Faltando Comprar</v>
      </c>
    </row>
    <row r="3721" spans="1:15" ht="47.25">
      <c r="A3721" s="16" t="s">
        <v>17</v>
      </c>
      <c r="B3721" s="16" t="s">
        <v>80</v>
      </c>
      <c r="C3721" s="17" t="s">
        <v>19</v>
      </c>
      <c r="D3721" s="18" t="s">
        <v>2085</v>
      </c>
      <c r="E3721" s="18">
        <v>100</v>
      </c>
      <c r="F3721" s="18" t="s">
        <v>147</v>
      </c>
      <c r="G3721" s="18" t="s">
        <v>39</v>
      </c>
      <c r="H3721" s="18" t="s">
        <v>23</v>
      </c>
      <c r="I3721" s="19">
        <v>5.14</v>
      </c>
      <c r="J3721" s="20">
        <f t="shared" si="116"/>
        <v>514</v>
      </c>
      <c r="K3721" s="106"/>
      <c r="L3721" s="114"/>
      <c r="M3721" s="114">
        <f>tblAquisições[[#This Row],[VALOR UNITARIO COMPRADO]]*tblAquisições[[#This Row],[QUANTIDADE COMPRADA]]</f>
        <v>0</v>
      </c>
      <c r="N3721" s="110">
        <f>K3721-tblAquisições[[#This Row],[QUANTIDADE PLANEJADA]]</f>
        <v>-100</v>
      </c>
      <c r="O3721" s="106" t="str">
        <f t="shared" si="117"/>
        <v>Faltando Comprar</v>
      </c>
    </row>
    <row r="3722" spans="1:15" ht="31.5">
      <c r="A3722" s="16" t="s">
        <v>17</v>
      </c>
      <c r="B3722" s="16" t="s">
        <v>28</v>
      </c>
      <c r="C3722" s="17" t="s">
        <v>19</v>
      </c>
      <c r="D3722" s="18" t="s">
        <v>2086</v>
      </c>
      <c r="E3722" s="18">
        <v>12</v>
      </c>
      <c r="F3722" s="18" t="s">
        <v>324</v>
      </c>
      <c r="G3722" s="18" t="s">
        <v>22</v>
      </c>
      <c r="H3722" s="18" t="s">
        <v>23</v>
      </c>
      <c r="I3722" s="19">
        <v>25.69</v>
      </c>
      <c r="J3722" s="20">
        <f t="shared" si="116"/>
        <v>308.28000000000003</v>
      </c>
      <c r="K3722" s="106"/>
      <c r="L3722" s="114"/>
      <c r="M3722" s="114">
        <f>tblAquisições[[#This Row],[VALOR UNITARIO COMPRADO]]*tblAquisições[[#This Row],[QUANTIDADE COMPRADA]]</f>
        <v>0</v>
      </c>
      <c r="N3722" s="110">
        <f>K3722-tblAquisições[[#This Row],[QUANTIDADE PLANEJADA]]</f>
        <v>-12</v>
      </c>
      <c r="O3722" s="106" t="str">
        <f t="shared" si="117"/>
        <v>Faltando Comprar</v>
      </c>
    </row>
    <row r="3723" spans="1:15" ht="47.25">
      <c r="A3723" s="16" t="s">
        <v>17</v>
      </c>
      <c r="B3723" s="16" t="s">
        <v>18</v>
      </c>
      <c r="C3723" s="17" t="s">
        <v>19</v>
      </c>
      <c r="D3723" s="18" t="s">
        <v>2087</v>
      </c>
      <c r="E3723" s="18">
        <v>10</v>
      </c>
      <c r="F3723" s="18" t="s">
        <v>78</v>
      </c>
      <c r="G3723" s="18" t="s">
        <v>22</v>
      </c>
      <c r="H3723" s="18" t="s">
        <v>23</v>
      </c>
      <c r="I3723" s="19">
        <v>10.3</v>
      </c>
      <c r="J3723" s="20">
        <f t="shared" si="116"/>
        <v>103</v>
      </c>
      <c r="K3723" s="106"/>
      <c r="L3723" s="114"/>
      <c r="M3723" s="114">
        <f>tblAquisições[[#This Row],[VALOR UNITARIO COMPRADO]]*tblAquisições[[#This Row],[QUANTIDADE COMPRADA]]</f>
        <v>0</v>
      </c>
      <c r="N3723" s="110">
        <f>K3723-tblAquisições[[#This Row],[QUANTIDADE PLANEJADA]]</f>
        <v>-10</v>
      </c>
      <c r="O3723" s="106" t="str">
        <f t="shared" si="117"/>
        <v>Faltando Comprar</v>
      </c>
    </row>
    <row r="3724" spans="1:15" ht="47.25">
      <c r="A3724" s="16" t="s">
        <v>17</v>
      </c>
      <c r="B3724" s="16" t="s">
        <v>24</v>
      </c>
      <c r="C3724" s="17" t="s">
        <v>19</v>
      </c>
      <c r="D3724" s="18" t="s">
        <v>2087</v>
      </c>
      <c r="E3724" s="18">
        <v>10</v>
      </c>
      <c r="F3724" s="18" t="s">
        <v>78</v>
      </c>
      <c r="G3724" s="18" t="s">
        <v>22</v>
      </c>
      <c r="H3724" s="18" t="s">
        <v>23</v>
      </c>
      <c r="I3724" s="19">
        <v>10.3</v>
      </c>
      <c r="J3724" s="20">
        <f t="shared" si="116"/>
        <v>103</v>
      </c>
      <c r="K3724" s="106"/>
      <c r="L3724" s="114"/>
      <c r="M3724" s="114">
        <f>tblAquisições[[#This Row],[VALOR UNITARIO COMPRADO]]*tblAquisições[[#This Row],[QUANTIDADE COMPRADA]]</f>
        <v>0</v>
      </c>
      <c r="N3724" s="110">
        <f>K3724-tblAquisições[[#This Row],[QUANTIDADE PLANEJADA]]</f>
        <v>-10</v>
      </c>
      <c r="O3724" s="106" t="str">
        <f t="shared" si="117"/>
        <v>Faltando Comprar</v>
      </c>
    </row>
    <row r="3725" spans="1:15" ht="47.25">
      <c r="A3725" s="16" t="s">
        <v>17</v>
      </c>
      <c r="B3725" s="16" t="s">
        <v>25</v>
      </c>
      <c r="C3725" s="17" t="s">
        <v>19</v>
      </c>
      <c r="D3725" s="18" t="s">
        <v>2087</v>
      </c>
      <c r="E3725" s="18">
        <v>10</v>
      </c>
      <c r="F3725" s="18" t="s">
        <v>78</v>
      </c>
      <c r="G3725" s="18" t="s">
        <v>22</v>
      </c>
      <c r="H3725" s="18" t="s">
        <v>23</v>
      </c>
      <c r="I3725" s="19">
        <v>10.3</v>
      </c>
      <c r="J3725" s="20">
        <f t="shared" si="116"/>
        <v>103</v>
      </c>
      <c r="K3725" s="106"/>
      <c r="L3725" s="114"/>
      <c r="M3725" s="114">
        <f>tblAquisições[[#This Row],[VALOR UNITARIO COMPRADO]]*tblAquisições[[#This Row],[QUANTIDADE COMPRADA]]</f>
        <v>0</v>
      </c>
      <c r="N3725" s="110">
        <f>K3725-tblAquisições[[#This Row],[QUANTIDADE PLANEJADA]]</f>
        <v>-10</v>
      </c>
      <c r="O3725" s="106" t="str">
        <f t="shared" si="117"/>
        <v>Faltando Comprar</v>
      </c>
    </row>
    <row r="3726" spans="1:15" ht="47.25">
      <c r="A3726" s="16" t="s">
        <v>17</v>
      </c>
      <c r="B3726" s="16" t="s">
        <v>80</v>
      </c>
      <c r="C3726" s="17" t="s">
        <v>19</v>
      </c>
      <c r="D3726" s="18" t="s">
        <v>2088</v>
      </c>
      <c r="E3726" s="18">
        <v>100</v>
      </c>
      <c r="F3726" s="18" t="s">
        <v>147</v>
      </c>
      <c r="G3726" s="18" t="s">
        <v>39</v>
      </c>
      <c r="H3726" s="18" t="s">
        <v>23</v>
      </c>
      <c r="I3726" s="19">
        <v>4.16</v>
      </c>
      <c r="J3726" s="20">
        <f t="shared" si="116"/>
        <v>416</v>
      </c>
      <c r="K3726" s="106"/>
      <c r="L3726" s="114"/>
      <c r="M3726" s="114">
        <f>tblAquisições[[#This Row],[VALOR UNITARIO COMPRADO]]*tblAquisições[[#This Row],[QUANTIDADE COMPRADA]]</f>
        <v>0</v>
      </c>
      <c r="N3726" s="110">
        <f>K3726-tblAquisições[[#This Row],[QUANTIDADE PLANEJADA]]</f>
        <v>-100</v>
      </c>
      <c r="O3726" s="106" t="str">
        <f t="shared" si="117"/>
        <v>Faltando Comprar</v>
      </c>
    </row>
    <row r="3727" spans="1:15" ht="31.5">
      <c r="A3727" s="16" t="s">
        <v>17</v>
      </c>
      <c r="B3727" s="16" t="s">
        <v>28</v>
      </c>
      <c r="C3727" s="17" t="s">
        <v>19</v>
      </c>
      <c r="D3727" s="18" t="s">
        <v>2089</v>
      </c>
      <c r="E3727" s="18">
        <v>12</v>
      </c>
      <c r="F3727" s="18" t="s">
        <v>21</v>
      </c>
      <c r="G3727" s="18" t="s">
        <v>22</v>
      </c>
      <c r="H3727" s="18" t="s">
        <v>23</v>
      </c>
      <c r="I3727" s="19">
        <v>23.54</v>
      </c>
      <c r="J3727" s="20">
        <f t="shared" si="116"/>
        <v>282.48</v>
      </c>
      <c r="K3727" s="106"/>
      <c r="L3727" s="114"/>
      <c r="M3727" s="114">
        <f>tblAquisições[[#This Row],[VALOR UNITARIO COMPRADO]]*tblAquisições[[#This Row],[QUANTIDADE COMPRADA]]</f>
        <v>0</v>
      </c>
      <c r="N3727" s="110">
        <f>K3727-tblAquisições[[#This Row],[QUANTIDADE PLANEJADA]]</f>
        <v>-12</v>
      </c>
      <c r="O3727" s="106" t="str">
        <f t="shared" si="117"/>
        <v>Faltando Comprar</v>
      </c>
    </row>
    <row r="3728" spans="1:15" ht="31.5">
      <c r="A3728" s="16" t="s">
        <v>17</v>
      </c>
      <c r="B3728" s="16" t="s">
        <v>27</v>
      </c>
      <c r="C3728" s="17" t="s">
        <v>19</v>
      </c>
      <c r="D3728" s="18" t="s">
        <v>2090</v>
      </c>
      <c r="E3728" s="18">
        <v>2</v>
      </c>
      <c r="F3728" s="18" t="s">
        <v>328</v>
      </c>
      <c r="G3728" s="18" t="s">
        <v>22</v>
      </c>
      <c r="H3728" s="18" t="s">
        <v>23</v>
      </c>
      <c r="I3728" s="19">
        <v>71.459999999999994</v>
      </c>
      <c r="J3728" s="20">
        <f t="shared" si="116"/>
        <v>142.91999999999999</v>
      </c>
      <c r="K3728" s="106"/>
      <c r="L3728" s="114"/>
      <c r="M3728" s="114">
        <f>tblAquisições[[#This Row],[VALOR UNITARIO COMPRADO]]*tblAquisições[[#This Row],[QUANTIDADE COMPRADA]]</f>
        <v>0</v>
      </c>
      <c r="N3728" s="110">
        <f>K3728-tblAquisições[[#This Row],[QUANTIDADE PLANEJADA]]</f>
        <v>-2</v>
      </c>
      <c r="O3728" s="106" t="str">
        <f t="shared" si="117"/>
        <v>Faltando Comprar</v>
      </c>
    </row>
    <row r="3729" spans="1:15" ht="31.5">
      <c r="A3729" s="16" t="s">
        <v>17</v>
      </c>
      <c r="B3729" s="16" t="s">
        <v>28</v>
      </c>
      <c r="C3729" s="17" t="s">
        <v>19</v>
      </c>
      <c r="D3729" s="18" t="s">
        <v>2091</v>
      </c>
      <c r="E3729" s="18">
        <v>2</v>
      </c>
      <c r="F3729" s="18" t="s">
        <v>328</v>
      </c>
      <c r="G3729" s="18" t="s">
        <v>22</v>
      </c>
      <c r="H3729" s="18" t="s">
        <v>23</v>
      </c>
      <c r="I3729" s="19">
        <v>17</v>
      </c>
      <c r="J3729" s="20">
        <f t="shared" si="116"/>
        <v>34</v>
      </c>
      <c r="K3729" s="106"/>
      <c r="L3729" s="114"/>
      <c r="M3729" s="114">
        <f>tblAquisições[[#This Row],[VALOR UNITARIO COMPRADO]]*tblAquisições[[#This Row],[QUANTIDADE COMPRADA]]</f>
        <v>0</v>
      </c>
      <c r="N3729" s="110">
        <f>K3729-tblAquisições[[#This Row],[QUANTIDADE PLANEJADA]]</f>
        <v>-2</v>
      </c>
      <c r="O3729" s="106" t="str">
        <f t="shared" si="117"/>
        <v>Faltando Comprar</v>
      </c>
    </row>
    <row r="3730" spans="1:15" ht="31.5">
      <c r="A3730" s="16" t="s">
        <v>17</v>
      </c>
      <c r="B3730" s="16" t="s">
        <v>28</v>
      </c>
      <c r="C3730" s="17" t="s">
        <v>19</v>
      </c>
      <c r="D3730" s="18" t="s">
        <v>2092</v>
      </c>
      <c r="E3730" s="18">
        <v>2</v>
      </c>
      <c r="F3730" s="18" t="s">
        <v>328</v>
      </c>
      <c r="G3730" s="18" t="s">
        <v>22</v>
      </c>
      <c r="H3730" s="18" t="s">
        <v>23</v>
      </c>
      <c r="I3730" s="19">
        <v>9.48</v>
      </c>
      <c r="J3730" s="20">
        <f t="shared" si="116"/>
        <v>18.96</v>
      </c>
      <c r="K3730" s="106"/>
      <c r="L3730" s="114"/>
      <c r="M3730" s="114">
        <f>tblAquisições[[#This Row],[VALOR UNITARIO COMPRADO]]*tblAquisições[[#This Row],[QUANTIDADE COMPRADA]]</f>
        <v>0</v>
      </c>
      <c r="N3730" s="110">
        <f>K3730-tblAquisições[[#This Row],[QUANTIDADE PLANEJADA]]</f>
        <v>-2</v>
      </c>
      <c r="O3730" s="106" t="str">
        <f t="shared" si="117"/>
        <v>Faltando Comprar</v>
      </c>
    </row>
    <row r="3731" spans="1:15" ht="31.5">
      <c r="A3731" s="16" t="s">
        <v>17</v>
      </c>
      <c r="B3731" s="16" t="s">
        <v>80</v>
      </c>
      <c r="C3731" s="17" t="s">
        <v>19</v>
      </c>
      <c r="D3731" s="18" t="s">
        <v>2093</v>
      </c>
      <c r="E3731" s="18">
        <v>2</v>
      </c>
      <c r="F3731" s="18" t="s">
        <v>468</v>
      </c>
      <c r="G3731" s="18" t="s">
        <v>39</v>
      </c>
      <c r="H3731" s="21"/>
      <c r="I3731" s="19">
        <v>18.28</v>
      </c>
      <c r="J3731" s="20">
        <f t="shared" si="116"/>
        <v>36.56</v>
      </c>
      <c r="K3731" s="106"/>
      <c r="L3731" s="114"/>
      <c r="M3731" s="114">
        <f>tblAquisições[[#This Row],[VALOR UNITARIO COMPRADO]]*tblAquisições[[#This Row],[QUANTIDADE COMPRADA]]</f>
        <v>0</v>
      </c>
      <c r="N3731" s="110">
        <f>K3731-tblAquisições[[#This Row],[QUANTIDADE PLANEJADA]]</f>
        <v>-2</v>
      </c>
      <c r="O3731" s="106" t="str">
        <f t="shared" si="117"/>
        <v>Faltando Comprar</v>
      </c>
    </row>
    <row r="3732" spans="1:15" ht="31.5">
      <c r="A3732" s="16" t="s">
        <v>17</v>
      </c>
      <c r="B3732" s="16" t="s">
        <v>31</v>
      </c>
      <c r="C3732" s="17" t="s">
        <v>19</v>
      </c>
      <c r="D3732" s="18" t="s">
        <v>2094</v>
      </c>
      <c r="E3732" s="18">
        <v>10</v>
      </c>
      <c r="F3732" s="18" t="s">
        <v>328</v>
      </c>
      <c r="G3732" s="18" t="s">
        <v>22</v>
      </c>
      <c r="H3732" s="18" t="s">
        <v>23</v>
      </c>
      <c r="I3732" s="19">
        <v>18.28</v>
      </c>
      <c r="J3732" s="20">
        <f t="shared" si="116"/>
        <v>182.8</v>
      </c>
      <c r="K3732" s="106"/>
      <c r="L3732" s="114"/>
      <c r="M3732" s="114">
        <f>tblAquisições[[#This Row],[VALOR UNITARIO COMPRADO]]*tblAquisições[[#This Row],[QUANTIDADE COMPRADA]]</f>
        <v>0</v>
      </c>
      <c r="N3732" s="110">
        <f>K3732-tblAquisições[[#This Row],[QUANTIDADE PLANEJADA]]</f>
        <v>-10</v>
      </c>
      <c r="O3732" s="106" t="str">
        <f t="shared" si="117"/>
        <v>Faltando Comprar</v>
      </c>
    </row>
    <row r="3733" spans="1:15" ht="31.5">
      <c r="A3733" s="16" t="s">
        <v>17</v>
      </c>
      <c r="B3733" s="16" t="s">
        <v>28</v>
      </c>
      <c r="C3733" s="17" t="s">
        <v>19</v>
      </c>
      <c r="D3733" s="18" t="s">
        <v>2094</v>
      </c>
      <c r="E3733" s="18">
        <v>2</v>
      </c>
      <c r="F3733" s="18" t="s">
        <v>328</v>
      </c>
      <c r="G3733" s="18" t="s">
        <v>22</v>
      </c>
      <c r="H3733" s="18" t="s">
        <v>23</v>
      </c>
      <c r="I3733" s="19">
        <v>18.28</v>
      </c>
      <c r="J3733" s="20">
        <f t="shared" si="116"/>
        <v>36.56</v>
      </c>
      <c r="K3733" s="106"/>
      <c r="L3733" s="114"/>
      <c r="M3733" s="114">
        <f>tblAquisições[[#This Row],[VALOR UNITARIO COMPRADO]]*tblAquisições[[#This Row],[QUANTIDADE COMPRADA]]</f>
        <v>0</v>
      </c>
      <c r="N3733" s="110">
        <f>K3733-tblAquisições[[#This Row],[QUANTIDADE PLANEJADA]]</f>
        <v>-2</v>
      </c>
      <c r="O3733" s="106" t="str">
        <f t="shared" si="117"/>
        <v>Faltando Comprar</v>
      </c>
    </row>
    <row r="3734" spans="1:15" ht="31.5">
      <c r="A3734" s="16" t="s">
        <v>17</v>
      </c>
      <c r="B3734" s="16" t="s">
        <v>26</v>
      </c>
      <c r="C3734" s="17" t="s">
        <v>19</v>
      </c>
      <c r="D3734" s="18" t="s">
        <v>2095</v>
      </c>
      <c r="E3734" s="18">
        <v>30</v>
      </c>
      <c r="F3734" s="18" t="s">
        <v>30</v>
      </c>
      <c r="G3734" s="18" t="s">
        <v>22</v>
      </c>
      <c r="H3734" s="18" t="s">
        <v>23</v>
      </c>
      <c r="I3734" s="19">
        <v>0.78</v>
      </c>
      <c r="J3734" s="20">
        <f t="shared" si="116"/>
        <v>23.400000000000002</v>
      </c>
      <c r="K3734" s="106"/>
      <c r="L3734" s="114"/>
      <c r="M3734" s="114">
        <f>tblAquisições[[#This Row],[VALOR UNITARIO COMPRADO]]*tblAquisições[[#This Row],[QUANTIDADE COMPRADA]]</f>
        <v>0</v>
      </c>
      <c r="N3734" s="110">
        <f>K3734-tblAquisições[[#This Row],[QUANTIDADE PLANEJADA]]</f>
        <v>-30</v>
      </c>
      <c r="O3734" s="106" t="str">
        <f t="shared" si="117"/>
        <v>Faltando Comprar</v>
      </c>
    </row>
    <row r="3735" spans="1:15" ht="47.25">
      <c r="A3735" s="16" t="s">
        <v>17</v>
      </c>
      <c r="B3735" s="16" t="s">
        <v>26</v>
      </c>
      <c r="C3735" s="17" t="s">
        <v>19</v>
      </c>
      <c r="D3735" s="18" t="s">
        <v>2096</v>
      </c>
      <c r="E3735" s="18">
        <v>8</v>
      </c>
      <c r="F3735" s="18" t="s">
        <v>78</v>
      </c>
      <c r="G3735" s="18" t="s">
        <v>22</v>
      </c>
      <c r="H3735" s="18" t="s">
        <v>23</v>
      </c>
      <c r="I3735" s="19">
        <v>260.64999999999998</v>
      </c>
      <c r="J3735" s="20">
        <f t="shared" si="116"/>
        <v>2085.1999999999998</v>
      </c>
      <c r="K3735" s="106"/>
      <c r="L3735" s="114"/>
      <c r="M3735" s="114">
        <f>tblAquisições[[#This Row],[VALOR UNITARIO COMPRADO]]*tblAquisições[[#This Row],[QUANTIDADE COMPRADA]]</f>
        <v>0</v>
      </c>
      <c r="N3735" s="110">
        <f>K3735-tblAquisições[[#This Row],[QUANTIDADE PLANEJADA]]</f>
        <v>-8</v>
      </c>
      <c r="O3735" s="106" t="str">
        <f t="shared" si="117"/>
        <v>Faltando Comprar</v>
      </c>
    </row>
    <row r="3736" spans="1:15" ht="31.5">
      <c r="A3736" s="16" t="s">
        <v>17</v>
      </c>
      <c r="B3736" s="16" t="s">
        <v>31</v>
      </c>
      <c r="C3736" s="17" t="s">
        <v>19</v>
      </c>
      <c r="D3736" s="18" t="s">
        <v>2097</v>
      </c>
      <c r="E3736" s="18">
        <v>40</v>
      </c>
      <c r="F3736" s="18" t="s">
        <v>21</v>
      </c>
      <c r="G3736" s="18" t="s">
        <v>22</v>
      </c>
      <c r="H3736" s="18" t="s">
        <v>23</v>
      </c>
      <c r="I3736" s="19">
        <v>3.3719999999999999</v>
      </c>
      <c r="J3736" s="20">
        <f t="shared" si="116"/>
        <v>134.88</v>
      </c>
      <c r="K3736" s="106"/>
      <c r="L3736" s="114"/>
      <c r="M3736" s="114">
        <f>tblAquisições[[#This Row],[VALOR UNITARIO COMPRADO]]*tblAquisições[[#This Row],[QUANTIDADE COMPRADA]]</f>
        <v>0</v>
      </c>
      <c r="N3736" s="110">
        <f>K3736-tblAquisições[[#This Row],[QUANTIDADE PLANEJADA]]</f>
        <v>-40</v>
      </c>
      <c r="O3736" s="106" t="str">
        <f t="shared" si="117"/>
        <v>Faltando Comprar</v>
      </c>
    </row>
    <row r="3737" spans="1:15" ht="31.5">
      <c r="A3737" s="16" t="s">
        <v>17</v>
      </c>
      <c r="B3737" s="16" t="s">
        <v>18</v>
      </c>
      <c r="C3737" s="17" t="s">
        <v>19</v>
      </c>
      <c r="D3737" s="18" t="s">
        <v>2097</v>
      </c>
      <c r="E3737" s="18">
        <v>200</v>
      </c>
      <c r="F3737" s="18" t="s">
        <v>21</v>
      </c>
      <c r="G3737" s="18" t="s">
        <v>22</v>
      </c>
      <c r="H3737" s="18" t="s">
        <v>23</v>
      </c>
      <c r="I3737" s="19">
        <v>3.3719999999999999</v>
      </c>
      <c r="J3737" s="20">
        <f t="shared" si="116"/>
        <v>674.4</v>
      </c>
      <c r="K3737" s="106"/>
      <c r="L3737" s="114"/>
      <c r="M3737" s="114">
        <f>tblAquisições[[#This Row],[VALOR UNITARIO COMPRADO]]*tblAquisições[[#This Row],[QUANTIDADE COMPRADA]]</f>
        <v>0</v>
      </c>
      <c r="N3737" s="110">
        <f>K3737-tblAquisições[[#This Row],[QUANTIDADE PLANEJADA]]</f>
        <v>-200</v>
      </c>
      <c r="O3737" s="106" t="str">
        <f t="shared" si="117"/>
        <v>Faltando Comprar</v>
      </c>
    </row>
    <row r="3738" spans="1:15" ht="31.5">
      <c r="A3738" s="16" t="s">
        <v>17</v>
      </c>
      <c r="B3738" s="16" t="s">
        <v>24</v>
      </c>
      <c r="C3738" s="17" t="s">
        <v>19</v>
      </c>
      <c r="D3738" s="18" t="s">
        <v>2097</v>
      </c>
      <c r="E3738" s="18">
        <v>200</v>
      </c>
      <c r="F3738" s="18" t="s">
        <v>21</v>
      </c>
      <c r="G3738" s="18" t="s">
        <v>22</v>
      </c>
      <c r="H3738" s="18" t="s">
        <v>23</v>
      </c>
      <c r="I3738" s="19">
        <v>3.3719999999999999</v>
      </c>
      <c r="J3738" s="20">
        <f t="shared" si="116"/>
        <v>674.4</v>
      </c>
      <c r="K3738" s="106"/>
      <c r="L3738" s="114"/>
      <c r="M3738" s="114">
        <f>tblAquisições[[#This Row],[VALOR UNITARIO COMPRADO]]*tblAquisições[[#This Row],[QUANTIDADE COMPRADA]]</f>
        <v>0</v>
      </c>
      <c r="N3738" s="110">
        <f>K3738-tblAquisições[[#This Row],[QUANTIDADE PLANEJADA]]</f>
        <v>-200</v>
      </c>
      <c r="O3738" s="106" t="str">
        <f t="shared" si="117"/>
        <v>Faltando Comprar</v>
      </c>
    </row>
    <row r="3739" spans="1:15" ht="31.5">
      <c r="A3739" s="16" t="s">
        <v>17</v>
      </c>
      <c r="B3739" s="16" t="s">
        <v>25</v>
      </c>
      <c r="C3739" s="17" t="s">
        <v>19</v>
      </c>
      <c r="D3739" s="18" t="s">
        <v>2097</v>
      </c>
      <c r="E3739" s="18">
        <v>200</v>
      </c>
      <c r="F3739" s="18" t="s">
        <v>21</v>
      </c>
      <c r="G3739" s="18" t="s">
        <v>22</v>
      </c>
      <c r="H3739" s="18" t="s">
        <v>23</v>
      </c>
      <c r="I3739" s="19">
        <v>3.3719999999999999</v>
      </c>
      <c r="J3739" s="20">
        <f t="shared" si="116"/>
        <v>674.4</v>
      </c>
      <c r="K3739" s="106"/>
      <c r="L3739" s="114"/>
      <c r="M3739" s="114">
        <f>tblAquisições[[#This Row],[VALOR UNITARIO COMPRADO]]*tblAquisições[[#This Row],[QUANTIDADE COMPRADA]]</f>
        <v>0</v>
      </c>
      <c r="N3739" s="110">
        <f>K3739-tblAquisições[[#This Row],[QUANTIDADE PLANEJADA]]</f>
        <v>-200</v>
      </c>
      <c r="O3739" s="106" t="str">
        <f t="shared" si="117"/>
        <v>Faltando Comprar</v>
      </c>
    </row>
    <row r="3740" spans="1:15" ht="31.5">
      <c r="A3740" s="16" t="s">
        <v>17</v>
      </c>
      <c r="B3740" s="16" t="s">
        <v>28</v>
      </c>
      <c r="C3740" s="17" t="s">
        <v>19</v>
      </c>
      <c r="D3740" s="18" t="s">
        <v>2097</v>
      </c>
      <c r="E3740" s="18">
        <v>120</v>
      </c>
      <c r="F3740" s="18" t="s">
        <v>21</v>
      </c>
      <c r="G3740" s="18" t="s">
        <v>22</v>
      </c>
      <c r="H3740" s="18" t="s">
        <v>23</v>
      </c>
      <c r="I3740" s="19">
        <v>3.3719999999999999</v>
      </c>
      <c r="J3740" s="20">
        <f t="shared" si="116"/>
        <v>404.64</v>
      </c>
      <c r="K3740" s="106"/>
      <c r="L3740" s="114"/>
      <c r="M3740" s="114">
        <f>tblAquisições[[#This Row],[VALOR UNITARIO COMPRADO]]*tblAquisições[[#This Row],[QUANTIDADE COMPRADA]]</f>
        <v>0</v>
      </c>
      <c r="N3740" s="110">
        <f>K3740-tblAquisições[[#This Row],[QUANTIDADE PLANEJADA]]</f>
        <v>-120</v>
      </c>
      <c r="O3740" s="106" t="str">
        <f t="shared" si="117"/>
        <v>Faltando Comprar</v>
      </c>
    </row>
    <row r="3741" spans="1:15" ht="31.5">
      <c r="A3741" s="16" t="s">
        <v>17</v>
      </c>
      <c r="B3741" s="16" t="s">
        <v>31</v>
      </c>
      <c r="C3741" s="17" t="s">
        <v>19</v>
      </c>
      <c r="D3741" s="18" t="s">
        <v>2098</v>
      </c>
      <c r="E3741" s="18">
        <v>250</v>
      </c>
      <c r="F3741" s="18" t="s">
        <v>21</v>
      </c>
      <c r="G3741" s="18" t="s">
        <v>22</v>
      </c>
      <c r="H3741" s="18" t="s">
        <v>23</v>
      </c>
      <c r="I3741" s="19">
        <v>4.05</v>
      </c>
      <c r="J3741" s="20">
        <f t="shared" si="116"/>
        <v>1012.5</v>
      </c>
      <c r="K3741" s="106"/>
      <c r="L3741" s="114"/>
      <c r="M3741" s="114">
        <f>tblAquisições[[#This Row],[VALOR UNITARIO COMPRADO]]*tblAquisições[[#This Row],[QUANTIDADE COMPRADA]]</f>
        <v>0</v>
      </c>
      <c r="N3741" s="110">
        <f>K3741-tblAquisições[[#This Row],[QUANTIDADE PLANEJADA]]</f>
        <v>-250</v>
      </c>
      <c r="O3741" s="106" t="str">
        <f t="shared" si="117"/>
        <v>Faltando Comprar</v>
      </c>
    </row>
    <row r="3742" spans="1:15" ht="31.5">
      <c r="A3742" s="16" t="s">
        <v>17</v>
      </c>
      <c r="B3742" s="16" t="s">
        <v>18</v>
      </c>
      <c r="C3742" s="17" t="s">
        <v>19</v>
      </c>
      <c r="D3742" s="18" t="s">
        <v>2098</v>
      </c>
      <c r="E3742" s="18">
        <v>1200</v>
      </c>
      <c r="F3742" s="18" t="s">
        <v>21</v>
      </c>
      <c r="G3742" s="18" t="s">
        <v>22</v>
      </c>
      <c r="H3742" s="18" t="s">
        <v>23</v>
      </c>
      <c r="I3742" s="19">
        <v>4.05</v>
      </c>
      <c r="J3742" s="20">
        <f t="shared" si="116"/>
        <v>4860</v>
      </c>
      <c r="K3742" s="106"/>
      <c r="L3742" s="114"/>
      <c r="M3742" s="114">
        <f>tblAquisições[[#This Row],[VALOR UNITARIO COMPRADO]]*tblAquisições[[#This Row],[QUANTIDADE COMPRADA]]</f>
        <v>0</v>
      </c>
      <c r="N3742" s="110">
        <f>K3742-tblAquisições[[#This Row],[QUANTIDADE PLANEJADA]]</f>
        <v>-1200</v>
      </c>
      <c r="O3742" s="106" t="str">
        <f t="shared" si="117"/>
        <v>Faltando Comprar</v>
      </c>
    </row>
    <row r="3743" spans="1:15" ht="31.5">
      <c r="A3743" s="16" t="s">
        <v>17</v>
      </c>
      <c r="B3743" s="16" t="s">
        <v>24</v>
      </c>
      <c r="C3743" s="17" t="s">
        <v>19</v>
      </c>
      <c r="D3743" s="18" t="s">
        <v>2098</v>
      </c>
      <c r="E3743" s="18">
        <v>1200</v>
      </c>
      <c r="F3743" s="18" t="s">
        <v>21</v>
      </c>
      <c r="G3743" s="18" t="s">
        <v>22</v>
      </c>
      <c r="H3743" s="18" t="s">
        <v>23</v>
      </c>
      <c r="I3743" s="19">
        <v>4.05</v>
      </c>
      <c r="J3743" s="20">
        <f t="shared" si="116"/>
        <v>4860</v>
      </c>
      <c r="K3743" s="106"/>
      <c r="L3743" s="114"/>
      <c r="M3743" s="114">
        <f>tblAquisições[[#This Row],[VALOR UNITARIO COMPRADO]]*tblAquisições[[#This Row],[QUANTIDADE COMPRADA]]</f>
        <v>0</v>
      </c>
      <c r="N3743" s="110">
        <f>K3743-tblAquisições[[#This Row],[QUANTIDADE PLANEJADA]]</f>
        <v>-1200</v>
      </c>
      <c r="O3743" s="106" t="str">
        <f t="shared" si="117"/>
        <v>Faltando Comprar</v>
      </c>
    </row>
    <row r="3744" spans="1:15" ht="31.5">
      <c r="A3744" s="16" t="s">
        <v>17</v>
      </c>
      <c r="B3744" s="16" t="s">
        <v>25</v>
      </c>
      <c r="C3744" s="17" t="s">
        <v>19</v>
      </c>
      <c r="D3744" s="18" t="s">
        <v>2098</v>
      </c>
      <c r="E3744" s="18">
        <v>1200</v>
      </c>
      <c r="F3744" s="18" t="s">
        <v>21</v>
      </c>
      <c r="G3744" s="18" t="s">
        <v>22</v>
      </c>
      <c r="H3744" s="18" t="s">
        <v>23</v>
      </c>
      <c r="I3744" s="19">
        <v>4.05</v>
      </c>
      <c r="J3744" s="20">
        <f t="shared" si="116"/>
        <v>4860</v>
      </c>
      <c r="K3744" s="106"/>
      <c r="L3744" s="114"/>
      <c r="M3744" s="114">
        <f>tblAquisições[[#This Row],[VALOR UNITARIO COMPRADO]]*tblAquisições[[#This Row],[QUANTIDADE COMPRADA]]</f>
        <v>0</v>
      </c>
      <c r="N3744" s="110">
        <f>K3744-tblAquisições[[#This Row],[QUANTIDADE PLANEJADA]]</f>
        <v>-1200</v>
      </c>
      <c r="O3744" s="106" t="str">
        <f t="shared" si="117"/>
        <v>Faltando Comprar</v>
      </c>
    </row>
    <row r="3745" spans="1:15" ht="31.5">
      <c r="A3745" s="16" t="s">
        <v>17</v>
      </c>
      <c r="B3745" s="16" t="s">
        <v>28</v>
      </c>
      <c r="C3745" s="17" t="s">
        <v>19</v>
      </c>
      <c r="D3745" s="18" t="s">
        <v>2098</v>
      </c>
      <c r="E3745" s="18">
        <v>120</v>
      </c>
      <c r="F3745" s="18" t="s">
        <v>21</v>
      </c>
      <c r="G3745" s="18" t="s">
        <v>22</v>
      </c>
      <c r="H3745" s="18" t="s">
        <v>23</v>
      </c>
      <c r="I3745" s="19">
        <v>4.05</v>
      </c>
      <c r="J3745" s="20">
        <f t="shared" si="116"/>
        <v>486</v>
      </c>
      <c r="K3745" s="106"/>
      <c r="L3745" s="114"/>
      <c r="M3745" s="114">
        <f>tblAquisições[[#This Row],[VALOR UNITARIO COMPRADO]]*tblAquisições[[#This Row],[QUANTIDADE COMPRADA]]</f>
        <v>0</v>
      </c>
      <c r="N3745" s="110">
        <f>K3745-tblAquisições[[#This Row],[QUANTIDADE PLANEJADA]]</f>
        <v>-120</v>
      </c>
      <c r="O3745" s="106" t="str">
        <f t="shared" si="117"/>
        <v>Faltando Comprar</v>
      </c>
    </row>
    <row r="3746" spans="1:15" ht="31.5">
      <c r="A3746" s="16" t="s">
        <v>17</v>
      </c>
      <c r="B3746" s="16" t="s">
        <v>72</v>
      </c>
      <c r="C3746" s="17" t="s">
        <v>19</v>
      </c>
      <c r="D3746" s="18" t="s">
        <v>2099</v>
      </c>
      <c r="E3746" s="18">
        <v>1</v>
      </c>
      <c r="F3746" s="18" t="s">
        <v>170</v>
      </c>
      <c r="G3746" s="18" t="s">
        <v>22</v>
      </c>
      <c r="H3746" s="18" t="s">
        <v>23</v>
      </c>
      <c r="I3746" s="19">
        <v>64.599999999999994</v>
      </c>
      <c r="J3746" s="20">
        <f t="shared" si="116"/>
        <v>64.599999999999994</v>
      </c>
      <c r="K3746" s="106"/>
      <c r="L3746" s="114"/>
      <c r="M3746" s="114">
        <f>tblAquisições[[#This Row],[VALOR UNITARIO COMPRADO]]*tblAquisições[[#This Row],[QUANTIDADE COMPRADA]]</f>
        <v>0</v>
      </c>
      <c r="N3746" s="110">
        <f>K3746-tblAquisições[[#This Row],[QUANTIDADE PLANEJADA]]</f>
        <v>-1</v>
      </c>
      <c r="O3746" s="106" t="str">
        <f t="shared" si="117"/>
        <v>Faltando Comprar</v>
      </c>
    </row>
    <row r="3747" spans="1:15" ht="47.25">
      <c r="A3747" s="16" t="s">
        <v>17</v>
      </c>
      <c r="B3747" s="16" t="s">
        <v>80</v>
      </c>
      <c r="C3747" s="17" t="s">
        <v>19</v>
      </c>
      <c r="D3747" s="18" t="s">
        <v>2100</v>
      </c>
      <c r="E3747" s="18">
        <v>20</v>
      </c>
      <c r="F3747" s="18" t="s">
        <v>191</v>
      </c>
      <c r="G3747" s="18" t="s">
        <v>39</v>
      </c>
      <c r="H3747" s="18" t="s">
        <v>23</v>
      </c>
      <c r="I3747" s="19">
        <v>9.5299999999999994</v>
      </c>
      <c r="J3747" s="20">
        <f t="shared" si="116"/>
        <v>190.6</v>
      </c>
      <c r="K3747" s="106"/>
      <c r="L3747" s="114"/>
      <c r="M3747" s="114">
        <f>tblAquisições[[#This Row],[VALOR UNITARIO COMPRADO]]*tblAquisições[[#This Row],[QUANTIDADE COMPRADA]]</f>
        <v>0</v>
      </c>
      <c r="N3747" s="110">
        <f>K3747-tblAquisições[[#This Row],[QUANTIDADE PLANEJADA]]</f>
        <v>-20</v>
      </c>
      <c r="O3747" s="106" t="str">
        <f t="shared" si="117"/>
        <v>Faltando Comprar</v>
      </c>
    </row>
    <row r="3748" spans="1:15" ht="47.25">
      <c r="A3748" s="16" t="s">
        <v>17</v>
      </c>
      <c r="B3748" s="16" t="s">
        <v>26</v>
      </c>
      <c r="C3748" s="17" t="s">
        <v>19</v>
      </c>
      <c r="D3748" s="18" t="s">
        <v>2101</v>
      </c>
      <c r="E3748" s="18">
        <v>24</v>
      </c>
      <c r="F3748" s="18" t="s">
        <v>239</v>
      </c>
      <c r="G3748" s="18" t="s">
        <v>22</v>
      </c>
      <c r="H3748" s="18" t="s">
        <v>23</v>
      </c>
      <c r="I3748" s="19">
        <v>9.5299999999999994</v>
      </c>
      <c r="J3748" s="20">
        <f t="shared" si="116"/>
        <v>228.71999999999997</v>
      </c>
      <c r="K3748" s="106"/>
      <c r="L3748" s="114"/>
      <c r="M3748" s="114">
        <f>tblAquisições[[#This Row],[VALOR UNITARIO COMPRADO]]*tblAquisições[[#This Row],[QUANTIDADE COMPRADA]]</f>
        <v>0</v>
      </c>
      <c r="N3748" s="110">
        <f>K3748-tblAquisições[[#This Row],[QUANTIDADE PLANEJADA]]</f>
        <v>-24</v>
      </c>
      <c r="O3748" s="106" t="str">
        <f t="shared" si="117"/>
        <v>Faltando Comprar</v>
      </c>
    </row>
    <row r="3749" spans="1:15" ht="31.5">
      <c r="A3749" s="16" t="s">
        <v>17</v>
      </c>
      <c r="B3749" s="16" t="s">
        <v>27</v>
      </c>
      <c r="C3749" s="17" t="s">
        <v>19</v>
      </c>
      <c r="D3749" s="18" t="s">
        <v>2102</v>
      </c>
      <c r="E3749" s="18">
        <v>50</v>
      </c>
      <c r="F3749" s="18" t="s">
        <v>30</v>
      </c>
      <c r="G3749" s="18" t="s">
        <v>22</v>
      </c>
      <c r="H3749" s="18" t="s">
        <v>23</v>
      </c>
      <c r="I3749" s="19">
        <v>15.11</v>
      </c>
      <c r="J3749" s="20">
        <f t="shared" si="116"/>
        <v>755.5</v>
      </c>
      <c r="K3749" s="106"/>
      <c r="L3749" s="114"/>
      <c r="M3749" s="114">
        <f>tblAquisições[[#This Row],[VALOR UNITARIO COMPRADO]]*tblAquisições[[#This Row],[QUANTIDADE COMPRADA]]</f>
        <v>0</v>
      </c>
      <c r="N3749" s="110">
        <f>K3749-tblAquisições[[#This Row],[QUANTIDADE PLANEJADA]]</f>
        <v>-50</v>
      </c>
      <c r="O3749" s="106" t="str">
        <f t="shared" si="117"/>
        <v>Faltando Comprar</v>
      </c>
    </row>
    <row r="3750" spans="1:15" ht="31.5">
      <c r="A3750" s="16" t="s">
        <v>17</v>
      </c>
      <c r="B3750" s="16" t="s">
        <v>26</v>
      </c>
      <c r="C3750" s="17" t="s">
        <v>19</v>
      </c>
      <c r="D3750" s="18" t="s">
        <v>2103</v>
      </c>
      <c r="E3750" s="18">
        <v>10</v>
      </c>
      <c r="F3750" s="18" t="s">
        <v>30</v>
      </c>
      <c r="G3750" s="18" t="s">
        <v>22</v>
      </c>
      <c r="H3750" s="18" t="s">
        <v>23</v>
      </c>
      <c r="I3750" s="19">
        <v>87.67</v>
      </c>
      <c r="J3750" s="20">
        <f t="shared" si="116"/>
        <v>876.7</v>
      </c>
      <c r="K3750" s="106"/>
      <c r="L3750" s="114"/>
      <c r="M3750" s="114">
        <f>tblAquisições[[#This Row],[VALOR UNITARIO COMPRADO]]*tblAquisições[[#This Row],[QUANTIDADE COMPRADA]]</f>
        <v>0</v>
      </c>
      <c r="N3750" s="110">
        <f>K3750-tblAquisições[[#This Row],[QUANTIDADE PLANEJADA]]</f>
        <v>-10</v>
      </c>
      <c r="O3750" s="106" t="str">
        <f t="shared" si="117"/>
        <v>Faltando Comprar</v>
      </c>
    </row>
    <row r="3751" spans="1:15" ht="47.25">
      <c r="A3751" s="16" t="s">
        <v>17</v>
      </c>
      <c r="B3751" s="16" t="s">
        <v>80</v>
      </c>
      <c r="C3751" s="17" t="s">
        <v>19</v>
      </c>
      <c r="D3751" s="18" t="s">
        <v>2104</v>
      </c>
      <c r="E3751" s="18">
        <v>20</v>
      </c>
      <c r="F3751" s="18" t="s">
        <v>147</v>
      </c>
      <c r="G3751" s="18" t="s">
        <v>39</v>
      </c>
      <c r="H3751" s="21"/>
      <c r="I3751" s="19">
        <v>160</v>
      </c>
      <c r="J3751" s="20">
        <f t="shared" si="116"/>
        <v>3200</v>
      </c>
      <c r="K3751" s="106"/>
      <c r="L3751" s="114"/>
      <c r="M3751" s="114">
        <f>tblAquisições[[#This Row],[VALOR UNITARIO COMPRADO]]*tblAquisições[[#This Row],[QUANTIDADE COMPRADA]]</f>
        <v>0</v>
      </c>
      <c r="N3751" s="110">
        <f>K3751-tblAquisições[[#This Row],[QUANTIDADE PLANEJADA]]</f>
        <v>-20</v>
      </c>
      <c r="O3751" s="106" t="str">
        <f t="shared" si="117"/>
        <v>Faltando Comprar</v>
      </c>
    </row>
    <row r="3752" spans="1:15" ht="31.5">
      <c r="A3752" s="16" t="s">
        <v>17</v>
      </c>
      <c r="B3752" s="16" t="s">
        <v>80</v>
      </c>
      <c r="C3752" s="17" t="s">
        <v>19</v>
      </c>
      <c r="D3752" s="18" t="s">
        <v>2105</v>
      </c>
      <c r="E3752" s="18">
        <v>4</v>
      </c>
      <c r="F3752" s="18" t="s">
        <v>82</v>
      </c>
      <c r="G3752" s="18" t="s">
        <v>39</v>
      </c>
      <c r="H3752" s="18" t="s">
        <v>65</v>
      </c>
      <c r="I3752" s="19">
        <v>396.75</v>
      </c>
      <c r="J3752" s="20">
        <f t="shared" si="116"/>
        <v>1587</v>
      </c>
      <c r="K3752" s="106"/>
      <c r="L3752" s="114"/>
      <c r="M3752" s="114">
        <f>tblAquisições[[#This Row],[VALOR UNITARIO COMPRADO]]*tblAquisições[[#This Row],[QUANTIDADE COMPRADA]]</f>
        <v>0</v>
      </c>
      <c r="N3752" s="110">
        <f>K3752-tblAquisições[[#This Row],[QUANTIDADE PLANEJADA]]</f>
        <v>-4</v>
      </c>
      <c r="O3752" s="106" t="str">
        <f t="shared" si="117"/>
        <v>Faltando Comprar</v>
      </c>
    </row>
    <row r="3753" spans="1:15" ht="31.5">
      <c r="A3753" s="16" t="s">
        <v>17</v>
      </c>
      <c r="B3753" s="16" t="s">
        <v>26</v>
      </c>
      <c r="C3753" s="17" t="s">
        <v>19</v>
      </c>
      <c r="D3753" s="18" t="s">
        <v>2106</v>
      </c>
      <c r="E3753" s="18">
        <v>7</v>
      </c>
      <c r="F3753" s="18" t="s">
        <v>30</v>
      </c>
      <c r="G3753" s="18" t="s">
        <v>22</v>
      </c>
      <c r="H3753" s="18" t="s">
        <v>23</v>
      </c>
      <c r="I3753" s="19">
        <v>396.75</v>
      </c>
      <c r="J3753" s="20">
        <f t="shared" si="116"/>
        <v>2777.25</v>
      </c>
      <c r="K3753" s="106"/>
      <c r="L3753" s="114"/>
      <c r="M3753" s="114">
        <f>tblAquisições[[#This Row],[VALOR UNITARIO COMPRADO]]*tblAquisições[[#This Row],[QUANTIDADE COMPRADA]]</f>
        <v>0</v>
      </c>
      <c r="N3753" s="110">
        <f>K3753-tblAquisições[[#This Row],[QUANTIDADE PLANEJADA]]</f>
        <v>-7</v>
      </c>
      <c r="O3753" s="106" t="str">
        <f t="shared" si="117"/>
        <v>Faltando Comprar</v>
      </c>
    </row>
    <row r="3754" spans="1:15" ht="31.5">
      <c r="A3754" s="16" t="s">
        <v>17</v>
      </c>
      <c r="B3754" s="16" t="s">
        <v>80</v>
      </c>
      <c r="C3754" s="17" t="s">
        <v>19</v>
      </c>
      <c r="D3754" s="18" t="s">
        <v>2107</v>
      </c>
      <c r="E3754" s="18">
        <v>2</v>
      </c>
      <c r="F3754" s="18" t="s">
        <v>468</v>
      </c>
      <c r="G3754" s="18" t="s">
        <v>39</v>
      </c>
      <c r="H3754" s="21"/>
      <c r="I3754" s="19">
        <v>33.65</v>
      </c>
      <c r="J3754" s="20">
        <f t="shared" si="116"/>
        <v>67.3</v>
      </c>
      <c r="K3754" s="106"/>
      <c r="L3754" s="114"/>
      <c r="M3754" s="114">
        <f>tblAquisições[[#This Row],[VALOR UNITARIO COMPRADO]]*tblAquisições[[#This Row],[QUANTIDADE COMPRADA]]</f>
        <v>0</v>
      </c>
      <c r="N3754" s="110">
        <f>K3754-tblAquisições[[#This Row],[QUANTIDADE PLANEJADA]]</f>
        <v>-2</v>
      </c>
      <c r="O3754" s="106" t="str">
        <f t="shared" si="117"/>
        <v>Faltando Comprar</v>
      </c>
    </row>
    <row r="3755" spans="1:15" ht="31.5">
      <c r="A3755" s="16" t="s">
        <v>17</v>
      </c>
      <c r="B3755" s="16" t="s">
        <v>18</v>
      </c>
      <c r="C3755" s="17" t="s">
        <v>19</v>
      </c>
      <c r="D3755" s="18" t="s">
        <v>2108</v>
      </c>
      <c r="E3755" s="18">
        <v>20</v>
      </c>
      <c r="F3755" s="18" t="s">
        <v>324</v>
      </c>
      <c r="G3755" s="18" t="s">
        <v>22</v>
      </c>
      <c r="H3755" s="18" t="s">
        <v>100</v>
      </c>
      <c r="I3755" s="19">
        <v>28.11</v>
      </c>
      <c r="J3755" s="20">
        <f t="shared" si="116"/>
        <v>562.20000000000005</v>
      </c>
      <c r="K3755" s="106"/>
      <c r="L3755" s="114"/>
      <c r="M3755" s="114">
        <f>tblAquisições[[#This Row],[VALOR UNITARIO COMPRADO]]*tblAquisições[[#This Row],[QUANTIDADE COMPRADA]]</f>
        <v>0</v>
      </c>
      <c r="N3755" s="110">
        <f>K3755-tblAquisições[[#This Row],[QUANTIDADE PLANEJADA]]</f>
        <v>-20</v>
      </c>
      <c r="O3755" s="106" t="str">
        <f t="shared" si="117"/>
        <v>Faltando Comprar</v>
      </c>
    </row>
    <row r="3756" spans="1:15" ht="31.5">
      <c r="A3756" s="16" t="s">
        <v>17</v>
      </c>
      <c r="B3756" s="16" t="s">
        <v>24</v>
      </c>
      <c r="C3756" s="17" t="s">
        <v>19</v>
      </c>
      <c r="D3756" s="18" t="s">
        <v>2108</v>
      </c>
      <c r="E3756" s="18">
        <v>20</v>
      </c>
      <c r="F3756" s="18" t="s">
        <v>324</v>
      </c>
      <c r="G3756" s="18" t="s">
        <v>22</v>
      </c>
      <c r="H3756" s="18" t="s">
        <v>100</v>
      </c>
      <c r="I3756" s="19">
        <v>28.11</v>
      </c>
      <c r="J3756" s="20">
        <f t="shared" si="116"/>
        <v>562.20000000000005</v>
      </c>
      <c r="K3756" s="106"/>
      <c r="L3756" s="114"/>
      <c r="M3756" s="114">
        <f>tblAquisições[[#This Row],[VALOR UNITARIO COMPRADO]]*tblAquisições[[#This Row],[QUANTIDADE COMPRADA]]</f>
        <v>0</v>
      </c>
      <c r="N3756" s="110">
        <f>K3756-tblAquisições[[#This Row],[QUANTIDADE PLANEJADA]]</f>
        <v>-20</v>
      </c>
      <c r="O3756" s="106" t="str">
        <f t="shared" si="117"/>
        <v>Faltando Comprar</v>
      </c>
    </row>
    <row r="3757" spans="1:15" ht="31.5">
      <c r="A3757" s="16" t="s">
        <v>17</v>
      </c>
      <c r="B3757" s="16" t="s">
        <v>25</v>
      </c>
      <c r="C3757" s="17" t="s">
        <v>19</v>
      </c>
      <c r="D3757" s="18" t="s">
        <v>2108</v>
      </c>
      <c r="E3757" s="18">
        <v>20</v>
      </c>
      <c r="F3757" s="18" t="s">
        <v>324</v>
      </c>
      <c r="G3757" s="18" t="s">
        <v>22</v>
      </c>
      <c r="H3757" s="18" t="s">
        <v>100</v>
      </c>
      <c r="I3757" s="19">
        <v>28.11</v>
      </c>
      <c r="J3757" s="20">
        <f t="shared" si="116"/>
        <v>562.20000000000005</v>
      </c>
      <c r="K3757" s="106"/>
      <c r="L3757" s="114"/>
      <c r="M3757" s="114">
        <f>tblAquisições[[#This Row],[VALOR UNITARIO COMPRADO]]*tblAquisições[[#This Row],[QUANTIDADE COMPRADA]]</f>
        <v>0</v>
      </c>
      <c r="N3757" s="110">
        <f>K3757-tblAquisições[[#This Row],[QUANTIDADE PLANEJADA]]</f>
        <v>-20</v>
      </c>
      <c r="O3757" s="106" t="str">
        <f t="shared" si="117"/>
        <v>Faltando Comprar</v>
      </c>
    </row>
    <row r="3758" spans="1:15" ht="31.5">
      <c r="A3758" s="16" t="s">
        <v>17</v>
      </c>
      <c r="B3758" s="16" t="s">
        <v>41</v>
      </c>
      <c r="C3758" s="17" t="s">
        <v>19</v>
      </c>
      <c r="D3758" s="18" t="s">
        <v>2108</v>
      </c>
      <c r="E3758" s="18">
        <v>10</v>
      </c>
      <c r="F3758" s="18" t="s">
        <v>324</v>
      </c>
      <c r="G3758" s="18" t="s">
        <v>22</v>
      </c>
      <c r="H3758" s="18" t="s">
        <v>23</v>
      </c>
      <c r="I3758" s="19">
        <v>28.11</v>
      </c>
      <c r="J3758" s="20">
        <f t="shared" si="116"/>
        <v>281.10000000000002</v>
      </c>
      <c r="K3758" s="106"/>
      <c r="L3758" s="114"/>
      <c r="M3758" s="114">
        <f>tblAquisições[[#This Row],[VALOR UNITARIO COMPRADO]]*tblAquisições[[#This Row],[QUANTIDADE COMPRADA]]</f>
        <v>0</v>
      </c>
      <c r="N3758" s="110">
        <f>K3758-tblAquisições[[#This Row],[QUANTIDADE PLANEJADA]]</f>
        <v>-10</v>
      </c>
      <c r="O3758" s="106" t="str">
        <f t="shared" si="117"/>
        <v>Faltando Comprar</v>
      </c>
    </row>
    <row r="3759" spans="1:15" ht="31.5">
      <c r="A3759" s="16" t="s">
        <v>17</v>
      </c>
      <c r="B3759" s="16" t="s">
        <v>27</v>
      </c>
      <c r="C3759" s="17" t="s">
        <v>19</v>
      </c>
      <c r="D3759" s="18" t="s">
        <v>2108</v>
      </c>
      <c r="E3759" s="18">
        <v>25</v>
      </c>
      <c r="F3759" s="18" t="s">
        <v>324</v>
      </c>
      <c r="G3759" s="18" t="s">
        <v>22</v>
      </c>
      <c r="H3759" s="18" t="s">
        <v>23</v>
      </c>
      <c r="I3759" s="19">
        <v>28.11</v>
      </c>
      <c r="J3759" s="20">
        <f t="shared" si="116"/>
        <v>702.75</v>
      </c>
      <c r="K3759" s="106"/>
      <c r="L3759" s="114"/>
      <c r="M3759" s="114">
        <f>tblAquisições[[#This Row],[VALOR UNITARIO COMPRADO]]*tblAquisições[[#This Row],[QUANTIDADE COMPRADA]]</f>
        <v>0</v>
      </c>
      <c r="N3759" s="110">
        <f>K3759-tblAquisições[[#This Row],[QUANTIDADE PLANEJADA]]</f>
        <v>-25</v>
      </c>
      <c r="O3759" s="106" t="str">
        <f t="shared" si="117"/>
        <v>Faltando Comprar</v>
      </c>
    </row>
    <row r="3760" spans="1:15" ht="31.5">
      <c r="A3760" s="16" t="s">
        <v>17</v>
      </c>
      <c r="B3760" s="16" t="s">
        <v>28</v>
      </c>
      <c r="C3760" s="17" t="s">
        <v>19</v>
      </c>
      <c r="D3760" s="18" t="s">
        <v>2108</v>
      </c>
      <c r="E3760" s="18">
        <v>4</v>
      </c>
      <c r="F3760" s="18" t="s">
        <v>324</v>
      </c>
      <c r="G3760" s="18" t="s">
        <v>22</v>
      </c>
      <c r="H3760" s="18" t="s">
        <v>23</v>
      </c>
      <c r="I3760" s="19">
        <v>28.11</v>
      </c>
      <c r="J3760" s="20">
        <f t="shared" si="116"/>
        <v>112.44</v>
      </c>
      <c r="K3760" s="106"/>
      <c r="L3760" s="114"/>
      <c r="M3760" s="114">
        <f>tblAquisições[[#This Row],[VALOR UNITARIO COMPRADO]]*tblAquisições[[#This Row],[QUANTIDADE COMPRADA]]</f>
        <v>0</v>
      </c>
      <c r="N3760" s="110">
        <f>K3760-tblAquisições[[#This Row],[QUANTIDADE PLANEJADA]]</f>
        <v>-4</v>
      </c>
      <c r="O3760" s="106" t="str">
        <f t="shared" si="117"/>
        <v>Faltando Comprar</v>
      </c>
    </row>
    <row r="3761" spans="1:15" ht="47.25">
      <c r="A3761" s="16" t="s">
        <v>17</v>
      </c>
      <c r="B3761" s="16" t="s">
        <v>28</v>
      </c>
      <c r="C3761" s="17" t="s">
        <v>19</v>
      </c>
      <c r="D3761" s="18" t="s">
        <v>2109</v>
      </c>
      <c r="E3761" s="18">
        <v>40</v>
      </c>
      <c r="F3761" s="18" t="s">
        <v>78</v>
      </c>
      <c r="G3761" s="18" t="s">
        <v>22</v>
      </c>
      <c r="H3761" s="18" t="s">
        <v>53</v>
      </c>
      <c r="I3761" s="19">
        <v>52.53</v>
      </c>
      <c r="J3761" s="20">
        <f t="shared" si="116"/>
        <v>2101.1999999999998</v>
      </c>
      <c r="K3761" s="106"/>
      <c r="L3761" s="114"/>
      <c r="M3761" s="114">
        <f>tblAquisições[[#This Row],[VALOR UNITARIO COMPRADO]]*tblAquisições[[#This Row],[QUANTIDADE COMPRADA]]</f>
        <v>0</v>
      </c>
      <c r="N3761" s="110">
        <f>K3761-tblAquisições[[#This Row],[QUANTIDADE PLANEJADA]]</f>
        <v>-40</v>
      </c>
      <c r="O3761" s="106" t="str">
        <f t="shared" si="117"/>
        <v>Faltando Comprar</v>
      </c>
    </row>
    <row r="3762" spans="1:15" ht="47.25">
      <c r="A3762" s="16" t="s">
        <v>17</v>
      </c>
      <c r="B3762" s="16" t="s">
        <v>18</v>
      </c>
      <c r="C3762" s="17" t="s">
        <v>19</v>
      </c>
      <c r="D3762" s="18" t="s">
        <v>2110</v>
      </c>
      <c r="E3762" s="18">
        <v>15</v>
      </c>
      <c r="F3762" s="18" t="s">
        <v>78</v>
      </c>
      <c r="G3762" s="18" t="s">
        <v>22</v>
      </c>
      <c r="H3762" s="18" t="s">
        <v>23</v>
      </c>
      <c r="I3762" s="19">
        <v>62.31</v>
      </c>
      <c r="J3762" s="20">
        <f t="shared" si="116"/>
        <v>934.65000000000009</v>
      </c>
      <c r="K3762" s="106"/>
      <c r="L3762" s="114"/>
      <c r="M3762" s="114">
        <f>tblAquisições[[#This Row],[VALOR UNITARIO COMPRADO]]*tblAquisições[[#This Row],[QUANTIDADE COMPRADA]]</f>
        <v>0</v>
      </c>
      <c r="N3762" s="110">
        <f>K3762-tblAquisições[[#This Row],[QUANTIDADE PLANEJADA]]</f>
        <v>-15</v>
      </c>
      <c r="O3762" s="106" t="str">
        <f t="shared" si="117"/>
        <v>Faltando Comprar</v>
      </c>
    </row>
    <row r="3763" spans="1:15" ht="47.25">
      <c r="A3763" s="16" t="s">
        <v>17</v>
      </c>
      <c r="B3763" s="16" t="s">
        <v>24</v>
      </c>
      <c r="C3763" s="17" t="s">
        <v>19</v>
      </c>
      <c r="D3763" s="18" t="s">
        <v>2110</v>
      </c>
      <c r="E3763" s="18">
        <v>15</v>
      </c>
      <c r="F3763" s="18" t="s">
        <v>78</v>
      </c>
      <c r="G3763" s="18" t="s">
        <v>22</v>
      </c>
      <c r="H3763" s="18" t="s">
        <v>23</v>
      </c>
      <c r="I3763" s="19">
        <v>62.31</v>
      </c>
      <c r="J3763" s="20">
        <f t="shared" si="116"/>
        <v>934.65000000000009</v>
      </c>
      <c r="K3763" s="106"/>
      <c r="L3763" s="114"/>
      <c r="M3763" s="114">
        <f>tblAquisições[[#This Row],[VALOR UNITARIO COMPRADO]]*tblAquisições[[#This Row],[QUANTIDADE COMPRADA]]</f>
        <v>0</v>
      </c>
      <c r="N3763" s="110">
        <f>K3763-tblAquisições[[#This Row],[QUANTIDADE PLANEJADA]]</f>
        <v>-15</v>
      </c>
      <c r="O3763" s="106" t="str">
        <f t="shared" si="117"/>
        <v>Faltando Comprar</v>
      </c>
    </row>
    <row r="3764" spans="1:15" ht="47.25">
      <c r="A3764" s="16" t="s">
        <v>17</v>
      </c>
      <c r="B3764" s="16" t="s">
        <v>25</v>
      </c>
      <c r="C3764" s="17" t="s">
        <v>19</v>
      </c>
      <c r="D3764" s="18" t="s">
        <v>2110</v>
      </c>
      <c r="E3764" s="18">
        <v>15</v>
      </c>
      <c r="F3764" s="18" t="s">
        <v>78</v>
      </c>
      <c r="G3764" s="18" t="s">
        <v>22</v>
      </c>
      <c r="H3764" s="18" t="s">
        <v>23</v>
      </c>
      <c r="I3764" s="19">
        <v>62.31</v>
      </c>
      <c r="J3764" s="20">
        <f t="shared" si="116"/>
        <v>934.65000000000009</v>
      </c>
      <c r="K3764" s="106"/>
      <c r="L3764" s="114"/>
      <c r="M3764" s="114">
        <f>tblAquisições[[#This Row],[VALOR UNITARIO COMPRADO]]*tblAquisições[[#This Row],[QUANTIDADE COMPRADA]]</f>
        <v>0</v>
      </c>
      <c r="N3764" s="110">
        <f>K3764-tblAquisições[[#This Row],[QUANTIDADE PLANEJADA]]</f>
        <v>-15</v>
      </c>
      <c r="O3764" s="106" t="str">
        <f t="shared" si="117"/>
        <v>Faltando Comprar</v>
      </c>
    </row>
    <row r="3765" spans="1:15" ht="47.25">
      <c r="A3765" s="16" t="s">
        <v>17</v>
      </c>
      <c r="B3765" s="16" t="s">
        <v>27</v>
      </c>
      <c r="C3765" s="17" t="s">
        <v>19</v>
      </c>
      <c r="D3765" s="18" t="s">
        <v>2110</v>
      </c>
      <c r="E3765" s="18">
        <v>40</v>
      </c>
      <c r="F3765" s="18" t="s">
        <v>78</v>
      </c>
      <c r="G3765" s="18" t="s">
        <v>22</v>
      </c>
      <c r="H3765" s="18" t="s">
        <v>23</v>
      </c>
      <c r="I3765" s="19">
        <v>62.31</v>
      </c>
      <c r="J3765" s="20">
        <f t="shared" si="116"/>
        <v>2492.4</v>
      </c>
      <c r="K3765" s="106"/>
      <c r="L3765" s="114"/>
      <c r="M3765" s="114">
        <f>tblAquisições[[#This Row],[VALOR UNITARIO COMPRADO]]*tblAquisições[[#This Row],[QUANTIDADE COMPRADA]]</f>
        <v>0</v>
      </c>
      <c r="N3765" s="110">
        <f>K3765-tblAquisições[[#This Row],[QUANTIDADE PLANEJADA]]</f>
        <v>-40</v>
      </c>
      <c r="O3765" s="106" t="str">
        <f t="shared" si="117"/>
        <v>Faltando Comprar</v>
      </c>
    </row>
    <row r="3766" spans="1:15" ht="47.25">
      <c r="A3766" s="16" t="s">
        <v>17</v>
      </c>
      <c r="B3766" s="16" t="s">
        <v>28</v>
      </c>
      <c r="C3766" s="17" t="s">
        <v>19</v>
      </c>
      <c r="D3766" s="18" t="s">
        <v>2110</v>
      </c>
      <c r="E3766" s="18">
        <v>25</v>
      </c>
      <c r="F3766" s="18" t="s">
        <v>78</v>
      </c>
      <c r="G3766" s="18" t="s">
        <v>22</v>
      </c>
      <c r="H3766" s="18" t="s">
        <v>23</v>
      </c>
      <c r="I3766" s="19">
        <v>62.31</v>
      </c>
      <c r="J3766" s="20">
        <f t="shared" si="116"/>
        <v>1557.75</v>
      </c>
      <c r="K3766" s="106"/>
      <c r="L3766" s="114"/>
      <c r="M3766" s="114">
        <f>tblAquisições[[#This Row],[VALOR UNITARIO COMPRADO]]*tblAquisições[[#This Row],[QUANTIDADE COMPRADA]]</f>
        <v>0</v>
      </c>
      <c r="N3766" s="110">
        <f>K3766-tblAquisições[[#This Row],[QUANTIDADE PLANEJADA]]</f>
        <v>-25</v>
      </c>
      <c r="O3766" s="106" t="str">
        <f t="shared" si="117"/>
        <v>Faltando Comprar</v>
      </c>
    </row>
    <row r="3767" spans="1:15" ht="31.5">
      <c r="A3767" s="16" t="s">
        <v>17</v>
      </c>
      <c r="B3767" s="16" t="s">
        <v>28</v>
      </c>
      <c r="C3767" s="17" t="s">
        <v>19</v>
      </c>
      <c r="D3767" s="18" t="s">
        <v>2111</v>
      </c>
      <c r="E3767" s="18">
        <v>12</v>
      </c>
      <c r="F3767" s="18" t="s">
        <v>324</v>
      </c>
      <c r="G3767" s="18" t="s">
        <v>22</v>
      </c>
      <c r="H3767" s="18" t="s">
        <v>23</v>
      </c>
      <c r="I3767" s="19">
        <v>47.67</v>
      </c>
      <c r="J3767" s="20">
        <f t="shared" si="116"/>
        <v>572.04</v>
      </c>
      <c r="K3767" s="106"/>
      <c r="L3767" s="114"/>
      <c r="M3767" s="114">
        <f>tblAquisições[[#This Row],[VALOR UNITARIO COMPRADO]]*tblAquisições[[#This Row],[QUANTIDADE COMPRADA]]</f>
        <v>0</v>
      </c>
      <c r="N3767" s="110">
        <f>K3767-tblAquisições[[#This Row],[QUANTIDADE PLANEJADA]]</f>
        <v>-12</v>
      </c>
      <c r="O3767" s="106" t="str">
        <f t="shared" si="117"/>
        <v>Faltando Comprar</v>
      </c>
    </row>
    <row r="3768" spans="1:15" ht="31.5">
      <c r="A3768" s="16" t="s">
        <v>17</v>
      </c>
      <c r="B3768" s="16" t="s">
        <v>80</v>
      </c>
      <c r="C3768" s="17" t="s">
        <v>19</v>
      </c>
      <c r="D3768" s="18" t="s">
        <v>2112</v>
      </c>
      <c r="E3768" s="18">
        <v>4</v>
      </c>
      <c r="F3768" s="18" t="s">
        <v>38</v>
      </c>
      <c r="G3768" s="18" t="s">
        <v>39</v>
      </c>
      <c r="H3768" s="21"/>
      <c r="I3768" s="19">
        <v>1038.1130000000001</v>
      </c>
      <c r="J3768" s="20">
        <f t="shared" si="116"/>
        <v>4152.4520000000002</v>
      </c>
      <c r="K3768" s="106"/>
      <c r="L3768" s="114"/>
      <c r="M3768" s="114">
        <f>tblAquisições[[#This Row],[VALOR UNITARIO COMPRADO]]*tblAquisições[[#This Row],[QUANTIDADE COMPRADA]]</f>
        <v>0</v>
      </c>
      <c r="N3768" s="110">
        <f>K3768-tblAquisições[[#This Row],[QUANTIDADE PLANEJADA]]</f>
        <v>-4</v>
      </c>
      <c r="O3768" s="106" t="str">
        <f t="shared" si="117"/>
        <v>Faltando Comprar</v>
      </c>
    </row>
    <row r="3769" spans="1:15" ht="31.5">
      <c r="A3769" s="16" t="s">
        <v>17</v>
      </c>
      <c r="B3769" s="16" t="s">
        <v>31</v>
      </c>
      <c r="C3769" s="17" t="s">
        <v>19</v>
      </c>
      <c r="D3769" s="18" t="s">
        <v>2113</v>
      </c>
      <c r="E3769" s="18">
        <v>2</v>
      </c>
      <c r="F3769" s="18" t="s">
        <v>21</v>
      </c>
      <c r="G3769" s="18" t="s">
        <v>22</v>
      </c>
      <c r="H3769" s="18" t="s">
        <v>23</v>
      </c>
      <c r="I3769" s="19">
        <v>1038.1130000000001</v>
      </c>
      <c r="J3769" s="20">
        <f t="shared" si="116"/>
        <v>2076.2260000000001</v>
      </c>
      <c r="K3769" s="106"/>
      <c r="L3769" s="114"/>
      <c r="M3769" s="114">
        <f>tblAquisições[[#This Row],[VALOR UNITARIO COMPRADO]]*tblAquisições[[#This Row],[QUANTIDADE COMPRADA]]</f>
        <v>0</v>
      </c>
      <c r="N3769" s="110">
        <f>K3769-tblAquisições[[#This Row],[QUANTIDADE PLANEJADA]]</f>
        <v>-2</v>
      </c>
      <c r="O3769" s="106" t="str">
        <f t="shared" si="117"/>
        <v>Faltando Comprar</v>
      </c>
    </row>
    <row r="3770" spans="1:15" ht="31.5">
      <c r="A3770" s="16" t="s">
        <v>17</v>
      </c>
      <c r="B3770" s="16" t="s">
        <v>28</v>
      </c>
      <c r="C3770" s="17" t="s">
        <v>19</v>
      </c>
      <c r="D3770" s="18" t="s">
        <v>2113</v>
      </c>
      <c r="E3770" s="18">
        <v>3</v>
      </c>
      <c r="F3770" s="18" t="s">
        <v>21</v>
      </c>
      <c r="G3770" s="18" t="s">
        <v>22</v>
      </c>
      <c r="H3770" s="18" t="s">
        <v>53</v>
      </c>
      <c r="I3770" s="19">
        <v>1038.1130000000001</v>
      </c>
      <c r="J3770" s="20">
        <f t="shared" si="116"/>
        <v>3114.3389999999999</v>
      </c>
      <c r="K3770" s="106"/>
      <c r="L3770" s="114"/>
      <c r="M3770" s="114">
        <f>tblAquisições[[#This Row],[VALOR UNITARIO COMPRADO]]*tblAquisições[[#This Row],[QUANTIDADE COMPRADA]]</f>
        <v>0</v>
      </c>
      <c r="N3770" s="110">
        <f>K3770-tblAquisições[[#This Row],[QUANTIDADE PLANEJADA]]</f>
        <v>-3</v>
      </c>
      <c r="O3770" s="106" t="str">
        <f t="shared" si="117"/>
        <v>Faltando Comprar</v>
      </c>
    </row>
    <row r="3771" spans="1:15" ht="47.25">
      <c r="A3771" s="16" t="s">
        <v>17</v>
      </c>
      <c r="B3771" s="16" t="s">
        <v>80</v>
      </c>
      <c r="C3771" s="17" t="s">
        <v>19</v>
      </c>
      <c r="D3771" s="18" t="s">
        <v>2114</v>
      </c>
      <c r="E3771" s="18">
        <v>2</v>
      </c>
      <c r="F3771" s="18" t="s">
        <v>147</v>
      </c>
      <c r="G3771" s="18" t="s">
        <v>39</v>
      </c>
      <c r="H3771" s="21"/>
      <c r="I3771" s="19">
        <v>10.32</v>
      </c>
      <c r="J3771" s="20">
        <f t="shared" si="116"/>
        <v>20.64</v>
      </c>
      <c r="K3771" s="106"/>
      <c r="L3771" s="114"/>
      <c r="M3771" s="114">
        <f>tblAquisições[[#This Row],[VALOR UNITARIO COMPRADO]]*tblAquisições[[#This Row],[QUANTIDADE COMPRADA]]</f>
        <v>0</v>
      </c>
      <c r="N3771" s="110">
        <f>K3771-tblAquisições[[#This Row],[QUANTIDADE PLANEJADA]]</f>
        <v>-2</v>
      </c>
      <c r="O3771" s="106" t="str">
        <f t="shared" si="117"/>
        <v>Faltando Comprar</v>
      </c>
    </row>
    <row r="3772" spans="1:15" ht="31.5">
      <c r="A3772" s="16" t="s">
        <v>17</v>
      </c>
      <c r="B3772" s="16" t="s">
        <v>26</v>
      </c>
      <c r="C3772" s="17" t="s">
        <v>19</v>
      </c>
      <c r="D3772" s="18" t="s">
        <v>2115</v>
      </c>
      <c r="E3772" s="18">
        <v>10</v>
      </c>
      <c r="F3772" s="18" t="s">
        <v>30</v>
      </c>
      <c r="G3772" s="18" t="s">
        <v>22</v>
      </c>
      <c r="H3772" s="18" t="s">
        <v>23</v>
      </c>
      <c r="I3772" s="19">
        <v>17.66</v>
      </c>
      <c r="J3772" s="20">
        <f t="shared" si="116"/>
        <v>176.6</v>
      </c>
      <c r="K3772" s="106"/>
      <c r="L3772" s="114"/>
      <c r="M3772" s="114">
        <f>tblAquisições[[#This Row],[VALOR UNITARIO COMPRADO]]*tblAquisições[[#This Row],[QUANTIDADE COMPRADA]]</f>
        <v>0</v>
      </c>
      <c r="N3772" s="110">
        <f>K3772-tblAquisições[[#This Row],[QUANTIDADE PLANEJADA]]</f>
        <v>-10</v>
      </c>
      <c r="O3772" s="106" t="str">
        <f t="shared" si="117"/>
        <v>Faltando Comprar</v>
      </c>
    </row>
    <row r="3773" spans="1:15" ht="47.25">
      <c r="A3773" s="16" t="s">
        <v>17</v>
      </c>
      <c r="B3773" s="16" t="s">
        <v>31</v>
      </c>
      <c r="C3773" s="17" t="s">
        <v>19</v>
      </c>
      <c r="D3773" s="18" t="s">
        <v>2116</v>
      </c>
      <c r="E3773" s="18">
        <v>200</v>
      </c>
      <c r="F3773" s="18" t="s">
        <v>78</v>
      </c>
      <c r="G3773" s="18" t="s">
        <v>22</v>
      </c>
      <c r="H3773" s="18" t="s">
        <v>83</v>
      </c>
      <c r="I3773" s="19">
        <v>3.55</v>
      </c>
      <c r="J3773" s="20">
        <f t="shared" si="116"/>
        <v>710</v>
      </c>
      <c r="K3773" s="106"/>
      <c r="L3773" s="114"/>
      <c r="M3773" s="114">
        <f>tblAquisições[[#This Row],[VALOR UNITARIO COMPRADO]]*tblAquisições[[#This Row],[QUANTIDADE COMPRADA]]</f>
        <v>0</v>
      </c>
      <c r="N3773" s="110">
        <f>K3773-tblAquisições[[#This Row],[QUANTIDADE PLANEJADA]]</f>
        <v>-200</v>
      </c>
      <c r="O3773" s="106" t="str">
        <f t="shared" si="117"/>
        <v>Faltando Comprar</v>
      </c>
    </row>
    <row r="3774" spans="1:15" ht="47.25">
      <c r="A3774" s="16" t="s">
        <v>17</v>
      </c>
      <c r="B3774" s="16" t="s">
        <v>28</v>
      </c>
      <c r="C3774" s="17" t="s">
        <v>19</v>
      </c>
      <c r="D3774" s="18" t="s">
        <v>2117</v>
      </c>
      <c r="E3774" s="18">
        <v>15</v>
      </c>
      <c r="F3774" s="18" t="s">
        <v>78</v>
      </c>
      <c r="G3774" s="18" t="s">
        <v>22</v>
      </c>
      <c r="H3774" s="18" t="s">
        <v>23</v>
      </c>
      <c r="I3774" s="19">
        <v>66.010000000000005</v>
      </c>
      <c r="J3774" s="20">
        <f t="shared" si="116"/>
        <v>990.15000000000009</v>
      </c>
      <c r="K3774" s="106"/>
      <c r="L3774" s="114"/>
      <c r="M3774" s="114">
        <f>tblAquisições[[#This Row],[VALOR UNITARIO COMPRADO]]*tblAquisições[[#This Row],[QUANTIDADE COMPRADA]]</f>
        <v>0</v>
      </c>
      <c r="N3774" s="110">
        <f>K3774-tblAquisições[[#This Row],[QUANTIDADE PLANEJADA]]</f>
        <v>-15</v>
      </c>
      <c r="O3774" s="106" t="str">
        <f t="shared" si="117"/>
        <v>Faltando Comprar</v>
      </c>
    </row>
    <row r="3775" spans="1:15" ht="31.5">
      <c r="A3775" s="16" t="s">
        <v>17</v>
      </c>
      <c r="B3775" s="16" t="s">
        <v>80</v>
      </c>
      <c r="C3775" s="17" t="s">
        <v>19</v>
      </c>
      <c r="D3775" s="18" t="s">
        <v>2118</v>
      </c>
      <c r="E3775" s="18">
        <v>30</v>
      </c>
      <c r="F3775" s="18" t="s">
        <v>82</v>
      </c>
      <c r="G3775" s="18" t="s">
        <v>39</v>
      </c>
      <c r="H3775" s="21"/>
      <c r="I3775" s="19">
        <v>51.51</v>
      </c>
      <c r="J3775" s="20">
        <f t="shared" si="116"/>
        <v>1545.3</v>
      </c>
      <c r="K3775" s="106"/>
      <c r="L3775" s="114"/>
      <c r="M3775" s="114">
        <f>tblAquisições[[#This Row],[VALOR UNITARIO COMPRADO]]*tblAquisições[[#This Row],[QUANTIDADE COMPRADA]]</f>
        <v>0</v>
      </c>
      <c r="N3775" s="110">
        <f>K3775-tblAquisições[[#This Row],[QUANTIDADE PLANEJADA]]</f>
        <v>-30</v>
      </c>
      <c r="O3775" s="106" t="str">
        <f t="shared" si="117"/>
        <v>Faltando Comprar</v>
      </c>
    </row>
    <row r="3776" spans="1:15" ht="31.5">
      <c r="A3776" s="16" t="s">
        <v>17</v>
      </c>
      <c r="B3776" s="16" t="s">
        <v>18</v>
      </c>
      <c r="C3776" s="17" t="s">
        <v>19</v>
      </c>
      <c r="D3776" s="18" t="s">
        <v>2119</v>
      </c>
      <c r="E3776" s="18">
        <v>300</v>
      </c>
      <c r="F3776" s="18" t="s">
        <v>30</v>
      </c>
      <c r="G3776" s="18" t="s">
        <v>22</v>
      </c>
      <c r="H3776" s="18" t="s">
        <v>83</v>
      </c>
      <c r="I3776" s="19">
        <v>2.5299999999999998</v>
      </c>
      <c r="J3776" s="20">
        <f t="shared" si="116"/>
        <v>758.99999999999989</v>
      </c>
      <c r="K3776" s="106"/>
      <c r="L3776" s="114"/>
      <c r="M3776" s="114">
        <f>tblAquisições[[#This Row],[VALOR UNITARIO COMPRADO]]*tblAquisições[[#This Row],[QUANTIDADE COMPRADA]]</f>
        <v>0</v>
      </c>
      <c r="N3776" s="110">
        <f>K3776-tblAquisições[[#This Row],[QUANTIDADE PLANEJADA]]</f>
        <v>-300</v>
      </c>
      <c r="O3776" s="106" t="str">
        <f t="shared" si="117"/>
        <v>Faltando Comprar</v>
      </c>
    </row>
    <row r="3777" spans="1:15" ht="31.5">
      <c r="A3777" s="16" t="s">
        <v>17</v>
      </c>
      <c r="B3777" s="16" t="s">
        <v>24</v>
      </c>
      <c r="C3777" s="17" t="s">
        <v>19</v>
      </c>
      <c r="D3777" s="18" t="s">
        <v>2119</v>
      </c>
      <c r="E3777" s="18">
        <v>300</v>
      </c>
      <c r="F3777" s="18" t="s">
        <v>30</v>
      </c>
      <c r="G3777" s="18" t="s">
        <v>22</v>
      </c>
      <c r="H3777" s="18" t="s">
        <v>83</v>
      </c>
      <c r="I3777" s="19">
        <v>2.5299999999999998</v>
      </c>
      <c r="J3777" s="20">
        <f t="shared" si="116"/>
        <v>758.99999999999989</v>
      </c>
      <c r="K3777" s="106"/>
      <c r="L3777" s="114"/>
      <c r="M3777" s="114">
        <f>tblAquisições[[#This Row],[VALOR UNITARIO COMPRADO]]*tblAquisições[[#This Row],[QUANTIDADE COMPRADA]]</f>
        <v>0</v>
      </c>
      <c r="N3777" s="110">
        <f>K3777-tblAquisições[[#This Row],[QUANTIDADE PLANEJADA]]</f>
        <v>-300</v>
      </c>
      <c r="O3777" s="106" t="str">
        <f t="shared" si="117"/>
        <v>Faltando Comprar</v>
      </c>
    </row>
    <row r="3778" spans="1:15" ht="31.5">
      <c r="A3778" s="16" t="s">
        <v>17</v>
      </c>
      <c r="B3778" s="16" t="s">
        <v>25</v>
      </c>
      <c r="C3778" s="17" t="s">
        <v>19</v>
      </c>
      <c r="D3778" s="18" t="s">
        <v>2119</v>
      </c>
      <c r="E3778" s="18">
        <v>300</v>
      </c>
      <c r="F3778" s="18" t="s">
        <v>30</v>
      </c>
      <c r="G3778" s="18" t="s">
        <v>22</v>
      </c>
      <c r="H3778" s="18" t="s">
        <v>83</v>
      </c>
      <c r="I3778" s="19">
        <v>2.5299999999999998</v>
      </c>
      <c r="J3778" s="20">
        <f t="shared" ref="J3778:J3841" si="118">E3778*I3778</f>
        <v>758.99999999999989</v>
      </c>
      <c r="K3778" s="106"/>
      <c r="L3778" s="114"/>
      <c r="M3778" s="114">
        <f>tblAquisições[[#This Row],[VALOR UNITARIO COMPRADO]]*tblAquisições[[#This Row],[QUANTIDADE COMPRADA]]</f>
        <v>0</v>
      </c>
      <c r="N3778" s="110">
        <f>K3778-tblAquisições[[#This Row],[QUANTIDADE PLANEJADA]]</f>
        <v>-300</v>
      </c>
      <c r="O3778" s="106" t="str">
        <f t="shared" ref="O3778:O3841" si="119">IF(K3778=E3778,"OK",IF(K3778&lt;E3778,"Faltando Comprar","Excedente"))</f>
        <v>Faltando Comprar</v>
      </c>
    </row>
    <row r="3779" spans="1:15" ht="31.5">
      <c r="A3779" s="16" t="s">
        <v>17</v>
      </c>
      <c r="B3779" s="16" t="s">
        <v>80</v>
      </c>
      <c r="C3779" s="17" t="s">
        <v>19</v>
      </c>
      <c r="D3779" s="18" t="s">
        <v>2120</v>
      </c>
      <c r="E3779" s="18">
        <v>30</v>
      </c>
      <c r="F3779" s="18" t="s">
        <v>82</v>
      </c>
      <c r="G3779" s="18" t="s">
        <v>39</v>
      </c>
      <c r="H3779" s="21"/>
      <c r="I3779" s="19">
        <v>10.52</v>
      </c>
      <c r="J3779" s="20">
        <f t="shared" si="118"/>
        <v>315.59999999999997</v>
      </c>
      <c r="K3779" s="106"/>
      <c r="L3779" s="114"/>
      <c r="M3779" s="114">
        <f>tblAquisições[[#This Row],[VALOR UNITARIO COMPRADO]]*tblAquisições[[#This Row],[QUANTIDADE COMPRADA]]</f>
        <v>0</v>
      </c>
      <c r="N3779" s="110">
        <f>K3779-tblAquisições[[#This Row],[QUANTIDADE PLANEJADA]]</f>
        <v>-30</v>
      </c>
      <c r="O3779" s="106" t="str">
        <f t="shared" si="119"/>
        <v>Faltando Comprar</v>
      </c>
    </row>
    <row r="3780" spans="1:15" ht="31.5">
      <c r="A3780" s="16" t="s">
        <v>17</v>
      </c>
      <c r="B3780" s="16" t="s">
        <v>28</v>
      </c>
      <c r="C3780" s="17" t="s">
        <v>19</v>
      </c>
      <c r="D3780" s="18" t="s">
        <v>2121</v>
      </c>
      <c r="E3780" s="18">
        <v>60</v>
      </c>
      <c r="F3780" s="18" t="s">
        <v>21</v>
      </c>
      <c r="G3780" s="18" t="s">
        <v>22</v>
      </c>
      <c r="H3780" s="18" t="s">
        <v>23</v>
      </c>
      <c r="I3780" s="19">
        <v>12.44</v>
      </c>
      <c r="J3780" s="20">
        <f t="shared" si="118"/>
        <v>746.4</v>
      </c>
      <c r="K3780" s="106"/>
      <c r="L3780" s="114"/>
      <c r="M3780" s="114">
        <f>tblAquisições[[#This Row],[VALOR UNITARIO COMPRADO]]*tblAquisições[[#This Row],[QUANTIDADE COMPRADA]]</f>
        <v>0</v>
      </c>
      <c r="N3780" s="110">
        <f>K3780-tblAquisições[[#This Row],[QUANTIDADE PLANEJADA]]</f>
        <v>-60</v>
      </c>
      <c r="O3780" s="106" t="str">
        <f t="shared" si="119"/>
        <v>Faltando Comprar</v>
      </c>
    </row>
    <row r="3781" spans="1:15" ht="31.5">
      <c r="A3781" s="16" t="s">
        <v>17</v>
      </c>
      <c r="B3781" s="16" t="s">
        <v>28</v>
      </c>
      <c r="C3781" s="17" t="s">
        <v>19</v>
      </c>
      <c r="D3781" s="18" t="s">
        <v>2122</v>
      </c>
      <c r="E3781" s="18">
        <v>6</v>
      </c>
      <c r="F3781" s="18" t="s">
        <v>21</v>
      </c>
      <c r="G3781" s="18" t="s">
        <v>22</v>
      </c>
      <c r="H3781" s="18" t="s">
        <v>23</v>
      </c>
      <c r="I3781" s="19">
        <v>28.02</v>
      </c>
      <c r="J3781" s="20">
        <f t="shared" si="118"/>
        <v>168.12</v>
      </c>
      <c r="K3781" s="106"/>
      <c r="L3781" s="114"/>
      <c r="M3781" s="114">
        <f>tblAquisições[[#This Row],[VALOR UNITARIO COMPRADO]]*tblAquisições[[#This Row],[QUANTIDADE COMPRADA]]</f>
        <v>0</v>
      </c>
      <c r="N3781" s="110">
        <f>K3781-tblAquisições[[#This Row],[QUANTIDADE PLANEJADA]]</f>
        <v>-6</v>
      </c>
      <c r="O3781" s="106" t="str">
        <f t="shared" si="119"/>
        <v>Faltando Comprar</v>
      </c>
    </row>
    <row r="3782" spans="1:15" ht="31.5">
      <c r="A3782" s="16" t="s">
        <v>17</v>
      </c>
      <c r="B3782" s="16" t="s">
        <v>26</v>
      </c>
      <c r="C3782" s="17" t="s">
        <v>19</v>
      </c>
      <c r="D3782" s="18" t="s">
        <v>2123</v>
      </c>
      <c r="E3782" s="18">
        <v>28</v>
      </c>
      <c r="F3782" s="18" t="s">
        <v>30</v>
      </c>
      <c r="G3782" s="18" t="s">
        <v>22</v>
      </c>
      <c r="H3782" s="18" t="s">
        <v>23</v>
      </c>
      <c r="I3782" s="19">
        <v>27.5</v>
      </c>
      <c r="J3782" s="20">
        <f t="shared" si="118"/>
        <v>770</v>
      </c>
      <c r="K3782" s="106"/>
      <c r="L3782" s="114"/>
      <c r="M3782" s="114">
        <f>tblAquisições[[#This Row],[VALOR UNITARIO COMPRADO]]*tblAquisições[[#This Row],[QUANTIDADE COMPRADA]]</f>
        <v>0</v>
      </c>
      <c r="N3782" s="110">
        <f>K3782-tblAquisições[[#This Row],[QUANTIDADE PLANEJADA]]</f>
        <v>-28</v>
      </c>
      <c r="O3782" s="106" t="str">
        <f t="shared" si="119"/>
        <v>Faltando Comprar</v>
      </c>
    </row>
    <row r="3783" spans="1:15" ht="47.25">
      <c r="A3783" s="16" t="s">
        <v>17</v>
      </c>
      <c r="B3783" s="16" t="s">
        <v>26</v>
      </c>
      <c r="C3783" s="17" t="s">
        <v>19</v>
      </c>
      <c r="D3783" s="18" t="s">
        <v>2124</v>
      </c>
      <c r="E3783" s="18">
        <v>48</v>
      </c>
      <c r="F3783" s="18" t="s">
        <v>239</v>
      </c>
      <c r="G3783" s="18" t="s">
        <v>22</v>
      </c>
      <c r="H3783" s="18" t="s">
        <v>23</v>
      </c>
      <c r="I3783" s="19">
        <v>16.37</v>
      </c>
      <c r="J3783" s="20">
        <f t="shared" si="118"/>
        <v>785.76</v>
      </c>
      <c r="K3783" s="106"/>
      <c r="L3783" s="114"/>
      <c r="M3783" s="114">
        <f>tblAquisições[[#This Row],[VALOR UNITARIO COMPRADO]]*tblAquisições[[#This Row],[QUANTIDADE COMPRADA]]</f>
        <v>0</v>
      </c>
      <c r="N3783" s="110">
        <f>K3783-tblAquisições[[#This Row],[QUANTIDADE PLANEJADA]]</f>
        <v>-48</v>
      </c>
      <c r="O3783" s="106" t="str">
        <f t="shared" si="119"/>
        <v>Faltando Comprar</v>
      </c>
    </row>
    <row r="3784" spans="1:15" ht="47.25">
      <c r="A3784" s="16" t="s">
        <v>17</v>
      </c>
      <c r="B3784" s="16" t="s">
        <v>18</v>
      </c>
      <c r="C3784" s="17" t="s">
        <v>19</v>
      </c>
      <c r="D3784" s="18" t="s">
        <v>2125</v>
      </c>
      <c r="E3784" s="18">
        <v>200</v>
      </c>
      <c r="F3784" s="18" t="s">
        <v>78</v>
      </c>
      <c r="G3784" s="18" t="s">
        <v>22</v>
      </c>
      <c r="H3784" s="18" t="s">
        <v>23</v>
      </c>
      <c r="I3784" s="19">
        <v>7.24</v>
      </c>
      <c r="J3784" s="20">
        <f t="shared" si="118"/>
        <v>1448</v>
      </c>
      <c r="K3784" s="106"/>
      <c r="L3784" s="114"/>
      <c r="M3784" s="114">
        <f>tblAquisições[[#This Row],[VALOR UNITARIO COMPRADO]]*tblAquisições[[#This Row],[QUANTIDADE COMPRADA]]</f>
        <v>0</v>
      </c>
      <c r="N3784" s="110">
        <f>K3784-tblAquisições[[#This Row],[QUANTIDADE PLANEJADA]]</f>
        <v>-200</v>
      </c>
      <c r="O3784" s="106" t="str">
        <f t="shared" si="119"/>
        <v>Faltando Comprar</v>
      </c>
    </row>
    <row r="3785" spans="1:15" ht="47.25">
      <c r="A3785" s="16" t="s">
        <v>17</v>
      </c>
      <c r="B3785" s="16" t="s">
        <v>24</v>
      </c>
      <c r="C3785" s="17" t="s">
        <v>19</v>
      </c>
      <c r="D3785" s="18" t="s">
        <v>2125</v>
      </c>
      <c r="E3785" s="18">
        <v>200</v>
      </c>
      <c r="F3785" s="18" t="s">
        <v>78</v>
      </c>
      <c r="G3785" s="18" t="s">
        <v>22</v>
      </c>
      <c r="H3785" s="18" t="s">
        <v>23</v>
      </c>
      <c r="I3785" s="19">
        <v>7.24</v>
      </c>
      <c r="J3785" s="20">
        <f t="shared" si="118"/>
        <v>1448</v>
      </c>
      <c r="K3785" s="106"/>
      <c r="L3785" s="114"/>
      <c r="M3785" s="114">
        <f>tblAquisições[[#This Row],[VALOR UNITARIO COMPRADO]]*tblAquisições[[#This Row],[QUANTIDADE COMPRADA]]</f>
        <v>0</v>
      </c>
      <c r="N3785" s="110">
        <f>K3785-tblAquisições[[#This Row],[QUANTIDADE PLANEJADA]]</f>
        <v>-200</v>
      </c>
      <c r="O3785" s="106" t="str">
        <f t="shared" si="119"/>
        <v>Faltando Comprar</v>
      </c>
    </row>
    <row r="3786" spans="1:15" ht="47.25">
      <c r="A3786" s="16" t="s">
        <v>17</v>
      </c>
      <c r="B3786" s="16" t="s">
        <v>25</v>
      </c>
      <c r="C3786" s="17" t="s">
        <v>19</v>
      </c>
      <c r="D3786" s="18" t="s">
        <v>2125</v>
      </c>
      <c r="E3786" s="18">
        <v>200</v>
      </c>
      <c r="F3786" s="18" t="s">
        <v>78</v>
      </c>
      <c r="G3786" s="18" t="s">
        <v>22</v>
      </c>
      <c r="H3786" s="18" t="s">
        <v>23</v>
      </c>
      <c r="I3786" s="19">
        <v>7.24</v>
      </c>
      <c r="J3786" s="20">
        <f t="shared" si="118"/>
        <v>1448</v>
      </c>
      <c r="K3786" s="106"/>
      <c r="L3786" s="114"/>
      <c r="M3786" s="114">
        <f>tblAquisições[[#This Row],[VALOR UNITARIO COMPRADO]]*tblAquisições[[#This Row],[QUANTIDADE COMPRADA]]</f>
        <v>0</v>
      </c>
      <c r="N3786" s="110">
        <f>K3786-tblAquisições[[#This Row],[QUANTIDADE PLANEJADA]]</f>
        <v>-200</v>
      </c>
      <c r="O3786" s="106" t="str">
        <f t="shared" si="119"/>
        <v>Faltando Comprar</v>
      </c>
    </row>
    <row r="3787" spans="1:15" ht="47.25">
      <c r="A3787" s="16" t="s">
        <v>17</v>
      </c>
      <c r="B3787" s="16" t="s">
        <v>18</v>
      </c>
      <c r="C3787" s="17" t="s">
        <v>19</v>
      </c>
      <c r="D3787" s="18" t="s">
        <v>2126</v>
      </c>
      <c r="E3787" s="18">
        <v>200</v>
      </c>
      <c r="F3787" s="18" t="s">
        <v>78</v>
      </c>
      <c r="G3787" s="18" t="s">
        <v>22</v>
      </c>
      <c r="H3787" s="18" t="s">
        <v>83</v>
      </c>
      <c r="I3787" s="19">
        <v>8.5299999999999994</v>
      </c>
      <c r="J3787" s="20">
        <f t="shared" si="118"/>
        <v>1705.9999999999998</v>
      </c>
      <c r="K3787" s="106"/>
      <c r="L3787" s="114"/>
      <c r="M3787" s="114">
        <f>tblAquisições[[#This Row],[VALOR UNITARIO COMPRADO]]*tblAquisições[[#This Row],[QUANTIDADE COMPRADA]]</f>
        <v>0</v>
      </c>
      <c r="N3787" s="110">
        <f>K3787-tblAquisições[[#This Row],[QUANTIDADE PLANEJADA]]</f>
        <v>-200</v>
      </c>
      <c r="O3787" s="106" t="str">
        <f t="shared" si="119"/>
        <v>Faltando Comprar</v>
      </c>
    </row>
    <row r="3788" spans="1:15" ht="47.25">
      <c r="A3788" s="16" t="s">
        <v>17</v>
      </c>
      <c r="B3788" s="16" t="s">
        <v>24</v>
      </c>
      <c r="C3788" s="17" t="s">
        <v>19</v>
      </c>
      <c r="D3788" s="18" t="s">
        <v>2126</v>
      </c>
      <c r="E3788" s="18">
        <v>200</v>
      </c>
      <c r="F3788" s="18" t="s">
        <v>78</v>
      </c>
      <c r="G3788" s="18" t="s">
        <v>22</v>
      </c>
      <c r="H3788" s="18" t="s">
        <v>83</v>
      </c>
      <c r="I3788" s="19">
        <v>8.5299999999999994</v>
      </c>
      <c r="J3788" s="20">
        <f t="shared" si="118"/>
        <v>1705.9999999999998</v>
      </c>
      <c r="K3788" s="106"/>
      <c r="L3788" s="114"/>
      <c r="M3788" s="114">
        <f>tblAquisições[[#This Row],[VALOR UNITARIO COMPRADO]]*tblAquisições[[#This Row],[QUANTIDADE COMPRADA]]</f>
        <v>0</v>
      </c>
      <c r="N3788" s="110">
        <f>K3788-tblAquisições[[#This Row],[QUANTIDADE PLANEJADA]]</f>
        <v>-200</v>
      </c>
      <c r="O3788" s="106" t="str">
        <f t="shared" si="119"/>
        <v>Faltando Comprar</v>
      </c>
    </row>
    <row r="3789" spans="1:15" ht="47.25">
      <c r="A3789" s="16" t="s">
        <v>17</v>
      </c>
      <c r="B3789" s="16" t="s">
        <v>25</v>
      </c>
      <c r="C3789" s="17" t="s">
        <v>19</v>
      </c>
      <c r="D3789" s="18" t="s">
        <v>2126</v>
      </c>
      <c r="E3789" s="18">
        <v>200</v>
      </c>
      <c r="F3789" s="18" t="s">
        <v>78</v>
      </c>
      <c r="G3789" s="18" t="s">
        <v>22</v>
      </c>
      <c r="H3789" s="18" t="s">
        <v>83</v>
      </c>
      <c r="I3789" s="19">
        <v>8.5299999999999994</v>
      </c>
      <c r="J3789" s="20">
        <f t="shared" si="118"/>
        <v>1705.9999999999998</v>
      </c>
      <c r="K3789" s="106"/>
      <c r="L3789" s="114"/>
      <c r="M3789" s="114">
        <f>tblAquisições[[#This Row],[VALOR UNITARIO COMPRADO]]*tblAquisições[[#This Row],[QUANTIDADE COMPRADA]]</f>
        <v>0</v>
      </c>
      <c r="N3789" s="110">
        <f>K3789-tblAquisições[[#This Row],[QUANTIDADE PLANEJADA]]</f>
        <v>-200</v>
      </c>
      <c r="O3789" s="106" t="str">
        <f t="shared" si="119"/>
        <v>Faltando Comprar</v>
      </c>
    </row>
    <row r="3790" spans="1:15" ht="47.25">
      <c r="A3790" s="16" t="s">
        <v>17</v>
      </c>
      <c r="B3790" s="16" t="s">
        <v>27</v>
      </c>
      <c r="C3790" s="17" t="s">
        <v>19</v>
      </c>
      <c r="D3790" s="18" t="s">
        <v>2126</v>
      </c>
      <c r="E3790" s="18">
        <v>200</v>
      </c>
      <c r="F3790" s="18" t="s">
        <v>78</v>
      </c>
      <c r="G3790" s="18" t="s">
        <v>22</v>
      </c>
      <c r="H3790" s="18" t="s">
        <v>23</v>
      </c>
      <c r="I3790" s="19">
        <v>8.5299999999999994</v>
      </c>
      <c r="J3790" s="20">
        <f t="shared" si="118"/>
        <v>1705.9999999999998</v>
      </c>
      <c r="K3790" s="106"/>
      <c r="L3790" s="114"/>
      <c r="M3790" s="114">
        <f>tblAquisições[[#This Row],[VALOR UNITARIO COMPRADO]]*tblAquisições[[#This Row],[QUANTIDADE COMPRADA]]</f>
        <v>0</v>
      </c>
      <c r="N3790" s="110">
        <f>K3790-tblAquisições[[#This Row],[QUANTIDADE PLANEJADA]]</f>
        <v>-200</v>
      </c>
      <c r="O3790" s="106" t="str">
        <f t="shared" si="119"/>
        <v>Faltando Comprar</v>
      </c>
    </row>
    <row r="3791" spans="1:15" ht="47.25">
      <c r="A3791" s="16" t="s">
        <v>17</v>
      </c>
      <c r="B3791" s="16" t="s">
        <v>28</v>
      </c>
      <c r="C3791" s="17" t="s">
        <v>19</v>
      </c>
      <c r="D3791" s="18" t="s">
        <v>2127</v>
      </c>
      <c r="E3791" s="18">
        <v>1</v>
      </c>
      <c r="F3791" s="18" t="s">
        <v>78</v>
      </c>
      <c r="G3791" s="18" t="s">
        <v>22</v>
      </c>
      <c r="H3791" s="18" t="s">
        <v>100</v>
      </c>
      <c r="I3791" s="19">
        <v>80.569999999999993</v>
      </c>
      <c r="J3791" s="20">
        <f t="shared" si="118"/>
        <v>80.569999999999993</v>
      </c>
      <c r="K3791" s="106"/>
      <c r="L3791" s="114"/>
      <c r="M3791" s="114">
        <f>tblAquisições[[#This Row],[VALOR UNITARIO COMPRADO]]*tblAquisições[[#This Row],[QUANTIDADE COMPRADA]]</f>
        <v>0</v>
      </c>
      <c r="N3791" s="110">
        <f>K3791-tblAquisições[[#This Row],[QUANTIDADE PLANEJADA]]</f>
        <v>-1</v>
      </c>
      <c r="O3791" s="106" t="str">
        <f t="shared" si="119"/>
        <v>Faltando Comprar</v>
      </c>
    </row>
    <row r="3792" spans="1:15" ht="31.5">
      <c r="A3792" s="16" t="s">
        <v>17</v>
      </c>
      <c r="B3792" s="16" t="s">
        <v>31</v>
      </c>
      <c r="C3792" s="17" t="s">
        <v>19</v>
      </c>
      <c r="D3792" s="18" t="s">
        <v>2128</v>
      </c>
      <c r="E3792" s="18">
        <v>40</v>
      </c>
      <c r="F3792" s="18" t="s">
        <v>21</v>
      </c>
      <c r="G3792" s="18" t="s">
        <v>22</v>
      </c>
      <c r="H3792" s="18" t="s">
        <v>23</v>
      </c>
      <c r="I3792" s="19">
        <v>35.35</v>
      </c>
      <c r="J3792" s="20">
        <f t="shared" si="118"/>
        <v>1414</v>
      </c>
      <c r="K3792" s="106"/>
      <c r="L3792" s="114"/>
      <c r="M3792" s="114">
        <f>tblAquisições[[#This Row],[VALOR UNITARIO COMPRADO]]*tblAquisições[[#This Row],[QUANTIDADE COMPRADA]]</f>
        <v>0</v>
      </c>
      <c r="N3792" s="110">
        <f>K3792-tblAquisições[[#This Row],[QUANTIDADE PLANEJADA]]</f>
        <v>-40</v>
      </c>
      <c r="O3792" s="106" t="str">
        <f t="shared" si="119"/>
        <v>Faltando Comprar</v>
      </c>
    </row>
    <row r="3793" spans="1:15" ht="31.5">
      <c r="A3793" s="16" t="s">
        <v>17</v>
      </c>
      <c r="B3793" s="16" t="s">
        <v>28</v>
      </c>
      <c r="C3793" s="17" t="s">
        <v>19</v>
      </c>
      <c r="D3793" s="18" t="s">
        <v>2128</v>
      </c>
      <c r="E3793" s="18">
        <v>60</v>
      </c>
      <c r="F3793" s="18" t="s">
        <v>21</v>
      </c>
      <c r="G3793" s="18" t="s">
        <v>22</v>
      </c>
      <c r="H3793" s="18" t="s">
        <v>23</v>
      </c>
      <c r="I3793" s="19">
        <v>35.35</v>
      </c>
      <c r="J3793" s="20">
        <f t="shared" si="118"/>
        <v>2121</v>
      </c>
      <c r="K3793" s="106"/>
      <c r="L3793" s="114"/>
      <c r="M3793" s="114">
        <f>tblAquisições[[#This Row],[VALOR UNITARIO COMPRADO]]*tblAquisições[[#This Row],[QUANTIDADE COMPRADA]]</f>
        <v>0</v>
      </c>
      <c r="N3793" s="110">
        <f>K3793-tblAquisições[[#This Row],[QUANTIDADE PLANEJADA]]</f>
        <v>-60</v>
      </c>
      <c r="O3793" s="106" t="str">
        <f t="shared" si="119"/>
        <v>Faltando Comprar</v>
      </c>
    </row>
    <row r="3794" spans="1:15" ht="31.5">
      <c r="A3794" s="16" t="s">
        <v>17</v>
      </c>
      <c r="B3794" s="16" t="s">
        <v>26</v>
      </c>
      <c r="C3794" s="17" t="s">
        <v>19</v>
      </c>
      <c r="D3794" s="18" t="s">
        <v>2129</v>
      </c>
      <c r="E3794" s="18">
        <v>50</v>
      </c>
      <c r="F3794" s="18" t="s">
        <v>30</v>
      </c>
      <c r="G3794" s="18" t="s">
        <v>22</v>
      </c>
      <c r="H3794" s="18" t="s">
        <v>23</v>
      </c>
      <c r="I3794" s="19">
        <v>18.93</v>
      </c>
      <c r="J3794" s="20">
        <f t="shared" si="118"/>
        <v>946.5</v>
      </c>
      <c r="K3794" s="106"/>
      <c r="L3794" s="114"/>
      <c r="M3794" s="114">
        <f>tblAquisições[[#This Row],[VALOR UNITARIO COMPRADO]]*tblAquisições[[#This Row],[QUANTIDADE COMPRADA]]</f>
        <v>0</v>
      </c>
      <c r="N3794" s="110">
        <f>K3794-tblAquisições[[#This Row],[QUANTIDADE PLANEJADA]]</f>
        <v>-50</v>
      </c>
      <c r="O3794" s="106" t="str">
        <f t="shared" si="119"/>
        <v>Faltando Comprar</v>
      </c>
    </row>
    <row r="3795" spans="1:15" ht="31.5">
      <c r="A3795" s="16" t="s">
        <v>17</v>
      </c>
      <c r="B3795" s="16" t="s">
        <v>31</v>
      </c>
      <c r="C3795" s="17" t="s">
        <v>19</v>
      </c>
      <c r="D3795" s="18" t="s">
        <v>2130</v>
      </c>
      <c r="E3795" s="18">
        <v>20</v>
      </c>
      <c r="F3795" s="18" t="s">
        <v>30</v>
      </c>
      <c r="G3795" s="18" t="s">
        <v>22</v>
      </c>
      <c r="H3795" s="18" t="s">
        <v>23</v>
      </c>
      <c r="I3795" s="19">
        <v>12.92</v>
      </c>
      <c r="J3795" s="20">
        <f t="shared" si="118"/>
        <v>258.39999999999998</v>
      </c>
      <c r="K3795" s="106"/>
      <c r="L3795" s="114"/>
      <c r="M3795" s="114">
        <f>tblAquisições[[#This Row],[VALOR UNITARIO COMPRADO]]*tblAquisições[[#This Row],[QUANTIDADE COMPRADA]]</f>
        <v>0</v>
      </c>
      <c r="N3795" s="110">
        <f>K3795-tblAquisições[[#This Row],[QUANTIDADE PLANEJADA]]</f>
        <v>-20</v>
      </c>
      <c r="O3795" s="106" t="str">
        <f t="shared" si="119"/>
        <v>Faltando Comprar</v>
      </c>
    </row>
    <row r="3796" spans="1:15" ht="31.5">
      <c r="A3796" s="16" t="s">
        <v>17</v>
      </c>
      <c r="B3796" s="16" t="s">
        <v>18</v>
      </c>
      <c r="C3796" s="17" t="s">
        <v>19</v>
      </c>
      <c r="D3796" s="18" t="s">
        <v>2130</v>
      </c>
      <c r="E3796" s="18">
        <v>20</v>
      </c>
      <c r="F3796" s="18" t="s">
        <v>30</v>
      </c>
      <c r="G3796" s="18" t="s">
        <v>22</v>
      </c>
      <c r="H3796" s="18" t="s">
        <v>23</v>
      </c>
      <c r="I3796" s="19">
        <v>12.92</v>
      </c>
      <c r="J3796" s="20">
        <f t="shared" si="118"/>
        <v>258.39999999999998</v>
      </c>
      <c r="K3796" s="106"/>
      <c r="L3796" s="114"/>
      <c r="M3796" s="114">
        <f>tblAquisições[[#This Row],[VALOR UNITARIO COMPRADO]]*tblAquisições[[#This Row],[QUANTIDADE COMPRADA]]</f>
        <v>0</v>
      </c>
      <c r="N3796" s="110">
        <f>K3796-tblAquisições[[#This Row],[QUANTIDADE PLANEJADA]]</f>
        <v>-20</v>
      </c>
      <c r="O3796" s="106" t="str">
        <f t="shared" si="119"/>
        <v>Faltando Comprar</v>
      </c>
    </row>
    <row r="3797" spans="1:15" ht="31.5">
      <c r="A3797" s="16" t="s">
        <v>17</v>
      </c>
      <c r="B3797" s="16" t="s">
        <v>24</v>
      </c>
      <c r="C3797" s="17" t="s">
        <v>19</v>
      </c>
      <c r="D3797" s="18" t="s">
        <v>2130</v>
      </c>
      <c r="E3797" s="18">
        <v>20</v>
      </c>
      <c r="F3797" s="18" t="s">
        <v>30</v>
      </c>
      <c r="G3797" s="18" t="s">
        <v>22</v>
      </c>
      <c r="H3797" s="18" t="s">
        <v>23</v>
      </c>
      <c r="I3797" s="19">
        <v>12.92</v>
      </c>
      <c r="J3797" s="20">
        <f t="shared" si="118"/>
        <v>258.39999999999998</v>
      </c>
      <c r="K3797" s="106"/>
      <c r="L3797" s="114"/>
      <c r="M3797" s="114">
        <f>tblAquisições[[#This Row],[VALOR UNITARIO COMPRADO]]*tblAquisições[[#This Row],[QUANTIDADE COMPRADA]]</f>
        <v>0</v>
      </c>
      <c r="N3797" s="110">
        <f>K3797-tblAquisições[[#This Row],[QUANTIDADE PLANEJADA]]</f>
        <v>-20</v>
      </c>
      <c r="O3797" s="106" t="str">
        <f t="shared" si="119"/>
        <v>Faltando Comprar</v>
      </c>
    </row>
    <row r="3798" spans="1:15" ht="31.5">
      <c r="A3798" s="16" t="s">
        <v>17</v>
      </c>
      <c r="B3798" s="16" t="s">
        <v>25</v>
      </c>
      <c r="C3798" s="17" t="s">
        <v>19</v>
      </c>
      <c r="D3798" s="18" t="s">
        <v>2130</v>
      </c>
      <c r="E3798" s="18">
        <v>20</v>
      </c>
      <c r="F3798" s="18" t="s">
        <v>30</v>
      </c>
      <c r="G3798" s="18" t="s">
        <v>22</v>
      </c>
      <c r="H3798" s="18" t="s">
        <v>23</v>
      </c>
      <c r="I3798" s="19">
        <v>12.92</v>
      </c>
      <c r="J3798" s="20">
        <f t="shared" si="118"/>
        <v>258.39999999999998</v>
      </c>
      <c r="K3798" s="106"/>
      <c r="L3798" s="114"/>
      <c r="M3798" s="114">
        <f>tblAquisições[[#This Row],[VALOR UNITARIO COMPRADO]]*tblAquisições[[#This Row],[QUANTIDADE COMPRADA]]</f>
        <v>0</v>
      </c>
      <c r="N3798" s="110">
        <f>K3798-tblAquisições[[#This Row],[QUANTIDADE PLANEJADA]]</f>
        <v>-20</v>
      </c>
      <c r="O3798" s="106" t="str">
        <f t="shared" si="119"/>
        <v>Faltando Comprar</v>
      </c>
    </row>
    <row r="3799" spans="1:15" ht="47.25">
      <c r="A3799" s="16" t="s">
        <v>17</v>
      </c>
      <c r="B3799" s="16" t="s">
        <v>28</v>
      </c>
      <c r="C3799" s="17" t="s">
        <v>19</v>
      </c>
      <c r="D3799" s="18" t="s">
        <v>2131</v>
      </c>
      <c r="E3799" s="18">
        <v>30</v>
      </c>
      <c r="F3799" s="18" t="s">
        <v>78</v>
      </c>
      <c r="G3799" s="18" t="s">
        <v>22</v>
      </c>
      <c r="H3799" s="18" t="s">
        <v>83</v>
      </c>
      <c r="I3799" s="19">
        <v>13.5</v>
      </c>
      <c r="J3799" s="20">
        <f t="shared" si="118"/>
        <v>405</v>
      </c>
      <c r="K3799" s="106"/>
      <c r="L3799" s="114"/>
      <c r="M3799" s="114">
        <f>tblAquisições[[#This Row],[VALOR UNITARIO COMPRADO]]*tblAquisições[[#This Row],[QUANTIDADE COMPRADA]]</f>
        <v>0</v>
      </c>
      <c r="N3799" s="110">
        <f>K3799-tblAquisições[[#This Row],[QUANTIDADE PLANEJADA]]</f>
        <v>-30</v>
      </c>
      <c r="O3799" s="106" t="str">
        <f t="shared" si="119"/>
        <v>Faltando Comprar</v>
      </c>
    </row>
    <row r="3800" spans="1:15" ht="31.5">
      <c r="A3800" s="16" t="s">
        <v>17</v>
      </c>
      <c r="B3800" s="16" t="s">
        <v>26</v>
      </c>
      <c r="C3800" s="17" t="s">
        <v>19</v>
      </c>
      <c r="D3800" s="18" t="s">
        <v>2132</v>
      </c>
      <c r="E3800" s="18">
        <v>5</v>
      </c>
      <c r="F3800" s="18" t="s">
        <v>21</v>
      </c>
      <c r="G3800" s="18" t="s">
        <v>22</v>
      </c>
      <c r="H3800" s="18" t="s">
        <v>23</v>
      </c>
      <c r="I3800" s="19">
        <v>4.87</v>
      </c>
      <c r="J3800" s="20">
        <f t="shared" si="118"/>
        <v>24.35</v>
      </c>
      <c r="K3800" s="106"/>
      <c r="L3800" s="114"/>
      <c r="M3800" s="114">
        <f>tblAquisições[[#This Row],[VALOR UNITARIO COMPRADO]]*tblAquisições[[#This Row],[QUANTIDADE COMPRADA]]</f>
        <v>0</v>
      </c>
      <c r="N3800" s="110">
        <f>K3800-tblAquisições[[#This Row],[QUANTIDADE PLANEJADA]]</f>
        <v>-5</v>
      </c>
      <c r="O3800" s="106" t="str">
        <f t="shared" si="119"/>
        <v>Faltando Comprar</v>
      </c>
    </row>
    <row r="3801" spans="1:15" ht="47.25">
      <c r="A3801" s="16" t="s">
        <v>17</v>
      </c>
      <c r="B3801" s="16" t="s">
        <v>34</v>
      </c>
      <c r="C3801" s="17" t="s">
        <v>19</v>
      </c>
      <c r="D3801" s="18" t="s">
        <v>2133</v>
      </c>
      <c r="E3801" s="18">
        <v>20</v>
      </c>
      <c r="F3801" s="18" t="s">
        <v>313</v>
      </c>
      <c r="G3801" s="18" t="s">
        <v>22</v>
      </c>
      <c r="H3801" s="18" t="s">
        <v>23</v>
      </c>
      <c r="I3801" s="19">
        <v>170.91</v>
      </c>
      <c r="J3801" s="20">
        <f t="shared" si="118"/>
        <v>3418.2</v>
      </c>
      <c r="K3801" s="106"/>
      <c r="L3801" s="114"/>
      <c r="M3801" s="114">
        <f>tblAquisições[[#This Row],[VALOR UNITARIO COMPRADO]]*tblAquisições[[#This Row],[QUANTIDADE COMPRADA]]</f>
        <v>0</v>
      </c>
      <c r="N3801" s="110">
        <f>K3801-tblAquisições[[#This Row],[QUANTIDADE PLANEJADA]]</f>
        <v>-20</v>
      </c>
      <c r="O3801" s="106" t="str">
        <f t="shared" si="119"/>
        <v>Faltando Comprar</v>
      </c>
    </row>
    <row r="3802" spans="1:15" ht="47.25">
      <c r="A3802" s="16" t="s">
        <v>17</v>
      </c>
      <c r="B3802" s="16" t="s">
        <v>31</v>
      </c>
      <c r="C3802" s="17" t="s">
        <v>19</v>
      </c>
      <c r="D3802" s="18" t="s">
        <v>2133</v>
      </c>
      <c r="E3802" s="18">
        <v>3</v>
      </c>
      <c r="F3802" s="18" t="s">
        <v>313</v>
      </c>
      <c r="G3802" s="18" t="s">
        <v>22</v>
      </c>
      <c r="H3802" s="18" t="s">
        <v>23</v>
      </c>
      <c r="I3802" s="19">
        <v>170.91</v>
      </c>
      <c r="J3802" s="20">
        <f t="shared" si="118"/>
        <v>512.73</v>
      </c>
      <c r="K3802" s="106"/>
      <c r="L3802" s="114"/>
      <c r="M3802" s="114">
        <f>tblAquisições[[#This Row],[VALOR UNITARIO COMPRADO]]*tblAquisições[[#This Row],[QUANTIDADE COMPRADA]]</f>
        <v>0</v>
      </c>
      <c r="N3802" s="110">
        <f>K3802-tblAquisições[[#This Row],[QUANTIDADE PLANEJADA]]</f>
        <v>-3</v>
      </c>
      <c r="O3802" s="106" t="str">
        <f t="shared" si="119"/>
        <v>Faltando Comprar</v>
      </c>
    </row>
    <row r="3803" spans="1:15" ht="47.25">
      <c r="A3803" s="16" t="s">
        <v>17</v>
      </c>
      <c r="B3803" s="16" t="s">
        <v>28</v>
      </c>
      <c r="C3803" s="17" t="s">
        <v>19</v>
      </c>
      <c r="D3803" s="18" t="s">
        <v>2133</v>
      </c>
      <c r="E3803" s="18">
        <v>1</v>
      </c>
      <c r="F3803" s="18" t="s">
        <v>313</v>
      </c>
      <c r="G3803" s="18" t="s">
        <v>22</v>
      </c>
      <c r="H3803" s="18" t="s">
        <v>23</v>
      </c>
      <c r="I3803" s="19">
        <v>170.91</v>
      </c>
      <c r="J3803" s="20">
        <f t="shared" si="118"/>
        <v>170.91</v>
      </c>
      <c r="K3803" s="106"/>
      <c r="L3803" s="114"/>
      <c r="M3803" s="114">
        <f>tblAquisições[[#This Row],[VALOR UNITARIO COMPRADO]]*tblAquisições[[#This Row],[QUANTIDADE COMPRADA]]</f>
        <v>0</v>
      </c>
      <c r="N3803" s="110">
        <f>K3803-tblAquisições[[#This Row],[QUANTIDADE PLANEJADA]]</f>
        <v>-1</v>
      </c>
      <c r="O3803" s="106" t="str">
        <f t="shared" si="119"/>
        <v>Faltando Comprar</v>
      </c>
    </row>
    <row r="3804" spans="1:15" ht="31.5">
      <c r="A3804" s="16" t="s">
        <v>17</v>
      </c>
      <c r="B3804" s="16" t="s">
        <v>28</v>
      </c>
      <c r="C3804" s="17" t="s">
        <v>19</v>
      </c>
      <c r="D3804" s="18" t="s">
        <v>2134</v>
      </c>
      <c r="E3804" s="18">
        <v>50</v>
      </c>
      <c r="F3804" s="18" t="s">
        <v>21</v>
      </c>
      <c r="G3804" s="18" t="s">
        <v>22</v>
      </c>
      <c r="H3804" s="18" t="s">
        <v>23</v>
      </c>
      <c r="I3804" s="19">
        <v>46.69</v>
      </c>
      <c r="J3804" s="20">
        <f t="shared" si="118"/>
        <v>2334.5</v>
      </c>
      <c r="K3804" s="106"/>
      <c r="L3804" s="114"/>
      <c r="M3804" s="114">
        <f>tblAquisições[[#This Row],[VALOR UNITARIO COMPRADO]]*tblAquisições[[#This Row],[QUANTIDADE COMPRADA]]</f>
        <v>0</v>
      </c>
      <c r="N3804" s="110">
        <f>K3804-tblAquisições[[#This Row],[QUANTIDADE PLANEJADA]]</f>
        <v>-50</v>
      </c>
      <c r="O3804" s="106" t="str">
        <f t="shared" si="119"/>
        <v>Faltando Comprar</v>
      </c>
    </row>
    <row r="3805" spans="1:15" ht="63">
      <c r="A3805" s="16" t="s">
        <v>17</v>
      </c>
      <c r="B3805" s="16" t="s">
        <v>17</v>
      </c>
      <c r="C3805" s="17" t="s">
        <v>19</v>
      </c>
      <c r="D3805" s="18" t="s">
        <v>2135</v>
      </c>
      <c r="E3805" s="18">
        <v>5</v>
      </c>
      <c r="F3805" s="18" t="s">
        <v>56</v>
      </c>
      <c r="G3805" s="18" t="s">
        <v>39</v>
      </c>
      <c r="H3805" s="18" t="s">
        <v>23</v>
      </c>
      <c r="I3805" s="19">
        <v>160</v>
      </c>
      <c r="J3805" s="20">
        <f t="shared" si="118"/>
        <v>800</v>
      </c>
      <c r="K3805" s="106"/>
      <c r="L3805" s="114"/>
      <c r="M3805" s="114">
        <f>tblAquisições[[#This Row],[VALOR UNITARIO COMPRADO]]*tblAquisições[[#This Row],[QUANTIDADE COMPRADA]]</f>
        <v>0</v>
      </c>
      <c r="N3805" s="110">
        <f>K3805-tblAquisições[[#This Row],[QUANTIDADE PLANEJADA]]</f>
        <v>-5</v>
      </c>
      <c r="O3805" s="106" t="str">
        <f t="shared" si="119"/>
        <v>Faltando Comprar</v>
      </c>
    </row>
    <row r="3806" spans="1:15" ht="47.25">
      <c r="A3806" s="16" t="s">
        <v>17</v>
      </c>
      <c r="B3806" s="16" t="s">
        <v>750</v>
      </c>
      <c r="C3806" s="17" t="s">
        <v>19</v>
      </c>
      <c r="D3806" s="18" t="s">
        <v>2136</v>
      </c>
      <c r="E3806" s="18">
        <v>5</v>
      </c>
      <c r="F3806" s="18" t="s">
        <v>170</v>
      </c>
      <c r="G3806" s="18" t="s">
        <v>22</v>
      </c>
      <c r="H3806" s="18" t="s">
        <v>23</v>
      </c>
      <c r="I3806" s="19">
        <v>160</v>
      </c>
      <c r="J3806" s="20">
        <f t="shared" si="118"/>
        <v>800</v>
      </c>
      <c r="K3806" s="106"/>
      <c r="L3806" s="114"/>
      <c r="M3806" s="114">
        <f>tblAquisições[[#This Row],[VALOR UNITARIO COMPRADO]]*tblAquisições[[#This Row],[QUANTIDADE COMPRADA]]</f>
        <v>0</v>
      </c>
      <c r="N3806" s="110">
        <f>K3806-tblAquisições[[#This Row],[QUANTIDADE PLANEJADA]]</f>
        <v>-5</v>
      </c>
      <c r="O3806" s="106" t="str">
        <f t="shared" si="119"/>
        <v>Faltando Comprar</v>
      </c>
    </row>
    <row r="3807" spans="1:15" ht="47.25">
      <c r="A3807" s="16" t="s">
        <v>17</v>
      </c>
      <c r="B3807" s="16" t="s">
        <v>17</v>
      </c>
      <c r="C3807" s="17" t="s">
        <v>19</v>
      </c>
      <c r="D3807" s="18" t="s">
        <v>2137</v>
      </c>
      <c r="E3807" s="18">
        <v>5</v>
      </c>
      <c r="F3807" s="18" t="s">
        <v>217</v>
      </c>
      <c r="G3807" s="18" t="s">
        <v>39</v>
      </c>
      <c r="H3807" s="18" t="s">
        <v>23</v>
      </c>
      <c r="I3807" s="19">
        <v>31.26</v>
      </c>
      <c r="J3807" s="20">
        <f t="shared" si="118"/>
        <v>156.30000000000001</v>
      </c>
      <c r="K3807" s="106"/>
      <c r="L3807" s="114"/>
      <c r="M3807" s="114">
        <f>tblAquisições[[#This Row],[VALOR UNITARIO COMPRADO]]*tblAquisições[[#This Row],[QUANTIDADE COMPRADA]]</f>
        <v>0</v>
      </c>
      <c r="N3807" s="110">
        <f>K3807-tblAquisições[[#This Row],[QUANTIDADE PLANEJADA]]</f>
        <v>-5</v>
      </c>
      <c r="O3807" s="106" t="str">
        <f t="shared" si="119"/>
        <v>Faltando Comprar</v>
      </c>
    </row>
    <row r="3808" spans="1:15" ht="47.25">
      <c r="A3808" s="16" t="s">
        <v>17</v>
      </c>
      <c r="B3808" s="16" t="s">
        <v>31</v>
      </c>
      <c r="C3808" s="17" t="s">
        <v>19</v>
      </c>
      <c r="D3808" s="18" t="s">
        <v>2138</v>
      </c>
      <c r="E3808" s="18">
        <v>10</v>
      </c>
      <c r="F3808" s="18" t="s">
        <v>78</v>
      </c>
      <c r="G3808" s="18" t="s">
        <v>22</v>
      </c>
      <c r="H3808" s="18" t="s">
        <v>23</v>
      </c>
      <c r="I3808" s="19">
        <v>17.260000000000002</v>
      </c>
      <c r="J3808" s="20">
        <f t="shared" si="118"/>
        <v>172.60000000000002</v>
      </c>
      <c r="K3808" s="106"/>
      <c r="L3808" s="114"/>
      <c r="M3808" s="114">
        <f>tblAquisições[[#This Row],[VALOR UNITARIO COMPRADO]]*tblAquisições[[#This Row],[QUANTIDADE COMPRADA]]</f>
        <v>0</v>
      </c>
      <c r="N3808" s="110">
        <f>K3808-tblAquisições[[#This Row],[QUANTIDADE PLANEJADA]]</f>
        <v>-10</v>
      </c>
      <c r="O3808" s="106" t="str">
        <f t="shared" si="119"/>
        <v>Faltando Comprar</v>
      </c>
    </row>
    <row r="3809" spans="1:15" ht="47.25">
      <c r="A3809" s="16" t="s">
        <v>17</v>
      </c>
      <c r="B3809" s="16" t="s">
        <v>28</v>
      </c>
      <c r="C3809" s="17" t="s">
        <v>19</v>
      </c>
      <c r="D3809" s="18" t="s">
        <v>2138</v>
      </c>
      <c r="E3809" s="18">
        <v>30</v>
      </c>
      <c r="F3809" s="18" t="s">
        <v>78</v>
      </c>
      <c r="G3809" s="18" t="s">
        <v>22</v>
      </c>
      <c r="H3809" s="18" t="s">
        <v>23</v>
      </c>
      <c r="I3809" s="19">
        <v>17.260000000000002</v>
      </c>
      <c r="J3809" s="20">
        <f t="shared" si="118"/>
        <v>517.80000000000007</v>
      </c>
      <c r="K3809" s="106"/>
      <c r="L3809" s="114"/>
      <c r="M3809" s="114">
        <f>tblAquisições[[#This Row],[VALOR UNITARIO COMPRADO]]*tblAquisições[[#This Row],[QUANTIDADE COMPRADA]]</f>
        <v>0</v>
      </c>
      <c r="N3809" s="110">
        <f>K3809-tblAquisições[[#This Row],[QUANTIDADE PLANEJADA]]</f>
        <v>-30</v>
      </c>
      <c r="O3809" s="106" t="str">
        <f t="shared" si="119"/>
        <v>Faltando Comprar</v>
      </c>
    </row>
    <row r="3810" spans="1:15" ht="31.5">
      <c r="A3810" s="16" t="s">
        <v>17</v>
      </c>
      <c r="B3810" s="16" t="s">
        <v>26</v>
      </c>
      <c r="C3810" s="17" t="s">
        <v>19</v>
      </c>
      <c r="D3810" s="18" t="s">
        <v>2139</v>
      </c>
      <c r="E3810" s="18">
        <v>15</v>
      </c>
      <c r="F3810" s="18" t="s">
        <v>30</v>
      </c>
      <c r="G3810" s="18" t="s">
        <v>22</v>
      </c>
      <c r="H3810" s="18" t="s">
        <v>23</v>
      </c>
      <c r="I3810" s="19">
        <v>18.03</v>
      </c>
      <c r="J3810" s="20">
        <f t="shared" si="118"/>
        <v>270.45000000000005</v>
      </c>
      <c r="K3810" s="106"/>
      <c r="L3810" s="114"/>
      <c r="M3810" s="114">
        <f>tblAquisições[[#This Row],[VALOR UNITARIO COMPRADO]]*tblAquisições[[#This Row],[QUANTIDADE COMPRADA]]</f>
        <v>0</v>
      </c>
      <c r="N3810" s="110">
        <f>K3810-tblAquisições[[#This Row],[QUANTIDADE PLANEJADA]]</f>
        <v>-15</v>
      </c>
      <c r="O3810" s="106" t="str">
        <f t="shared" si="119"/>
        <v>Faltando Comprar</v>
      </c>
    </row>
    <row r="3811" spans="1:15" ht="31.5">
      <c r="A3811" s="16" t="s">
        <v>17</v>
      </c>
      <c r="B3811" s="16" t="s">
        <v>18</v>
      </c>
      <c r="C3811" s="17" t="s">
        <v>19</v>
      </c>
      <c r="D3811" s="18" t="s">
        <v>2140</v>
      </c>
      <c r="E3811" s="18">
        <v>50</v>
      </c>
      <c r="F3811" s="18" t="s">
        <v>254</v>
      </c>
      <c r="G3811" s="18" t="s">
        <v>22</v>
      </c>
      <c r="H3811" s="18" t="s">
        <v>23</v>
      </c>
      <c r="I3811" s="19">
        <v>4.93</v>
      </c>
      <c r="J3811" s="20">
        <f t="shared" si="118"/>
        <v>246.5</v>
      </c>
      <c r="K3811" s="106"/>
      <c r="L3811" s="114"/>
      <c r="M3811" s="114">
        <f>tblAquisições[[#This Row],[VALOR UNITARIO COMPRADO]]*tblAquisições[[#This Row],[QUANTIDADE COMPRADA]]</f>
        <v>0</v>
      </c>
      <c r="N3811" s="110">
        <f>K3811-tblAquisições[[#This Row],[QUANTIDADE PLANEJADA]]</f>
        <v>-50</v>
      </c>
      <c r="O3811" s="106" t="str">
        <f t="shared" si="119"/>
        <v>Faltando Comprar</v>
      </c>
    </row>
    <row r="3812" spans="1:15" ht="31.5">
      <c r="A3812" s="16" t="s">
        <v>17</v>
      </c>
      <c r="B3812" s="16" t="s">
        <v>24</v>
      </c>
      <c r="C3812" s="17" t="s">
        <v>19</v>
      </c>
      <c r="D3812" s="18" t="s">
        <v>2140</v>
      </c>
      <c r="E3812" s="18">
        <v>50</v>
      </c>
      <c r="F3812" s="18" t="s">
        <v>254</v>
      </c>
      <c r="G3812" s="18" t="s">
        <v>22</v>
      </c>
      <c r="H3812" s="18" t="s">
        <v>23</v>
      </c>
      <c r="I3812" s="19">
        <v>4.93</v>
      </c>
      <c r="J3812" s="20">
        <f t="shared" si="118"/>
        <v>246.5</v>
      </c>
      <c r="K3812" s="106"/>
      <c r="L3812" s="114"/>
      <c r="M3812" s="114">
        <f>tblAquisições[[#This Row],[VALOR UNITARIO COMPRADO]]*tblAquisições[[#This Row],[QUANTIDADE COMPRADA]]</f>
        <v>0</v>
      </c>
      <c r="N3812" s="110">
        <f>K3812-tblAquisições[[#This Row],[QUANTIDADE PLANEJADA]]</f>
        <v>-50</v>
      </c>
      <c r="O3812" s="106" t="str">
        <f t="shared" si="119"/>
        <v>Faltando Comprar</v>
      </c>
    </row>
    <row r="3813" spans="1:15" ht="31.5">
      <c r="A3813" s="16" t="s">
        <v>17</v>
      </c>
      <c r="B3813" s="16" t="s">
        <v>25</v>
      </c>
      <c r="C3813" s="17" t="s">
        <v>19</v>
      </c>
      <c r="D3813" s="18" t="s">
        <v>2140</v>
      </c>
      <c r="E3813" s="18">
        <v>50</v>
      </c>
      <c r="F3813" s="18" t="s">
        <v>254</v>
      </c>
      <c r="G3813" s="18" t="s">
        <v>22</v>
      </c>
      <c r="H3813" s="18" t="s">
        <v>23</v>
      </c>
      <c r="I3813" s="19">
        <v>4.93</v>
      </c>
      <c r="J3813" s="20">
        <f t="shared" si="118"/>
        <v>246.5</v>
      </c>
      <c r="K3813" s="106"/>
      <c r="L3813" s="114"/>
      <c r="M3813" s="114">
        <f>tblAquisições[[#This Row],[VALOR UNITARIO COMPRADO]]*tblAquisições[[#This Row],[QUANTIDADE COMPRADA]]</f>
        <v>0</v>
      </c>
      <c r="N3813" s="110">
        <f>K3813-tblAquisições[[#This Row],[QUANTIDADE PLANEJADA]]</f>
        <v>-50</v>
      </c>
      <c r="O3813" s="106" t="str">
        <f t="shared" si="119"/>
        <v>Faltando Comprar</v>
      </c>
    </row>
    <row r="3814" spans="1:15" ht="31.5">
      <c r="A3814" s="16" t="s">
        <v>17</v>
      </c>
      <c r="B3814" s="16" t="s">
        <v>26</v>
      </c>
      <c r="C3814" s="17" t="s">
        <v>19</v>
      </c>
      <c r="D3814" s="18" t="s">
        <v>2140</v>
      </c>
      <c r="E3814" s="18">
        <v>24</v>
      </c>
      <c r="F3814" s="18" t="s">
        <v>254</v>
      </c>
      <c r="G3814" s="18" t="s">
        <v>22</v>
      </c>
      <c r="H3814" s="18" t="s">
        <v>100</v>
      </c>
      <c r="I3814" s="19">
        <v>4.93</v>
      </c>
      <c r="J3814" s="20">
        <f t="shared" si="118"/>
        <v>118.32</v>
      </c>
      <c r="K3814" s="106"/>
      <c r="L3814" s="114"/>
      <c r="M3814" s="114">
        <f>tblAquisições[[#This Row],[VALOR UNITARIO COMPRADO]]*tblAquisições[[#This Row],[QUANTIDADE COMPRADA]]</f>
        <v>0</v>
      </c>
      <c r="N3814" s="110">
        <f>K3814-tblAquisições[[#This Row],[QUANTIDADE PLANEJADA]]</f>
        <v>-24</v>
      </c>
      <c r="O3814" s="106" t="str">
        <f t="shared" si="119"/>
        <v>Faltando Comprar</v>
      </c>
    </row>
    <row r="3815" spans="1:15" ht="31.5">
      <c r="A3815" s="16" t="s">
        <v>17</v>
      </c>
      <c r="B3815" s="16" t="s">
        <v>27</v>
      </c>
      <c r="C3815" s="17" t="s">
        <v>19</v>
      </c>
      <c r="D3815" s="18" t="s">
        <v>2140</v>
      </c>
      <c r="E3815" s="18">
        <v>50</v>
      </c>
      <c r="F3815" s="18" t="s">
        <v>254</v>
      </c>
      <c r="G3815" s="18" t="s">
        <v>22</v>
      </c>
      <c r="H3815" s="18" t="s">
        <v>100</v>
      </c>
      <c r="I3815" s="19">
        <v>4.93</v>
      </c>
      <c r="J3815" s="20">
        <f t="shared" si="118"/>
        <v>246.5</v>
      </c>
      <c r="K3815" s="106"/>
      <c r="L3815" s="114"/>
      <c r="M3815" s="114">
        <f>tblAquisições[[#This Row],[VALOR UNITARIO COMPRADO]]*tblAquisições[[#This Row],[QUANTIDADE COMPRADA]]</f>
        <v>0</v>
      </c>
      <c r="N3815" s="110">
        <f>K3815-tblAquisições[[#This Row],[QUANTIDADE PLANEJADA]]</f>
        <v>-50</v>
      </c>
      <c r="O3815" s="106" t="str">
        <f t="shared" si="119"/>
        <v>Faltando Comprar</v>
      </c>
    </row>
    <row r="3816" spans="1:15" ht="31.5">
      <c r="A3816" s="16" t="s">
        <v>17</v>
      </c>
      <c r="B3816" s="16" t="s">
        <v>28</v>
      </c>
      <c r="C3816" s="17" t="s">
        <v>19</v>
      </c>
      <c r="D3816" s="18" t="s">
        <v>2140</v>
      </c>
      <c r="E3816" s="18">
        <v>60</v>
      </c>
      <c r="F3816" s="18" t="s">
        <v>254</v>
      </c>
      <c r="G3816" s="18" t="s">
        <v>22</v>
      </c>
      <c r="H3816" s="18" t="s">
        <v>100</v>
      </c>
      <c r="I3816" s="19">
        <v>4.93</v>
      </c>
      <c r="J3816" s="20">
        <f t="shared" si="118"/>
        <v>295.79999999999995</v>
      </c>
      <c r="K3816" s="106"/>
      <c r="L3816" s="114"/>
      <c r="M3816" s="114">
        <f>tblAquisições[[#This Row],[VALOR UNITARIO COMPRADO]]*tblAquisições[[#This Row],[QUANTIDADE COMPRADA]]</f>
        <v>0</v>
      </c>
      <c r="N3816" s="110">
        <f>K3816-tblAquisições[[#This Row],[QUANTIDADE PLANEJADA]]</f>
        <v>-60</v>
      </c>
      <c r="O3816" s="106" t="str">
        <f t="shared" si="119"/>
        <v>Faltando Comprar</v>
      </c>
    </row>
    <row r="3817" spans="1:15" ht="47.25">
      <c r="A3817" s="16" t="s">
        <v>17</v>
      </c>
      <c r="B3817" s="16" t="s">
        <v>28</v>
      </c>
      <c r="C3817" s="17" t="s">
        <v>19</v>
      </c>
      <c r="D3817" s="18" t="s">
        <v>2141</v>
      </c>
      <c r="E3817" s="18">
        <v>25</v>
      </c>
      <c r="F3817" s="18" t="s">
        <v>239</v>
      </c>
      <c r="G3817" s="18" t="s">
        <v>22</v>
      </c>
      <c r="H3817" s="18" t="s">
        <v>23</v>
      </c>
      <c r="I3817" s="19">
        <v>17.5</v>
      </c>
      <c r="J3817" s="20">
        <f t="shared" si="118"/>
        <v>437.5</v>
      </c>
      <c r="K3817" s="106"/>
      <c r="L3817" s="114"/>
      <c r="M3817" s="114">
        <f>tblAquisições[[#This Row],[VALOR UNITARIO COMPRADO]]*tblAquisições[[#This Row],[QUANTIDADE COMPRADA]]</f>
        <v>0</v>
      </c>
      <c r="N3817" s="110">
        <f>K3817-tblAquisições[[#This Row],[QUANTIDADE PLANEJADA]]</f>
        <v>-25</v>
      </c>
      <c r="O3817" s="106" t="str">
        <f t="shared" si="119"/>
        <v>Faltando Comprar</v>
      </c>
    </row>
    <row r="3818" spans="1:15" ht="31.5">
      <c r="A3818" s="16" t="s">
        <v>17</v>
      </c>
      <c r="B3818" s="16" t="s">
        <v>28</v>
      </c>
      <c r="C3818" s="17" t="s">
        <v>19</v>
      </c>
      <c r="D3818" s="18" t="s">
        <v>2142</v>
      </c>
      <c r="E3818" s="18">
        <v>25</v>
      </c>
      <c r="F3818" s="18" t="s">
        <v>324</v>
      </c>
      <c r="G3818" s="18" t="s">
        <v>22</v>
      </c>
      <c r="H3818" s="18" t="s">
        <v>23</v>
      </c>
      <c r="I3818" s="19">
        <v>12.58</v>
      </c>
      <c r="J3818" s="20">
        <f t="shared" si="118"/>
        <v>314.5</v>
      </c>
      <c r="K3818" s="106"/>
      <c r="L3818" s="114"/>
      <c r="M3818" s="114">
        <f>tblAquisições[[#This Row],[VALOR UNITARIO COMPRADO]]*tblAquisições[[#This Row],[QUANTIDADE COMPRADA]]</f>
        <v>0</v>
      </c>
      <c r="N3818" s="110">
        <f>K3818-tblAquisições[[#This Row],[QUANTIDADE PLANEJADA]]</f>
        <v>-25</v>
      </c>
      <c r="O3818" s="106" t="str">
        <f t="shared" si="119"/>
        <v>Faltando Comprar</v>
      </c>
    </row>
    <row r="3819" spans="1:15" ht="31.5">
      <c r="A3819" s="16" t="s">
        <v>17</v>
      </c>
      <c r="B3819" s="16" t="s">
        <v>28</v>
      </c>
      <c r="C3819" s="17" t="s">
        <v>19</v>
      </c>
      <c r="D3819" s="18" t="s">
        <v>2143</v>
      </c>
      <c r="E3819" s="18">
        <v>120</v>
      </c>
      <c r="F3819" s="18" t="s">
        <v>21</v>
      </c>
      <c r="G3819" s="18" t="s">
        <v>22</v>
      </c>
      <c r="H3819" s="18" t="s">
        <v>23</v>
      </c>
      <c r="I3819" s="19">
        <v>0.67</v>
      </c>
      <c r="J3819" s="20">
        <f t="shared" si="118"/>
        <v>80.400000000000006</v>
      </c>
      <c r="K3819" s="106"/>
      <c r="L3819" s="114"/>
      <c r="M3819" s="114">
        <f>tblAquisições[[#This Row],[VALOR UNITARIO COMPRADO]]*tblAquisições[[#This Row],[QUANTIDADE COMPRADA]]</f>
        <v>0</v>
      </c>
      <c r="N3819" s="110">
        <f>K3819-tblAquisições[[#This Row],[QUANTIDADE PLANEJADA]]</f>
        <v>-120</v>
      </c>
      <c r="O3819" s="106" t="str">
        <f t="shared" si="119"/>
        <v>Faltando Comprar</v>
      </c>
    </row>
    <row r="3820" spans="1:15" ht="47.25">
      <c r="A3820" s="16" t="s">
        <v>17</v>
      </c>
      <c r="B3820" s="16" t="s">
        <v>18</v>
      </c>
      <c r="C3820" s="17" t="s">
        <v>19</v>
      </c>
      <c r="D3820" s="18" t="s">
        <v>2144</v>
      </c>
      <c r="E3820" s="18">
        <v>200</v>
      </c>
      <c r="F3820" s="18" t="s">
        <v>78</v>
      </c>
      <c r="G3820" s="18" t="s">
        <v>22</v>
      </c>
      <c r="H3820" s="18" t="s">
        <v>83</v>
      </c>
      <c r="I3820" s="19">
        <v>421.09</v>
      </c>
      <c r="J3820" s="20">
        <f t="shared" si="118"/>
        <v>84218</v>
      </c>
      <c r="K3820" s="106"/>
      <c r="L3820" s="114"/>
      <c r="M3820" s="114">
        <f>tblAquisições[[#This Row],[VALOR UNITARIO COMPRADO]]*tblAquisições[[#This Row],[QUANTIDADE COMPRADA]]</f>
        <v>0</v>
      </c>
      <c r="N3820" s="110">
        <f>K3820-tblAquisições[[#This Row],[QUANTIDADE PLANEJADA]]</f>
        <v>-200</v>
      </c>
      <c r="O3820" s="106" t="str">
        <f t="shared" si="119"/>
        <v>Faltando Comprar</v>
      </c>
    </row>
    <row r="3821" spans="1:15" ht="47.25">
      <c r="A3821" s="16" t="s">
        <v>17</v>
      </c>
      <c r="B3821" s="16" t="s">
        <v>24</v>
      </c>
      <c r="C3821" s="17" t="s">
        <v>19</v>
      </c>
      <c r="D3821" s="18" t="s">
        <v>2144</v>
      </c>
      <c r="E3821" s="18">
        <v>200</v>
      </c>
      <c r="F3821" s="18" t="s">
        <v>78</v>
      </c>
      <c r="G3821" s="18" t="s">
        <v>22</v>
      </c>
      <c r="H3821" s="18" t="s">
        <v>83</v>
      </c>
      <c r="I3821" s="19">
        <v>421.09</v>
      </c>
      <c r="J3821" s="20">
        <f t="shared" si="118"/>
        <v>84218</v>
      </c>
      <c r="K3821" s="106"/>
      <c r="L3821" s="114"/>
      <c r="M3821" s="114">
        <f>tblAquisições[[#This Row],[VALOR UNITARIO COMPRADO]]*tblAquisições[[#This Row],[QUANTIDADE COMPRADA]]</f>
        <v>0</v>
      </c>
      <c r="N3821" s="110">
        <f>K3821-tblAquisições[[#This Row],[QUANTIDADE PLANEJADA]]</f>
        <v>-200</v>
      </c>
      <c r="O3821" s="106" t="str">
        <f t="shared" si="119"/>
        <v>Faltando Comprar</v>
      </c>
    </row>
    <row r="3822" spans="1:15" ht="47.25">
      <c r="A3822" s="16" t="s">
        <v>17</v>
      </c>
      <c r="B3822" s="16" t="s">
        <v>25</v>
      </c>
      <c r="C3822" s="17" t="s">
        <v>19</v>
      </c>
      <c r="D3822" s="18" t="s">
        <v>2144</v>
      </c>
      <c r="E3822" s="18">
        <v>200</v>
      </c>
      <c r="F3822" s="18" t="s">
        <v>78</v>
      </c>
      <c r="G3822" s="18" t="s">
        <v>22</v>
      </c>
      <c r="H3822" s="18" t="s">
        <v>83</v>
      </c>
      <c r="I3822" s="19">
        <v>421.09</v>
      </c>
      <c r="J3822" s="20">
        <f t="shared" si="118"/>
        <v>84218</v>
      </c>
      <c r="K3822" s="106"/>
      <c r="L3822" s="114"/>
      <c r="M3822" s="114">
        <f>tblAquisições[[#This Row],[VALOR UNITARIO COMPRADO]]*tblAquisições[[#This Row],[QUANTIDADE COMPRADA]]</f>
        <v>0</v>
      </c>
      <c r="N3822" s="110">
        <f>K3822-tblAquisições[[#This Row],[QUANTIDADE PLANEJADA]]</f>
        <v>-200</v>
      </c>
      <c r="O3822" s="106" t="str">
        <f t="shared" si="119"/>
        <v>Faltando Comprar</v>
      </c>
    </row>
    <row r="3823" spans="1:15" ht="47.25">
      <c r="A3823" s="16" t="s">
        <v>17</v>
      </c>
      <c r="B3823" s="16" t="s">
        <v>28</v>
      </c>
      <c r="C3823" s="17" t="s">
        <v>19</v>
      </c>
      <c r="D3823" s="18" t="s">
        <v>2145</v>
      </c>
      <c r="E3823" s="18">
        <v>2</v>
      </c>
      <c r="F3823" s="18" t="s">
        <v>78</v>
      </c>
      <c r="G3823" s="18" t="s">
        <v>22</v>
      </c>
      <c r="H3823" s="18" t="s">
        <v>23</v>
      </c>
      <c r="I3823" s="19">
        <v>644.95000000000005</v>
      </c>
      <c r="J3823" s="20">
        <f t="shared" si="118"/>
        <v>1289.9000000000001</v>
      </c>
      <c r="K3823" s="106"/>
      <c r="L3823" s="114"/>
      <c r="M3823" s="114">
        <f>tblAquisições[[#This Row],[VALOR UNITARIO COMPRADO]]*tblAquisições[[#This Row],[QUANTIDADE COMPRADA]]</f>
        <v>0</v>
      </c>
      <c r="N3823" s="110">
        <f>K3823-tblAquisições[[#This Row],[QUANTIDADE PLANEJADA]]</f>
        <v>-2</v>
      </c>
      <c r="O3823" s="106" t="str">
        <f t="shared" si="119"/>
        <v>Faltando Comprar</v>
      </c>
    </row>
    <row r="3824" spans="1:15" ht="47.25">
      <c r="A3824" s="16" t="s">
        <v>17</v>
      </c>
      <c r="B3824" s="16" t="s">
        <v>28</v>
      </c>
      <c r="C3824" s="17" t="s">
        <v>19</v>
      </c>
      <c r="D3824" s="18" t="s">
        <v>2146</v>
      </c>
      <c r="E3824" s="18">
        <v>1</v>
      </c>
      <c r="F3824" s="18" t="s">
        <v>78</v>
      </c>
      <c r="G3824" s="18" t="s">
        <v>22</v>
      </c>
      <c r="H3824" s="18" t="s">
        <v>23</v>
      </c>
      <c r="I3824" s="19">
        <v>38.64</v>
      </c>
      <c r="J3824" s="20">
        <f t="shared" si="118"/>
        <v>38.64</v>
      </c>
      <c r="K3824" s="106"/>
      <c r="L3824" s="114"/>
      <c r="M3824" s="114">
        <f>tblAquisições[[#This Row],[VALOR UNITARIO COMPRADO]]*tblAquisições[[#This Row],[QUANTIDADE COMPRADA]]</f>
        <v>0</v>
      </c>
      <c r="N3824" s="110">
        <f>K3824-tblAquisições[[#This Row],[QUANTIDADE PLANEJADA]]</f>
        <v>-1</v>
      </c>
      <c r="O3824" s="106" t="str">
        <f t="shared" si="119"/>
        <v>Faltando Comprar</v>
      </c>
    </row>
    <row r="3825" spans="1:15" ht="31.5">
      <c r="A3825" s="16" t="s">
        <v>17</v>
      </c>
      <c r="B3825" s="16" t="s">
        <v>18</v>
      </c>
      <c r="C3825" s="17" t="s">
        <v>19</v>
      </c>
      <c r="D3825" s="18" t="s">
        <v>2147</v>
      </c>
      <c r="E3825" s="18">
        <v>100</v>
      </c>
      <c r="F3825" s="18" t="s">
        <v>30</v>
      </c>
      <c r="G3825" s="18" t="s">
        <v>22</v>
      </c>
      <c r="H3825" s="18" t="s">
        <v>23</v>
      </c>
      <c r="I3825" s="19">
        <v>7.68</v>
      </c>
      <c r="J3825" s="20">
        <f t="shared" si="118"/>
        <v>768</v>
      </c>
      <c r="K3825" s="106"/>
      <c r="L3825" s="114"/>
      <c r="M3825" s="114">
        <f>tblAquisições[[#This Row],[VALOR UNITARIO COMPRADO]]*tblAquisições[[#This Row],[QUANTIDADE COMPRADA]]</f>
        <v>0</v>
      </c>
      <c r="N3825" s="110">
        <f>K3825-tblAquisições[[#This Row],[QUANTIDADE PLANEJADA]]</f>
        <v>-100</v>
      </c>
      <c r="O3825" s="106" t="str">
        <f t="shared" si="119"/>
        <v>Faltando Comprar</v>
      </c>
    </row>
    <row r="3826" spans="1:15" ht="31.5">
      <c r="A3826" s="16" t="s">
        <v>17</v>
      </c>
      <c r="B3826" s="16" t="s">
        <v>24</v>
      </c>
      <c r="C3826" s="17" t="s">
        <v>19</v>
      </c>
      <c r="D3826" s="18" t="s">
        <v>2147</v>
      </c>
      <c r="E3826" s="18">
        <v>100</v>
      </c>
      <c r="F3826" s="18" t="s">
        <v>30</v>
      </c>
      <c r="G3826" s="18" t="s">
        <v>22</v>
      </c>
      <c r="H3826" s="18" t="s">
        <v>23</v>
      </c>
      <c r="I3826" s="19">
        <v>7.68</v>
      </c>
      <c r="J3826" s="20">
        <f t="shared" si="118"/>
        <v>768</v>
      </c>
      <c r="K3826" s="106"/>
      <c r="L3826" s="114"/>
      <c r="M3826" s="114">
        <f>tblAquisições[[#This Row],[VALOR UNITARIO COMPRADO]]*tblAquisições[[#This Row],[QUANTIDADE COMPRADA]]</f>
        <v>0</v>
      </c>
      <c r="N3826" s="110">
        <f>K3826-tblAquisições[[#This Row],[QUANTIDADE PLANEJADA]]</f>
        <v>-100</v>
      </c>
      <c r="O3826" s="106" t="str">
        <f t="shared" si="119"/>
        <v>Faltando Comprar</v>
      </c>
    </row>
    <row r="3827" spans="1:15" ht="31.5">
      <c r="A3827" s="16" t="s">
        <v>17</v>
      </c>
      <c r="B3827" s="16" t="s">
        <v>25</v>
      </c>
      <c r="C3827" s="17" t="s">
        <v>19</v>
      </c>
      <c r="D3827" s="18" t="s">
        <v>2147</v>
      </c>
      <c r="E3827" s="18">
        <v>100</v>
      </c>
      <c r="F3827" s="18" t="s">
        <v>30</v>
      </c>
      <c r="G3827" s="18" t="s">
        <v>22</v>
      </c>
      <c r="H3827" s="18" t="s">
        <v>23</v>
      </c>
      <c r="I3827" s="19">
        <v>7.68</v>
      </c>
      <c r="J3827" s="20">
        <f t="shared" si="118"/>
        <v>768</v>
      </c>
      <c r="K3827" s="106"/>
      <c r="L3827" s="114"/>
      <c r="M3827" s="114">
        <f>tblAquisições[[#This Row],[VALOR UNITARIO COMPRADO]]*tblAquisições[[#This Row],[QUANTIDADE COMPRADA]]</f>
        <v>0</v>
      </c>
      <c r="N3827" s="110">
        <f>K3827-tblAquisições[[#This Row],[QUANTIDADE PLANEJADA]]</f>
        <v>-100</v>
      </c>
      <c r="O3827" s="106" t="str">
        <f t="shared" si="119"/>
        <v>Faltando Comprar</v>
      </c>
    </row>
    <row r="3828" spans="1:15" ht="31.5">
      <c r="A3828" s="16" t="s">
        <v>17</v>
      </c>
      <c r="B3828" s="16" t="s">
        <v>18</v>
      </c>
      <c r="C3828" s="17" t="s">
        <v>19</v>
      </c>
      <c r="D3828" s="18" t="s">
        <v>2148</v>
      </c>
      <c r="E3828" s="18">
        <v>100</v>
      </c>
      <c r="F3828" s="18" t="s">
        <v>30</v>
      </c>
      <c r="G3828" s="18" t="s">
        <v>22</v>
      </c>
      <c r="H3828" s="18" t="s">
        <v>23</v>
      </c>
      <c r="I3828" s="19">
        <v>6.33</v>
      </c>
      <c r="J3828" s="20">
        <f t="shared" si="118"/>
        <v>633</v>
      </c>
      <c r="K3828" s="106"/>
      <c r="L3828" s="114"/>
      <c r="M3828" s="114">
        <f>tblAquisições[[#This Row],[VALOR UNITARIO COMPRADO]]*tblAquisições[[#This Row],[QUANTIDADE COMPRADA]]</f>
        <v>0</v>
      </c>
      <c r="N3828" s="110">
        <f>K3828-tblAquisições[[#This Row],[QUANTIDADE PLANEJADA]]</f>
        <v>-100</v>
      </c>
      <c r="O3828" s="106" t="str">
        <f t="shared" si="119"/>
        <v>Faltando Comprar</v>
      </c>
    </row>
    <row r="3829" spans="1:15" ht="31.5">
      <c r="A3829" s="16" t="s">
        <v>17</v>
      </c>
      <c r="B3829" s="16" t="s">
        <v>24</v>
      </c>
      <c r="C3829" s="17" t="s">
        <v>19</v>
      </c>
      <c r="D3829" s="18" t="s">
        <v>2148</v>
      </c>
      <c r="E3829" s="18">
        <v>100</v>
      </c>
      <c r="F3829" s="18" t="s">
        <v>30</v>
      </c>
      <c r="G3829" s="18" t="s">
        <v>22</v>
      </c>
      <c r="H3829" s="18" t="s">
        <v>23</v>
      </c>
      <c r="I3829" s="19">
        <v>6.33</v>
      </c>
      <c r="J3829" s="20">
        <f t="shared" si="118"/>
        <v>633</v>
      </c>
      <c r="K3829" s="106"/>
      <c r="L3829" s="114"/>
      <c r="M3829" s="114">
        <f>tblAquisições[[#This Row],[VALOR UNITARIO COMPRADO]]*tblAquisições[[#This Row],[QUANTIDADE COMPRADA]]</f>
        <v>0</v>
      </c>
      <c r="N3829" s="110">
        <f>K3829-tblAquisições[[#This Row],[QUANTIDADE PLANEJADA]]</f>
        <v>-100</v>
      </c>
      <c r="O3829" s="106" t="str">
        <f t="shared" si="119"/>
        <v>Faltando Comprar</v>
      </c>
    </row>
    <row r="3830" spans="1:15" ht="31.5">
      <c r="A3830" s="16" t="s">
        <v>17</v>
      </c>
      <c r="B3830" s="16" t="s">
        <v>25</v>
      </c>
      <c r="C3830" s="17" t="s">
        <v>19</v>
      </c>
      <c r="D3830" s="18" t="s">
        <v>2148</v>
      </c>
      <c r="E3830" s="18">
        <v>100</v>
      </c>
      <c r="F3830" s="18" t="s">
        <v>30</v>
      </c>
      <c r="G3830" s="18" t="s">
        <v>22</v>
      </c>
      <c r="H3830" s="18" t="s">
        <v>23</v>
      </c>
      <c r="I3830" s="19">
        <v>6.33</v>
      </c>
      <c r="J3830" s="20">
        <f t="shared" si="118"/>
        <v>633</v>
      </c>
      <c r="K3830" s="106"/>
      <c r="L3830" s="114"/>
      <c r="M3830" s="114">
        <f>tblAquisições[[#This Row],[VALOR UNITARIO COMPRADO]]*tblAquisições[[#This Row],[QUANTIDADE COMPRADA]]</f>
        <v>0</v>
      </c>
      <c r="N3830" s="110">
        <f>K3830-tblAquisições[[#This Row],[QUANTIDADE PLANEJADA]]</f>
        <v>-100</v>
      </c>
      <c r="O3830" s="106" t="str">
        <f t="shared" si="119"/>
        <v>Faltando Comprar</v>
      </c>
    </row>
    <row r="3831" spans="1:15" ht="47.25">
      <c r="A3831" s="16" t="s">
        <v>17</v>
      </c>
      <c r="B3831" s="16" t="s">
        <v>26</v>
      </c>
      <c r="C3831" s="17" t="s">
        <v>19</v>
      </c>
      <c r="D3831" s="18" t="s">
        <v>2149</v>
      </c>
      <c r="E3831" s="18">
        <v>2</v>
      </c>
      <c r="F3831" s="18" t="s">
        <v>78</v>
      </c>
      <c r="G3831" s="18" t="s">
        <v>22</v>
      </c>
      <c r="H3831" s="18" t="s">
        <v>53</v>
      </c>
      <c r="I3831" s="19">
        <v>17.41</v>
      </c>
      <c r="J3831" s="20">
        <f t="shared" si="118"/>
        <v>34.82</v>
      </c>
      <c r="K3831" s="106"/>
      <c r="L3831" s="114"/>
      <c r="M3831" s="114">
        <f>tblAquisições[[#This Row],[VALOR UNITARIO COMPRADO]]*tblAquisições[[#This Row],[QUANTIDADE COMPRADA]]</f>
        <v>0</v>
      </c>
      <c r="N3831" s="110">
        <f>K3831-tblAquisições[[#This Row],[QUANTIDADE PLANEJADA]]</f>
        <v>-2</v>
      </c>
      <c r="O3831" s="106" t="str">
        <f t="shared" si="119"/>
        <v>Faltando Comprar</v>
      </c>
    </row>
    <row r="3832" spans="1:15" ht="63">
      <c r="A3832" s="16" t="s">
        <v>17</v>
      </c>
      <c r="B3832" s="16" t="s">
        <v>28</v>
      </c>
      <c r="C3832" s="17" t="s">
        <v>19</v>
      </c>
      <c r="D3832" s="18" t="s">
        <v>2150</v>
      </c>
      <c r="E3832" s="18">
        <v>20</v>
      </c>
      <c r="F3832" s="18" t="s">
        <v>222</v>
      </c>
      <c r="G3832" s="18" t="s">
        <v>127</v>
      </c>
      <c r="H3832" s="18" t="s">
        <v>23</v>
      </c>
      <c r="I3832" s="19">
        <v>7000</v>
      </c>
      <c r="J3832" s="20">
        <f t="shared" si="118"/>
        <v>140000</v>
      </c>
      <c r="K3832" s="106"/>
      <c r="L3832" s="114"/>
      <c r="M3832" s="114">
        <f>tblAquisições[[#This Row],[VALOR UNITARIO COMPRADO]]*tblAquisições[[#This Row],[QUANTIDADE COMPRADA]]</f>
        <v>0</v>
      </c>
      <c r="N3832" s="110">
        <f>K3832-tblAquisições[[#This Row],[QUANTIDADE PLANEJADA]]</f>
        <v>-20</v>
      </c>
      <c r="O3832" s="106" t="str">
        <f t="shared" si="119"/>
        <v>Faltando Comprar</v>
      </c>
    </row>
    <row r="3833" spans="1:15" ht="63">
      <c r="A3833" s="16" t="s">
        <v>17</v>
      </c>
      <c r="B3833" s="16" t="s">
        <v>28</v>
      </c>
      <c r="C3833" s="17" t="s">
        <v>19</v>
      </c>
      <c r="D3833" s="18" t="s">
        <v>2151</v>
      </c>
      <c r="E3833" s="18">
        <v>10</v>
      </c>
      <c r="F3833" s="18" t="s">
        <v>222</v>
      </c>
      <c r="G3833" s="18" t="s">
        <v>127</v>
      </c>
      <c r="H3833" s="18" t="s">
        <v>23</v>
      </c>
      <c r="I3833" s="19">
        <v>3000</v>
      </c>
      <c r="J3833" s="20">
        <f t="shared" si="118"/>
        <v>30000</v>
      </c>
      <c r="K3833" s="106"/>
      <c r="L3833" s="114"/>
      <c r="M3833" s="114">
        <f>tblAquisições[[#This Row],[VALOR UNITARIO COMPRADO]]*tblAquisições[[#This Row],[QUANTIDADE COMPRADA]]</f>
        <v>0</v>
      </c>
      <c r="N3833" s="110">
        <f>K3833-tblAquisições[[#This Row],[QUANTIDADE PLANEJADA]]</f>
        <v>-10</v>
      </c>
      <c r="O3833" s="106" t="str">
        <f t="shared" si="119"/>
        <v>Faltando Comprar</v>
      </c>
    </row>
    <row r="3834" spans="1:15" ht="31.5">
      <c r="A3834" s="16" t="s">
        <v>17</v>
      </c>
      <c r="B3834" s="16" t="s">
        <v>26</v>
      </c>
      <c r="C3834" s="17" t="s">
        <v>19</v>
      </c>
      <c r="D3834" s="18" t="s">
        <v>2152</v>
      </c>
      <c r="E3834" s="18">
        <v>40</v>
      </c>
      <c r="F3834" s="18" t="s">
        <v>30</v>
      </c>
      <c r="G3834" s="18" t="s">
        <v>22</v>
      </c>
      <c r="H3834" s="18" t="s">
        <v>23</v>
      </c>
      <c r="I3834" s="19">
        <v>13.2</v>
      </c>
      <c r="J3834" s="20">
        <f t="shared" si="118"/>
        <v>528</v>
      </c>
      <c r="K3834" s="106"/>
      <c r="L3834" s="114"/>
      <c r="M3834" s="114">
        <f>tblAquisições[[#This Row],[VALOR UNITARIO COMPRADO]]*tblAquisições[[#This Row],[QUANTIDADE COMPRADA]]</f>
        <v>0</v>
      </c>
      <c r="N3834" s="110">
        <f>K3834-tblAquisições[[#This Row],[QUANTIDADE PLANEJADA]]</f>
        <v>-40</v>
      </c>
      <c r="O3834" s="106" t="str">
        <f t="shared" si="119"/>
        <v>Faltando Comprar</v>
      </c>
    </row>
    <row r="3835" spans="1:15" ht="31.5">
      <c r="A3835" s="16" t="s">
        <v>17</v>
      </c>
      <c r="B3835" s="16" t="s">
        <v>26</v>
      </c>
      <c r="C3835" s="17" t="s">
        <v>19</v>
      </c>
      <c r="D3835" s="18" t="s">
        <v>2153</v>
      </c>
      <c r="E3835" s="18">
        <v>30</v>
      </c>
      <c r="F3835" s="18" t="s">
        <v>30</v>
      </c>
      <c r="G3835" s="18" t="s">
        <v>22</v>
      </c>
      <c r="H3835" s="18" t="s">
        <v>23</v>
      </c>
      <c r="I3835" s="19">
        <v>15.63</v>
      </c>
      <c r="J3835" s="20">
        <f t="shared" si="118"/>
        <v>468.90000000000003</v>
      </c>
      <c r="K3835" s="106"/>
      <c r="L3835" s="114"/>
      <c r="M3835" s="114">
        <f>tblAquisições[[#This Row],[VALOR UNITARIO COMPRADO]]*tblAquisições[[#This Row],[QUANTIDADE COMPRADA]]</f>
        <v>0</v>
      </c>
      <c r="N3835" s="110">
        <f>K3835-tblAquisições[[#This Row],[QUANTIDADE PLANEJADA]]</f>
        <v>-30</v>
      </c>
      <c r="O3835" s="106" t="str">
        <f t="shared" si="119"/>
        <v>Faltando Comprar</v>
      </c>
    </row>
    <row r="3836" spans="1:15" ht="31.5">
      <c r="A3836" s="16" t="s">
        <v>17</v>
      </c>
      <c r="B3836" s="16" t="s">
        <v>26</v>
      </c>
      <c r="C3836" s="17" t="s">
        <v>19</v>
      </c>
      <c r="D3836" s="18" t="s">
        <v>2154</v>
      </c>
      <c r="E3836" s="18">
        <v>20</v>
      </c>
      <c r="F3836" s="18" t="s">
        <v>30</v>
      </c>
      <c r="G3836" s="18" t="s">
        <v>22</v>
      </c>
      <c r="H3836" s="18" t="s">
        <v>23</v>
      </c>
      <c r="I3836" s="19">
        <v>16.63</v>
      </c>
      <c r="J3836" s="20">
        <f t="shared" si="118"/>
        <v>332.59999999999997</v>
      </c>
      <c r="K3836" s="106"/>
      <c r="L3836" s="114"/>
      <c r="M3836" s="114">
        <f>tblAquisições[[#This Row],[VALOR UNITARIO COMPRADO]]*tblAquisições[[#This Row],[QUANTIDADE COMPRADA]]</f>
        <v>0</v>
      </c>
      <c r="N3836" s="110">
        <f>K3836-tblAquisições[[#This Row],[QUANTIDADE PLANEJADA]]</f>
        <v>-20</v>
      </c>
      <c r="O3836" s="106" t="str">
        <f t="shared" si="119"/>
        <v>Faltando Comprar</v>
      </c>
    </row>
    <row r="3837" spans="1:15" ht="31.5">
      <c r="A3837" s="16" t="s">
        <v>17</v>
      </c>
      <c r="B3837" s="16" t="s">
        <v>26</v>
      </c>
      <c r="C3837" s="17" t="s">
        <v>19</v>
      </c>
      <c r="D3837" s="18" t="s">
        <v>2155</v>
      </c>
      <c r="E3837" s="18">
        <v>50</v>
      </c>
      <c r="F3837" s="18" t="s">
        <v>30</v>
      </c>
      <c r="G3837" s="18" t="s">
        <v>22</v>
      </c>
      <c r="H3837" s="18" t="s">
        <v>23</v>
      </c>
      <c r="I3837" s="19">
        <v>37.24</v>
      </c>
      <c r="J3837" s="20">
        <f t="shared" si="118"/>
        <v>1862</v>
      </c>
      <c r="K3837" s="106"/>
      <c r="L3837" s="114"/>
      <c r="M3837" s="114">
        <f>tblAquisições[[#This Row],[VALOR UNITARIO COMPRADO]]*tblAquisições[[#This Row],[QUANTIDADE COMPRADA]]</f>
        <v>0</v>
      </c>
      <c r="N3837" s="110">
        <f>K3837-tblAquisições[[#This Row],[QUANTIDADE PLANEJADA]]</f>
        <v>-50</v>
      </c>
      <c r="O3837" s="106" t="str">
        <f t="shared" si="119"/>
        <v>Faltando Comprar</v>
      </c>
    </row>
    <row r="3838" spans="1:15" ht="47.25">
      <c r="A3838" s="16" t="s">
        <v>17</v>
      </c>
      <c r="B3838" s="16" t="s">
        <v>28</v>
      </c>
      <c r="C3838" s="17" t="s">
        <v>19</v>
      </c>
      <c r="D3838" s="18" t="s">
        <v>2156</v>
      </c>
      <c r="E3838" s="18">
        <v>25</v>
      </c>
      <c r="F3838" s="18" t="s">
        <v>78</v>
      </c>
      <c r="G3838" s="18" t="s">
        <v>22</v>
      </c>
      <c r="H3838" s="18" t="s">
        <v>23</v>
      </c>
      <c r="I3838" s="19">
        <v>16.61</v>
      </c>
      <c r="J3838" s="20">
        <f t="shared" si="118"/>
        <v>415.25</v>
      </c>
      <c r="K3838" s="106"/>
      <c r="L3838" s="114"/>
      <c r="M3838" s="114">
        <f>tblAquisições[[#This Row],[VALOR UNITARIO COMPRADO]]*tblAquisições[[#This Row],[QUANTIDADE COMPRADA]]</f>
        <v>0</v>
      </c>
      <c r="N3838" s="110">
        <f>K3838-tblAquisições[[#This Row],[QUANTIDADE PLANEJADA]]</f>
        <v>-25</v>
      </c>
      <c r="O3838" s="106" t="str">
        <f t="shared" si="119"/>
        <v>Faltando Comprar</v>
      </c>
    </row>
    <row r="3839" spans="1:15" ht="47.25">
      <c r="A3839" s="16" t="s">
        <v>17</v>
      </c>
      <c r="B3839" s="16" t="s">
        <v>31</v>
      </c>
      <c r="C3839" s="17" t="s">
        <v>19</v>
      </c>
      <c r="D3839" s="18" t="s">
        <v>2157</v>
      </c>
      <c r="E3839" s="18">
        <v>10</v>
      </c>
      <c r="F3839" s="18" t="s">
        <v>78</v>
      </c>
      <c r="G3839" s="18" t="s">
        <v>22</v>
      </c>
      <c r="H3839" s="18" t="s">
        <v>23</v>
      </c>
      <c r="I3839" s="19">
        <v>49.52</v>
      </c>
      <c r="J3839" s="20">
        <f t="shared" si="118"/>
        <v>495.20000000000005</v>
      </c>
      <c r="K3839" s="106"/>
      <c r="L3839" s="114"/>
      <c r="M3839" s="114">
        <f>tblAquisições[[#This Row],[VALOR UNITARIO COMPRADO]]*tblAquisições[[#This Row],[QUANTIDADE COMPRADA]]</f>
        <v>0</v>
      </c>
      <c r="N3839" s="110">
        <f>K3839-tblAquisições[[#This Row],[QUANTIDADE PLANEJADA]]</f>
        <v>-10</v>
      </c>
      <c r="O3839" s="106" t="str">
        <f t="shared" si="119"/>
        <v>Faltando Comprar</v>
      </c>
    </row>
    <row r="3840" spans="1:15" ht="47.25">
      <c r="A3840" s="16" t="s">
        <v>17</v>
      </c>
      <c r="B3840" s="16" t="s">
        <v>28</v>
      </c>
      <c r="C3840" s="17" t="s">
        <v>19</v>
      </c>
      <c r="D3840" s="18" t="s">
        <v>2157</v>
      </c>
      <c r="E3840" s="18">
        <v>20</v>
      </c>
      <c r="F3840" s="18" t="s">
        <v>78</v>
      </c>
      <c r="G3840" s="18" t="s">
        <v>22</v>
      </c>
      <c r="H3840" s="18" t="s">
        <v>23</v>
      </c>
      <c r="I3840" s="19">
        <v>49.52</v>
      </c>
      <c r="J3840" s="20">
        <f t="shared" si="118"/>
        <v>990.40000000000009</v>
      </c>
      <c r="K3840" s="106"/>
      <c r="L3840" s="114"/>
      <c r="M3840" s="114">
        <f>tblAquisições[[#This Row],[VALOR UNITARIO COMPRADO]]*tblAquisições[[#This Row],[QUANTIDADE COMPRADA]]</f>
        <v>0</v>
      </c>
      <c r="N3840" s="110">
        <f>K3840-tblAquisições[[#This Row],[QUANTIDADE PLANEJADA]]</f>
        <v>-20</v>
      </c>
      <c r="O3840" s="106" t="str">
        <f t="shared" si="119"/>
        <v>Faltando Comprar</v>
      </c>
    </row>
    <row r="3841" spans="1:15" ht="31.5">
      <c r="A3841" s="16" t="s">
        <v>17</v>
      </c>
      <c r="B3841" s="16" t="s">
        <v>18</v>
      </c>
      <c r="C3841" s="17" t="s">
        <v>19</v>
      </c>
      <c r="D3841" s="18" t="s">
        <v>2158</v>
      </c>
      <c r="E3841" s="18">
        <v>50</v>
      </c>
      <c r="F3841" s="18" t="s">
        <v>30</v>
      </c>
      <c r="G3841" s="18" t="s">
        <v>22</v>
      </c>
      <c r="H3841" s="18" t="s">
        <v>23</v>
      </c>
      <c r="I3841" s="19">
        <v>130</v>
      </c>
      <c r="J3841" s="20">
        <f t="shared" si="118"/>
        <v>6500</v>
      </c>
      <c r="K3841" s="106"/>
      <c r="L3841" s="114"/>
      <c r="M3841" s="114">
        <f>tblAquisições[[#This Row],[VALOR UNITARIO COMPRADO]]*tblAquisições[[#This Row],[QUANTIDADE COMPRADA]]</f>
        <v>0</v>
      </c>
      <c r="N3841" s="110">
        <f>K3841-tblAquisições[[#This Row],[QUANTIDADE PLANEJADA]]</f>
        <v>-50</v>
      </c>
      <c r="O3841" s="106" t="str">
        <f t="shared" si="119"/>
        <v>Faltando Comprar</v>
      </c>
    </row>
    <row r="3842" spans="1:15" ht="31.5">
      <c r="A3842" s="16" t="s">
        <v>17</v>
      </c>
      <c r="B3842" s="16" t="s">
        <v>24</v>
      </c>
      <c r="C3842" s="17" t="s">
        <v>19</v>
      </c>
      <c r="D3842" s="18" t="s">
        <v>2158</v>
      </c>
      <c r="E3842" s="18">
        <v>50</v>
      </c>
      <c r="F3842" s="18" t="s">
        <v>30</v>
      </c>
      <c r="G3842" s="18" t="s">
        <v>22</v>
      </c>
      <c r="H3842" s="18" t="s">
        <v>23</v>
      </c>
      <c r="I3842" s="19">
        <v>130</v>
      </c>
      <c r="J3842" s="20">
        <f t="shared" ref="J3842:J3905" si="120">E3842*I3842</f>
        <v>6500</v>
      </c>
      <c r="K3842" s="106"/>
      <c r="L3842" s="114"/>
      <c r="M3842" s="114">
        <f>tblAquisições[[#This Row],[VALOR UNITARIO COMPRADO]]*tblAquisições[[#This Row],[QUANTIDADE COMPRADA]]</f>
        <v>0</v>
      </c>
      <c r="N3842" s="110">
        <f>K3842-tblAquisições[[#This Row],[QUANTIDADE PLANEJADA]]</f>
        <v>-50</v>
      </c>
      <c r="O3842" s="106" t="str">
        <f t="shared" ref="O3842:O3905" si="121">IF(K3842=E3842,"OK",IF(K3842&lt;E3842,"Faltando Comprar","Excedente"))</f>
        <v>Faltando Comprar</v>
      </c>
    </row>
    <row r="3843" spans="1:15" ht="31.5">
      <c r="A3843" s="16" t="s">
        <v>17</v>
      </c>
      <c r="B3843" s="16" t="s">
        <v>25</v>
      </c>
      <c r="C3843" s="17" t="s">
        <v>19</v>
      </c>
      <c r="D3843" s="18" t="s">
        <v>2158</v>
      </c>
      <c r="E3843" s="18">
        <v>50</v>
      </c>
      <c r="F3843" s="18" t="s">
        <v>30</v>
      </c>
      <c r="G3843" s="18" t="s">
        <v>22</v>
      </c>
      <c r="H3843" s="18" t="s">
        <v>23</v>
      </c>
      <c r="I3843" s="19">
        <v>130</v>
      </c>
      <c r="J3843" s="20">
        <f t="shared" si="120"/>
        <v>6500</v>
      </c>
      <c r="K3843" s="106"/>
      <c r="L3843" s="114"/>
      <c r="M3843" s="114">
        <f>tblAquisições[[#This Row],[VALOR UNITARIO COMPRADO]]*tblAquisições[[#This Row],[QUANTIDADE COMPRADA]]</f>
        <v>0</v>
      </c>
      <c r="N3843" s="110">
        <f>K3843-tblAquisições[[#This Row],[QUANTIDADE PLANEJADA]]</f>
        <v>-50</v>
      </c>
      <c r="O3843" s="106" t="str">
        <f t="shared" si="121"/>
        <v>Faltando Comprar</v>
      </c>
    </row>
    <row r="3844" spans="1:15" ht="31.5">
      <c r="A3844" s="16" t="s">
        <v>17</v>
      </c>
      <c r="B3844" s="16" t="s">
        <v>26</v>
      </c>
      <c r="C3844" s="17" t="s">
        <v>19</v>
      </c>
      <c r="D3844" s="18" t="s">
        <v>2158</v>
      </c>
      <c r="E3844" s="18">
        <v>20</v>
      </c>
      <c r="F3844" s="18" t="s">
        <v>30</v>
      </c>
      <c r="G3844" s="18" t="s">
        <v>22</v>
      </c>
      <c r="H3844" s="18" t="s">
        <v>23</v>
      </c>
      <c r="I3844" s="19">
        <v>130</v>
      </c>
      <c r="J3844" s="20">
        <f t="shared" si="120"/>
        <v>2600</v>
      </c>
      <c r="K3844" s="106"/>
      <c r="L3844" s="114"/>
      <c r="M3844" s="114">
        <f>tblAquisições[[#This Row],[VALOR UNITARIO COMPRADO]]*tblAquisições[[#This Row],[QUANTIDADE COMPRADA]]</f>
        <v>0</v>
      </c>
      <c r="N3844" s="110">
        <f>K3844-tblAquisições[[#This Row],[QUANTIDADE PLANEJADA]]</f>
        <v>-20</v>
      </c>
      <c r="O3844" s="106" t="str">
        <f t="shared" si="121"/>
        <v>Faltando Comprar</v>
      </c>
    </row>
    <row r="3845" spans="1:15" ht="31.5">
      <c r="A3845" s="16" t="s">
        <v>17</v>
      </c>
      <c r="B3845" s="16" t="s">
        <v>27</v>
      </c>
      <c r="C3845" s="17" t="s">
        <v>19</v>
      </c>
      <c r="D3845" s="18" t="s">
        <v>2158</v>
      </c>
      <c r="E3845" s="18">
        <v>30</v>
      </c>
      <c r="F3845" s="18" t="s">
        <v>30</v>
      </c>
      <c r="G3845" s="18" t="s">
        <v>22</v>
      </c>
      <c r="H3845" s="18" t="s">
        <v>23</v>
      </c>
      <c r="I3845" s="19">
        <v>130</v>
      </c>
      <c r="J3845" s="20">
        <f t="shared" si="120"/>
        <v>3900</v>
      </c>
      <c r="K3845" s="106"/>
      <c r="L3845" s="114"/>
      <c r="M3845" s="114">
        <f>tblAquisições[[#This Row],[VALOR UNITARIO COMPRADO]]*tblAquisições[[#This Row],[QUANTIDADE COMPRADA]]</f>
        <v>0</v>
      </c>
      <c r="N3845" s="110">
        <f>K3845-tblAquisições[[#This Row],[QUANTIDADE PLANEJADA]]</f>
        <v>-30</v>
      </c>
      <c r="O3845" s="106" t="str">
        <f t="shared" si="121"/>
        <v>Faltando Comprar</v>
      </c>
    </row>
    <row r="3846" spans="1:15" ht="31.5">
      <c r="A3846" s="16" t="s">
        <v>17</v>
      </c>
      <c r="B3846" s="16" t="s">
        <v>26</v>
      </c>
      <c r="C3846" s="17" t="s">
        <v>19</v>
      </c>
      <c r="D3846" s="18" t="s">
        <v>2159</v>
      </c>
      <c r="E3846" s="18">
        <v>15</v>
      </c>
      <c r="F3846" s="18" t="s">
        <v>30</v>
      </c>
      <c r="G3846" s="18" t="s">
        <v>22</v>
      </c>
      <c r="H3846" s="18" t="s">
        <v>23</v>
      </c>
      <c r="I3846" s="19">
        <v>235</v>
      </c>
      <c r="J3846" s="20">
        <f t="shared" si="120"/>
        <v>3525</v>
      </c>
      <c r="K3846" s="106"/>
      <c r="L3846" s="114"/>
      <c r="M3846" s="114">
        <f>tblAquisições[[#This Row],[VALOR UNITARIO COMPRADO]]*tblAquisições[[#This Row],[QUANTIDADE COMPRADA]]</f>
        <v>0</v>
      </c>
      <c r="N3846" s="110">
        <f>K3846-tblAquisições[[#This Row],[QUANTIDADE PLANEJADA]]</f>
        <v>-15</v>
      </c>
      <c r="O3846" s="106" t="str">
        <f t="shared" si="121"/>
        <v>Faltando Comprar</v>
      </c>
    </row>
    <row r="3847" spans="1:15" ht="31.5">
      <c r="A3847" s="16" t="s">
        <v>17</v>
      </c>
      <c r="B3847" s="16" t="s">
        <v>28</v>
      </c>
      <c r="C3847" s="17" t="s">
        <v>19</v>
      </c>
      <c r="D3847" s="18" t="s">
        <v>2160</v>
      </c>
      <c r="E3847" s="18">
        <v>12</v>
      </c>
      <c r="F3847" s="18" t="s">
        <v>324</v>
      </c>
      <c r="G3847" s="18" t="s">
        <v>22</v>
      </c>
      <c r="H3847" s="18" t="s">
        <v>23</v>
      </c>
      <c r="I3847" s="19">
        <v>492.17</v>
      </c>
      <c r="J3847" s="20">
        <f t="shared" si="120"/>
        <v>5906.04</v>
      </c>
      <c r="K3847" s="106"/>
      <c r="L3847" s="114"/>
      <c r="M3847" s="114">
        <f>tblAquisições[[#This Row],[VALOR UNITARIO COMPRADO]]*tblAquisições[[#This Row],[QUANTIDADE COMPRADA]]</f>
        <v>0</v>
      </c>
      <c r="N3847" s="110">
        <f>K3847-tblAquisições[[#This Row],[QUANTIDADE PLANEJADA]]</f>
        <v>-12</v>
      </c>
      <c r="O3847" s="106" t="str">
        <f t="shared" si="121"/>
        <v>Faltando Comprar</v>
      </c>
    </row>
    <row r="3848" spans="1:15" ht="31.5">
      <c r="A3848" s="16" t="s">
        <v>17</v>
      </c>
      <c r="B3848" s="16" t="s">
        <v>26</v>
      </c>
      <c r="C3848" s="17" t="s">
        <v>19</v>
      </c>
      <c r="D3848" s="18" t="s">
        <v>2161</v>
      </c>
      <c r="E3848" s="18">
        <v>20</v>
      </c>
      <c r="F3848" s="18" t="s">
        <v>30</v>
      </c>
      <c r="G3848" s="18" t="s">
        <v>22</v>
      </c>
      <c r="H3848" s="18" t="s">
        <v>23</v>
      </c>
      <c r="I3848" s="19">
        <v>8.9600000000000009</v>
      </c>
      <c r="J3848" s="20">
        <f t="shared" si="120"/>
        <v>179.20000000000002</v>
      </c>
      <c r="K3848" s="106"/>
      <c r="L3848" s="114"/>
      <c r="M3848" s="114">
        <f>tblAquisições[[#This Row],[VALOR UNITARIO COMPRADO]]*tblAquisições[[#This Row],[QUANTIDADE COMPRADA]]</f>
        <v>0</v>
      </c>
      <c r="N3848" s="110">
        <f>K3848-tblAquisições[[#This Row],[QUANTIDADE PLANEJADA]]</f>
        <v>-20</v>
      </c>
      <c r="O3848" s="106" t="str">
        <f t="shared" si="121"/>
        <v>Faltando Comprar</v>
      </c>
    </row>
    <row r="3849" spans="1:15" ht="31.5">
      <c r="A3849" s="16" t="s">
        <v>17</v>
      </c>
      <c r="B3849" s="16" t="s">
        <v>80</v>
      </c>
      <c r="C3849" s="17" t="s">
        <v>19</v>
      </c>
      <c r="D3849" s="18" t="s">
        <v>2162</v>
      </c>
      <c r="E3849" s="18">
        <v>30</v>
      </c>
      <c r="F3849" s="18" t="s">
        <v>82</v>
      </c>
      <c r="G3849" s="18" t="s">
        <v>39</v>
      </c>
      <c r="H3849" s="18" t="s">
        <v>23</v>
      </c>
      <c r="I3849" s="19">
        <v>4.4800000000000004</v>
      </c>
      <c r="J3849" s="20">
        <f t="shared" si="120"/>
        <v>134.4</v>
      </c>
      <c r="K3849" s="106"/>
      <c r="L3849" s="114"/>
      <c r="M3849" s="114">
        <f>tblAquisições[[#This Row],[VALOR UNITARIO COMPRADO]]*tblAquisições[[#This Row],[QUANTIDADE COMPRADA]]</f>
        <v>0</v>
      </c>
      <c r="N3849" s="110">
        <f>K3849-tblAquisições[[#This Row],[QUANTIDADE PLANEJADA]]</f>
        <v>-30</v>
      </c>
      <c r="O3849" s="106" t="str">
        <f t="shared" si="121"/>
        <v>Faltando Comprar</v>
      </c>
    </row>
    <row r="3850" spans="1:15" ht="31.5">
      <c r="A3850" s="16" t="s">
        <v>17</v>
      </c>
      <c r="B3850" s="16" t="s">
        <v>26</v>
      </c>
      <c r="C3850" s="17" t="s">
        <v>19</v>
      </c>
      <c r="D3850" s="18" t="s">
        <v>2163</v>
      </c>
      <c r="E3850" s="18">
        <v>10</v>
      </c>
      <c r="F3850" s="18" t="s">
        <v>30</v>
      </c>
      <c r="G3850" s="18" t="s">
        <v>22</v>
      </c>
      <c r="H3850" s="18" t="s">
        <v>23</v>
      </c>
      <c r="I3850" s="19">
        <v>575</v>
      </c>
      <c r="J3850" s="20">
        <f t="shared" si="120"/>
        <v>5750</v>
      </c>
      <c r="K3850" s="106"/>
      <c r="L3850" s="114"/>
      <c r="M3850" s="114">
        <f>tblAquisições[[#This Row],[VALOR UNITARIO COMPRADO]]*tblAquisições[[#This Row],[QUANTIDADE COMPRADA]]</f>
        <v>0</v>
      </c>
      <c r="N3850" s="110">
        <f>K3850-tblAquisições[[#This Row],[QUANTIDADE PLANEJADA]]</f>
        <v>-10</v>
      </c>
      <c r="O3850" s="106" t="str">
        <f t="shared" si="121"/>
        <v>Faltando Comprar</v>
      </c>
    </row>
    <row r="3851" spans="1:15" ht="31.5">
      <c r="A3851" s="16" t="s">
        <v>17</v>
      </c>
      <c r="B3851" s="16" t="s">
        <v>26</v>
      </c>
      <c r="C3851" s="17" t="s">
        <v>19</v>
      </c>
      <c r="D3851" s="18" t="s">
        <v>2164</v>
      </c>
      <c r="E3851" s="18">
        <v>5</v>
      </c>
      <c r="F3851" s="18" t="s">
        <v>30</v>
      </c>
      <c r="G3851" s="18" t="s">
        <v>22</v>
      </c>
      <c r="H3851" s="18" t="s">
        <v>23</v>
      </c>
      <c r="I3851" s="19">
        <v>47.82</v>
      </c>
      <c r="J3851" s="20">
        <f t="shared" si="120"/>
        <v>239.1</v>
      </c>
      <c r="K3851" s="106"/>
      <c r="L3851" s="114"/>
      <c r="M3851" s="114">
        <f>tblAquisições[[#This Row],[VALOR UNITARIO COMPRADO]]*tblAquisições[[#This Row],[QUANTIDADE COMPRADA]]</f>
        <v>0</v>
      </c>
      <c r="N3851" s="110">
        <f>K3851-tblAquisições[[#This Row],[QUANTIDADE PLANEJADA]]</f>
        <v>-5</v>
      </c>
      <c r="O3851" s="106" t="str">
        <f t="shared" si="121"/>
        <v>Faltando Comprar</v>
      </c>
    </row>
    <row r="3852" spans="1:15" ht="31.5">
      <c r="A3852" s="16" t="s">
        <v>17</v>
      </c>
      <c r="B3852" s="16" t="s">
        <v>26</v>
      </c>
      <c r="C3852" s="17" t="s">
        <v>19</v>
      </c>
      <c r="D3852" s="18" t="s">
        <v>2165</v>
      </c>
      <c r="E3852" s="18">
        <v>10</v>
      </c>
      <c r="F3852" s="18" t="s">
        <v>30</v>
      </c>
      <c r="G3852" s="18" t="s">
        <v>22</v>
      </c>
      <c r="H3852" s="18" t="s">
        <v>23</v>
      </c>
      <c r="I3852" s="19">
        <v>21.58</v>
      </c>
      <c r="J3852" s="20">
        <f t="shared" si="120"/>
        <v>215.79999999999998</v>
      </c>
      <c r="K3852" s="106"/>
      <c r="L3852" s="114"/>
      <c r="M3852" s="114">
        <f>tblAquisições[[#This Row],[VALOR UNITARIO COMPRADO]]*tblAquisições[[#This Row],[QUANTIDADE COMPRADA]]</f>
        <v>0</v>
      </c>
      <c r="N3852" s="110">
        <f>K3852-tblAquisições[[#This Row],[QUANTIDADE PLANEJADA]]</f>
        <v>-10</v>
      </c>
      <c r="O3852" s="106" t="str">
        <f t="shared" si="121"/>
        <v>Faltando Comprar</v>
      </c>
    </row>
    <row r="3853" spans="1:15" ht="31.5">
      <c r="A3853" s="16" t="s">
        <v>17</v>
      </c>
      <c r="B3853" s="16" t="s">
        <v>34</v>
      </c>
      <c r="C3853" s="17" t="s">
        <v>19</v>
      </c>
      <c r="D3853" s="18" t="s">
        <v>2166</v>
      </c>
      <c r="E3853" s="18">
        <v>12</v>
      </c>
      <c r="F3853" s="18" t="s">
        <v>21</v>
      </c>
      <c r="G3853" s="18" t="s">
        <v>22</v>
      </c>
      <c r="H3853" s="18" t="s">
        <v>23</v>
      </c>
      <c r="I3853" s="19">
        <v>12.04</v>
      </c>
      <c r="J3853" s="20">
        <f t="shared" si="120"/>
        <v>144.47999999999999</v>
      </c>
      <c r="K3853" s="106"/>
      <c r="L3853" s="114"/>
      <c r="M3853" s="114">
        <f>tblAquisições[[#This Row],[VALOR UNITARIO COMPRADO]]*tblAquisições[[#This Row],[QUANTIDADE COMPRADA]]</f>
        <v>0</v>
      </c>
      <c r="N3853" s="110">
        <f>K3853-tblAquisições[[#This Row],[QUANTIDADE PLANEJADA]]</f>
        <v>-12</v>
      </c>
      <c r="O3853" s="106" t="str">
        <f t="shared" si="121"/>
        <v>Faltando Comprar</v>
      </c>
    </row>
    <row r="3854" spans="1:15" ht="31.5">
      <c r="A3854" s="16" t="s">
        <v>17</v>
      </c>
      <c r="B3854" s="16" t="s">
        <v>41</v>
      </c>
      <c r="C3854" s="17" t="s">
        <v>19</v>
      </c>
      <c r="D3854" s="18" t="s">
        <v>2166</v>
      </c>
      <c r="E3854" s="18">
        <v>300</v>
      </c>
      <c r="F3854" s="18" t="s">
        <v>21</v>
      </c>
      <c r="G3854" s="18" t="s">
        <v>22</v>
      </c>
      <c r="H3854" s="18" t="s">
        <v>23</v>
      </c>
      <c r="I3854" s="19">
        <v>12.04</v>
      </c>
      <c r="J3854" s="20">
        <f t="shared" si="120"/>
        <v>3611.9999999999995</v>
      </c>
      <c r="K3854" s="106"/>
      <c r="L3854" s="114"/>
      <c r="M3854" s="114">
        <f>tblAquisições[[#This Row],[VALOR UNITARIO COMPRADO]]*tblAquisições[[#This Row],[QUANTIDADE COMPRADA]]</f>
        <v>0</v>
      </c>
      <c r="N3854" s="110">
        <f>K3854-tblAquisições[[#This Row],[QUANTIDADE PLANEJADA]]</f>
        <v>-300</v>
      </c>
      <c r="O3854" s="106" t="str">
        <f t="shared" si="121"/>
        <v>Faltando Comprar</v>
      </c>
    </row>
    <row r="3855" spans="1:15" ht="31.5">
      <c r="A3855" s="16" t="s">
        <v>17</v>
      </c>
      <c r="B3855" s="16" t="s">
        <v>28</v>
      </c>
      <c r="C3855" s="17" t="s">
        <v>19</v>
      </c>
      <c r="D3855" s="18" t="s">
        <v>2166</v>
      </c>
      <c r="E3855" s="18">
        <v>90</v>
      </c>
      <c r="F3855" s="18" t="s">
        <v>21</v>
      </c>
      <c r="G3855" s="18" t="s">
        <v>22</v>
      </c>
      <c r="H3855" s="18" t="s">
        <v>23</v>
      </c>
      <c r="I3855" s="19">
        <v>12.04</v>
      </c>
      <c r="J3855" s="20">
        <f t="shared" si="120"/>
        <v>1083.5999999999999</v>
      </c>
      <c r="K3855" s="106"/>
      <c r="L3855" s="114"/>
      <c r="M3855" s="114">
        <f>tblAquisições[[#This Row],[VALOR UNITARIO COMPRADO]]*tblAquisições[[#This Row],[QUANTIDADE COMPRADA]]</f>
        <v>0</v>
      </c>
      <c r="N3855" s="110">
        <f>K3855-tblAquisições[[#This Row],[QUANTIDADE PLANEJADA]]</f>
        <v>-90</v>
      </c>
      <c r="O3855" s="106" t="str">
        <f t="shared" si="121"/>
        <v>Faltando Comprar</v>
      </c>
    </row>
    <row r="3856" spans="1:15" ht="31.5">
      <c r="A3856" s="16" t="s">
        <v>17</v>
      </c>
      <c r="B3856" s="16" t="s">
        <v>26</v>
      </c>
      <c r="C3856" s="17" t="s">
        <v>19</v>
      </c>
      <c r="D3856" s="18" t="s">
        <v>2167</v>
      </c>
      <c r="E3856" s="18">
        <v>25</v>
      </c>
      <c r="F3856" s="18" t="s">
        <v>30</v>
      </c>
      <c r="G3856" s="18" t="s">
        <v>22</v>
      </c>
      <c r="H3856" s="18" t="s">
        <v>23</v>
      </c>
      <c r="I3856" s="19">
        <v>35.729999999999997</v>
      </c>
      <c r="J3856" s="20">
        <f t="shared" si="120"/>
        <v>893.24999999999989</v>
      </c>
      <c r="K3856" s="106"/>
      <c r="L3856" s="114"/>
      <c r="M3856" s="114">
        <f>tblAquisições[[#This Row],[VALOR UNITARIO COMPRADO]]*tblAquisições[[#This Row],[QUANTIDADE COMPRADA]]</f>
        <v>0</v>
      </c>
      <c r="N3856" s="110">
        <f>K3856-tblAquisições[[#This Row],[QUANTIDADE PLANEJADA]]</f>
        <v>-25</v>
      </c>
      <c r="O3856" s="106" t="str">
        <f t="shared" si="121"/>
        <v>Faltando Comprar</v>
      </c>
    </row>
    <row r="3857" spans="1:15" ht="31.5">
      <c r="A3857" s="16" t="s">
        <v>17</v>
      </c>
      <c r="B3857" s="16" t="s">
        <v>26</v>
      </c>
      <c r="C3857" s="17" t="s">
        <v>19</v>
      </c>
      <c r="D3857" s="18" t="s">
        <v>2168</v>
      </c>
      <c r="E3857" s="18">
        <v>10</v>
      </c>
      <c r="F3857" s="18" t="s">
        <v>30</v>
      </c>
      <c r="G3857" s="18" t="s">
        <v>22</v>
      </c>
      <c r="H3857" s="18" t="s">
        <v>23</v>
      </c>
      <c r="I3857" s="19">
        <v>215</v>
      </c>
      <c r="J3857" s="20">
        <f t="shared" si="120"/>
        <v>2150</v>
      </c>
      <c r="K3857" s="106"/>
      <c r="L3857" s="114"/>
      <c r="M3857" s="114">
        <f>tblAquisições[[#This Row],[VALOR UNITARIO COMPRADO]]*tblAquisições[[#This Row],[QUANTIDADE COMPRADA]]</f>
        <v>0</v>
      </c>
      <c r="N3857" s="110">
        <f>K3857-tblAquisições[[#This Row],[QUANTIDADE PLANEJADA]]</f>
        <v>-10</v>
      </c>
      <c r="O3857" s="106" t="str">
        <f t="shared" si="121"/>
        <v>Faltando Comprar</v>
      </c>
    </row>
    <row r="3858" spans="1:15" ht="31.5">
      <c r="A3858" s="16" t="s">
        <v>17</v>
      </c>
      <c r="B3858" s="16" t="s">
        <v>26</v>
      </c>
      <c r="C3858" s="17" t="s">
        <v>19</v>
      </c>
      <c r="D3858" s="18" t="s">
        <v>2169</v>
      </c>
      <c r="E3858" s="18">
        <v>15</v>
      </c>
      <c r="F3858" s="18" t="s">
        <v>30</v>
      </c>
      <c r="G3858" s="18" t="s">
        <v>22</v>
      </c>
      <c r="H3858" s="18" t="s">
        <v>23</v>
      </c>
      <c r="I3858" s="19">
        <v>263.49</v>
      </c>
      <c r="J3858" s="20">
        <f t="shared" si="120"/>
        <v>3952.3500000000004</v>
      </c>
      <c r="K3858" s="106"/>
      <c r="L3858" s="114"/>
      <c r="M3858" s="114">
        <f>tblAquisições[[#This Row],[VALOR UNITARIO COMPRADO]]*tblAquisições[[#This Row],[QUANTIDADE COMPRADA]]</f>
        <v>0</v>
      </c>
      <c r="N3858" s="110">
        <f>K3858-tblAquisições[[#This Row],[QUANTIDADE PLANEJADA]]</f>
        <v>-15</v>
      </c>
      <c r="O3858" s="106" t="str">
        <f t="shared" si="121"/>
        <v>Faltando Comprar</v>
      </c>
    </row>
    <row r="3859" spans="1:15" ht="31.5">
      <c r="A3859" s="16" t="s">
        <v>17</v>
      </c>
      <c r="B3859" s="16" t="s">
        <v>18</v>
      </c>
      <c r="C3859" s="17" t="s">
        <v>19</v>
      </c>
      <c r="D3859" s="18" t="s">
        <v>2170</v>
      </c>
      <c r="E3859" s="18">
        <v>10</v>
      </c>
      <c r="F3859" s="18" t="s">
        <v>30</v>
      </c>
      <c r="G3859" s="18" t="s">
        <v>22</v>
      </c>
      <c r="H3859" s="18" t="s">
        <v>23</v>
      </c>
      <c r="I3859" s="19">
        <v>300</v>
      </c>
      <c r="J3859" s="20">
        <f t="shared" si="120"/>
        <v>3000</v>
      </c>
      <c r="K3859" s="106"/>
      <c r="L3859" s="114"/>
      <c r="M3859" s="114">
        <f>tblAquisições[[#This Row],[VALOR UNITARIO COMPRADO]]*tblAquisições[[#This Row],[QUANTIDADE COMPRADA]]</f>
        <v>0</v>
      </c>
      <c r="N3859" s="110">
        <f>K3859-tblAquisições[[#This Row],[QUANTIDADE PLANEJADA]]</f>
        <v>-10</v>
      </c>
      <c r="O3859" s="106" t="str">
        <f t="shared" si="121"/>
        <v>Faltando Comprar</v>
      </c>
    </row>
    <row r="3860" spans="1:15" ht="31.5">
      <c r="A3860" s="16" t="s">
        <v>17</v>
      </c>
      <c r="B3860" s="16" t="s">
        <v>24</v>
      </c>
      <c r="C3860" s="17" t="s">
        <v>19</v>
      </c>
      <c r="D3860" s="18" t="s">
        <v>2170</v>
      </c>
      <c r="E3860" s="18">
        <v>10</v>
      </c>
      <c r="F3860" s="18" t="s">
        <v>30</v>
      </c>
      <c r="G3860" s="18" t="s">
        <v>22</v>
      </c>
      <c r="H3860" s="18" t="s">
        <v>23</v>
      </c>
      <c r="I3860" s="19">
        <v>300</v>
      </c>
      <c r="J3860" s="20">
        <f t="shared" si="120"/>
        <v>3000</v>
      </c>
      <c r="K3860" s="106"/>
      <c r="L3860" s="114"/>
      <c r="M3860" s="114">
        <f>tblAquisições[[#This Row],[VALOR UNITARIO COMPRADO]]*tblAquisições[[#This Row],[QUANTIDADE COMPRADA]]</f>
        <v>0</v>
      </c>
      <c r="N3860" s="110">
        <f>K3860-tblAquisições[[#This Row],[QUANTIDADE PLANEJADA]]</f>
        <v>-10</v>
      </c>
      <c r="O3860" s="106" t="str">
        <f t="shared" si="121"/>
        <v>Faltando Comprar</v>
      </c>
    </row>
    <row r="3861" spans="1:15" ht="31.5">
      <c r="A3861" s="16" t="s">
        <v>17</v>
      </c>
      <c r="B3861" s="16" t="s">
        <v>25</v>
      </c>
      <c r="C3861" s="17" t="s">
        <v>19</v>
      </c>
      <c r="D3861" s="18" t="s">
        <v>2170</v>
      </c>
      <c r="E3861" s="18">
        <v>10</v>
      </c>
      <c r="F3861" s="18" t="s">
        <v>30</v>
      </c>
      <c r="G3861" s="18" t="s">
        <v>22</v>
      </c>
      <c r="H3861" s="18" t="s">
        <v>23</v>
      </c>
      <c r="I3861" s="19">
        <v>300</v>
      </c>
      <c r="J3861" s="20">
        <f t="shared" si="120"/>
        <v>3000</v>
      </c>
      <c r="K3861" s="106"/>
      <c r="L3861" s="114"/>
      <c r="M3861" s="114">
        <f>tblAquisições[[#This Row],[VALOR UNITARIO COMPRADO]]*tblAquisições[[#This Row],[QUANTIDADE COMPRADA]]</f>
        <v>0</v>
      </c>
      <c r="N3861" s="110">
        <f>K3861-tblAquisições[[#This Row],[QUANTIDADE PLANEJADA]]</f>
        <v>-10</v>
      </c>
      <c r="O3861" s="106" t="str">
        <f t="shared" si="121"/>
        <v>Faltando Comprar</v>
      </c>
    </row>
    <row r="3862" spans="1:15" ht="31.5">
      <c r="A3862" s="16" t="s">
        <v>17</v>
      </c>
      <c r="B3862" s="16" t="s">
        <v>27</v>
      </c>
      <c r="C3862" s="17" t="s">
        <v>19</v>
      </c>
      <c r="D3862" s="18" t="s">
        <v>2170</v>
      </c>
      <c r="E3862" s="18">
        <v>10</v>
      </c>
      <c r="F3862" s="18" t="s">
        <v>30</v>
      </c>
      <c r="G3862" s="18" t="s">
        <v>22</v>
      </c>
      <c r="H3862" s="18" t="s">
        <v>23</v>
      </c>
      <c r="I3862" s="19">
        <v>300</v>
      </c>
      <c r="J3862" s="20">
        <f t="shared" si="120"/>
        <v>3000</v>
      </c>
      <c r="K3862" s="106"/>
      <c r="L3862" s="114"/>
      <c r="M3862" s="114">
        <f>tblAquisições[[#This Row],[VALOR UNITARIO COMPRADO]]*tblAquisições[[#This Row],[QUANTIDADE COMPRADA]]</f>
        <v>0</v>
      </c>
      <c r="N3862" s="110">
        <f>K3862-tblAquisições[[#This Row],[QUANTIDADE PLANEJADA]]</f>
        <v>-10</v>
      </c>
      <c r="O3862" s="106" t="str">
        <f t="shared" si="121"/>
        <v>Faltando Comprar</v>
      </c>
    </row>
    <row r="3863" spans="1:15" ht="31.5">
      <c r="A3863" s="16" t="s">
        <v>17</v>
      </c>
      <c r="B3863" s="16" t="s">
        <v>18</v>
      </c>
      <c r="C3863" s="17" t="s">
        <v>19</v>
      </c>
      <c r="D3863" s="18" t="s">
        <v>2171</v>
      </c>
      <c r="E3863" s="18">
        <v>200</v>
      </c>
      <c r="F3863" s="18" t="s">
        <v>30</v>
      </c>
      <c r="G3863" s="18" t="s">
        <v>22</v>
      </c>
      <c r="H3863" s="18" t="s">
        <v>23</v>
      </c>
      <c r="I3863" s="19">
        <v>4.37</v>
      </c>
      <c r="J3863" s="20">
        <f t="shared" si="120"/>
        <v>874</v>
      </c>
      <c r="K3863" s="106"/>
      <c r="L3863" s="114"/>
      <c r="M3863" s="114">
        <f>tblAquisições[[#This Row],[VALOR UNITARIO COMPRADO]]*tblAquisições[[#This Row],[QUANTIDADE COMPRADA]]</f>
        <v>0</v>
      </c>
      <c r="N3863" s="110">
        <f>K3863-tblAquisições[[#This Row],[QUANTIDADE PLANEJADA]]</f>
        <v>-200</v>
      </c>
      <c r="O3863" s="106" t="str">
        <f t="shared" si="121"/>
        <v>Faltando Comprar</v>
      </c>
    </row>
    <row r="3864" spans="1:15" ht="31.5">
      <c r="A3864" s="16" t="s">
        <v>17</v>
      </c>
      <c r="B3864" s="16" t="s">
        <v>24</v>
      </c>
      <c r="C3864" s="17" t="s">
        <v>19</v>
      </c>
      <c r="D3864" s="18" t="s">
        <v>2171</v>
      </c>
      <c r="E3864" s="18">
        <v>200</v>
      </c>
      <c r="F3864" s="18" t="s">
        <v>30</v>
      </c>
      <c r="G3864" s="18" t="s">
        <v>22</v>
      </c>
      <c r="H3864" s="18" t="s">
        <v>23</v>
      </c>
      <c r="I3864" s="19">
        <v>4.37</v>
      </c>
      <c r="J3864" s="20">
        <f t="shared" si="120"/>
        <v>874</v>
      </c>
      <c r="K3864" s="106"/>
      <c r="L3864" s="114"/>
      <c r="M3864" s="114">
        <f>tblAquisições[[#This Row],[VALOR UNITARIO COMPRADO]]*tblAquisições[[#This Row],[QUANTIDADE COMPRADA]]</f>
        <v>0</v>
      </c>
      <c r="N3864" s="110">
        <f>K3864-tblAquisições[[#This Row],[QUANTIDADE PLANEJADA]]</f>
        <v>-200</v>
      </c>
      <c r="O3864" s="106" t="str">
        <f t="shared" si="121"/>
        <v>Faltando Comprar</v>
      </c>
    </row>
    <row r="3865" spans="1:15" ht="31.5">
      <c r="A3865" s="16" t="s">
        <v>17</v>
      </c>
      <c r="B3865" s="16" t="s">
        <v>25</v>
      </c>
      <c r="C3865" s="17" t="s">
        <v>19</v>
      </c>
      <c r="D3865" s="18" t="s">
        <v>2171</v>
      </c>
      <c r="E3865" s="18">
        <v>200</v>
      </c>
      <c r="F3865" s="18" t="s">
        <v>30</v>
      </c>
      <c r="G3865" s="18" t="s">
        <v>22</v>
      </c>
      <c r="H3865" s="18" t="s">
        <v>23</v>
      </c>
      <c r="I3865" s="19">
        <v>4.37</v>
      </c>
      <c r="J3865" s="20">
        <f t="shared" si="120"/>
        <v>874</v>
      </c>
      <c r="K3865" s="106"/>
      <c r="L3865" s="114"/>
      <c r="M3865" s="114">
        <f>tblAquisições[[#This Row],[VALOR UNITARIO COMPRADO]]*tblAquisições[[#This Row],[QUANTIDADE COMPRADA]]</f>
        <v>0</v>
      </c>
      <c r="N3865" s="110">
        <f>K3865-tblAquisições[[#This Row],[QUANTIDADE PLANEJADA]]</f>
        <v>-200</v>
      </c>
      <c r="O3865" s="106" t="str">
        <f t="shared" si="121"/>
        <v>Faltando Comprar</v>
      </c>
    </row>
    <row r="3866" spans="1:15" ht="31.5">
      <c r="A3866" s="16" t="s">
        <v>17</v>
      </c>
      <c r="B3866" s="16" t="s">
        <v>18</v>
      </c>
      <c r="C3866" s="17" t="s">
        <v>19</v>
      </c>
      <c r="D3866" s="18" t="s">
        <v>2172</v>
      </c>
      <c r="E3866" s="18">
        <v>10</v>
      </c>
      <c r="F3866" s="18" t="s">
        <v>30</v>
      </c>
      <c r="G3866" s="18" t="s">
        <v>22</v>
      </c>
      <c r="H3866" s="18" t="s">
        <v>23</v>
      </c>
      <c r="I3866" s="19">
        <v>190</v>
      </c>
      <c r="J3866" s="20">
        <f t="shared" si="120"/>
        <v>1900</v>
      </c>
      <c r="K3866" s="106"/>
      <c r="L3866" s="114"/>
      <c r="M3866" s="114">
        <f>tblAquisições[[#This Row],[VALOR UNITARIO COMPRADO]]*tblAquisições[[#This Row],[QUANTIDADE COMPRADA]]</f>
        <v>0</v>
      </c>
      <c r="N3866" s="110">
        <f>K3866-tblAquisições[[#This Row],[QUANTIDADE PLANEJADA]]</f>
        <v>-10</v>
      </c>
      <c r="O3866" s="106" t="str">
        <f t="shared" si="121"/>
        <v>Faltando Comprar</v>
      </c>
    </row>
    <row r="3867" spans="1:15" ht="31.5">
      <c r="A3867" s="16" t="s">
        <v>17</v>
      </c>
      <c r="B3867" s="16" t="s">
        <v>24</v>
      </c>
      <c r="C3867" s="17" t="s">
        <v>19</v>
      </c>
      <c r="D3867" s="18" t="s">
        <v>2172</v>
      </c>
      <c r="E3867" s="18">
        <v>10</v>
      </c>
      <c r="F3867" s="18" t="s">
        <v>30</v>
      </c>
      <c r="G3867" s="18" t="s">
        <v>22</v>
      </c>
      <c r="H3867" s="18" t="s">
        <v>23</v>
      </c>
      <c r="I3867" s="19">
        <v>190</v>
      </c>
      <c r="J3867" s="20">
        <f t="shared" si="120"/>
        <v>1900</v>
      </c>
      <c r="K3867" s="106"/>
      <c r="L3867" s="114"/>
      <c r="M3867" s="114">
        <f>tblAquisições[[#This Row],[VALOR UNITARIO COMPRADO]]*tblAquisições[[#This Row],[QUANTIDADE COMPRADA]]</f>
        <v>0</v>
      </c>
      <c r="N3867" s="110">
        <f>K3867-tblAquisições[[#This Row],[QUANTIDADE PLANEJADA]]</f>
        <v>-10</v>
      </c>
      <c r="O3867" s="106" t="str">
        <f t="shared" si="121"/>
        <v>Faltando Comprar</v>
      </c>
    </row>
    <row r="3868" spans="1:15" ht="31.5">
      <c r="A3868" s="16" t="s">
        <v>17</v>
      </c>
      <c r="B3868" s="16" t="s">
        <v>25</v>
      </c>
      <c r="C3868" s="17" t="s">
        <v>19</v>
      </c>
      <c r="D3868" s="18" t="s">
        <v>2172</v>
      </c>
      <c r="E3868" s="18">
        <v>10</v>
      </c>
      <c r="F3868" s="18" t="s">
        <v>30</v>
      </c>
      <c r="G3868" s="18" t="s">
        <v>22</v>
      </c>
      <c r="H3868" s="18" t="s">
        <v>23</v>
      </c>
      <c r="I3868" s="19">
        <v>190</v>
      </c>
      <c r="J3868" s="20">
        <f t="shared" si="120"/>
        <v>1900</v>
      </c>
      <c r="K3868" s="106"/>
      <c r="L3868" s="114"/>
      <c r="M3868" s="114">
        <f>tblAquisições[[#This Row],[VALOR UNITARIO COMPRADO]]*tblAquisições[[#This Row],[QUANTIDADE COMPRADA]]</f>
        <v>0</v>
      </c>
      <c r="N3868" s="110">
        <f>K3868-tblAquisições[[#This Row],[QUANTIDADE PLANEJADA]]</f>
        <v>-10</v>
      </c>
      <c r="O3868" s="106" t="str">
        <f t="shared" si="121"/>
        <v>Faltando Comprar</v>
      </c>
    </row>
    <row r="3869" spans="1:15" ht="31.5">
      <c r="A3869" s="16" t="s">
        <v>17</v>
      </c>
      <c r="B3869" s="16" t="s">
        <v>27</v>
      </c>
      <c r="C3869" s="17" t="s">
        <v>19</v>
      </c>
      <c r="D3869" s="18" t="s">
        <v>2172</v>
      </c>
      <c r="E3869" s="18">
        <v>30</v>
      </c>
      <c r="F3869" s="18" t="s">
        <v>30</v>
      </c>
      <c r="G3869" s="18" t="s">
        <v>22</v>
      </c>
      <c r="H3869" s="18" t="s">
        <v>23</v>
      </c>
      <c r="I3869" s="19">
        <v>190</v>
      </c>
      <c r="J3869" s="20">
        <f t="shared" si="120"/>
        <v>5700</v>
      </c>
      <c r="K3869" s="106"/>
      <c r="L3869" s="114"/>
      <c r="M3869" s="114">
        <f>tblAquisições[[#This Row],[VALOR UNITARIO COMPRADO]]*tblAquisições[[#This Row],[QUANTIDADE COMPRADA]]</f>
        <v>0</v>
      </c>
      <c r="N3869" s="110">
        <f>K3869-tblAquisições[[#This Row],[QUANTIDADE PLANEJADA]]</f>
        <v>-30</v>
      </c>
      <c r="O3869" s="106" t="str">
        <f t="shared" si="121"/>
        <v>Faltando Comprar</v>
      </c>
    </row>
    <row r="3870" spans="1:15" ht="31.5">
      <c r="A3870" s="16" t="s">
        <v>17</v>
      </c>
      <c r="B3870" s="16" t="s">
        <v>26</v>
      </c>
      <c r="C3870" s="17" t="s">
        <v>19</v>
      </c>
      <c r="D3870" s="18" t="s">
        <v>2173</v>
      </c>
      <c r="E3870" s="18">
        <v>20</v>
      </c>
      <c r="F3870" s="18" t="s">
        <v>30</v>
      </c>
      <c r="G3870" s="18" t="s">
        <v>22</v>
      </c>
      <c r="H3870" s="18" t="s">
        <v>23</v>
      </c>
      <c r="I3870" s="19">
        <v>166.4</v>
      </c>
      <c r="J3870" s="20">
        <f t="shared" si="120"/>
        <v>3328</v>
      </c>
      <c r="K3870" s="106"/>
      <c r="L3870" s="114"/>
      <c r="M3870" s="114">
        <f>tblAquisições[[#This Row],[VALOR UNITARIO COMPRADO]]*tblAquisições[[#This Row],[QUANTIDADE COMPRADA]]</f>
        <v>0</v>
      </c>
      <c r="N3870" s="110">
        <f>K3870-tblAquisições[[#This Row],[QUANTIDADE PLANEJADA]]</f>
        <v>-20</v>
      </c>
      <c r="O3870" s="106" t="str">
        <f t="shared" si="121"/>
        <v>Faltando Comprar</v>
      </c>
    </row>
    <row r="3871" spans="1:15" ht="31.5">
      <c r="A3871" s="16" t="s">
        <v>17</v>
      </c>
      <c r="B3871" s="16" t="s">
        <v>26</v>
      </c>
      <c r="C3871" s="17" t="s">
        <v>19</v>
      </c>
      <c r="D3871" s="18" t="s">
        <v>2174</v>
      </c>
      <c r="E3871" s="18">
        <v>30</v>
      </c>
      <c r="F3871" s="18" t="s">
        <v>30</v>
      </c>
      <c r="G3871" s="18" t="s">
        <v>22</v>
      </c>
      <c r="H3871" s="18" t="s">
        <v>23</v>
      </c>
      <c r="I3871" s="19">
        <v>24.59</v>
      </c>
      <c r="J3871" s="20">
        <f t="shared" si="120"/>
        <v>737.7</v>
      </c>
      <c r="K3871" s="106"/>
      <c r="L3871" s="114"/>
      <c r="M3871" s="114">
        <f>tblAquisições[[#This Row],[VALOR UNITARIO COMPRADO]]*tblAquisições[[#This Row],[QUANTIDADE COMPRADA]]</f>
        <v>0</v>
      </c>
      <c r="N3871" s="110">
        <f>K3871-tblAquisições[[#This Row],[QUANTIDADE PLANEJADA]]</f>
        <v>-30</v>
      </c>
      <c r="O3871" s="106" t="str">
        <f t="shared" si="121"/>
        <v>Faltando Comprar</v>
      </c>
    </row>
    <row r="3872" spans="1:15" ht="31.5">
      <c r="A3872" s="16" t="s">
        <v>17</v>
      </c>
      <c r="B3872" s="16" t="s">
        <v>28</v>
      </c>
      <c r="C3872" s="17" t="s">
        <v>19</v>
      </c>
      <c r="D3872" s="18" t="s">
        <v>2175</v>
      </c>
      <c r="E3872" s="18">
        <v>24</v>
      </c>
      <c r="F3872" s="18" t="s">
        <v>21</v>
      </c>
      <c r="G3872" s="18" t="s">
        <v>22</v>
      </c>
      <c r="H3872" s="18" t="s">
        <v>23</v>
      </c>
      <c r="I3872" s="19">
        <v>425</v>
      </c>
      <c r="J3872" s="20">
        <f t="shared" si="120"/>
        <v>10200</v>
      </c>
      <c r="K3872" s="106"/>
      <c r="L3872" s="114"/>
      <c r="M3872" s="114">
        <f>tblAquisições[[#This Row],[VALOR UNITARIO COMPRADO]]*tblAquisições[[#This Row],[QUANTIDADE COMPRADA]]</f>
        <v>0</v>
      </c>
      <c r="N3872" s="110">
        <f>K3872-tblAquisições[[#This Row],[QUANTIDADE PLANEJADA]]</f>
        <v>-24</v>
      </c>
      <c r="O3872" s="106" t="str">
        <f t="shared" si="121"/>
        <v>Faltando Comprar</v>
      </c>
    </row>
    <row r="3873" spans="1:15" ht="31.5">
      <c r="A3873" s="16" t="s">
        <v>17</v>
      </c>
      <c r="B3873" s="16" t="s">
        <v>17</v>
      </c>
      <c r="C3873" s="17" t="s">
        <v>19</v>
      </c>
      <c r="D3873" s="18" t="s">
        <v>2176</v>
      </c>
      <c r="E3873" s="18">
        <v>1000</v>
      </c>
      <c r="F3873" s="18" t="s">
        <v>38</v>
      </c>
      <c r="G3873" s="18" t="s">
        <v>39</v>
      </c>
      <c r="H3873" s="18" t="s">
        <v>23</v>
      </c>
      <c r="I3873" s="19">
        <v>0.69</v>
      </c>
      <c r="J3873" s="20">
        <f t="shared" si="120"/>
        <v>690</v>
      </c>
      <c r="K3873" s="106"/>
      <c r="L3873" s="114"/>
      <c r="M3873" s="114">
        <f>tblAquisições[[#This Row],[VALOR UNITARIO COMPRADO]]*tblAquisições[[#This Row],[QUANTIDADE COMPRADA]]</f>
        <v>0</v>
      </c>
      <c r="N3873" s="110">
        <f>K3873-tblAquisições[[#This Row],[QUANTIDADE PLANEJADA]]</f>
        <v>-1000</v>
      </c>
      <c r="O3873" s="106" t="str">
        <f t="shared" si="121"/>
        <v>Faltando Comprar</v>
      </c>
    </row>
    <row r="3874" spans="1:15" ht="31.5">
      <c r="A3874" s="16" t="s">
        <v>17</v>
      </c>
      <c r="B3874" s="16" t="s">
        <v>34</v>
      </c>
      <c r="C3874" s="17" t="s">
        <v>19</v>
      </c>
      <c r="D3874" s="18" t="s">
        <v>2177</v>
      </c>
      <c r="E3874" s="18">
        <v>20</v>
      </c>
      <c r="F3874" s="18" t="s">
        <v>21</v>
      </c>
      <c r="G3874" s="18" t="s">
        <v>22</v>
      </c>
      <c r="H3874" s="18" t="s">
        <v>23</v>
      </c>
      <c r="I3874" s="19">
        <v>0.69</v>
      </c>
      <c r="J3874" s="20">
        <f t="shared" si="120"/>
        <v>13.799999999999999</v>
      </c>
      <c r="K3874" s="106"/>
      <c r="L3874" s="114"/>
      <c r="M3874" s="114">
        <f>tblAquisições[[#This Row],[VALOR UNITARIO COMPRADO]]*tblAquisições[[#This Row],[QUANTIDADE COMPRADA]]</f>
        <v>0</v>
      </c>
      <c r="N3874" s="110">
        <f>K3874-tblAquisições[[#This Row],[QUANTIDADE PLANEJADA]]</f>
        <v>-20</v>
      </c>
      <c r="O3874" s="106" t="str">
        <f t="shared" si="121"/>
        <v>Faltando Comprar</v>
      </c>
    </row>
    <row r="3875" spans="1:15" ht="31.5">
      <c r="A3875" s="16" t="s">
        <v>17</v>
      </c>
      <c r="B3875" s="16" t="s">
        <v>31</v>
      </c>
      <c r="C3875" s="17" t="s">
        <v>19</v>
      </c>
      <c r="D3875" s="18" t="s">
        <v>2177</v>
      </c>
      <c r="E3875" s="18">
        <v>60</v>
      </c>
      <c r="F3875" s="18" t="s">
        <v>21</v>
      </c>
      <c r="G3875" s="18" t="s">
        <v>22</v>
      </c>
      <c r="H3875" s="18" t="s">
        <v>23</v>
      </c>
      <c r="I3875" s="19">
        <v>0.69</v>
      </c>
      <c r="J3875" s="20">
        <f t="shared" si="120"/>
        <v>41.4</v>
      </c>
      <c r="K3875" s="106"/>
      <c r="L3875" s="114"/>
      <c r="M3875" s="114">
        <f>tblAquisições[[#This Row],[VALOR UNITARIO COMPRADO]]*tblAquisições[[#This Row],[QUANTIDADE COMPRADA]]</f>
        <v>0</v>
      </c>
      <c r="N3875" s="110">
        <f>K3875-tblAquisições[[#This Row],[QUANTIDADE PLANEJADA]]</f>
        <v>-60</v>
      </c>
      <c r="O3875" s="106" t="str">
        <f t="shared" si="121"/>
        <v>Faltando Comprar</v>
      </c>
    </row>
    <row r="3876" spans="1:15" ht="31.5">
      <c r="A3876" s="16" t="s">
        <v>17</v>
      </c>
      <c r="B3876" s="16" t="s">
        <v>28</v>
      </c>
      <c r="C3876" s="17" t="s">
        <v>19</v>
      </c>
      <c r="D3876" s="18" t="s">
        <v>2177</v>
      </c>
      <c r="E3876" s="18">
        <v>1000</v>
      </c>
      <c r="F3876" s="18" t="s">
        <v>21</v>
      </c>
      <c r="G3876" s="18" t="s">
        <v>22</v>
      </c>
      <c r="H3876" s="18" t="s">
        <v>23</v>
      </c>
      <c r="I3876" s="19">
        <v>0.69</v>
      </c>
      <c r="J3876" s="20">
        <f t="shared" si="120"/>
        <v>690</v>
      </c>
      <c r="K3876" s="106"/>
      <c r="L3876" s="114"/>
      <c r="M3876" s="114">
        <f>tblAquisições[[#This Row],[VALOR UNITARIO COMPRADO]]*tblAquisições[[#This Row],[QUANTIDADE COMPRADA]]</f>
        <v>0</v>
      </c>
      <c r="N3876" s="110">
        <f>K3876-tblAquisições[[#This Row],[QUANTIDADE PLANEJADA]]</f>
        <v>-1000</v>
      </c>
      <c r="O3876" s="106" t="str">
        <f t="shared" si="121"/>
        <v>Faltando Comprar</v>
      </c>
    </row>
    <row r="3877" spans="1:15" ht="31.5">
      <c r="A3877" s="16" t="s">
        <v>17</v>
      </c>
      <c r="B3877" s="16" t="s">
        <v>28</v>
      </c>
      <c r="C3877" s="17" t="s">
        <v>19</v>
      </c>
      <c r="D3877" s="18" t="s">
        <v>2178</v>
      </c>
      <c r="E3877" s="18">
        <v>45</v>
      </c>
      <c r="F3877" s="18" t="s">
        <v>21</v>
      </c>
      <c r="G3877" s="18" t="s">
        <v>22</v>
      </c>
      <c r="H3877" s="18" t="s">
        <v>23</v>
      </c>
      <c r="I3877" s="19">
        <v>600.47</v>
      </c>
      <c r="J3877" s="20">
        <f t="shared" si="120"/>
        <v>27021.15</v>
      </c>
      <c r="K3877" s="106"/>
      <c r="L3877" s="114"/>
      <c r="M3877" s="114">
        <f>tblAquisições[[#This Row],[VALOR UNITARIO COMPRADO]]*tblAquisições[[#This Row],[QUANTIDADE COMPRADA]]</f>
        <v>0</v>
      </c>
      <c r="N3877" s="110">
        <f>K3877-tblAquisições[[#This Row],[QUANTIDADE PLANEJADA]]</f>
        <v>-45</v>
      </c>
      <c r="O3877" s="106" t="str">
        <f t="shared" si="121"/>
        <v>Faltando Comprar</v>
      </c>
    </row>
    <row r="3878" spans="1:15" ht="31.5">
      <c r="A3878" s="16" t="s">
        <v>17</v>
      </c>
      <c r="B3878" s="16" t="s">
        <v>18</v>
      </c>
      <c r="C3878" s="17" t="s">
        <v>19</v>
      </c>
      <c r="D3878" s="18" t="s">
        <v>2179</v>
      </c>
      <c r="E3878" s="18">
        <v>8</v>
      </c>
      <c r="F3878" s="18" t="s">
        <v>324</v>
      </c>
      <c r="G3878" s="18" t="s">
        <v>22</v>
      </c>
      <c r="H3878" s="18" t="s">
        <v>23</v>
      </c>
      <c r="I3878" s="19">
        <v>27.01</v>
      </c>
      <c r="J3878" s="20">
        <f t="shared" si="120"/>
        <v>216.08</v>
      </c>
      <c r="K3878" s="106"/>
      <c r="L3878" s="114"/>
      <c r="M3878" s="114">
        <f>tblAquisições[[#This Row],[VALOR UNITARIO COMPRADO]]*tblAquisições[[#This Row],[QUANTIDADE COMPRADA]]</f>
        <v>0</v>
      </c>
      <c r="N3878" s="110">
        <f>K3878-tblAquisições[[#This Row],[QUANTIDADE PLANEJADA]]</f>
        <v>-8</v>
      </c>
      <c r="O3878" s="106" t="str">
        <f t="shared" si="121"/>
        <v>Faltando Comprar</v>
      </c>
    </row>
    <row r="3879" spans="1:15" ht="31.5">
      <c r="A3879" s="16" t="s">
        <v>17</v>
      </c>
      <c r="B3879" s="16" t="s">
        <v>24</v>
      </c>
      <c r="C3879" s="17" t="s">
        <v>19</v>
      </c>
      <c r="D3879" s="18" t="s">
        <v>2179</v>
      </c>
      <c r="E3879" s="18">
        <v>8</v>
      </c>
      <c r="F3879" s="18" t="s">
        <v>324</v>
      </c>
      <c r="G3879" s="18" t="s">
        <v>22</v>
      </c>
      <c r="H3879" s="18" t="s">
        <v>23</v>
      </c>
      <c r="I3879" s="19">
        <v>27.01</v>
      </c>
      <c r="J3879" s="20">
        <f t="shared" si="120"/>
        <v>216.08</v>
      </c>
      <c r="K3879" s="106"/>
      <c r="L3879" s="114"/>
      <c r="M3879" s="114">
        <f>tblAquisições[[#This Row],[VALOR UNITARIO COMPRADO]]*tblAquisições[[#This Row],[QUANTIDADE COMPRADA]]</f>
        <v>0</v>
      </c>
      <c r="N3879" s="110">
        <f>K3879-tblAquisições[[#This Row],[QUANTIDADE PLANEJADA]]</f>
        <v>-8</v>
      </c>
      <c r="O3879" s="106" t="str">
        <f t="shared" si="121"/>
        <v>Faltando Comprar</v>
      </c>
    </row>
    <row r="3880" spans="1:15" ht="31.5">
      <c r="A3880" s="16" t="s">
        <v>17</v>
      </c>
      <c r="B3880" s="16" t="s">
        <v>25</v>
      </c>
      <c r="C3880" s="17" t="s">
        <v>19</v>
      </c>
      <c r="D3880" s="18" t="s">
        <v>2179</v>
      </c>
      <c r="E3880" s="18">
        <v>8</v>
      </c>
      <c r="F3880" s="18" t="s">
        <v>324</v>
      </c>
      <c r="G3880" s="18" t="s">
        <v>22</v>
      </c>
      <c r="H3880" s="18" t="s">
        <v>23</v>
      </c>
      <c r="I3880" s="19">
        <v>27.01</v>
      </c>
      <c r="J3880" s="20">
        <f t="shared" si="120"/>
        <v>216.08</v>
      </c>
      <c r="K3880" s="106"/>
      <c r="L3880" s="114"/>
      <c r="M3880" s="114">
        <f>tblAquisições[[#This Row],[VALOR UNITARIO COMPRADO]]*tblAquisições[[#This Row],[QUANTIDADE COMPRADA]]</f>
        <v>0</v>
      </c>
      <c r="N3880" s="110">
        <f>K3880-tblAquisições[[#This Row],[QUANTIDADE PLANEJADA]]</f>
        <v>-8</v>
      </c>
      <c r="O3880" s="106" t="str">
        <f t="shared" si="121"/>
        <v>Faltando Comprar</v>
      </c>
    </row>
    <row r="3881" spans="1:15" ht="31.5">
      <c r="A3881" s="16" t="s">
        <v>17</v>
      </c>
      <c r="B3881" s="16" t="s">
        <v>28</v>
      </c>
      <c r="C3881" s="17" t="s">
        <v>19</v>
      </c>
      <c r="D3881" s="18" t="s">
        <v>2179</v>
      </c>
      <c r="E3881" s="18">
        <v>5</v>
      </c>
      <c r="F3881" s="18" t="s">
        <v>324</v>
      </c>
      <c r="G3881" s="18" t="s">
        <v>22</v>
      </c>
      <c r="H3881" s="18" t="s">
        <v>23</v>
      </c>
      <c r="I3881" s="19">
        <v>27.01</v>
      </c>
      <c r="J3881" s="20">
        <f t="shared" si="120"/>
        <v>135.05000000000001</v>
      </c>
      <c r="K3881" s="106"/>
      <c r="L3881" s="114"/>
      <c r="M3881" s="114">
        <f>tblAquisições[[#This Row],[VALOR UNITARIO COMPRADO]]*tblAquisições[[#This Row],[QUANTIDADE COMPRADA]]</f>
        <v>0</v>
      </c>
      <c r="N3881" s="110">
        <f>K3881-tblAquisições[[#This Row],[QUANTIDADE PLANEJADA]]</f>
        <v>-5</v>
      </c>
      <c r="O3881" s="106" t="str">
        <f t="shared" si="121"/>
        <v>Faltando Comprar</v>
      </c>
    </row>
    <row r="3882" spans="1:15" ht="31.5">
      <c r="A3882" s="16" t="s">
        <v>17</v>
      </c>
      <c r="B3882" s="16" t="s">
        <v>28</v>
      </c>
      <c r="C3882" s="17" t="s">
        <v>19</v>
      </c>
      <c r="D3882" s="18" t="s">
        <v>2180</v>
      </c>
      <c r="E3882" s="18">
        <v>10</v>
      </c>
      <c r="F3882" s="18" t="s">
        <v>328</v>
      </c>
      <c r="G3882" s="18" t="s">
        <v>22</v>
      </c>
      <c r="H3882" s="18" t="s">
        <v>23</v>
      </c>
      <c r="I3882" s="19">
        <v>151.97999999999999</v>
      </c>
      <c r="J3882" s="20">
        <f t="shared" si="120"/>
        <v>1519.8</v>
      </c>
      <c r="K3882" s="106"/>
      <c r="L3882" s="114"/>
      <c r="M3882" s="114">
        <f>tblAquisições[[#This Row],[VALOR UNITARIO COMPRADO]]*tblAquisições[[#This Row],[QUANTIDADE COMPRADA]]</f>
        <v>0</v>
      </c>
      <c r="N3882" s="110">
        <f>K3882-tblAquisições[[#This Row],[QUANTIDADE PLANEJADA]]</f>
        <v>-10</v>
      </c>
      <c r="O3882" s="106" t="str">
        <f t="shared" si="121"/>
        <v>Faltando Comprar</v>
      </c>
    </row>
    <row r="3883" spans="1:15" ht="31.5">
      <c r="A3883" s="16" t="s">
        <v>17</v>
      </c>
      <c r="B3883" s="16" t="s">
        <v>26</v>
      </c>
      <c r="C3883" s="17" t="s">
        <v>19</v>
      </c>
      <c r="D3883" s="18" t="s">
        <v>2181</v>
      </c>
      <c r="E3883" s="18">
        <v>15</v>
      </c>
      <c r="F3883" s="18" t="s">
        <v>30</v>
      </c>
      <c r="G3883" s="18" t="s">
        <v>22</v>
      </c>
      <c r="H3883" s="18" t="s">
        <v>23</v>
      </c>
      <c r="I3883" s="19">
        <v>56.9</v>
      </c>
      <c r="J3883" s="20">
        <f t="shared" si="120"/>
        <v>853.5</v>
      </c>
      <c r="K3883" s="106"/>
      <c r="L3883" s="114"/>
      <c r="M3883" s="114">
        <f>tblAquisições[[#This Row],[VALOR UNITARIO COMPRADO]]*tblAquisições[[#This Row],[QUANTIDADE COMPRADA]]</f>
        <v>0</v>
      </c>
      <c r="N3883" s="110">
        <f>K3883-tblAquisições[[#This Row],[QUANTIDADE PLANEJADA]]</f>
        <v>-15</v>
      </c>
      <c r="O3883" s="106" t="str">
        <f t="shared" si="121"/>
        <v>Faltando Comprar</v>
      </c>
    </row>
    <row r="3884" spans="1:15" ht="31.5">
      <c r="A3884" s="16" t="s">
        <v>17</v>
      </c>
      <c r="B3884" s="16" t="s">
        <v>80</v>
      </c>
      <c r="C3884" s="17" t="s">
        <v>19</v>
      </c>
      <c r="D3884" s="18" t="s">
        <v>2182</v>
      </c>
      <c r="E3884" s="18">
        <v>10</v>
      </c>
      <c r="F3884" s="18" t="s">
        <v>38</v>
      </c>
      <c r="G3884" s="18" t="s">
        <v>39</v>
      </c>
      <c r="H3884" s="18" t="s">
        <v>23</v>
      </c>
      <c r="I3884" s="19">
        <v>12.81</v>
      </c>
      <c r="J3884" s="20">
        <f t="shared" si="120"/>
        <v>128.1</v>
      </c>
      <c r="K3884" s="106"/>
      <c r="L3884" s="114"/>
      <c r="M3884" s="114">
        <f>tblAquisições[[#This Row],[VALOR UNITARIO COMPRADO]]*tblAquisições[[#This Row],[QUANTIDADE COMPRADA]]</f>
        <v>0</v>
      </c>
      <c r="N3884" s="110">
        <f>K3884-tblAquisições[[#This Row],[QUANTIDADE PLANEJADA]]</f>
        <v>-10</v>
      </c>
      <c r="O3884" s="106" t="str">
        <f t="shared" si="121"/>
        <v>Faltando Comprar</v>
      </c>
    </row>
    <row r="3885" spans="1:15" ht="31.5">
      <c r="A3885" s="16" t="s">
        <v>17</v>
      </c>
      <c r="B3885" s="16" t="s">
        <v>28</v>
      </c>
      <c r="C3885" s="17" t="s">
        <v>19</v>
      </c>
      <c r="D3885" s="18" t="s">
        <v>2183</v>
      </c>
      <c r="E3885" s="18">
        <v>30</v>
      </c>
      <c r="F3885" s="18" t="s">
        <v>21</v>
      </c>
      <c r="G3885" s="18" t="s">
        <v>22</v>
      </c>
      <c r="H3885" s="18" t="s">
        <v>23</v>
      </c>
      <c r="I3885" s="19">
        <v>12.81</v>
      </c>
      <c r="J3885" s="20">
        <f t="shared" si="120"/>
        <v>384.3</v>
      </c>
      <c r="K3885" s="106"/>
      <c r="L3885" s="114"/>
      <c r="M3885" s="114">
        <f>tblAquisições[[#This Row],[VALOR UNITARIO COMPRADO]]*tblAquisições[[#This Row],[QUANTIDADE COMPRADA]]</f>
        <v>0</v>
      </c>
      <c r="N3885" s="110">
        <f>K3885-tblAquisições[[#This Row],[QUANTIDADE PLANEJADA]]</f>
        <v>-30</v>
      </c>
      <c r="O3885" s="106" t="str">
        <f t="shared" si="121"/>
        <v>Faltando Comprar</v>
      </c>
    </row>
    <row r="3886" spans="1:15" ht="31.5">
      <c r="A3886" s="16" t="s">
        <v>17</v>
      </c>
      <c r="B3886" s="16" t="s">
        <v>80</v>
      </c>
      <c r="C3886" s="17" t="s">
        <v>19</v>
      </c>
      <c r="D3886" s="18" t="s">
        <v>2184</v>
      </c>
      <c r="E3886" s="18">
        <v>4</v>
      </c>
      <c r="F3886" s="18" t="s">
        <v>38</v>
      </c>
      <c r="G3886" s="18" t="s">
        <v>39</v>
      </c>
      <c r="H3886" s="18" t="s">
        <v>23</v>
      </c>
      <c r="I3886" s="19">
        <v>22.48</v>
      </c>
      <c r="J3886" s="20">
        <f t="shared" si="120"/>
        <v>89.92</v>
      </c>
      <c r="K3886" s="106"/>
      <c r="L3886" s="114"/>
      <c r="M3886" s="114">
        <f>tblAquisições[[#This Row],[VALOR UNITARIO COMPRADO]]*tblAquisições[[#This Row],[QUANTIDADE COMPRADA]]</f>
        <v>0</v>
      </c>
      <c r="N3886" s="110">
        <f>K3886-tblAquisições[[#This Row],[QUANTIDADE PLANEJADA]]</f>
        <v>-4</v>
      </c>
      <c r="O3886" s="106" t="str">
        <f t="shared" si="121"/>
        <v>Faltando Comprar</v>
      </c>
    </row>
    <row r="3887" spans="1:15" ht="31.5">
      <c r="A3887" s="16" t="s">
        <v>17</v>
      </c>
      <c r="B3887" s="16" t="s">
        <v>28</v>
      </c>
      <c r="C3887" s="17" t="s">
        <v>19</v>
      </c>
      <c r="D3887" s="18" t="s">
        <v>2185</v>
      </c>
      <c r="E3887" s="18">
        <v>60</v>
      </c>
      <c r="F3887" s="18" t="s">
        <v>21</v>
      </c>
      <c r="G3887" s="18" t="s">
        <v>22</v>
      </c>
      <c r="H3887" s="18" t="s">
        <v>23</v>
      </c>
      <c r="I3887" s="19">
        <v>22.48</v>
      </c>
      <c r="J3887" s="20">
        <f t="shared" si="120"/>
        <v>1348.8</v>
      </c>
      <c r="K3887" s="106"/>
      <c r="L3887" s="114"/>
      <c r="M3887" s="114">
        <f>tblAquisições[[#This Row],[VALOR UNITARIO COMPRADO]]*tblAquisições[[#This Row],[QUANTIDADE COMPRADA]]</f>
        <v>0</v>
      </c>
      <c r="N3887" s="110">
        <f>K3887-tblAquisições[[#This Row],[QUANTIDADE PLANEJADA]]</f>
        <v>-60</v>
      </c>
      <c r="O3887" s="106" t="str">
        <f t="shared" si="121"/>
        <v>Faltando Comprar</v>
      </c>
    </row>
    <row r="3888" spans="1:15" ht="47.25">
      <c r="A3888" s="16" t="s">
        <v>17</v>
      </c>
      <c r="B3888" s="16" t="s">
        <v>31</v>
      </c>
      <c r="C3888" s="17" t="s">
        <v>19</v>
      </c>
      <c r="D3888" s="18" t="s">
        <v>2186</v>
      </c>
      <c r="E3888" s="18">
        <v>500</v>
      </c>
      <c r="F3888" s="18" t="s">
        <v>78</v>
      </c>
      <c r="G3888" s="18" t="s">
        <v>22</v>
      </c>
      <c r="H3888" s="18" t="s">
        <v>23</v>
      </c>
      <c r="I3888" s="19">
        <v>9.83</v>
      </c>
      <c r="J3888" s="20">
        <f t="shared" si="120"/>
        <v>4915</v>
      </c>
      <c r="K3888" s="106"/>
      <c r="L3888" s="114"/>
      <c r="M3888" s="114">
        <f>tblAquisições[[#This Row],[VALOR UNITARIO COMPRADO]]*tblAquisições[[#This Row],[QUANTIDADE COMPRADA]]</f>
        <v>0</v>
      </c>
      <c r="N3888" s="110">
        <f>K3888-tblAquisições[[#This Row],[QUANTIDADE PLANEJADA]]</f>
        <v>-500</v>
      </c>
      <c r="O3888" s="106" t="str">
        <f t="shared" si="121"/>
        <v>Faltando Comprar</v>
      </c>
    </row>
    <row r="3889" spans="1:15" ht="47.25">
      <c r="A3889" s="16" t="s">
        <v>17</v>
      </c>
      <c r="B3889" s="16" t="s">
        <v>28</v>
      </c>
      <c r="C3889" s="17" t="s">
        <v>19</v>
      </c>
      <c r="D3889" s="18" t="s">
        <v>2186</v>
      </c>
      <c r="E3889" s="18">
        <v>30</v>
      </c>
      <c r="F3889" s="18" t="s">
        <v>78</v>
      </c>
      <c r="G3889" s="18" t="s">
        <v>22</v>
      </c>
      <c r="H3889" s="18" t="s">
        <v>53</v>
      </c>
      <c r="I3889" s="19">
        <v>9.83</v>
      </c>
      <c r="J3889" s="20">
        <f t="shared" si="120"/>
        <v>294.89999999999998</v>
      </c>
      <c r="K3889" s="106"/>
      <c r="L3889" s="114"/>
      <c r="M3889" s="114">
        <f>tblAquisições[[#This Row],[VALOR UNITARIO COMPRADO]]*tblAquisições[[#This Row],[QUANTIDADE COMPRADA]]</f>
        <v>0</v>
      </c>
      <c r="N3889" s="110">
        <f>K3889-tblAquisições[[#This Row],[QUANTIDADE PLANEJADA]]</f>
        <v>-30</v>
      </c>
      <c r="O3889" s="106" t="str">
        <f t="shared" si="121"/>
        <v>Faltando Comprar</v>
      </c>
    </row>
    <row r="3890" spans="1:15" ht="31.5">
      <c r="A3890" s="16" t="s">
        <v>17</v>
      </c>
      <c r="B3890" s="16" t="s">
        <v>18</v>
      </c>
      <c r="C3890" s="17" t="s">
        <v>19</v>
      </c>
      <c r="D3890" s="18" t="s">
        <v>2187</v>
      </c>
      <c r="E3890" s="18">
        <v>200</v>
      </c>
      <c r="F3890" s="18" t="s">
        <v>30</v>
      </c>
      <c r="G3890" s="18" t="s">
        <v>22</v>
      </c>
      <c r="H3890" s="18" t="s">
        <v>83</v>
      </c>
      <c r="I3890" s="19">
        <v>36.25</v>
      </c>
      <c r="J3890" s="20">
        <f t="shared" si="120"/>
        <v>7250</v>
      </c>
      <c r="K3890" s="106"/>
      <c r="L3890" s="114"/>
      <c r="M3890" s="114">
        <f>tblAquisições[[#This Row],[VALOR UNITARIO COMPRADO]]*tblAquisições[[#This Row],[QUANTIDADE COMPRADA]]</f>
        <v>0</v>
      </c>
      <c r="N3890" s="110">
        <f>K3890-tblAquisições[[#This Row],[QUANTIDADE PLANEJADA]]</f>
        <v>-200</v>
      </c>
      <c r="O3890" s="106" t="str">
        <f t="shared" si="121"/>
        <v>Faltando Comprar</v>
      </c>
    </row>
    <row r="3891" spans="1:15" ht="31.5">
      <c r="A3891" s="16" t="s">
        <v>17</v>
      </c>
      <c r="B3891" s="16" t="s">
        <v>24</v>
      </c>
      <c r="C3891" s="17" t="s">
        <v>19</v>
      </c>
      <c r="D3891" s="18" t="s">
        <v>2187</v>
      </c>
      <c r="E3891" s="18">
        <v>200</v>
      </c>
      <c r="F3891" s="18" t="s">
        <v>30</v>
      </c>
      <c r="G3891" s="18" t="s">
        <v>22</v>
      </c>
      <c r="H3891" s="18" t="s">
        <v>83</v>
      </c>
      <c r="I3891" s="19">
        <v>36.25</v>
      </c>
      <c r="J3891" s="20">
        <f t="shared" si="120"/>
        <v>7250</v>
      </c>
      <c r="K3891" s="106"/>
      <c r="L3891" s="114"/>
      <c r="M3891" s="114">
        <f>tblAquisições[[#This Row],[VALOR UNITARIO COMPRADO]]*tblAquisições[[#This Row],[QUANTIDADE COMPRADA]]</f>
        <v>0</v>
      </c>
      <c r="N3891" s="110">
        <f>K3891-tblAquisições[[#This Row],[QUANTIDADE PLANEJADA]]</f>
        <v>-200</v>
      </c>
      <c r="O3891" s="106" t="str">
        <f t="shared" si="121"/>
        <v>Faltando Comprar</v>
      </c>
    </row>
    <row r="3892" spans="1:15" ht="31.5">
      <c r="A3892" s="16" t="s">
        <v>17</v>
      </c>
      <c r="B3892" s="16" t="s">
        <v>25</v>
      </c>
      <c r="C3892" s="17" t="s">
        <v>19</v>
      </c>
      <c r="D3892" s="18" t="s">
        <v>2187</v>
      </c>
      <c r="E3892" s="18">
        <v>200</v>
      </c>
      <c r="F3892" s="18" t="s">
        <v>30</v>
      </c>
      <c r="G3892" s="18" t="s">
        <v>22</v>
      </c>
      <c r="H3892" s="18" t="s">
        <v>83</v>
      </c>
      <c r="I3892" s="19">
        <v>36.25</v>
      </c>
      <c r="J3892" s="20">
        <f t="shared" si="120"/>
        <v>7250</v>
      </c>
      <c r="K3892" s="106"/>
      <c r="L3892" s="114"/>
      <c r="M3892" s="114">
        <f>tblAquisições[[#This Row],[VALOR UNITARIO COMPRADO]]*tblAquisições[[#This Row],[QUANTIDADE COMPRADA]]</f>
        <v>0</v>
      </c>
      <c r="N3892" s="110">
        <f>K3892-tblAquisições[[#This Row],[QUANTIDADE PLANEJADA]]</f>
        <v>-200</v>
      </c>
      <c r="O3892" s="106" t="str">
        <f t="shared" si="121"/>
        <v>Faltando Comprar</v>
      </c>
    </row>
    <row r="3893" spans="1:15" ht="31.5">
      <c r="A3893" s="16" t="s">
        <v>17</v>
      </c>
      <c r="B3893" s="16" t="s">
        <v>34</v>
      </c>
      <c r="C3893" s="17" t="s">
        <v>19</v>
      </c>
      <c r="D3893" s="18" t="s">
        <v>2188</v>
      </c>
      <c r="E3893" s="18">
        <v>12</v>
      </c>
      <c r="F3893" s="18" t="s">
        <v>324</v>
      </c>
      <c r="G3893" s="18" t="s">
        <v>22</v>
      </c>
      <c r="H3893" s="18" t="s">
        <v>23</v>
      </c>
      <c r="I3893" s="19">
        <v>49.93</v>
      </c>
      <c r="J3893" s="20">
        <f t="shared" si="120"/>
        <v>599.16</v>
      </c>
      <c r="K3893" s="106"/>
      <c r="L3893" s="114"/>
      <c r="M3893" s="114">
        <f>tblAquisições[[#This Row],[VALOR UNITARIO COMPRADO]]*tblAquisições[[#This Row],[QUANTIDADE COMPRADA]]</f>
        <v>0</v>
      </c>
      <c r="N3893" s="110">
        <f>K3893-tblAquisições[[#This Row],[QUANTIDADE PLANEJADA]]</f>
        <v>-12</v>
      </c>
      <c r="O3893" s="106" t="str">
        <f t="shared" si="121"/>
        <v>Faltando Comprar</v>
      </c>
    </row>
    <row r="3894" spans="1:15" ht="31.5">
      <c r="A3894" s="16" t="s">
        <v>17</v>
      </c>
      <c r="B3894" s="16" t="s">
        <v>28</v>
      </c>
      <c r="C3894" s="17" t="s">
        <v>19</v>
      </c>
      <c r="D3894" s="18" t="s">
        <v>2189</v>
      </c>
      <c r="E3894" s="18">
        <v>70</v>
      </c>
      <c r="F3894" s="18" t="s">
        <v>21</v>
      </c>
      <c r="G3894" s="18" t="s">
        <v>22</v>
      </c>
      <c r="H3894" s="18" t="s">
        <v>23</v>
      </c>
      <c r="I3894" s="19">
        <v>340.62</v>
      </c>
      <c r="J3894" s="20">
        <f t="shared" si="120"/>
        <v>23843.4</v>
      </c>
      <c r="K3894" s="106"/>
      <c r="L3894" s="114"/>
      <c r="M3894" s="114">
        <f>tblAquisições[[#This Row],[VALOR UNITARIO COMPRADO]]*tblAquisições[[#This Row],[QUANTIDADE COMPRADA]]</f>
        <v>0</v>
      </c>
      <c r="N3894" s="110">
        <f>K3894-tblAquisições[[#This Row],[QUANTIDADE PLANEJADA]]</f>
        <v>-70</v>
      </c>
      <c r="O3894" s="106" t="str">
        <f t="shared" si="121"/>
        <v>Faltando Comprar</v>
      </c>
    </row>
    <row r="3895" spans="1:15" ht="31.5">
      <c r="A3895" s="16" t="s">
        <v>17</v>
      </c>
      <c r="B3895" s="16" t="s">
        <v>34</v>
      </c>
      <c r="C3895" s="17" t="s">
        <v>19</v>
      </c>
      <c r="D3895" s="18" t="s">
        <v>2190</v>
      </c>
      <c r="E3895" s="18">
        <v>20</v>
      </c>
      <c r="F3895" s="18" t="s">
        <v>21</v>
      </c>
      <c r="G3895" s="18" t="s">
        <v>22</v>
      </c>
      <c r="H3895" s="18" t="s">
        <v>23</v>
      </c>
      <c r="I3895" s="19">
        <v>2.4300000000000002</v>
      </c>
      <c r="J3895" s="20">
        <f t="shared" si="120"/>
        <v>48.6</v>
      </c>
      <c r="K3895" s="106"/>
      <c r="L3895" s="114"/>
      <c r="M3895" s="114">
        <f>tblAquisições[[#This Row],[VALOR UNITARIO COMPRADO]]*tblAquisições[[#This Row],[QUANTIDADE COMPRADA]]</f>
        <v>0</v>
      </c>
      <c r="N3895" s="110">
        <f>K3895-tblAquisições[[#This Row],[QUANTIDADE PLANEJADA]]</f>
        <v>-20</v>
      </c>
      <c r="O3895" s="106" t="str">
        <f t="shared" si="121"/>
        <v>Faltando Comprar</v>
      </c>
    </row>
    <row r="3896" spans="1:15" ht="31.5">
      <c r="A3896" s="16" t="s">
        <v>17</v>
      </c>
      <c r="B3896" s="16" t="s">
        <v>31</v>
      </c>
      <c r="C3896" s="17" t="s">
        <v>19</v>
      </c>
      <c r="D3896" s="18" t="s">
        <v>2190</v>
      </c>
      <c r="E3896" s="18">
        <v>150</v>
      </c>
      <c r="F3896" s="18" t="s">
        <v>21</v>
      </c>
      <c r="G3896" s="18" t="s">
        <v>22</v>
      </c>
      <c r="H3896" s="18" t="s">
        <v>23</v>
      </c>
      <c r="I3896" s="19">
        <v>2.4300000000000002</v>
      </c>
      <c r="J3896" s="20">
        <f t="shared" si="120"/>
        <v>364.5</v>
      </c>
      <c r="K3896" s="106"/>
      <c r="L3896" s="114"/>
      <c r="M3896" s="114">
        <f>tblAquisições[[#This Row],[VALOR UNITARIO COMPRADO]]*tblAquisições[[#This Row],[QUANTIDADE COMPRADA]]</f>
        <v>0</v>
      </c>
      <c r="N3896" s="110">
        <f>K3896-tblAquisições[[#This Row],[QUANTIDADE PLANEJADA]]</f>
        <v>-150</v>
      </c>
      <c r="O3896" s="106" t="str">
        <f t="shared" si="121"/>
        <v>Faltando Comprar</v>
      </c>
    </row>
    <row r="3897" spans="1:15" ht="31.5">
      <c r="A3897" s="16" t="s">
        <v>17</v>
      </c>
      <c r="B3897" s="16" t="s">
        <v>28</v>
      </c>
      <c r="C3897" s="17" t="s">
        <v>19</v>
      </c>
      <c r="D3897" s="18" t="s">
        <v>2190</v>
      </c>
      <c r="E3897" s="18">
        <v>24</v>
      </c>
      <c r="F3897" s="18" t="s">
        <v>21</v>
      </c>
      <c r="G3897" s="18" t="s">
        <v>22</v>
      </c>
      <c r="H3897" s="18" t="s">
        <v>23</v>
      </c>
      <c r="I3897" s="19">
        <v>2.4300000000000002</v>
      </c>
      <c r="J3897" s="20">
        <f t="shared" si="120"/>
        <v>58.320000000000007</v>
      </c>
      <c r="K3897" s="106"/>
      <c r="L3897" s="114"/>
      <c r="M3897" s="114">
        <f>tblAquisições[[#This Row],[VALOR UNITARIO COMPRADO]]*tblAquisições[[#This Row],[QUANTIDADE COMPRADA]]</f>
        <v>0</v>
      </c>
      <c r="N3897" s="110">
        <f>K3897-tblAquisições[[#This Row],[QUANTIDADE PLANEJADA]]</f>
        <v>-24</v>
      </c>
      <c r="O3897" s="106" t="str">
        <f t="shared" si="121"/>
        <v>Faltando Comprar</v>
      </c>
    </row>
    <row r="3898" spans="1:15" ht="47.25">
      <c r="A3898" s="16" t="s">
        <v>17</v>
      </c>
      <c r="B3898" s="16" t="s">
        <v>59</v>
      </c>
      <c r="C3898" s="17" t="s">
        <v>19</v>
      </c>
      <c r="D3898" s="18" t="s">
        <v>2191</v>
      </c>
      <c r="E3898" s="18">
        <v>6</v>
      </c>
      <c r="F3898" s="18" t="s">
        <v>58</v>
      </c>
      <c r="G3898" s="18" t="s">
        <v>22</v>
      </c>
      <c r="H3898" s="18" t="s">
        <v>23</v>
      </c>
      <c r="I3898" s="19">
        <v>50.28</v>
      </c>
      <c r="J3898" s="20">
        <f t="shared" si="120"/>
        <v>301.68</v>
      </c>
      <c r="K3898" s="106"/>
      <c r="L3898" s="114"/>
      <c r="M3898" s="114">
        <f>tblAquisições[[#This Row],[VALOR UNITARIO COMPRADO]]*tblAquisições[[#This Row],[QUANTIDADE COMPRADA]]</f>
        <v>0</v>
      </c>
      <c r="N3898" s="110">
        <f>K3898-tblAquisições[[#This Row],[QUANTIDADE PLANEJADA]]</f>
        <v>-6</v>
      </c>
      <c r="O3898" s="106" t="str">
        <f t="shared" si="121"/>
        <v>Faltando Comprar</v>
      </c>
    </row>
    <row r="3899" spans="1:15" ht="31.5">
      <c r="A3899" s="16" t="s">
        <v>17</v>
      </c>
      <c r="B3899" s="16" t="s">
        <v>41</v>
      </c>
      <c r="C3899" s="17" t="s">
        <v>19</v>
      </c>
      <c r="D3899" s="18" t="s">
        <v>2192</v>
      </c>
      <c r="E3899" s="18">
        <v>50</v>
      </c>
      <c r="F3899" s="18" t="s">
        <v>324</v>
      </c>
      <c r="G3899" s="18" t="s">
        <v>22</v>
      </c>
      <c r="H3899" s="18" t="s">
        <v>23</v>
      </c>
      <c r="I3899" s="19">
        <v>15.22</v>
      </c>
      <c r="J3899" s="20">
        <f t="shared" si="120"/>
        <v>761</v>
      </c>
      <c r="K3899" s="106"/>
      <c r="L3899" s="114"/>
      <c r="M3899" s="114">
        <f>tblAquisições[[#This Row],[VALOR UNITARIO COMPRADO]]*tblAquisições[[#This Row],[QUANTIDADE COMPRADA]]</f>
        <v>0</v>
      </c>
      <c r="N3899" s="110">
        <f>K3899-tblAquisições[[#This Row],[QUANTIDADE PLANEJADA]]</f>
        <v>-50</v>
      </c>
      <c r="O3899" s="106" t="str">
        <f t="shared" si="121"/>
        <v>Faltando Comprar</v>
      </c>
    </row>
    <row r="3900" spans="1:15" ht="31.5">
      <c r="A3900" s="16" t="s">
        <v>17</v>
      </c>
      <c r="B3900" s="16" t="s">
        <v>28</v>
      </c>
      <c r="C3900" s="17" t="s">
        <v>19</v>
      </c>
      <c r="D3900" s="18" t="s">
        <v>2192</v>
      </c>
      <c r="E3900" s="18">
        <v>8</v>
      </c>
      <c r="F3900" s="18" t="s">
        <v>324</v>
      </c>
      <c r="G3900" s="18" t="s">
        <v>22</v>
      </c>
      <c r="H3900" s="18" t="s">
        <v>65</v>
      </c>
      <c r="I3900" s="24">
        <v>62.61</v>
      </c>
      <c r="J3900" s="20">
        <f t="shared" si="120"/>
        <v>500.88</v>
      </c>
      <c r="K3900" s="106"/>
      <c r="L3900" s="114"/>
      <c r="M3900" s="114">
        <f>tblAquisições[[#This Row],[VALOR UNITARIO COMPRADO]]*tblAquisições[[#This Row],[QUANTIDADE COMPRADA]]</f>
        <v>0</v>
      </c>
      <c r="N3900" s="110">
        <f>K3900-tblAquisições[[#This Row],[QUANTIDADE PLANEJADA]]</f>
        <v>-8</v>
      </c>
      <c r="O3900" s="106" t="str">
        <f t="shared" si="121"/>
        <v>Faltando Comprar</v>
      </c>
    </row>
    <row r="3901" spans="1:15" ht="31.5">
      <c r="A3901" s="16" t="s">
        <v>17</v>
      </c>
      <c r="B3901" s="16" t="s">
        <v>18</v>
      </c>
      <c r="C3901" s="17" t="s">
        <v>19</v>
      </c>
      <c r="D3901" s="18" t="s">
        <v>2193</v>
      </c>
      <c r="E3901" s="18">
        <v>120</v>
      </c>
      <c r="F3901" s="18" t="s">
        <v>30</v>
      </c>
      <c r="G3901" s="18" t="s">
        <v>22</v>
      </c>
      <c r="H3901" s="18" t="s">
        <v>23</v>
      </c>
      <c r="I3901" s="19">
        <v>2.5299999999999998</v>
      </c>
      <c r="J3901" s="20">
        <f t="shared" si="120"/>
        <v>303.59999999999997</v>
      </c>
      <c r="K3901" s="106"/>
      <c r="L3901" s="114"/>
      <c r="M3901" s="114">
        <f>tblAquisições[[#This Row],[VALOR UNITARIO COMPRADO]]*tblAquisições[[#This Row],[QUANTIDADE COMPRADA]]</f>
        <v>0</v>
      </c>
      <c r="N3901" s="110">
        <f>K3901-tblAquisições[[#This Row],[QUANTIDADE PLANEJADA]]</f>
        <v>-120</v>
      </c>
      <c r="O3901" s="106" t="str">
        <f t="shared" si="121"/>
        <v>Faltando Comprar</v>
      </c>
    </row>
    <row r="3902" spans="1:15" ht="31.5">
      <c r="A3902" s="16" t="s">
        <v>17</v>
      </c>
      <c r="B3902" s="16" t="s">
        <v>24</v>
      </c>
      <c r="C3902" s="17" t="s">
        <v>19</v>
      </c>
      <c r="D3902" s="18" t="s">
        <v>2193</v>
      </c>
      <c r="E3902" s="18">
        <v>120</v>
      </c>
      <c r="F3902" s="18" t="s">
        <v>30</v>
      </c>
      <c r="G3902" s="18" t="s">
        <v>22</v>
      </c>
      <c r="H3902" s="18" t="s">
        <v>23</v>
      </c>
      <c r="I3902" s="19">
        <v>2.5299999999999998</v>
      </c>
      <c r="J3902" s="20">
        <f t="shared" si="120"/>
        <v>303.59999999999997</v>
      </c>
      <c r="K3902" s="106"/>
      <c r="L3902" s="114"/>
      <c r="M3902" s="114">
        <f>tblAquisições[[#This Row],[VALOR UNITARIO COMPRADO]]*tblAquisições[[#This Row],[QUANTIDADE COMPRADA]]</f>
        <v>0</v>
      </c>
      <c r="N3902" s="110">
        <f>K3902-tblAquisições[[#This Row],[QUANTIDADE PLANEJADA]]</f>
        <v>-120</v>
      </c>
      <c r="O3902" s="106" t="str">
        <f t="shared" si="121"/>
        <v>Faltando Comprar</v>
      </c>
    </row>
    <row r="3903" spans="1:15" ht="31.5">
      <c r="A3903" s="16" t="s">
        <v>17</v>
      </c>
      <c r="B3903" s="16" t="s">
        <v>25</v>
      </c>
      <c r="C3903" s="17" t="s">
        <v>19</v>
      </c>
      <c r="D3903" s="18" t="s">
        <v>2193</v>
      </c>
      <c r="E3903" s="18">
        <v>120</v>
      </c>
      <c r="F3903" s="18" t="s">
        <v>30</v>
      </c>
      <c r="G3903" s="18" t="s">
        <v>22</v>
      </c>
      <c r="H3903" s="18" t="s">
        <v>23</v>
      </c>
      <c r="I3903" s="19">
        <v>2.5299999999999998</v>
      </c>
      <c r="J3903" s="20">
        <f t="shared" si="120"/>
        <v>303.59999999999997</v>
      </c>
      <c r="K3903" s="106"/>
      <c r="L3903" s="114"/>
      <c r="M3903" s="114">
        <f>tblAquisições[[#This Row],[VALOR UNITARIO COMPRADO]]*tblAquisições[[#This Row],[QUANTIDADE COMPRADA]]</f>
        <v>0</v>
      </c>
      <c r="N3903" s="110">
        <f>K3903-tblAquisições[[#This Row],[QUANTIDADE PLANEJADA]]</f>
        <v>-120</v>
      </c>
      <c r="O3903" s="106" t="str">
        <f t="shared" si="121"/>
        <v>Faltando Comprar</v>
      </c>
    </row>
    <row r="3904" spans="1:15" ht="31.5">
      <c r="A3904" s="16" t="s">
        <v>17</v>
      </c>
      <c r="B3904" s="16" t="s">
        <v>26</v>
      </c>
      <c r="C3904" s="17" t="s">
        <v>19</v>
      </c>
      <c r="D3904" s="18" t="s">
        <v>2193</v>
      </c>
      <c r="E3904" s="18">
        <v>20</v>
      </c>
      <c r="F3904" s="18" t="s">
        <v>30</v>
      </c>
      <c r="G3904" s="18" t="s">
        <v>22</v>
      </c>
      <c r="H3904" s="18" t="s">
        <v>23</v>
      </c>
      <c r="I3904" s="19">
        <v>2.5299999999999998</v>
      </c>
      <c r="J3904" s="20">
        <f t="shared" si="120"/>
        <v>50.599999999999994</v>
      </c>
      <c r="K3904" s="106"/>
      <c r="L3904" s="114"/>
      <c r="M3904" s="114">
        <f>tblAquisições[[#This Row],[VALOR UNITARIO COMPRADO]]*tblAquisições[[#This Row],[QUANTIDADE COMPRADA]]</f>
        <v>0</v>
      </c>
      <c r="N3904" s="110">
        <f>K3904-tblAquisições[[#This Row],[QUANTIDADE PLANEJADA]]</f>
        <v>-20</v>
      </c>
      <c r="O3904" s="106" t="str">
        <f t="shared" si="121"/>
        <v>Faltando Comprar</v>
      </c>
    </row>
    <row r="3905" spans="1:15" ht="31.5">
      <c r="A3905" s="16" t="s">
        <v>17</v>
      </c>
      <c r="B3905" s="16" t="s">
        <v>27</v>
      </c>
      <c r="C3905" s="17" t="s">
        <v>19</v>
      </c>
      <c r="D3905" s="18" t="s">
        <v>2193</v>
      </c>
      <c r="E3905" s="18">
        <v>150</v>
      </c>
      <c r="F3905" s="18" t="s">
        <v>30</v>
      </c>
      <c r="G3905" s="18" t="s">
        <v>22</v>
      </c>
      <c r="H3905" s="18" t="s">
        <v>23</v>
      </c>
      <c r="I3905" s="19">
        <v>2.5299999999999998</v>
      </c>
      <c r="J3905" s="20">
        <f t="shared" si="120"/>
        <v>379.49999999999994</v>
      </c>
      <c r="K3905" s="106"/>
      <c r="L3905" s="114"/>
      <c r="M3905" s="114">
        <f>tblAquisições[[#This Row],[VALOR UNITARIO COMPRADO]]*tblAquisições[[#This Row],[QUANTIDADE COMPRADA]]</f>
        <v>0</v>
      </c>
      <c r="N3905" s="110">
        <f>K3905-tblAquisições[[#This Row],[QUANTIDADE PLANEJADA]]</f>
        <v>-150</v>
      </c>
      <c r="O3905" s="106" t="str">
        <f t="shared" si="121"/>
        <v>Faltando Comprar</v>
      </c>
    </row>
    <row r="3906" spans="1:15" ht="47.25">
      <c r="A3906" s="16" t="s">
        <v>17</v>
      </c>
      <c r="B3906" s="16" t="s">
        <v>34</v>
      </c>
      <c r="C3906" s="17" t="s">
        <v>19</v>
      </c>
      <c r="D3906" s="18" t="s">
        <v>2194</v>
      </c>
      <c r="E3906" s="18">
        <v>12</v>
      </c>
      <c r="F3906" s="18" t="s">
        <v>131</v>
      </c>
      <c r="G3906" s="18" t="s">
        <v>22</v>
      </c>
      <c r="H3906" s="18" t="s">
        <v>23</v>
      </c>
      <c r="I3906" s="19">
        <v>177.99</v>
      </c>
      <c r="J3906" s="20">
        <f t="shared" ref="J3906:J3969" si="122">E3906*I3906</f>
        <v>2135.88</v>
      </c>
      <c r="K3906" s="106"/>
      <c r="L3906" s="114"/>
      <c r="M3906" s="114">
        <f>tblAquisições[[#This Row],[VALOR UNITARIO COMPRADO]]*tblAquisições[[#This Row],[QUANTIDADE COMPRADA]]</f>
        <v>0</v>
      </c>
      <c r="N3906" s="110">
        <f>K3906-tblAquisições[[#This Row],[QUANTIDADE PLANEJADA]]</f>
        <v>-12</v>
      </c>
      <c r="O3906" s="106" t="str">
        <f t="shared" ref="O3906:O3969" si="123">IF(K3906=E3906,"OK",IF(K3906&lt;E3906,"Faltando Comprar","Excedente"))</f>
        <v>Faltando Comprar</v>
      </c>
    </row>
    <row r="3907" spans="1:15" ht="47.25">
      <c r="A3907" s="16" t="s">
        <v>17</v>
      </c>
      <c r="B3907" s="16" t="s">
        <v>28</v>
      </c>
      <c r="C3907" s="17" t="s">
        <v>19</v>
      </c>
      <c r="D3907" s="18" t="s">
        <v>2195</v>
      </c>
      <c r="E3907" s="18">
        <v>30</v>
      </c>
      <c r="F3907" s="18" t="s">
        <v>78</v>
      </c>
      <c r="G3907" s="18" t="s">
        <v>22</v>
      </c>
      <c r="H3907" s="18" t="s">
        <v>23</v>
      </c>
      <c r="I3907" s="19">
        <v>20.02</v>
      </c>
      <c r="J3907" s="20">
        <f t="shared" si="122"/>
        <v>600.6</v>
      </c>
      <c r="K3907" s="106"/>
      <c r="L3907" s="114"/>
      <c r="M3907" s="114">
        <f>tblAquisições[[#This Row],[VALOR UNITARIO COMPRADO]]*tblAquisições[[#This Row],[QUANTIDADE COMPRADA]]</f>
        <v>0</v>
      </c>
      <c r="N3907" s="110">
        <f>K3907-tblAquisições[[#This Row],[QUANTIDADE PLANEJADA]]</f>
        <v>-30</v>
      </c>
      <c r="O3907" s="106" t="str">
        <f t="shared" si="123"/>
        <v>Faltando Comprar</v>
      </c>
    </row>
    <row r="3908" spans="1:15" ht="47.25">
      <c r="A3908" s="16" t="s">
        <v>17</v>
      </c>
      <c r="B3908" s="16" t="s">
        <v>26</v>
      </c>
      <c r="C3908" s="17" t="s">
        <v>19</v>
      </c>
      <c r="D3908" s="18" t="s">
        <v>2196</v>
      </c>
      <c r="E3908" s="18">
        <v>200</v>
      </c>
      <c r="F3908" s="18" t="s">
        <v>239</v>
      </c>
      <c r="G3908" s="18" t="s">
        <v>22</v>
      </c>
      <c r="H3908" s="18" t="s">
        <v>23</v>
      </c>
      <c r="I3908" s="19">
        <v>22.57</v>
      </c>
      <c r="J3908" s="20">
        <f t="shared" si="122"/>
        <v>4514</v>
      </c>
      <c r="K3908" s="106"/>
      <c r="L3908" s="114"/>
      <c r="M3908" s="114">
        <f>tblAquisições[[#This Row],[VALOR UNITARIO COMPRADO]]*tblAquisições[[#This Row],[QUANTIDADE COMPRADA]]</f>
        <v>0</v>
      </c>
      <c r="N3908" s="110">
        <f>K3908-tblAquisições[[#This Row],[QUANTIDADE PLANEJADA]]</f>
        <v>-200</v>
      </c>
      <c r="O3908" s="106" t="str">
        <f t="shared" si="123"/>
        <v>Faltando Comprar</v>
      </c>
    </row>
    <row r="3909" spans="1:15" ht="47.25">
      <c r="A3909" s="16" t="s">
        <v>17</v>
      </c>
      <c r="B3909" s="16" t="s">
        <v>26</v>
      </c>
      <c r="C3909" s="17" t="s">
        <v>19</v>
      </c>
      <c r="D3909" s="18" t="s">
        <v>2197</v>
      </c>
      <c r="E3909" s="18">
        <v>50</v>
      </c>
      <c r="F3909" s="18" t="s">
        <v>239</v>
      </c>
      <c r="G3909" s="18" t="s">
        <v>22</v>
      </c>
      <c r="H3909" s="18" t="s">
        <v>23</v>
      </c>
      <c r="I3909" s="19">
        <v>25.35</v>
      </c>
      <c r="J3909" s="20">
        <f t="shared" si="122"/>
        <v>1267.5</v>
      </c>
      <c r="K3909" s="106"/>
      <c r="L3909" s="114"/>
      <c r="M3909" s="114">
        <f>tblAquisições[[#This Row],[VALOR UNITARIO COMPRADO]]*tblAquisições[[#This Row],[QUANTIDADE COMPRADA]]</f>
        <v>0</v>
      </c>
      <c r="N3909" s="110">
        <f>K3909-tblAquisições[[#This Row],[QUANTIDADE PLANEJADA]]</f>
        <v>-50</v>
      </c>
      <c r="O3909" s="106" t="str">
        <f t="shared" si="123"/>
        <v>Faltando Comprar</v>
      </c>
    </row>
    <row r="3910" spans="1:15" ht="31.5">
      <c r="A3910" s="16" t="s">
        <v>17</v>
      </c>
      <c r="B3910" s="16" t="s">
        <v>26</v>
      </c>
      <c r="C3910" s="17" t="s">
        <v>19</v>
      </c>
      <c r="D3910" s="18" t="s">
        <v>2198</v>
      </c>
      <c r="E3910" s="18">
        <v>100</v>
      </c>
      <c r="F3910" s="18" t="s">
        <v>30</v>
      </c>
      <c r="G3910" s="18" t="s">
        <v>22</v>
      </c>
      <c r="H3910" s="18" t="s">
        <v>83</v>
      </c>
      <c r="I3910" s="19">
        <v>542.57000000000005</v>
      </c>
      <c r="J3910" s="20">
        <f t="shared" si="122"/>
        <v>54257.000000000007</v>
      </c>
      <c r="K3910" s="106"/>
      <c r="L3910" s="114"/>
      <c r="M3910" s="114">
        <f>tblAquisições[[#This Row],[VALOR UNITARIO COMPRADO]]*tblAquisições[[#This Row],[QUANTIDADE COMPRADA]]</f>
        <v>0</v>
      </c>
      <c r="N3910" s="110">
        <f>K3910-tblAquisições[[#This Row],[QUANTIDADE PLANEJADA]]</f>
        <v>-100</v>
      </c>
      <c r="O3910" s="106" t="str">
        <f t="shared" si="123"/>
        <v>Faltando Comprar</v>
      </c>
    </row>
    <row r="3911" spans="1:15" ht="47.25">
      <c r="A3911" s="16" t="s">
        <v>17</v>
      </c>
      <c r="B3911" s="16" t="s">
        <v>31</v>
      </c>
      <c r="C3911" s="17" t="s">
        <v>19</v>
      </c>
      <c r="D3911" s="18" t="s">
        <v>2199</v>
      </c>
      <c r="E3911" s="18">
        <v>50</v>
      </c>
      <c r="F3911" s="18" t="s">
        <v>78</v>
      </c>
      <c r="G3911" s="18" t="s">
        <v>22</v>
      </c>
      <c r="H3911" s="18" t="s">
        <v>23</v>
      </c>
      <c r="I3911" s="19">
        <v>35.909999999999997</v>
      </c>
      <c r="J3911" s="20">
        <f t="shared" si="122"/>
        <v>1795.4999999999998</v>
      </c>
      <c r="K3911" s="106"/>
      <c r="L3911" s="114"/>
      <c r="M3911" s="114">
        <f>tblAquisições[[#This Row],[VALOR UNITARIO COMPRADO]]*tblAquisições[[#This Row],[QUANTIDADE COMPRADA]]</f>
        <v>0</v>
      </c>
      <c r="N3911" s="110">
        <f>K3911-tblAquisições[[#This Row],[QUANTIDADE PLANEJADA]]</f>
        <v>-50</v>
      </c>
      <c r="O3911" s="106" t="str">
        <f t="shared" si="123"/>
        <v>Faltando Comprar</v>
      </c>
    </row>
    <row r="3912" spans="1:15" ht="47.25">
      <c r="A3912" s="16" t="s">
        <v>17</v>
      </c>
      <c r="B3912" s="16" t="s">
        <v>18</v>
      </c>
      <c r="C3912" s="17" t="s">
        <v>19</v>
      </c>
      <c r="D3912" s="18" t="s">
        <v>2199</v>
      </c>
      <c r="E3912" s="18">
        <v>200</v>
      </c>
      <c r="F3912" s="18" t="s">
        <v>78</v>
      </c>
      <c r="G3912" s="18" t="s">
        <v>22</v>
      </c>
      <c r="H3912" s="18" t="s">
        <v>23</v>
      </c>
      <c r="I3912" s="19">
        <v>35.909999999999997</v>
      </c>
      <c r="J3912" s="20">
        <f t="shared" si="122"/>
        <v>7181.9999999999991</v>
      </c>
      <c r="K3912" s="106"/>
      <c r="L3912" s="114"/>
      <c r="M3912" s="114">
        <f>tblAquisições[[#This Row],[VALOR UNITARIO COMPRADO]]*tblAquisições[[#This Row],[QUANTIDADE COMPRADA]]</f>
        <v>0</v>
      </c>
      <c r="N3912" s="110">
        <f>K3912-tblAquisições[[#This Row],[QUANTIDADE PLANEJADA]]</f>
        <v>-200</v>
      </c>
      <c r="O3912" s="106" t="str">
        <f t="shared" si="123"/>
        <v>Faltando Comprar</v>
      </c>
    </row>
    <row r="3913" spans="1:15" ht="47.25">
      <c r="A3913" s="16" t="s">
        <v>17</v>
      </c>
      <c r="B3913" s="16" t="s">
        <v>24</v>
      </c>
      <c r="C3913" s="17" t="s">
        <v>19</v>
      </c>
      <c r="D3913" s="18" t="s">
        <v>2199</v>
      </c>
      <c r="E3913" s="18">
        <v>200</v>
      </c>
      <c r="F3913" s="18" t="s">
        <v>78</v>
      </c>
      <c r="G3913" s="18" t="s">
        <v>22</v>
      </c>
      <c r="H3913" s="18" t="s">
        <v>23</v>
      </c>
      <c r="I3913" s="19">
        <v>35.909999999999997</v>
      </c>
      <c r="J3913" s="20">
        <f t="shared" si="122"/>
        <v>7181.9999999999991</v>
      </c>
      <c r="K3913" s="106"/>
      <c r="L3913" s="114"/>
      <c r="M3913" s="114">
        <f>tblAquisições[[#This Row],[VALOR UNITARIO COMPRADO]]*tblAquisições[[#This Row],[QUANTIDADE COMPRADA]]</f>
        <v>0</v>
      </c>
      <c r="N3913" s="110">
        <f>K3913-tblAquisições[[#This Row],[QUANTIDADE PLANEJADA]]</f>
        <v>-200</v>
      </c>
      <c r="O3913" s="106" t="str">
        <f t="shared" si="123"/>
        <v>Faltando Comprar</v>
      </c>
    </row>
    <row r="3914" spans="1:15" ht="47.25">
      <c r="A3914" s="16" t="s">
        <v>17</v>
      </c>
      <c r="B3914" s="16" t="s">
        <v>25</v>
      </c>
      <c r="C3914" s="17" t="s">
        <v>19</v>
      </c>
      <c r="D3914" s="18" t="s">
        <v>2199</v>
      </c>
      <c r="E3914" s="18">
        <v>200</v>
      </c>
      <c r="F3914" s="18" t="s">
        <v>78</v>
      </c>
      <c r="G3914" s="18" t="s">
        <v>22</v>
      </c>
      <c r="H3914" s="18" t="s">
        <v>23</v>
      </c>
      <c r="I3914" s="19">
        <v>35.909999999999997</v>
      </c>
      <c r="J3914" s="20">
        <f t="shared" si="122"/>
        <v>7181.9999999999991</v>
      </c>
      <c r="K3914" s="106"/>
      <c r="L3914" s="114"/>
      <c r="M3914" s="114">
        <f>tblAquisições[[#This Row],[VALOR UNITARIO COMPRADO]]*tblAquisições[[#This Row],[QUANTIDADE COMPRADA]]</f>
        <v>0</v>
      </c>
      <c r="N3914" s="110">
        <f>K3914-tblAquisições[[#This Row],[QUANTIDADE PLANEJADA]]</f>
        <v>-200</v>
      </c>
      <c r="O3914" s="106" t="str">
        <f t="shared" si="123"/>
        <v>Faltando Comprar</v>
      </c>
    </row>
    <row r="3915" spans="1:15" ht="47.25">
      <c r="A3915" s="16" t="s">
        <v>17</v>
      </c>
      <c r="B3915" s="16" t="s">
        <v>28</v>
      </c>
      <c r="C3915" s="17" t="s">
        <v>19</v>
      </c>
      <c r="D3915" s="18" t="s">
        <v>2199</v>
      </c>
      <c r="E3915" s="18">
        <v>24</v>
      </c>
      <c r="F3915" s="18" t="s">
        <v>78</v>
      </c>
      <c r="G3915" s="18" t="s">
        <v>22</v>
      </c>
      <c r="H3915" s="18" t="s">
        <v>53</v>
      </c>
      <c r="I3915" s="19">
        <v>35.909999999999997</v>
      </c>
      <c r="J3915" s="20">
        <f t="shared" si="122"/>
        <v>861.83999999999992</v>
      </c>
      <c r="K3915" s="106"/>
      <c r="L3915" s="114"/>
      <c r="M3915" s="114">
        <f>tblAquisições[[#This Row],[VALOR UNITARIO COMPRADO]]*tblAquisições[[#This Row],[QUANTIDADE COMPRADA]]</f>
        <v>0</v>
      </c>
      <c r="N3915" s="110">
        <f>K3915-tblAquisições[[#This Row],[QUANTIDADE PLANEJADA]]</f>
        <v>-24</v>
      </c>
      <c r="O3915" s="106" t="str">
        <f t="shared" si="123"/>
        <v>Faltando Comprar</v>
      </c>
    </row>
    <row r="3916" spans="1:15" ht="47.25">
      <c r="A3916" s="16" t="s">
        <v>17</v>
      </c>
      <c r="B3916" s="16" t="s">
        <v>31</v>
      </c>
      <c r="C3916" s="17" t="s">
        <v>19</v>
      </c>
      <c r="D3916" s="18" t="s">
        <v>2200</v>
      </c>
      <c r="E3916" s="18">
        <v>50</v>
      </c>
      <c r="F3916" s="18" t="s">
        <v>78</v>
      </c>
      <c r="G3916" s="18" t="s">
        <v>22</v>
      </c>
      <c r="H3916" s="18" t="s">
        <v>23</v>
      </c>
      <c r="I3916" s="19">
        <v>26.76</v>
      </c>
      <c r="J3916" s="20">
        <f t="shared" si="122"/>
        <v>1338</v>
      </c>
      <c r="K3916" s="106"/>
      <c r="L3916" s="114"/>
      <c r="M3916" s="114">
        <f>tblAquisições[[#This Row],[VALOR UNITARIO COMPRADO]]*tblAquisições[[#This Row],[QUANTIDADE COMPRADA]]</f>
        <v>0</v>
      </c>
      <c r="N3916" s="110">
        <f>K3916-tblAquisições[[#This Row],[QUANTIDADE PLANEJADA]]</f>
        <v>-50</v>
      </c>
      <c r="O3916" s="106" t="str">
        <f t="shared" si="123"/>
        <v>Faltando Comprar</v>
      </c>
    </row>
    <row r="3917" spans="1:15" ht="47.25">
      <c r="A3917" s="16" t="s">
        <v>17</v>
      </c>
      <c r="B3917" s="16" t="s">
        <v>18</v>
      </c>
      <c r="C3917" s="17" t="s">
        <v>19</v>
      </c>
      <c r="D3917" s="18" t="s">
        <v>2200</v>
      </c>
      <c r="E3917" s="18">
        <v>20</v>
      </c>
      <c r="F3917" s="18" t="s">
        <v>78</v>
      </c>
      <c r="G3917" s="18" t="s">
        <v>22</v>
      </c>
      <c r="H3917" s="18" t="s">
        <v>23</v>
      </c>
      <c r="I3917" s="19">
        <v>26.76</v>
      </c>
      <c r="J3917" s="20">
        <f t="shared" si="122"/>
        <v>535.20000000000005</v>
      </c>
      <c r="K3917" s="106"/>
      <c r="L3917" s="114"/>
      <c r="M3917" s="114">
        <f>tblAquisições[[#This Row],[VALOR UNITARIO COMPRADO]]*tblAquisições[[#This Row],[QUANTIDADE COMPRADA]]</f>
        <v>0</v>
      </c>
      <c r="N3917" s="110">
        <f>K3917-tblAquisições[[#This Row],[QUANTIDADE PLANEJADA]]</f>
        <v>-20</v>
      </c>
      <c r="O3917" s="106" t="str">
        <f t="shared" si="123"/>
        <v>Faltando Comprar</v>
      </c>
    </row>
    <row r="3918" spans="1:15" ht="47.25">
      <c r="A3918" s="16" t="s">
        <v>17</v>
      </c>
      <c r="B3918" s="16" t="s">
        <v>24</v>
      </c>
      <c r="C3918" s="17" t="s">
        <v>19</v>
      </c>
      <c r="D3918" s="18" t="s">
        <v>2200</v>
      </c>
      <c r="E3918" s="18">
        <v>20</v>
      </c>
      <c r="F3918" s="18" t="s">
        <v>78</v>
      </c>
      <c r="G3918" s="18" t="s">
        <v>22</v>
      </c>
      <c r="H3918" s="18" t="s">
        <v>23</v>
      </c>
      <c r="I3918" s="19">
        <v>26.76</v>
      </c>
      <c r="J3918" s="20">
        <f t="shared" si="122"/>
        <v>535.20000000000005</v>
      </c>
      <c r="K3918" s="106"/>
      <c r="L3918" s="114"/>
      <c r="M3918" s="114">
        <f>tblAquisições[[#This Row],[VALOR UNITARIO COMPRADO]]*tblAquisições[[#This Row],[QUANTIDADE COMPRADA]]</f>
        <v>0</v>
      </c>
      <c r="N3918" s="110">
        <f>K3918-tblAquisições[[#This Row],[QUANTIDADE PLANEJADA]]</f>
        <v>-20</v>
      </c>
      <c r="O3918" s="106" t="str">
        <f t="shared" si="123"/>
        <v>Faltando Comprar</v>
      </c>
    </row>
    <row r="3919" spans="1:15" ht="47.25">
      <c r="A3919" s="16" t="s">
        <v>17</v>
      </c>
      <c r="B3919" s="16" t="s">
        <v>25</v>
      </c>
      <c r="C3919" s="17" t="s">
        <v>19</v>
      </c>
      <c r="D3919" s="18" t="s">
        <v>2200</v>
      </c>
      <c r="E3919" s="18">
        <v>20</v>
      </c>
      <c r="F3919" s="18" t="s">
        <v>78</v>
      </c>
      <c r="G3919" s="18" t="s">
        <v>22</v>
      </c>
      <c r="H3919" s="18" t="s">
        <v>23</v>
      </c>
      <c r="I3919" s="19">
        <v>26.76</v>
      </c>
      <c r="J3919" s="20">
        <f t="shared" si="122"/>
        <v>535.20000000000005</v>
      </c>
      <c r="K3919" s="106"/>
      <c r="L3919" s="114"/>
      <c r="M3919" s="114">
        <f>tblAquisições[[#This Row],[VALOR UNITARIO COMPRADO]]*tblAquisições[[#This Row],[QUANTIDADE COMPRADA]]</f>
        <v>0</v>
      </c>
      <c r="N3919" s="110">
        <f>K3919-tblAquisições[[#This Row],[QUANTIDADE PLANEJADA]]</f>
        <v>-20</v>
      </c>
      <c r="O3919" s="106" t="str">
        <f t="shared" si="123"/>
        <v>Faltando Comprar</v>
      </c>
    </row>
    <row r="3920" spans="1:15" ht="47.25">
      <c r="A3920" s="16" t="s">
        <v>17</v>
      </c>
      <c r="B3920" s="16" t="s">
        <v>28</v>
      </c>
      <c r="C3920" s="17" t="s">
        <v>19</v>
      </c>
      <c r="D3920" s="18" t="s">
        <v>2200</v>
      </c>
      <c r="E3920" s="18">
        <v>24</v>
      </c>
      <c r="F3920" s="18" t="s">
        <v>78</v>
      </c>
      <c r="G3920" s="18" t="s">
        <v>22</v>
      </c>
      <c r="H3920" s="18" t="s">
        <v>53</v>
      </c>
      <c r="I3920" s="19">
        <v>26.76</v>
      </c>
      <c r="J3920" s="20">
        <f t="shared" si="122"/>
        <v>642.24</v>
      </c>
      <c r="K3920" s="106"/>
      <c r="L3920" s="114"/>
      <c r="M3920" s="114">
        <f>tblAquisições[[#This Row],[VALOR UNITARIO COMPRADO]]*tblAquisições[[#This Row],[QUANTIDADE COMPRADA]]</f>
        <v>0</v>
      </c>
      <c r="N3920" s="110">
        <f>K3920-tblAquisições[[#This Row],[QUANTIDADE PLANEJADA]]</f>
        <v>-24</v>
      </c>
      <c r="O3920" s="106" t="str">
        <f t="shared" si="123"/>
        <v>Faltando Comprar</v>
      </c>
    </row>
    <row r="3921" spans="1:15" ht="47.25">
      <c r="A3921" s="16" t="s">
        <v>17</v>
      </c>
      <c r="B3921" s="16" t="s">
        <v>80</v>
      </c>
      <c r="C3921" s="17" t="s">
        <v>19</v>
      </c>
      <c r="D3921" s="18" t="s">
        <v>2201</v>
      </c>
      <c r="E3921" s="18">
        <v>10</v>
      </c>
      <c r="F3921" s="18" t="s">
        <v>191</v>
      </c>
      <c r="G3921" s="18" t="s">
        <v>39</v>
      </c>
      <c r="H3921" s="18" t="s">
        <v>23</v>
      </c>
      <c r="I3921" s="19">
        <v>2.14</v>
      </c>
      <c r="J3921" s="20">
        <f t="shared" si="122"/>
        <v>21.400000000000002</v>
      </c>
      <c r="K3921" s="106"/>
      <c r="L3921" s="114"/>
      <c r="M3921" s="114">
        <f>tblAquisições[[#This Row],[VALOR UNITARIO COMPRADO]]*tblAquisições[[#This Row],[QUANTIDADE COMPRADA]]</f>
        <v>0</v>
      </c>
      <c r="N3921" s="110">
        <f>K3921-tblAquisições[[#This Row],[QUANTIDADE PLANEJADA]]</f>
        <v>-10</v>
      </c>
      <c r="O3921" s="106" t="str">
        <f t="shared" si="123"/>
        <v>Faltando Comprar</v>
      </c>
    </row>
    <row r="3922" spans="1:15" ht="47.25">
      <c r="A3922" s="16" t="s">
        <v>17</v>
      </c>
      <c r="B3922" s="16" t="s">
        <v>80</v>
      </c>
      <c r="C3922" s="17" t="s">
        <v>19</v>
      </c>
      <c r="D3922" s="18" t="s">
        <v>2202</v>
      </c>
      <c r="E3922" s="18">
        <v>20</v>
      </c>
      <c r="F3922" s="18" t="s">
        <v>191</v>
      </c>
      <c r="G3922" s="18" t="s">
        <v>39</v>
      </c>
      <c r="H3922" s="18" t="s">
        <v>23</v>
      </c>
      <c r="I3922" s="19">
        <v>10.86</v>
      </c>
      <c r="J3922" s="20">
        <f t="shared" si="122"/>
        <v>217.2</v>
      </c>
      <c r="K3922" s="106"/>
      <c r="L3922" s="114"/>
      <c r="M3922" s="114">
        <f>tblAquisições[[#This Row],[VALOR UNITARIO COMPRADO]]*tblAquisições[[#This Row],[QUANTIDADE COMPRADA]]</f>
        <v>0</v>
      </c>
      <c r="N3922" s="110">
        <f>K3922-tblAquisições[[#This Row],[QUANTIDADE PLANEJADA]]</f>
        <v>-20</v>
      </c>
      <c r="O3922" s="106" t="str">
        <f t="shared" si="123"/>
        <v>Faltando Comprar</v>
      </c>
    </row>
    <row r="3923" spans="1:15" ht="47.25">
      <c r="A3923" s="16" t="s">
        <v>17</v>
      </c>
      <c r="B3923" s="16" t="s">
        <v>18</v>
      </c>
      <c r="C3923" s="17" t="s">
        <v>19</v>
      </c>
      <c r="D3923" s="18" t="s">
        <v>2203</v>
      </c>
      <c r="E3923" s="18">
        <v>1</v>
      </c>
      <c r="F3923" s="18" t="s">
        <v>1135</v>
      </c>
      <c r="G3923" s="18" t="s">
        <v>127</v>
      </c>
      <c r="H3923" s="18" t="s">
        <v>23</v>
      </c>
      <c r="I3923" s="19">
        <v>484.28</v>
      </c>
      <c r="J3923" s="20">
        <f t="shared" si="122"/>
        <v>484.28</v>
      </c>
      <c r="K3923" s="106"/>
      <c r="L3923" s="114"/>
      <c r="M3923" s="114">
        <f>tblAquisições[[#This Row],[VALOR UNITARIO COMPRADO]]*tblAquisições[[#This Row],[QUANTIDADE COMPRADA]]</f>
        <v>0</v>
      </c>
      <c r="N3923" s="110">
        <f>K3923-tblAquisições[[#This Row],[QUANTIDADE PLANEJADA]]</f>
        <v>-1</v>
      </c>
      <c r="O3923" s="106" t="str">
        <f t="shared" si="123"/>
        <v>Faltando Comprar</v>
      </c>
    </row>
    <row r="3924" spans="1:15" ht="47.25">
      <c r="A3924" s="16" t="s">
        <v>17</v>
      </c>
      <c r="B3924" s="16" t="s">
        <v>24</v>
      </c>
      <c r="C3924" s="17" t="s">
        <v>19</v>
      </c>
      <c r="D3924" s="18" t="s">
        <v>2203</v>
      </c>
      <c r="E3924" s="18">
        <v>1</v>
      </c>
      <c r="F3924" s="18" t="s">
        <v>1135</v>
      </c>
      <c r="G3924" s="18" t="s">
        <v>127</v>
      </c>
      <c r="H3924" s="18" t="s">
        <v>23</v>
      </c>
      <c r="I3924" s="19">
        <v>484.28</v>
      </c>
      <c r="J3924" s="20">
        <f t="shared" si="122"/>
        <v>484.28</v>
      </c>
      <c r="K3924" s="106"/>
      <c r="L3924" s="114"/>
      <c r="M3924" s="114">
        <f>tblAquisições[[#This Row],[VALOR UNITARIO COMPRADO]]*tblAquisições[[#This Row],[QUANTIDADE COMPRADA]]</f>
        <v>0</v>
      </c>
      <c r="N3924" s="110">
        <f>K3924-tblAquisições[[#This Row],[QUANTIDADE PLANEJADA]]</f>
        <v>-1</v>
      </c>
      <c r="O3924" s="106" t="str">
        <f t="shared" si="123"/>
        <v>Faltando Comprar</v>
      </c>
    </row>
    <row r="3925" spans="1:15" ht="31.5">
      <c r="A3925" s="16" t="s">
        <v>17</v>
      </c>
      <c r="B3925" s="16" t="s">
        <v>27</v>
      </c>
      <c r="C3925" s="17" t="s">
        <v>19</v>
      </c>
      <c r="D3925" s="18" t="s">
        <v>2204</v>
      </c>
      <c r="E3925" s="18">
        <v>5</v>
      </c>
      <c r="F3925" s="18" t="s">
        <v>30</v>
      </c>
      <c r="G3925" s="18" t="s">
        <v>22</v>
      </c>
      <c r="H3925" s="18" t="s">
        <v>23</v>
      </c>
      <c r="I3925" s="19">
        <v>46.46</v>
      </c>
      <c r="J3925" s="20">
        <f t="shared" si="122"/>
        <v>232.3</v>
      </c>
      <c r="K3925" s="106"/>
      <c r="L3925" s="114"/>
      <c r="M3925" s="114">
        <f>tblAquisições[[#This Row],[VALOR UNITARIO COMPRADO]]*tblAquisições[[#This Row],[QUANTIDADE COMPRADA]]</f>
        <v>0</v>
      </c>
      <c r="N3925" s="110">
        <f>K3925-tblAquisições[[#This Row],[QUANTIDADE PLANEJADA]]</f>
        <v>-5</v>
      </c>
      <c r="O3925" s="106" t="str">
        <f t="shared" si="123"/>
        <v>Faltando Comprar</v>
      </c>
    </row>
    <row r="3926" spans="1:15" ht="31.5">
      <c r="A3926" s="16" t="s">
        <v>17</v>
      </c>
      <c r="B3926" s="16" t="s">
        <v>80</v>
      </c>
      <c r="C3926" s="17" t="s">
        <v>19</v>
      </c>
      <c r="D3926" s="18" t="s">
        <v>2205</v>
      </c>
      <c r="E3926" s="18">
        <v>4</v>
      </c>
      <c r="F3926" s="18" t="s">
        <v>38</v>
      </c>
      <c r="G3926" s="18" t="s">
        <v>39</v>
      </c>
      <c r="H3926" s="18" t="s">
        <v>23</v>
      </c>
      <c r="I3926" s="19">
        <v>108.26</v>
      </c>
      <c r="J3926" s="20">
        <f t="shared" si="122"/>
        <v>433.04</v>
      </c>
      <c r="K3926" s="106"/>
      <c r="L3926" s="114"/>
      <c r="M3926" s="114">
        <f>tblAquisições[[#This Row],[VALOR UNITARIO COMPRADO]]*tblAquisições[[#This Row],[QUANTIDADE COMPRADA]]</f>
        <v>0</v>
      </c>
      <c r="N3926" s="110">
        <f>K3926-tblAquisições[[#This Row],[QUANTIDADE PLANEJADA]]</f>
        <v>-4</v>
      </c>
      <c r="O3926" s="106" t="str">
        <f t="shared" si="123"/>
        <v>Faltando Comprar</v>
      </c>
    </row>
    <row r="3927" spans="1:15" ht="47.25">
      <c r="A3927" s="16" t="s">
        <v>17</v>
      </c>
      <c r="B3927" s="16" t="s">
        <v>26</v>
      </c>
      <c r="C3927" s="17" t="s">
        <v>19</v>
      </c>
      <c r="D3927" s="18" t="s">
        <v>2206</v>
      </c>
      <c r="E3927" s="18">
        <v>10</v>
      </c>
      <c r="F3927" s="18" t="s">
        <v>58</v>
      </c>
      <c r="G3927" s="18" t="s">
        <v>22</v>
      </c>
      <c r="H3927" s="18" t="s">
        <v>23</v>
      </c>
      <c r="I3927" s="19">
        <v>47.6</v>
      </c>
      <c r="J3927" s="20">
        <f t="shared" si="122"/>
        <v>476</v>
      </c>
      <c r="K3927" s="106"/>
      <c r="L3927" s="114"/>
      <c r="M3927" s="114">
        <f>tblAquisições[[#This Row],[VALOR UNITARIO COMPRADO]]*tblAquisições[[#This Row],[QUANTIDADE COMPRADA]]</f>
        <v>0</v>
      </c>
      <c r="N3927" s="110">
        <f>K3927-tblAquisições[[#This Row],[QUANTIDADE PLANEJADA]]</f>
        <v>-10</v>
      </c>
      <c r="O3927" s="106" t="str">
        <f t="shared" si="123"/>
        <v>Faltando Comprar</v>
      </c>
    </row>
    <row r="3928" spans="1:15" ht="47.25">
      <c r="A3928" s="16" t="s">
        <v>17</v>
      </c>
      <c r="B3928" s="16" t="s">
        <v>26</v>
      </c>
      <c r="C3928" s="17" t="s">
        <v>19</v>
      </c>
      <c r="D3928" s="18" t="s">
        <v>2207</v>
      </c>
      <c r="E3928" s="18">
        <v>5</v>
      </c>
      <c r="F3928" s="18" t="s">
        <v>58</v>
      </c>
      <c r="G3928" s="18" t="s">
        <v>22</v>
      </c>
      <c r="H3928" s="18" t="s">
        <v>23</v>
      </c>
      <c r="I3928" s="19">
        <v>10.81</v>
      </c>
      <c r="J3928" s="20">
        <f t="shared" si="122"/>
        <v>54.050000000000004</v>
      </c>
      <c r="K3928" s="106"/>
      <c r="L3928" s="114"/>
      <c r="M3928" s="114">
        <f>tblAquisições[[#This Row],[VALOR UNITARIO COMPRADO]]*tblAquisições[[#This Row],[QUANTIDADE COMPRADA]]</f>
        <v>0</v>
      </c>
      <c r="N3928" s="110">
        <f>K3928-tblAquisições[[#This Row],[QUANTIDADE PLANEJADA]]</f>
        <v>-5</v>
      </c>
      <c r="O3928" s="106" t="str">
        <f t="shared" si="123"/>
        <v>Faltando Comprar</v>
      </c>
    </row>
    <row r="3929" spans="1:15" ht="31.5">
      <c r="A3929" s="16" t="s">
        <v>17</v>
      </c>
      <c r="B3929" s="16" t="s">
        <v>34</v>
      </c>
      <c r="C3929" s="17" t="s">
        <v>19</v>
      </c>
      <c r="D3929" s="18" t="s">
        <v>2208</v>
      </c>
      <c r="E3929" s="18">
        <v>20</v>
      </c>
      <c r="F3929" s="18" t="s">
        <v>21</v>
      </c>
      <c r="G3929" s="18" t="s">
        <v>22</v>
      </c>
      <c r="H3929" s="18" t="s">
        <v>23</v>
      </c>
      <c r="I3929" s="19">
        <v>27.28</v>
      </c>
      <c r="J3929" s="20">
        <f t="shared" si="122"/>
        <v>545.6</v>
      </c>
      <c r="K3929" s="106"/>
      <c r="L3929" s="114"/>
      <c r="M3929" s="114">
        <f>tblAquisições[[#This Row],[VALOR UNITARIO COMPRADO]]*tblAquisições[[#This Row],[QUANTIDADE COMPRADA]]</f>
        <v>0</v>
      </c>
      <c r="N3929" s="110">
        <f>K3929-tblAquisições[[#This Row],[QUANTIDADE PLANEJADA]]</f>
        <v>-20</v>
      </c>
      <c r="O3929" s="106" t="str">
        <f t="shared" si="123"/>
        <v>Faltando Comprar</v>
      </c>
    </row>
    <row r="3930" spans="1:15" ht="31.5">
      <c r="A3930" s="16" t="s">
        <v>17</v>
      </c>
      <c r="B3930" s="16" t="s">
        <v>31</v>
      </c>
      <c r="C3930" s="17" t="s">
        <v>19</v>
      </c>
      <c r="D3930" s="18" t="s">
        <v>2208</v>
      </c>
      <c r="E3930" s="18">
        <v>50</v>
      </c>
      <c r="F3930" s="18" t="s">
        <v>21</v>
      </c>
      <c r="G3930" s="18" t="s">
        <v>22</v>
      </c>
      <c r="H3930" s="18" t="s">
        <v>23</v>
      </c>
      <c r="I3930" s="19">
        <v>27.28</v>
      </c>
      <c r="J3930" s="20">
        <f t="shared" si="122"/>
        <v>1364</v>
      </c>
      <c r="K3930" s="106"/>
      <c r="L3930" s="114"/>
      <c r="M3930" s="114">
        <f>tblAquisições[[#This Row],[VALOR UNITARIO COMPRADO]]*tblAquisições[[#This Row],[QUANTIDADE COMPRADA]]</f>
        <v>0</v>
      </c>
      <c r="N3930" s="110">
        <f>K3930-tblAquisições[[#This Row],[QUANTIDADE PLANEJADA]]</f>
        <v>-50</v>
      </c>
      <c r="O3930" s="106" t="str">
        <f t="shared" si="123"/>
        <v>Faltando Comprar</v>
      </c>
    </row>
    <row r="3931" spans="1:15" ht="31.5">
      <c r="A3931" s="16" t="s">
        <v>17</v>
      </c>
      <c r="B3931" s="16" t="s">
        <v>18</v>
      </c>
      <c r="C3931" s="17" t="s">
        <v>19</v>
      </c>
      <c r="D3931" s="18" t="s">
        <v>2208</v>
      </c>
      <c r="E3931" s="18">
        <v>20</v>
      </c>
      <c r="F3931" s="18" t="s">
        <v>21</v>
      </c>
      <c r="G3931" s="18" t="s">
        <v>22</v>
      </c>
      <c r="H3931" s="18" t="s">
        <v>23</v>
      </c>
      <c r="I3931" s="19">
        <v>27.28</v>
      </c>
      <c r="J3931" s="20">
        <f t="shared" si="122"/>
        <v>545.6</v>
      </c>
      <c r="K3931" s="106"/>
      <c r="L3931" s="114"/>
      <c r="M3931" s="114">
        <f>tblAquisições[[#This Row],[VALOR UNITARIO COMPRADO]]*tblAquisições[[#This Row],[QUANTIDADE COMPRADA]]</f>
        <v>0</v>
      </c>
      <c r="N3931" s="110">
        <f>K3931-tblAquisições[[#This Row],[QUANTIDADE PLANEJADA]]</f>
        <v>-20</v>
      </c>
      <c r="O3931" s="106" t="str">
        <f t="shared" si="123"/>
        <v>Faltando Comprar</v>
      </c>
    </row>
    <row r="3932" spans="1:15" ht="31.5">
      <c r="A3932" s="16" t="s">
        <v>17</v>
      </c>
      <c r="B3932" s="16" t="s">
        <v>24</v>
      </c>
      <c r="C3932" s="17" t="s">
        <v>19</v>
      </c>
      <c r="D3932" s="18" t="s">
        <v>2208</v>
      </c>
      <c r="E3932" s="18">
        <v>20</v>
      </c>
      <c r="F3932" s="18" t="s">
        <v>21</v>
      </c>
      <c r="G3932" s="18" t="s">
        <v>22</v>
      </c>
      <c r="H3932" s="18" t="s">
        <v>23</v>
      </c>
      <c r="I3932" s="19">
        <v>27.28</v>
      </c>
      <c r="J3932" s="20">
        <f t="shared" si="122"/>
        <v>545.6</v>
      </c>
      <c r="K3932" s="106"/>
      <c r="L3932" s="114"/>
      <c r="M3932" s="114">
        <f>tblAquisições[[#This Row],[VALOR UNITARIO COMPRADO]]*tblAquisições[[#This Row],[QUANTIDADE COMPRADA]]</f>
        <v>0</v>
      </c>
      <c r="N3932" s="110">
        <f>K3932-tblAquisições[[#This Row],[QUANTIDADE PLANEJADA]]</f>
        <v>-20</v>
      </c>
      <c r="O3932" s="106" t="str">
        <f t="shared" si="123"/>
        <v>Faltando Comprar</v>
      </c>
    </row>
    <row r="3933" spans="1:15" ht="31.5">
      <c r="A3933" s="16" t="s">
        <v>17</v>
      </c>
      <c r="B3933" s="16" t="s">
        <v>25</v>
      </c>
      <c r="C3933" s="17" t="s">
        <v>19</v>
      </c>
      <c r="D3933" s="18" t="s">
        <v>2208</v>
      </c>
      <c r="E3933" s="18">
        <v>20</v>
      </c>
      <c r="F3933" s="18" t="s">
        <v>21</v>
      </c>
      <c r="G3933" s="18" t="s">
        <v>22</v>
      </c>
      <c r="H3933" s="18" t="s">
        <v>23</v>
      </c>
      <c r="I3933" s="19">
        <v>27.28</v>
      </c>
      <c r="J3933" s="20">
        <f t="shared" si="122"/>
        <v>545.6</v>
      </c>
      <c r="K3933" s="106"/>
      <c r="L3933" s="114"/>
      <c r="M3933" s="114">
        <f>tblAquisições[[#This Row],[VALOR UNITARIO COMPRADO]]*tblAquisições[[#This Row],[QUANTIDADE COMPRADA]]</f>
        <v>0</v>
      </c>
      <c r="N3933" s="110">
        <f>K3933-tblAquisições[[#This Row],[QUANTIDADE PLANEJADA]]</f>
        <v>-20</v>
      </c>
      <c r="O3933" s="106" t="str">
        <f t="shared" si="123"/>
        <v>Faltando Comprar</v>
      </c>
    </row>
    <row r="3934" spans="1:15" ht="31.5">
      <c r="A3934" s="16" t="s">
        <v>17</v>
      </c>
      <c r="B3934" s="16" t="s">
        <v>41</v>
      </c>
      <c r="C3934" s="17" t="s">
        <v>19</v>
      </c>
      <c r="D3934" s="18" t="s">
        <v>2208</v>
      </c>
      <c r="E3934" s="18">
        <v>10</v>
      </c>
      <c r="F3934" s="18" t="s">
        <v>21</v>
      </c>
      <c r="G3934" s="18" t="s">
        <v>22</v>
      </c>
      <c r="H3934" s="18" t="s">
        <v>23</v>
      </c>
      <c r="I3934" s="19">
        <v>27.28</v>
      </c>
      <c r="J3934" s="20">
        <f t="shared" si="122"/>
        <v>272.8</v>
      </c>
      <c r="K3934" s="106"/>
      <c r="L3934" s="114"/>
      <c r="M3934" s="114">
        <f>tblAquisições[[#This Row],[VALOR UNITARIO COMPRADO]]*tblAquisições[[#This Row],[QUANTIDADE COMPRADA]]</f>
        <v>0</v>
      </c>
      <c r="N3934" s="110">
        <f>K3934-tblAquisições[[#This Row],[QUANTIDADE PLANEJADA]]</f>
        <v>-10</v>
      </c>
      <c r="O3934" s="106" t="str">
        <f t="shared" si="123"/>
        <v>Faltando Comprar</v>
      </c>
    </row>
    <row r="3935" spans="1:15" ht="31.5">
      <c r="A3935" s="16" t="s">
        <v>17</v>
      </c>
      <c r="B3935" s="16" t="s">
        <v>27</v>
      </c>
      <c r="C3935" s="17" t="s">
        <v>19</v>
      </c>
      <c r="D3935" s="18" t="s">
        <v>2208</v>
      </c>
      <c r="E3935" s="18">
        <v>20</v>
      </c>
      <c r="F3935" s="18" t="s">
        <v>21</v>
      </c>
      <c r="G3935" s="18" t="s">
        <v>22</v>
      </c>
      <c r="H3935" s="18" t="s">
        <v>23</v>
      </c>
      <c r="I3935" s="19">
        <v>27.28</v>
      </c>
      <c r="J3935" s="20">
        <f t="shared" si="122"/>
        <v>545.6</v>
      </c>
      <c r="K3935" s="106"/>
      <c r="L3935" s="114"/>
      <c r="M3935" s="114">
        <f>tblAquisições[[#This Row],[VALOR UNITARIO COMPRADO]]*tblAquisições[[#This Row],[QUANTIDADE COMPRADA]]</f>
        <v>0</v>
      </c>
      <c r="N3935" s="110">
        <f>K3935-tblAquisições[[#This Row],[QUANTIDADE PLANEJADA]]</f>
        <v>-20</v>
      </c>
      <c r="O3935" s="106" t="str">
        <f t="shared" si="123"/>
        <v>Faltando Comprar</v>
      </c>
    </row>
    <row r="3936" spans="1:15" ht="31.5">
      <c r="A3936" s="16" t="s">
        <v>17</v>
      </c>
      <c r="B3936" s="16" t="s">
        <v>28</v>
      </c>
      <c r="C3936" s="17" t="s">
        <v>19</v>
      </c>
      <c r="D3936" s="18" t="s">
        <v>2208</v>
      </c>
      <c r="E3936" s="18">
        <v>60</v>
      </c>
      <c r="F3936" s="18" t="s">
        <v>21</v>
      </c>
      <c r="G3936" s="18" t="s">
        <v>22</v>
      </c>
      <c r="H3936" s="18" t="s">
        <v>23</v>
      </c>
      <c r="I3936" s="19">
        <v>27.28</v>
      </c>
      <c r="J3936" s="20">
        <f t="shared" si="122"/>
        <v>1636.8000000000002</v>
      </c>
      <c r="K3936" s="106"/>
      <c r="L3936" s="114"/>
      <c r="M3936" s="114">
        <f>tblAquisições[[#This Row],[VALOR UNITARIO COMPRADO]]*tblAquisições[[#This Row],[QUANTIDADE COMPRADA]]</f>
        <v>0</v>
      </c>
      <c r="N3936" s="110">
        <f>K3936-tblAquisições[[#This Row],[QUANTIDADE PLANEJADA]]</f>
        <v>-60</v>
      </c>
      <c r="O3936" s="106" t="str">
        <f t="shared" si="123"/>
        <v>Faltando Comprar</v>
      </c>
    </row>
    <row r="3937" spans="1:15" ht="47.25">
      <c r="A3937" s="16" t="s">
        <v>17</v>
      </c>
      <c r="B3937" s="16" t="s">
        <v>28</v>
      </c>
      <c r="C3937" s="17" t="s">
        <v>19</v>
      </c>
      <c r="D3937" s="18" t="s">
        <v>2209</v>
      </c>
      <c r="E3937" s="18">
        <v>10</v>
      </c>
      <c r="F3937" s="18" t="s">
        <v>78</v>
      </c>
      <c r="G3937" s="18" t="s">
        <v>22</v>
      </c>
      <c r="H3937" s="18" t="s">
        <v>23</v>
      </c>
      <c r="I3937" s="19">
        <v>73.98</v>
      </c>
      <c r="J3937" s="20">
        <f t="shared" si="122"/>
        <v>739.80000000000007</v>
      </c>
      <c r="K3937" s="106"/>
      <c r="L3937" s="114"/>
      <c r="M3937" s="114">
        <f>tblAquisições[[#This Row],[VALOR UNITARIO COMPRADO]]*tblAquisições[[#This Row],[QUANTIDADE COMPRADA]]</f>
        <v>0</v>
      </c>
      <c r="N3937" s="110">
        <f>K3937-tblAquisições[[#This Row],[QUANTIDADE PLANEJADA]]</f>
        <v>-10</v>
      </c>
      <c r="O3937" s="106" t="str">
        <f t="shared" si="123"/>
        <v>Faltando Comprar</v>
      </c>
    </row>
    <row r="3938" spans="1:15" ht="47.25">
      <c r="A3938" s="16" t="s">
        <v>17</v>
      </c>
      <c r="B3938" s="16" t="s">
        <v>28</v>
      </c>
      <c r="C3938" s="17" t="s">
        <v>19</v>
      </c>
      <c r="D3938" s="18" t="s">
        <v>2210</v>
      </c>
      <c r="E3938" s="18">
        <v>15</v>
      </c>
      <c r="F3938" s="18" t="s">
        <v>78</v>
      </c>
      <c r="G3938" s="18" t="s">
        <v>22</v>
      </c>
      <c r="H3938" s="18" t="s">
        <v>23</v>
      </c>
      <c r="I3938" s="19">
        <v>42.67</v>
      </c>
      <c r="J3938" s="20">
        <f t="shared" si="122"/>
        <v>640.05000000000007</v>
      </c>
      <c r="K3938" s="106"/>
      <c r="L3938" s="114"/>
      <c r="M3938" s="114">
        <f>tblAquisições[[#This Row],[VALOR UNITARIO COMPRADO]]*tblAquisições[[#This Row],[QUANTIDADE COMPRADA]]</f>
        <v>0</v>
      </c>
      <c r="N3938" s="110">
        <f>K3938-tblAquisições[[#This Row],[QUANTIDADE PLANEJADA]]</f>
        <v>-15</v>
      </c>
      <c r="O3938" s="106" t="str">
        <f t="shared" si="123"/>
        <v>Faltando Comprar</v>
      </c>
    </row>
    <row r="3939" spans="1:15" ht="47.25">
      <c r="A3939" s="16" t="s">
        <v>17</v>
      </c>
      <c r="B3939" s="16" t="s">
        <v>41</v>
      </c>
      <c r="C3939" s="17" t="s">
        <v>19</v>
      </c>
      <c r="D3939" s="18" t="s">
        <v>2211</v>
      </c>
      <c r="E3939" s="18">
        <v>1</v>
      </c>
      <c r="F3939" s="18" t="s">
        <v>214</v>
      </c>
      <c r="G3939" s="18" t="s">
        <v>127</v>
      </c>
      <c r="H3939" s="18" t="s">
        <v>23</v>
      </c>
      <c r="I3939" s="19">
        <v>1291.1400000000001</v>
      </c>
      <c r="J3939" s="20">
        <f t="shared" si="122"/>
        <v>1291.1400000000001</v>
      </c>
      <c r="K3939" s="106"/>
      <c r="L3939" s="114"/>
      <c r="M3939" s="114">
        <f>tblAquisições[[#This Row],[VALOR UNITARIO COMPRADO]]*tblAquisições[[#This Row],[QUANTIDADE COMPRADA]]</f>
        <v>0</v>
      </c>
      <c r="N3939" s="110">
        <f>K3939-tblAquisições[[#This Row],[QUANTIDADE PLANEJADA]]</f>
        <v>-1</v>
      </c>
      <c r="O3939" s="106" t="str">
        <f t="shared" si="123"/>
        <v>Faltando Comprar</v>
      </c>
    </row>
    <row r="3940" spans="1:15" ht="47.25">
      <c r="A3940" s="16" t="s">
        <v>17</v>
      </c>
      <c r="B3940" s="16" t="s">
        <v>34</v>
      </c>
      <c r="C3940" s="17" t="s">
        <v>19</v>
      </c>
      <c r="D3940" s="18" t="s">
        <v>2212</v>
      </c>
      <c r="E3940" s="18">
        <v>20</v>
      </c>
      <c r="F3940" s="18" t="s">
        <v>131</v>
      </c>
      <c r="G3940" s="18" t="s">
        <v>22</v>
      </c>
      <c r="H3940" s="18" t="s">
        <v>23</v>
      </c>
      <c r="I3940" s="19">
        <v>57.67</v>
      </c>
      <c r="J3940" s="20">
        <f t="shared" si="122"/>
        <v>1153.4000000000001</v>
      </c>
      <c r="K3940" s="106"/>
      <c r="L3940" s="114"/>
      <c r="M3940" s="114">
        <f>tblAquisições[[#This Row],[VALOR UNITARIO COMPRADO]]*tblAquisições[[#This Row],[QUANTIDADE COMPRADA]]</f>
        <v>0</v>
      </c>
      <c r="N3940" s="110">
        <f>K3940-tblAquisições[[#This Row],[QUANTIDADE PLANEJADA]]</f>
        <v>-20</v>
      </c>
      <c r="O3940" s="106" t="str">
        <f t="shared" si="123"/>
        <v>Faltando Comprar</v>
      </c>
    </row>
    <row r="3941" spans="1:15" ht="63">
      <c r="A3941" s="16" t="s">
        <v>17</v>
      </c>
      <c r="B3941" s="16" t="s">
        <v>80</v>
      </c>
      <c r="C3941" s="17" t="s">
        <v>19</v>
      </c>
      <c r="D3941" s="18" t="s">
        <v>2213</v>
      </c>
      <c r="E3941" s="18">
        <v>2</v>
      </c>
      <c r="F3941" s="18" t="s">
        <v>1158</v>
      </c>
      <c r="G3941" s="18" t="s">
        <v>775</v>
      </c>
      <c r="H3941" s="18" t="s">
        <v>23</v>
      </c>
      <c r="I3941" s="19">
        <v>8517.57</v>
      </c>
      <c r="J3941" s="20">
        <f t="shared" si="122"/>
        <v>17035.14</v>
      </c>
      <c r="K3941" s="106"/>
      <c r="L3941" s="114"/>
      <c r="M3941" s="114">
        <f>tblAquisições[[#This Row],[VALOR UNITARIO COMPRADO]]*tblAquisições[[#This Row],[QUANTIDADE COMPRADA]]</f>
        <v>0</v>
      </c>
      <c r="N3941" s="110">
        <f>K3941-tblAquisições[[#This Row],[QUANTIDADE PLANEJADA]]</f>
        <v>-2</v>
      </c>
      <c r="O3941" s="106" t="str">
        <f t="shared" si="123"/>
        <v>Faltando Comprar</v>
      </c>
    </row>
    <row r="3942" spans="1:15" ht="63">
      <c r="A3942" s="16" t="s">
        <v>17</v>
      </c>
      <c r="B3942" s="16" t="s">
        <v>80</v>
      </c>
      <c r="C3942" s="17" t="s">
        <v>19</v>
      </c>
      <c r="D3942" s="18" t="s">
        <v>2214</v>
      </c>
      <c r="E3942" s="18">
        <v>2</v>
      </c>
      <c r="F3942" s="18" t="s">
        <v>1158</v>
      </c>
      <c r="G3942" s="18" t="s">
        <v>775</v>
      </c>
      <c r="H3942" s="18" t="s">
        <v>23</v>
      </c>
      <c r="I3942" s="19">
        <v>10571.53</v>
      </c>
      <c r="J3942" s="20">
        <f t="shared" si="122"/>
        <v>21143.06</v>
      </c>
      <c r="K3942" s="106"/>
      <c r="L3942" s="114"/>
      <c r="M3942" s="114">
        <f>tblAquisições[[#This Row],[VALOR UNITARIO COMPRADO]]*tblAquisições[[#This Row],[QUANTIDADE COMPRADA]]</f>
        <v>0</v>
      </c>
      <c r="N3942" s="110">
        <f>K3942-tblAquisições[[#This Row],[QUANTIDADE PLANEJADA]]</f>
        <v>-2</v>
      </c>
      <c r="O3942" s="106" t="str">
        <f t="shared" si="123"/>
        <v>Faltando Comprar</v>
      </c>
    </row>
    <row r="3943" spans="1:15" ht="63">
      <c r="A3943" s="16" t="s">
        <v>17</v>
      </c>
      <c r="B3943" s="16" t="s">
        <v>18</v>
      </c>
      <c r="C3943" s="17" t="s">
        <v>19</v>
      </c>
      <c r="D3943" s="18" t="s">
        <v>2215</v>
      </c>
      <c r="E3943" s="18">
        <v>2</v>
      </c>
      <c r="F3943" s="18" t="s">
        <v>126</v>
      </c>
      <c r="G3943" s="18" t="s">
        <v>127</v>
      </c>
      <c r="H3943" s="18" t="s">
        <v>23</v>
      </c>
      <c r="I3943" s="19">
        <v>10571.53</v>
      </c>
      <c r="J3943" s="20">
        <f t="shared" si="122"/>
        <v>21143.06</v>
      </c>
      <c r="K3943" s="106"/>
      <c r="L3943" s="114"/>
      <c r="M3943" s="114">
        <f>tblAquisições[[#This Row],[VALOR UNITARIO COMPRADO]]*tblAquisições[[#This Row],[QUANTIDADE COMPRADA]]</f>
        <v>0</v>
      </c>
      <c r="N3943" s="110">
        <f>K3943-tblAquisições[[#This Row],[QUANTIDADE PLANEJADA]]</f>
        <v>-2</v>
      </c>
      <c r="O3943" s="106" t="str">
        <f t="shared" si="123"/>
        <v>Faltando Comprar</v>
      </c>
    </row>
    <row r="3944" spans="1:15" ht="63">
      <c r="A3944" s="16" t="s">
        <v>17</v>
      </c>
      <c r="B3944" s="16" t="s">
        <v>24</v>
      </c>
      <c r="C3944" s="17" t="s">
        <v>19</v>
      </c>
      <c r="D3944" s="18" t="s">
        <v>2215</v>
      </c>
      <c r="E3944" s="18">
        <v>2</v>
      </c>
      <c r="F3944" s="18" t="s">
        <v>126</v>
      </c>
      <c r="G3944" s="18" t="s">
        <v>127</v>
      </c>
      <c r="H3944" s="18" t="s">
        <v>23</v>
      </c>
      <c r="I3944" s="19">
        <v>10571.53</v>
      </c>
      <c r="J3944" s="20">
        <f t="shared" si="122"/>
        <v>21143.06</v>
      </c>
      <c r="K3944" s="106"/>
      <c r="L3944" s="114"/>
      <c r="M3944" s="114">
        <f>tblAquisições[[#This Row],[VALOR UNITARIO COMPRADO]]*tblAquisições[[#This Row],[QUANTIDADE COMPRADA]]</f>
        <v>0</v>
      </c>
      <c r="N3944" s="110">
        <f>K3944-tblAquisições[[#This Row],[QUANTIDADE PLANEJADA]]</f>
        <v>-2</v>
      </c>
      <c r="O3944" s="106" t="str">
        <f t="shared" si="123"/>
        <v>Faltando Comprar</v>
      </c>
    </row>
    <row r="3945" spans="1:15" ht="63">
      <c r="A3945" s="16" t="s">
        <v>17</v>
      </c>
      <c r="B3945" s="16" t="s">
        <v>25</v>
      </c>
      <c r="C3945" s="17" t="s">
        <v>19</v>
      </c>
      <c r="D3945" s="33" t="s">
        <v>2215</v>
      </c>
      <c r="E3945" s="33">
        <v>2</v>
      </c>
      <c r="F3945" s="33" t="s">
        <v>126</v>
      </c>
      <c r="G3945" s="33" t="s">
        <v>127</v>
      </c>
      <c r="H3945" s="33" t="s">
        <v>23</v>
      </c>
      <c r="I3945" s="19">
        <v>10571.53</v>
      </c>
      <c r="J3945" s="20">
        <f t="shared" si="122"/>
        <v>21143.06</v>
      </c>
      <c r="K3945" s="106"/>
      <c r="L3945" s="114"/>
      <c r="M3945" s="114">
        <f>tblAquisições[[#This Row],[VALOR UNITARIO COMPRADO]]*tblAquisições[[#This Row],[QUANTIDADE COMPRADA]]</f>
        <v>0</v>
      </c>
      <c r="N3945" s="110">
        <f>K3945-tblAquisições[[#This Row],[QUANTIDADE PLANEJADA]]</f>
        <v>-2</v>
      </c>
      <c r="O3945" s="106" t="str">
        <f t="shared" si="123"/>
        <v>Faltando Comprar</v>
      </c>
    </row>
    <row r="3946" spans="1:15" ht="63">
      <c r="A3946" s="16" t="s">
        <v>17</v>
      </c>
      <c r="B3946" s="16" t="s">
        <v>26</v>
      </c>
      <c r="C3946" s="17" t="s">
        <v>19</v>
      </c>
      <c r="D3946" s="18" t="s">
        <v>2215</v>
      </c>
      <c r="E3946" s="18">
        <v>2</v>
      </c>
      <c r="F3946" s="18" t="s">
        <v>126</v>
      </c>
      <c r="G3946" s="18" t="s">
        <v>127</v>
      </c>
      <c r="H3946" s="18" t="s">
        <v>23</v>
      </c>
      <c r="I3946" s="19">
        <v>10571.53</v>
      </c>
      <c r="J3946" s="20">
        <f t="shared" si="122"/>
        <v>21143.06</v>
      </c>
      <c r="K3946" s="106"/>
      <c r="L3946" s="114"/>
      <c r="M3946" s="114">
        <f>tblAquisições[[#This Row],[VALOR UNITARIO COMPRADO]]*tblAquisições[[#This Row],[QUANTIDADE COMPRADA]]</f>
        <v>0</v>
      </c>
      <c r="N3946" s="110">
        <f>K3946-tblAquisições[[#This Row],[QUANTIDADE PLANEJADA]]</f>
        <v>-2</v>
      </c>
      <c r="O3946" s="106" t="str">
        <f t="shared" si="123"/>
        <v>Faltando Comprar</v>
      </c>
    </row>
    <row r="3947" spans="1:15" ht="31.5">
      <c r="A3947" s="16" t="s">
        <v>17</v>
      </c>
      <c r="B3947" s="16" t="s">
        <v>34</v>
      </c>
      <c r="C3947" s="17" t="s">
        <v>19</v>
      </c>
      <c r="D3947" s="18" t="s">
        <v>2216</v>
      </c>
      <c r="E3947" s="18">
        <v>8</v>
      </c>
      <c r="F3947" s="18" t="s">
        <v>328</v>
      </c>
      <c r="G3947" s="18" t="s">
        <v>22</v>
      </c>
      <c r="H3947" s="18" t="s">
        <v>23</v>
      </c>
      <c r="I3947" s="19">
        <v>62.23</v>
      </c>
      <c r="J3947" s="20">
        <f t="shared" si="122"/>
        <v>497.84</v>
      </c>
      <c r="K3947" s="106"/>
      <c r="L3947" s="114"/>
      <c r="M3947" s="114">
        <f>tblAquisições[[#This Row],[VALOR UNITARIO COMPRADO]]*tblAquisições[[#This Row],[QUANTIDADE COMPRADA]]</f>
        <v>0</v>
      </c>
      <c r="N3947" s="110">
        <f>K3947-tblAquisições[[#This Row],[QUANTIDADE PLANEJADA]]</f>
        <v>-8</v>
      </c>
      <c r="O3947" s="106" t="str">
        <f t="shared" si="123"/>
        <v>Faltando Comprar</v>
      </c>
    </row>
    <row r="3948" spans="1:15" ht="31.5">
      <c r="A3948" s="16" t="s">
        <v>17</v>
      </c>
      <c r="B3948" s="16" t="s">
        <v>18</v>
      </c>
      <c r="C3948" s="17" t="s">
        <v>19</v>
      </c>
      <c r="D3948" s="18" t="s">
        <v>2217</v>
      </c>
      <c r="E3948" s="18">
        <v>20</v>
      </c>
      <c r="F3948" s="18" t="s">
        <v>21</v>
      </c>
      <c r="G3948" s="18" t="s">
        <v>22</v>
      </c>
      <c r="H3948" s="18" t="s">
        <v>23</v>
      </c>
      <c r="I3948" s="19">
        <v>47.79</v>
      </c>
      <c r="J3948" s="20">
        <f t="shared" si="122"/>
        <v>955.8</v>
      </c>
      <c r="K3948" s="106"/>
      <c r="L3948" s="114"/>
      <c r="M3948" s="114">
        <f>tblAquisições[[#This Row],[VALOR UNITARIO COMPRADO]]*tblAquisições[[#This Row],[QUANTIDADE COMPRADA]]</f>
        <v>0</v>
      </c>
      <c r="N3948" s="110">
        <f>K3948-tblAquisições[[#This Row],[QUANTIDADE PLANEJADA]]</f>
        <v>-20</v>
      </c>
      <c r="O3948" s="106" t="str">
        <f t="shared" si="123"/>
        <v>Faltando Comprar</v>
      </c>
    </row>
    <row r="3949" spans="1:15" ht="31.5">
      <c r="A3949" s="16" t="s">
        <v>17</v>
      </c>
      <c r="B3949" s="16" t="s">
        <v>24</v>
      </c>
      <c r="C3949" s="17" t="s">
        <v>19</v>
      </c>
      <c r="D3949" s="18" t="s">
        <v>2217</v>
      </c>
      <c r="E3949" s="18">
        <v>20</v>
      </c>
      <c r="F3949" s="18" t="s">
        <v>21</v>
      </c>
      <c r="G3949" s="18" t="s">
        <v>22</v>
      </c>
      <c r="H3949" s="18" t="s">
        <v>23</v>
      </c>
      <c r="I3949" s="19">
        <v>47.79</v>
      </c>
      <c r="J3949" s="20">
        <f t="shared" si="122"/>
        <v>955.8</v>
      </c>
      <c r="K3949" s="106"/>
      <c r="L3949" s="114"/>
      <c r="M3949" s="114">
        <f>tblAquisições[[#This Row],[VALOR UNITARIO COMPRADO]]*tblAquisições[[#This Row],[QUANTIDADE COMPRADA]]</f>
        <v>0</v>
      </c>
      <c r="N3949" s="110">
        <f>K3949-tblAquisições[[#This Row],[QUANTIDADE PLANEJADA]]</f>
        <v>-20</v>
      </c>
      <c r="O3949" s="106" t="str">
        <f t="shared" si="123"/>
        <v>Faltando Comprar</v>
      </c>
    </row>
    <row r="3950" spans="1:15" ht="31.5">
      <c r="A3950" s="16" t="s">
        <v>17</v>
      </c>
      <c r="B3950" s="16" t="s">
        <v>25</v>
      </c>
      <c r="C3950" s="17" t="s">
        <v>19</v>
      </c>
      <c r="D3950" s="18" t="s">
        <v>2217</v>
      </c>
      <c r="E3950" s="18">
        <v>20</v>
      </c>
      <c r="F3950" s="18" t="s">
        <v>21</v>
      </c>
      <c r="G3950" s="18" t="s">
        <v>22</v>
      </c>
      <c r="H3950" s="18" t="s">
        <v>23</v>
      </c>
      <c r="I3950" s="19">
        <v>47.79</v>
      </c>
      <c r="J3950" s="20">
        <f t="shared" si="122"/>
        <v>955.8</v>
      </c>
      <c r="K3950" s="106"/>
      <c r="L3950" s="114"/>
      <c r="M3950" s="114">
        <f>tblAquisições[[#This Row],[VALOR UNITARIO COMPRADO]]*tblAquisições[[#This Row],[QUANTIDADE COMPRADA]]</f>
        <v>0</v>
      </c>
      <c r="N3950" s="110">
        <f>K3950-tblAquisições[[#This Row],[QUANTIDADE PLANEJADA]]</f>
        <v>-20</v>
      </c>
      <c r="O3950" s="106" t="str">
        <f t="shared" si="123"/>
        <v>Faltando Comprar</v>
      </c>
    </row>
    <row r="3951" spans="1:15" ht="31.5">
      <c r="A3951" s="16" t="s">
        <v>17</v>
      </c>
      <c r="B3951" s="16" t="s">
        <v>41</v>
      </c>
      <c r="C3951" s="17" t="s">
        <v>19</v>
      </c>
      <c r="D3951" s="18" t="s">
        <v>2217</v>
      </c>
      <c r="E3951" s="18">
        <v>50</v>
      </c>
      <c r="F3951" s="18" t="s">
        <v>21</v>
      </c>
      <c r="G3951" s="18" t="s">
        <v>22</v>
      </c>
      <c r="H3951" s="18" t="s">
        <v>23</v>
      </c>
      <c r="I3951" s="19">
        <v>47.79</v>
      </c>
      <c r="J3951" s="20">
        <f t="shared" si="122"/>
        <v>2389.5</v>
      </c>
      <c r="K3951" s="106"/>
      <c r="L3951" s="114"/>
      <c r="M3951" s="114">
        <f>tblAquisições[[#This Row],[VALOR UNITARIO COMPRADO]]*tblAquisições[[#This Row],[QUANTIDADE COMPRADA]]</f>
        <v>0</v>
      </c>
      <c r="N3951" s="110">
        <f>K3951-tblAquisições[[#This Row],[QUANTIDADE PLANEJADA]]</f>
        <v>-50</v>
      </c>
      <c r="O3951" s="106" t="str">
        <f t="shared" si="123"/>
        <v>Faltando Comprar</v>
      </c>
    </row>
    <row r="3952" spans="1:15" ht="31.5">
      <c r="A3952" s="16" t="s">
        <v>17</v>
      </c>
      <c r="B3952" s="16" t="s">
        <v>28</v>
      </c>
      <c r="C3952" s="17" t="s">
        <v>19</v>
      </c>
      <c r="D3952" s="18" t="s">
        <v>2217</v>
      </c>
      <c r="E3952" s="18">
        <v>50</v>
      </c>
      <c r="F3952" s="18" t="s">
        <v>21</v>
      </c>
      <c r="G3952" s="18" t="s">
        <v>22</v>
      </c>
      <c r="H3952" s="18" t="s">
        <v>23</v>
      </c>
      <c r="I3952" s="19">
        <v>47.79</v>
      </c>
      <c r="J3952" s="20">
        <f t="shared" si="122"/>
        <v>2389.5</v>
      </c>
      <c r="K3952" s="106"/>
      <c r="L3952" s="114"/>
      <c r="M3952" s="114">
        <f>tblAquisições[[#This Row],[VALOR UNITARIO COMPRADO]]*tblAquisições[[#This Row],[QUANTIDADE COMPRADA]]</f>
        <v>0</v>
      </c>
      <c r="N3952" s="110">
        <f>K3952-tblAquisições[[#This Row],[QUANTIDADE PLANEJADA]]</f>
        <v>-50</v>
      </c>
      <c r="O3952" s="106" t="str">
        <f t="shared" si="123"/>
        <v>Faltando Comprar</v>
      </c>
    </row>
    <row r="3953" spans="1:15" ht="47.25">
      <c r="A3953" s="16" t="s">
        <v>17</v>
      </c>
      <c r="B3953" s="16" t="s">
        <v>26</v>
      </c>
      <c r="C3953" s="17" t="s">
        <v>19</v>
      </c>
      <c r="D3953" s="18" t="s">
        <v>2218</v>
      </c>
      <c r="E3953" s="18">
        <v>10</v>
      </c>
      <c r="F3953" s="18" t="s">
        <v>78</v>
      </c>
      <c r="G3953" s="18" t="s">
        <v>22</v>
      </c>
      <c r="H3953" s="18" t="s">
        <v>23</v>
      </c>
      <c r="I3953" s="19">
        <v>116.01</v>
      </c>
      <c r="J3953" s="20">
        <f t="shared" si="122"/>
        <v>1160.1000000000001</v>
      </c>
      <c r="K3953" s="106"/>
      <c r="L3953" s="114"/>
      <c r="M3953" s="114">
        <f>tblAquisições[[#This Row],[VALOR UNITARIO COMPRADO]]*tblAquisições[[#This Row],[QUANTIDADE COMPRADA]]</f>
        <v>0</v>
      </c>
      <c r="N3953" s="110">
        <f>K3953-tblAquisições[[#This Row],[QUANTIDADE PLANEJADA]]</f>
        <v>-10</v>
      </c>
      <c r="O3953" s="106" t="str">
        <f t="shared" si="123"/>
        <v>Faltando Comprar</v>
      </c>
    </row>
    <row r="3954" spans="1:15" ht="47.25">
      <c r="A3954" s="16" t="s">
        <v>17</v>
      </c>
      <c r="B3954" s="16" t="s">
        <v>28</v>
      </c>
      <c r="C3954" s="17" t="s">
        <v>19</v>
      </c>
      <c r="D3954" s="18" t="s">
        <v>2218</v>
      </c>
      <c r="E3954" s="18">
        <v>15</v>
      </c>
      <c r="F3954" s="18" t="s">
        <v>78</v>
      </c>
      <c r="G3954" s="18" t="s">
        <v>22</v>
      </c>
      <c r="H3954" s="18" t="s">
        <v>23</v>
      </c>
      <c r="I3954" s="19">
        <v>116.01</v>
      </c>
      <c r="J3954" s="20">
        <f t="shared" si="122"/>
        <v>1740.15</v>
      </c>
      <c r="K3954" s="106"/>
      <c r="L3954" s="114"/>
      <c r="M3954" s="114">
        <f>tblAquisições[[#This Row],[VALOR UNITARIO COMPRADO]]*tblAquisições[[#This Row],[QUANTIDADE COMPRADA]]</f>
        <v>0</v>
      </c>
      <c r="N3954" s="110">
        <f>K3954-tblAquisições[[#This Row],[QUANTIDADE PLANEJADA]]</f>
        <v>-15</v>
      </c>
      <c r="O3954" s="106" t="str">
        <f t="shared" si="123"/>
        <v>Faltando Comprar</v>
      </c>
    </row>
    <row r="3955" spans="1:15" ht="47.25">
      <c r="A3955" s="16" t="s">
        <v>17</v>
      </c>
      <c r="B3955" s="16" t="s">
        <v>80</v>
      </c>
      <c r="C3955" s="17" t="s">
        <v>19</v>
      </c>
      <c r="D3955" s="18" t="s">
        <v>2219</v>
      </c>
      <c r="E3955" s="18">
        <v>10</v>
      </c>
      <c r="F3955" s="18" t="s">
        <v>147</v>
      </c>
      <c r="G3955" s="18" t="s">
        <v>39</v>
      </c>
      <c r="H3955" s="18" t="s">
        <v>23</v>
      </c>
      <c r="I3955" s="19">
        <v>192.53</v>
      </c>
      <c r="J3955" s="20">
        <f t="shared" si="122"/>
        <v>1925.3</v>
      </c>
      <c r="K3955" s="106"/>
      <c r="L3955" s="114"/>
      <c r="M3955" s="114">
        <f>tblAquisições[[#This Row],[VALOR UNITARIO COMPRADO]]*tblAquisições[[#This Row],[QUANTIDADE COMPRADA]]</f>
        <v>0</v>
      </c>
      <c r="N3955" s="110">
        <f>K3955-tblAquisições[[#This Row],[QUANTIDADE PLANEJADA]]</f>
        <v>-10</v>
      </c>
      <c r="O3955" s="106" t="str">
        <f t="shared" si="123"/>
        <v>Faltando Comprar</v>
      </c>
    </row>
    <row r="3956" spans="1:15" ht="47.25">
      <c r="A3956" s="16" t="s">
        <v>17</v>
      </c>
      <c r="B3956" s="16" t="s">
        <v>18</v>
      </c>
      <c r="C3956" s="17" t="s">
        <v>19</v>
      </c>
      <c r="D3956" s="18" t="s">
        <v>2220</v>
      </c>
      <c r="E3956" s="18">
        <v>20</v>
      </c>
      <c r="F3956" s="18" t="s">
        <v>78</v>
      </c>
      <c r="G3956" s="18" t="s">
        <v>22</v>
      </c>
      <c r="H3956" s="18" t="s">
        <v>23</v>
      </c>
      <c r="I3956" s="19">
        <v>192.53</v>
      </c>
      <c r="J3956" s="20">
        <f t="shared" si="122"/>
        <v>3850.6</v>
      </c>
      <c r="K3956" s="106"/>
      <c r="L3956" s="114"/>
      <c r="M3956" s="114">
        <f>tblAquisições[[#This Row],[VALOR UNITARIO COMPRADO]]*tblAquisições[[#This Row],[QUANTIDADE COMPRADA]]</f>
        <v>0</v>
      </c>
      <c r="N3956" s="110">
        <f>K3956-tblAquisições[[#This Row],[QUANTIDADE PLANEJADA]]</f>
        <v>-20</v>
      </c>
      <c r="O3956" s="106" t="str">
        <f t="shared" si="123"/>
        <v>Faltando Comprar</v>
      </c>
    </row>
    <row r="3957" spans="1:15" ht="47.25">
      <c r="A3957" s="16" t="s">
        <v>17</v>
      </c>
      <c r="B3957" s="16" t="s">
        <v>24</v>
      </c>
      <c r="C3957" s="17" t="s">
        <v>19</v>
      </c>
      <c r="D3957" s="18" t="s">
        <v>2220</v>
      </c>
      <c r="E3957" s="18">
        <v>20</v>
      </c>
      <c r="F3957" s="18" t="s">
        <v>78</v>
      </c>
      <c r="G3957" s="18" t="s">
        <v>22</v>
      </c>
      <c r="H3957" s="18" t="s">
        <v>23</v>
      </c>
      <c r="I3957" s="19">
        <v>192.53</v>
      </c>
      <c r="J3957" s="20">
        <f t="shared" si="122"/>
        <v>3850.6</v>
      </c>
      <c r="K3957" s="106"/>
      <c r="L3957" s="114"/>
      <c r="M3957" s="114">
        <f>tblAquisições[[#This Row],[VALOR UNITARIO COMPRADO]]*tblAquisições[[#This Row],[QUANTIDADE COMPRADA]]</f>
        <v>0</v>
      </c>
      <c r="N3957" s="110">
        <f>K3957-tblAquisições[[#This Row],[QUANTIDADE PLANEJADA]]</f>
        <v>-20</v>
      </c>
      <c r="O3957" s="106" t="str">
        <f t="shared" si="123"/>
        <v>Faltando Comprar</v>
      </c>
    </row>
    <row r="3958" spans="1:15" ht="47.25">
      <c r="A3958" s="16" t="s">
        <v>17</v>
      </c>
      <c r="B3958" s="16" t="s">
        <v>25</v>
      </c>
      <c r="C3958" s="17" t="s">
        <v>19</v>
      </c>
      <c r="D3958" s="18" t="s">
        <v>2220</v>
      </c>
      <c r="E3958" s="18">
        <v>20</v>
      </c>
      <c r="F3958" s="18" t="s">
        <v>78</v>
      </c>
      <c r="G3958" s="18" t="s">
        <v>22</v>
      </c>
      <c r="H3958" s="18" t="s">
        <v>23</v>
      </c>
      <c r="I3958" s="19">
        <v>192.53</v>
      </c>
      <c r="J3958" s="20">
        <f t="shared" si="122"/>
        <v>3850.6</v>
      </c>
      <c r="K3958" s="106"/>
      <c r="L3958" s="114"/>
      <c r="M3958" s="114">
        <f>tblAquisições[[#This Row],[VALOR UNITARIO COMPRADO]]*tblAquisições[[#This Row],[QUANTIDADE COMPRADA]]</f>
        <v>0</v>
      </c>
      <c r="N3958" s="110">
        <f>K3958-tblAquisições[[#This Row],[QUANTIDADE PLANEJADA]]</f>
        <v>-20</v>
      </c>
      <c r="O3958" s="106" t="str">
        <f t="shared" si="123"/>
        <v>Faltando Comprar</v>
      </c>
    </row>
    <row r="3959" spans="1:15" ht="47.25">
      <c r="A3959" s="16" t="s">
        <v>17</v>
      </c>
      <c r="B3959" s="16" t="s">
        <v>27</v>
      </c>
      <c r="C3959" s="17" t="s">
        <v>19</v>
      </c>
      <c r="D3959" s="18" t="s">
        <v>2220</v>
      </c>
      <c r="E3959" s="18">
        <v>40</v>
      </c>
      <c r="F3959" s="18" t="s">
        <v>78</v>
      </c>
      <c r="G3959" s="18" t="s">
        <v>22</v>
      </c>
      <c r="H3959" s="18" t="s">
        <v>23</v>
      </c>
      <c r="I3959" s="19">
        <v>192.53</v>
      </c>
      <c r="J3959" s="20">
        <f t="shared" si="122"/>
        <v>7701.2</v>
      </c>
      <c r="K3959" s="106"/>
      <c r="L3959" s="114"/>
      <c r="M3959" s="114">
        <f>tblAquisições[[#This Row],[VALOR UNITARIO COMPRADO]]*tblAquisições[[#This Row],[QUANTIDADE COMPRADA]]</f>
        <v>0</v>
      </c>
      <c r="N3959" s="110">
        <f>K3959-tblAquisições[[#This Row],[QUANTIDADE PLANEJADA]]</f>
        <v>-40</v>
      </c>
      <c r="O3959" s="106" t="str">
        <f t="shared" si="123"/>
        <v>Faltando Comprar</v>
      </c>
    </row>
    <row r="3960" spans="1:15" ht="47.25">
      <c r="A3960" s="16" t="s">
        <v>17</v>
      </c>
      <c r="B3960" s="16" t="s">
        <v>28</v>
      </c>
      <c r="C3960" s="17" t="s">
        <v>19</v>
      </c>
      <c r="D3960" s="18" t="s">
        <v>2221</v>
      </c>
      <c r="E3960" s="18">
        <v>2</v>
      </c>
      <c r="F3960" s="18" t="s">
        <v>78</v>
      </c>
      <c r="G3960" s="18" t="s">
        <v>22</v>
      </c>
      <c r="H3960" s="18" t="s">
        <v>100</v>
      </c>
      <c r="I3960" s="19">
        <v>26.35</v>
      </c>
      <c r="J3960" s="20">
        <f t="shared" si="122"/>
        <v>52.7</v>
      </c>
      <c r="K3960" s="106"/>
      <c r="L3960" s="114"/>
      <c r="M3960" s="114">
        <f>tblAquisições[[#This Row],[VALOR UNITARIO COMPRADO]]*tblAquisições[[#This Row],[QUANTIDADE COMPRADA]]</f>
        <v>0</v>
      </c>
      <c r="N3960" s="110">
        <f>K3960-tblAquisições[[#This Row],[QUANTIDADE PLANEJADA]]</f>
        <v>-2</v>
      </c>
      <c r="O3960" s="106" t="str">
        <f t="shared" si="123"/>
        <v>Faltando Comprar</v>
      </c>
    </row>
    <row r="3961" spans="1:15" ht="31.5">
      <c r="A3961" s="16" t="s">
        <v>17</v>
      </c>
      <c r="B3961" s="16" t="s">
        <v>80</v>
      </c>
      <c r="C3961" s="17" t="s">
        <v>19</v>
      </c>
      <c r="D3961" s="18" t="s">
        <v>2222</v>
      </c>
      <c r="E3961" s="18">
        <v>2</v>
      </c>
      <c r="F3961" s="18" t="s">
        <v>468</v>
      </c>
      <c r="G3961" s="18" t="s">
        <v>39</v>
      </c>
      <c r="H3961" s="21"/>
      <c r="I3961" s="19">
        <v>34.159999999999997</v>
      </c>
      <c r="J3961" s="20">
        <f t="shared" si="122"/>
        <v>68.319999999999993</v>
      </c>
      <c r="K3961" s="106"/>
      <c r="L3961" s="114"/>
      <c r="M3961" s="114">
        <f>tblAquisições[[#This Row],[VALOR UNITARIO COMPRADO]]*tblAquisições[[#This Row],[QUANTIDADE COMPRADA]]</f>
        <v>0</v>
      </c>
      <c r="N3961" s="110">
        <f>K3961-tblAquisições[[#This Row],[QUANTIDADE PLANEJADA]]</f>
        <v>-2</v>
      </c>
      <c r="O3961" s="106" t="str">
        <f t="shared" si="123"/>
        <v>Faltando Comprar</v>
      </c>
    </row>
    <row r="3962" spans="1:15" ht="31.5">
      <c r="A3962" s="16" t="s">
        <v>17</v>
      </c>
      <c r="B3962" s="16" t="s">
        <v>34</v>
      </c>
      <c r="C3962" s="17" t="s">
        <v>19</v>
      </c>
      <c r="D3962" s="18" t="s">
        <v>2223</v>
      </c>
      <c r="E3962" s="18">
        <v>2</v>
      </c>
      <c r="F3962" s="18" t="s">
        <v>328</v>
      </c>
      <c r="G3962" s="18" t="s">
        <v>22</v>
      </c>
      <c r="H3962" s="18" t="s">
        <v>23</v>
      </c>
      <c r="I3962" s="19">
        <v>16.43</v>
      </c>
      <c r="J3962" s="20">
        <f t="shared" si="122"/>
        <v>32.86</v>
      </c>
      <c r="K3962" s="106"/>
      <c r="L3962" s="114"/>
      <c r="M3962" s="114">
        <f>tblAquisições[[#This Row],[VALOR UNITARIO COMPRADO]]*tblAquisições[[#This Row],[QUANTIDADE COMPRADA]]</f>
        <v>0</v>
      </c>
      <c r="N3962" s="110">
        <f>K3962-tblAquisições[[#This Row],[QUANTIDADE PLANEJADA]]</f>
        <v>-2</v>
      </c>
      <c r="O3962" s="106" t="str">
        <f t="shared" si="123"/>
        <v>Faltando Comprar</v>
      </c>
    </row>
    <row r="3963" spans="1:15" ht="31.5">
      <c r="A3963" s="16" t="s">
        <v>17</v>
      </c>
      <c r="B3963" s="16" t="s">
        <v>28</v>
      </c>
      <c r="C3963" s="17" t="s">
        <v>19</v>
      </c>
      <c r="D3963" s="18" t="s">
        <v>2223</v>
      </c>
      <c r="E3963" s="18">
        <v>10</v>
      </c>
      <c r="F3963" s="18" t="s">
        <v>328</v>
      </c>
      <c r="G3963" s="18" t="s">
        <v>22</v>
      </c>
      <c r="H3963" s="18" t="s">
        <v>23</v>
      </c>
      <c r="I3963" s="19">
        <v>16.43</v>
      </c>
      <c r="J3963" s="20">
        <f t="shared" si="122"/>
        <v>164.3</v>
      </c>
      <c r="K3963" s="106"/>
      <c r="L3963" s="114"/>
      <c r="M3963" s="114">
        <f>tblAquisições[[#This Row],[VALOR UNITARIO COMPRADO]]*tblAquisições[[#This Row],[QUANTIDADE COMPRADA]]</f>
        <v>0</v>
      </c>
      <c r="N3963" s="110">
        <f>K3963-tblAquisições[[#This Row],[QUANTIDADE PLANEJADA]]</f>
        <v>-10</v>
      </c>
      <c r="O3963" s="106" t="str">
        <f t="shared" si="123"/>
        <v>Faltando Comprar</v>
      </c>
    </row>
    <row r="3964" spans="1:15" ht="31.5">
      <c r="A3964" s="16" t="s">
        <v>17</v>
      </c>
      <c r="B3964" s="16" t="s">
        <v>26</v>
      </c>
      <c r="C3964" s="17" t="s">
        <v>19</v>
      </c>
      <c r="D3964" s="18" t="s">
        <v>2224</v>
      </c>
      <c r="E3964" s="18">
        <v>10</v>
      </c>
      <c r="F3964" s="18" t="s">
        <v>30</v>
      </c>
      <c r="G3964" s="18" t="s">
        <v>22</v>
      </c>
      <c r="H3964" s="18" t="s">
        <v>23</v>
      </c>
      <c r="I3964" s="19">
        <v>24.91</v>
      </c>
      <c r="J3964" s="20">
        <f t="shared" si="122"/>
        <v>249.1</v>
      </c>
      <c r="K3964" s="106"/>
      <c r="L3964" s="114"/>
      <c r="M3964" s="114">
        <f>tblAquisições[[#This Row],[VALOR UNITARIO COMPRADO]]*tblAquisições[[#This Row],[QUANTIDADE COMPRADA]]</f>
        <v>0</v>
      </c>
      <c r="N3964" s="110">
        <f>K3964-tblAquisições[[#This Row],[QUANTIDADE PLANEJADA]]</f>
        <v>-10</v>
      </c>
      <c r="O3964" s="106" t="str">
        <f t="shared" si="123"/>
        <v>Faltando Comprar</v>
      </c>
    </row>
    <row r="3965" spans="1:15" ht="31.5">
      <c r="A3965" s="16" t="s">
        <v>17</v>
      </c>
      <c r="B3965" s="16" t="s">
        <v>31</v>
      </c>
      <c r="C3965" s="17" t="s">
        <v>19</v>
      </c>
      <c r="D3965" s="18" t="s">
        <v>2225</v>
      </c>
      <c r="E3965" s="18">
        <v>5</v>
      </c>
      <c r="F3965" s="18" t="s">
        <v>328</v>
      </c>
      <c r="G3965" s="18" t="s">
        <v>22</v>
      </c>
      <c r="H3965" s="18" t="s">
        <v>23</v>
      </c>
      <c r="I3965" s="19">
        <v>41.95</v>
      </c>
      <c r="J3965" s="20">
        <f t="shared" si="122"/>
        <v>209.75</v>
      </c>
      <c r="K3965" s="106"/>
      <c r="L3965" s="114"/>
      <c r="M3965" s="114">
        <f>tblAquisições[[#This Row],[VALOR UNITARIO COMPRADO]]*tblAquisições[[#This Row],[QUANTIDADE COMPRADA]]</f>
        <v>0</v>
      </c>
      <c r="N3965" s="110">
        <f>K3965-tblAquisições[[#This Row],[QUANTIDADE PLANEJADA]]</f>
        <v>-5</v>
      </c>
      <c r="O3965" s="106" t="str">
        <f t="shared" si="123"/>
        <v>Faltando Comprar</v>
      </c>
    </row>
    <row r="3966" spans="1:15" ht="31.5">
      <c r="A3966" s="16" t="s">
        <v>17</v>
      </c>
      <c r="B3966" s="16" t="s">
        <v>28</v>
      </c>
      <c r="C3966" s="17" t="s">
        <v>19</v>
      </c>
      <c r="D3966" s="18" t="s">
        <v>2225</v>
      </c>
      <c r="E3966" s="18">
        <v>5</v>
      </c>
      <c r="F3966" s="18" t="s">
        <v>328</v>
      </c>
      <c r="G3966" s="18" t="s">
        <v>22</v>
      </c>
      <c r="H3966" s="18" t="s">
        <v>23</v>
      </c>
      <c r="I3966" s="19">
        <v>41.95</v>
      </c>
      <c r="J3966" s="20">
        <f t="shared" si="122"/>
        <v>209.75</v>
      </c>
      <c r="K3966" s="106"/>
      <c r="L3966" s="114"/>
      <c r="M3966" s="114">
        <f>tblAquisições[[#This Row],[VALOR UNITARIO COMPRADO]]*tblAquisições[[#This Row],[QUANTIDADE COMPRADA]]</f>
        <v>0</v>
      </c>
      <c r="N3966" s="110">
        <f>K3966-tblAquisições[[#This Row],[QUANTIDADE PLANEJADA]]</f>
        <v>-5</v>
      </c>
      <c r="O3966" s="106" t="str">
        <f t="shared" si="123"/>
        <v>Faltando Comprar</v>
      </c>
    </row>
    <row r="3967" spans="1:15" ht="31.5">
      <c r="A3967" s="16" t="s">
        <v>17</v>
      </c>
      <c r="B3967" s="16" t="s">
        <v>31</v>
      </c>
      <c r="C3967" s="17" t="s">
        <v>19</v>
      </c>
      <c r="D3967" s="18" t="s">
        <v>2226</v>
      </c>
      <c r="E3967" s="18">
        <v>10</v>
      </c>
      <c r="F3967" s="18" t="s">
        <v>328</v>
      </c>
      <c r="G3967" s="18" t="s">
        <v>22</v>
      </c>
      <c r="H3967" s="18" t="s">
        <v>23</v>
      </c>
      <c r="I3967" s="19">
        <v>32.39</v>
      </c>
      <c r="J3967" s="20">
        <f t="shared" si="122"/>
        <v>323.89999999999998</v>
      </c>
      <c r="K3967" s="106"/>
      <c r="L3967" s="114"/>
      <c r="M3967" s="114">
        <f>tblAquisições[[#This Row],[VALOR UNITARIO COMPRADO]]*tblAquisições[[#This Row],[QUANTIDADE COMPRADA]]</f>
        <v>0</v>
      </c>
      <c r="N3967" s="110">
        <f>K3967-tblAquisições[[#This Row],[QUANTIDADE PLANEJADA]]</f>
        <v>-10</v>
      </c>
      <c r="O3967" s="106" t="str">
        <f t="shared" si="123"/>
        <v>Faltando Comprar</v>
      </c>
    </row>
    <row r="3968" spans="1:15" ht="47.25">
      <c r="A3968" s="16" t="s">
        <v>17</v>
      </c>
      <c r="B3968" s="16" t="s">
        <v>41</v>
      </c>
      <c r="C3968" s="17" t="s">
        <v>19</v>
      </c>
      <c r="D3968" s="18" t="s">
        <v>2227</v>
      </c>
      <c r="E3968" s="18">
        <v>4</v>
      </c>
      <c r="F3968" s="18" t="s">
        <v>1568</v>
      </c>
      <c r="G3968" s="18" t="s">
        <v>127</v>
      </c>
      <c r="H3968" s="18" t="s">
        <v>23</v>
      </c>
      <c r="I3968" s="19">
        <v>250</v>
      </c>
      <c r="J3968" s="20">
        <f t="shared" si="122"/>
        <v>1000</v>
      </c>
      <c r="K3968" s="106"/>
      <c r="L3968" s="114"/>
      <c r="M3968" s="114">
        <f>tblAquisições[[#This Row],[VALOR UNITARIO COMPRADO]]*tblAquisições[[#This Row],[QUANTIDADE COMPRADA]]</f>
        <v>0</v>
      </c>
      <c r="N3968" s="110">
        <f>K3968-tblAquisições[[#This Row],[QUANTIDADE PLANEJADA]]</f>
        <v>-4</v>
      </c>
      <c r="O3968" s="106" t="str">
        <f t="shared" si="123"/>
        <v>Faltando Comprar</v>
      </c>
    </row>
    <row r="3969" spans="1:15" ht="47.25">
      <c r="A3969" s="16" t="s">
        <v>17</v>
      </c>
      <c r="B3969" s="16" t="s">
        <v>18</v>
      </c>
      <c r="C3969" s="17" t="s">
        <v>19</v>
      </c>
      <c r="D3969" s="18" t="s">
        <v>2228</v>
      </c>
      <c r="E3969" s="18">
        <v>2</v>
      </c>
      <c r="F3969" s="18" t="s">
        <v>1568</v>
      </c>
      <c r="G3969" s="18" t="s">
        <v>127</v>
      </c>
      <c r="H3969" s="18" t="s">
        <v>23</v>
      </c>
      <c r="I3969" s="19">
        <v>200</v>
      </c>
      <c r="J3969" s="20">
        <f t="shared" si="122"/>
        <v>400</v>
      </c>
      <c r="K3969" s="106"/>
      <c r="L3969" s="114"/>
      <c r="M3969" s="114">
        <f>tblAquisições[[#This Row],[VALOR UNITARIO COMPRADO]]*tblAquisições[[#This Row],[QUANTIDADE COMPRADA]]</f>
        <v>0</v>
      </c>
      <c r="N3969" s="110">
        <f>K3969-tblAquisições[[#This Row],[QUANTIDADE PLANEJADA]]</f>
        <v>-2</v>
      </c>
      <c r="O3969" s="106" t="str">
        <f t="shared" si="123"/>
        <v>Faltando Comprar</v>
      </c>
    </row>
    <row r="3970" spans="1:15" ht="47.25">
      <c r="A3970" s="16" t="s">
        <v>17</v>
      </c>
      <c r="B3970" s="16" t="s">
        <v>24</v>
      </c>
      <c r="C3970" s="17" t="s">
        <v>19</v>
      </c>
      <c r="D3970" s="18" t="s">
        <v>2228</v>
      </c>
      <c r="E3970" s="18">
        <v>2</v>
      </c>
      <c r="F3970" s="18" t="s">
        <v>1568</v>
      </c>
      <c r="G3970" s="18" t="s">
        <v>127</v>
      </c>
      <c r="H3970" s="18" t="s">
        <v>23</v>
      </c>
      <c r="I3970" s="19">
        <v>200</v>
      </c>
      <c r="J3970" s="20">
        <f t="shared" ref="J3970:J4033" si="124">E3970*I3970</f>
        <v>400</v>
      </c>
      <c r="K3970" s="106"/>
      <c r="L3970" s="114"/>
      <c r="M3970" s="114">
        <f>tblAquisições[[#This Row],[VALOR UNITARIO COMPRADO]]*tblAquisições[[#This Row],[QUANTIDADE COMPRADA]]</f>
        <v>0</v>
      </c>
      <c r="N3970" s="110">
        <f>K3970-tblAquisições[[#This Row],[QUANTIDADE PLANEJADA]]</f>
        <v>-2</v>
      </c>
      <c r="O3970" s="106" t="str">
        <f t="shared" ref="O3970:O4033" si="125">IF(K3970=E3970,"OK",IF(K3970&lt;E3970,"Faltando Comprar","Excedente"))</f>
        <v>Faltando Comprar</v>
      </c>
    </row>
    <row r="3971" spans="1:15" ht="47.25">
      <c r="A3971" s="16" t="s">
        <v>17</v>
      </c>
      <c r="B3971" s="16" t="s">
        <v>25</v>
      </c>
      <c r="C3971" s="17" t="s">
        <v>19</v>
      </c>
      <c r="D3971" s="18" t="s">
        <v>2228</v>
      </c>
      <c r="E3971" s="18">
        <v>2</v>
      </c>
      <c r="F3971" s="18" t="s">
        <v>1568</v>
      </c>
      <c r="G3971" s="18" t="s">
        <v>127</v>
      </c>
      <c r="H3971" s="18" t="s">
        <v>23</v>
      </c>
      <c r="I3971" s="19">
        <v>200</v>
      </c>
      <c r="J3971" s="20">
        <f t="shared" si="124"/>
        <v>400</v>
      </c>
      <c r="K3971" s="106"/>
      <c r="L3971" s="114"/>
      <c r="M3971" s="114">
        <f>tblAquisições[[#This Row],[VALOR UNITARIO COMPRADO]]*tblAquisições[[#This Row],[QUANTIDADE COMPRADA]]</f>
        <v>0</v>
      </c>
      <c r="N3971" s="110">
        <f>K3971-tblAquisições[[#This Row],[QUANTIDADE PLANEJADA]]</f>
        <v>-2</v>
      </c>
      <c r="O3971" s="106" t="str">
        <f t="shared" si="125"/>
        <v>Faltando Comprar</v>
      </c>
    </row>
    <row r="3972" spans="1:15" ht="47.25">
      <c r="A3972" s="16" t="s">
        <v>17</v>
      </c>
      <c r="B3972" s="16" t="s">
        <v>41</v>
      </c>
      <c r="C3972" s="17" t="s">
        <v>19</v>
      </c>
      <c r="D3972" s="18" t="s">
        <v>2228</v>
      </c>
      <c r="E3972" s="18">
        <v>10</v>
      </c>
      <c r="F3972" s="18" t="s">
        <v>1568</v>
      </c>
      <c r="G3972" s="18" t="s">
        <v>127</v>
      </c>
      <c r="H3972" s="18" t="s">
        <v>23</v>
      </c>
      <c r="I3972" s="19">
        <v>200</v>
      </c>
      <c r="J3972" s="20">
        <f t="shared" si="124"/>
        <v>2000</v>
      </c>
      <c r="K3972" s="106"/>
      <c r="L3972" s="114"/>
      <c r="M3972" s="114">
        <f>tblAquisições[[#This Row],[VALOR UNITARIO COMPRADO]]*tblAquisições[[#This Row],[QUANTIDADE COMPRADA]]</f>
        <v>0</v>
      </c>
      <c r="N3972" s="110">
        <f>K3972-tblAquisições[[#This Row],[QUANTIDADE PLANEJADA]]</f>
        <v>-10</v>
      </c>
      <c r="O3972" s="106" t="str">
        <f t="shared" si="125"/>
        <v>Faltando Comprar</v>
      </c>
    </row>
    <row r="3973" spans="1:15" ht="47.25">
      <c r="A3973" s="16" t="s">
        <v>17</v>
      </c>
      <c r="B3973" s="16" t="s">
        <v>18</v>
      </c>
      <c r="C3973" s="17" t="s">
        <v>19</v>
      </c>
      <c r="D3973" s="18" t="s">
        <v>2229</v>
      </c>
      <c r="E3973" s="18">
        <v>2</v>
      </c>
      <c r="F3973" s="18" t="s">
        <v>1568</v>
      </c>
      <c r="G3973" s="18" t="s">
        <v>127</v>
      </c>
      <c r="H3973" s="18" t="s">
        <v>23</v>
      </c>
      <c r="I3973" s="19">
        <v>175</v>
      </c>
      <c r="J3973" s="20">
        <f t="shared" si="124"/>
        <v>350</v>
      </c>
      <c r="K3973" s="106"/>
      <c r="L3973" s="114"/>
      <c r="M3973" s="114">
        <f>tblAquisições[[#This Row],[VALOR UNITARIO COMPRADO]]*tblAquisições[[#This Row],[QUANTIDADE COMPRADA]]</f>
        <v>0</v>
      </c>
      <c r="N3973" s="110">
        <f>K3973-tblAquisições[[#This Row],[QUANTIDADE PLANEJADA]]</f>
        <v>-2</v>
      </c>
      <c r="O3973" s="106" t="str">
        <f t="shared" si="125"/>
        <v>Faltando Comprar</v>
      </c>
    </row>
    <row r="3974" spans="1:15" ht="47.25">
      <c r="A3974" s="16" t="s">
        <v>17</v>
      </c>
      <c r="B3974" s="16" t="s">
        <v>24</v>
      </c>
      <c r="C3974" s="17" t="s">
        <v>19</v>
      </c>
      <c r="D3974" s="18" t="s">
        <v>2229</v>
      </c>
      <c r="E3974" s="18">
        <v>2</v>
      </c>
      <c r="F3974" s="18" t="s">
        <v>1568</v>
      </c>
      <c r="G3974" s="18" t="s">
        <v>127</v>
      </c>
      <c r="H3974" s="18" t="s">
        <v>23</v>
      </c>
      <c r="I3974" s="19">
        <v>175</v>
      </c>
      <c r="J3974" s="20">
        <f t="shared" si="124"/>
        <v>350</v>
      </c>
      <c r="K3974" s="106"/>
      <c r="L3974" s="114"/>
      <c r="M3974" s="114">
        <f>tblAquisições[[#This Row],[VALOR UNITARIO COMPRADO]]*tblAquisições[[#This Row],[QUANTIDADE COMPRADA]]</f>
        <v>0</v>
      </c>
      <c r="N3974" s="110">
        <f>K3974-tblAquisições[[#This Row],[QUANTIDADE PLANEJADA]]</f>
        <v>-2</v>
      </c>
      <c r="O3974" s="106" t="str">
        <f t="shared" si="125"/>
        <v>Faltando Comprar</v>
      </c>
    </row>
    <row r="3975" spans="1:15" ht="47.25">
      <c r="A3975" s="16" t="s">
        <v>17</v>
      </c>
      <c r="B3975" s="16" t="s">
        <v>25</v>
      </c>
      <c r="C3975" s="17" t="s">
        <v>19</v>
      </c>
      <c r="D3975" s="18" t="s">
        <v>2229</v>
      </c>
      <c r="E3975" s="18">
        <v>2</v>
      </c>
      <c r="F3975" s="18" t="s">
        <v>1568</v>
      </c>
      <c r="G3975" s="18" t="s">
        <v>127</v>
      </c>
      <c r="H3975" s="18" t="s">
        <v>23</v>
      </c>
      <c r="I3975" s="19">
        <v>175</v>
      </c>
      <c r="J3975" s="20">
        <f t="shared" si="124"/>
        <v>350</v>
      </c>
      <c r="K3975" s="106"/>
      <c r="L3975" s="114"/>
      <c r="M3975" s="114">
        <f>tblAquisições[[#This Row],[VALOR UNITARIO COMPRADO]]*tblAquisições[[#This Row],[QUANTIDADE COMPRADA]]</f>
        <v>0</v>
      </c>
      <c r="N3975" s="110">
        <f>K3975-tblAquisições[[#This Row],[QUANTIDADE PLANEJADA]]</f>
        <v>-2</v>
      </c>
      <c r="O3975" s="106" t="str">
        <f t="shared" si="125"/>
        <v>Faltando Comprar</v>
      </c>
    </row>
    <row r="3976" spans="1:15" ht="47.25">
      <c r="A3976" s="16" t="s">
        <v>17</v>
      </c>
      <c r="B3976" s="16" t="s">
        <v>41</v>
      </c>
      <c r="C3976" s="17" t="s">
        <v>19</v>
      </c>
      <c r="D3976" s="18" t="s">
        <v>2229</v>
      </c>
      <c r="E3976" s="18">
        <v>10</v>
      </c>
      <c r="F3976" s="18" t="s">
        <v>1568</v>
      </c>
      <c r="G3976" s="18" t="s">
        <v>127</v>
      </c>
      <c r="H3976" s="18" t="s">
        <v>23</v>
      </c>
      <c r="I3976" s="19">
        <v>175</v>
      </c>
      <c r="J3976" s="20">
        <f t="shared" si="124"/>
        <v>1750</v>
      </c>
      <c r="K3976" s="106"/>
      <c r="L3976" s="114"/>
      <c r="M3976" s="114">
        <f>tblAquisições[[#This Row],[VALOR UNITARIO COMPRADO]]*tblAquisições[[#This Row],[QUANTIDADE COMPRADA]]</f>
        <v>0</v>
      </c>
      <c r="N3976" s="110">
        <f>K3976-tblAquisições[[#This Row],[QUANTIDADE PLANEJADA]]</f>
        <v>-10</v>
      </c>
      <c r="O3976" s="106" t="str">
        <f t="shared" si="125"/>
        <v>Faltando Comprar</v>
      </c>
    </row>
    <row r="3977" spans="1:15" ht="47.25">
      <c r="A3977" s="16" t="s">
        <v>17</v>
      </c>
      <c r="B3977" s="16" t="s">
        <v>18</v>
      </c>
      <c r="C3977" s="17" t="s">
        <v>19</v>
      </c>
      <c r="D3977" s="18" t="s">
        <v>2230</v>
      </c>
      <c r="E3977" s="18">
        <v>2</v>
      </c>
      <c r="F3977" s="18" t="s">
        <v>1568</v>
      </c>
      <c r="G3977" s="18" t="s">
        <v>127</v>
      </c>
      <c r="H3977" s="18" t="s">
        <v>23</v>
      </c>
      <c r="I3977" s="19">
        <v>300</v>
      </c>
      <c r="J3977" s="20">
        <f t="shared" si="124"/>
        <v>600</v>
      </c>
      <c r="K3977" s="106"/>
      <c r="L3977" s="114"/>
      <c r="M3977" s="114">
        <f>tblAquisições[[#This Row],[VALOR UNITARIO COMPRADO]]*tblAquisições[[#This Row],[QUANTIDADE COMPRADA]]</f>
        <v>0</v>
      </c>
      <c r="N3977" s="110">
        <f>K3977-tblAquisições[[#This Row],[QUANTIDADE PLANEJADA]]</f>
        <v>-2</v>
      </c>
      <c r="O3977" s="106" t="str">
        <f t="shared" si="125"/>
        <v>Faltando Comprar</v>
      </c>
    </row>
    <row r="3978" spans="1:15" ht="47.25">
      <c r="A3978" s="16" t="s">
        <v>17</v>
      </c>
      <c r="B3978" s="16" t="s">
        <v>24</v>
      </c>
      <c r="C3978" s="17" t="s">
        <v>19</v>
      </c>
      <c r="D3978" s="18" t="s">
        <v>2230</v>
      </c>
      <c r="E3978" s="18">
        <v>2</v>
      </c>
      <c r="F3978" s="18" t="s">
        <v>1568</v>
      </c>
      <c r="G3978" s="18" t="s">
        <v>127</v>
      </c>
      <c r="H3978" s="18" t="s">
        <v>23</v>
      </c>
      <c r="I3978" s="19">
        <v>300</v>
      </c>
      <c r="J3978" s="20">
        <f t="shared" si="124"/>
        <v>600</v>
      </c>
      <c r="K3978" s="106"/>
      <c r="L3978" s="114"/>
      <c r="M3978" s="114">
        <f>tblAquisições[[#This Row],[VALOR UNITARIO COMPRADO]]*tblAquisições[[#This Row],[QUANTIDADE COMPRADA]]</f>
        <v>0</v>
      </c>
      <c r="N3978" s="110">
        <f>K3978-tblAquisições[[#This Row],[QUANTIDADE PLANEJADA]]</f>
        <v>-2</v>
      </c>
      <c r="O3978" s="106" t="str">
        <f t="shared" si="125"/>
        <v>Faltando Comprar</v>
      </c>
    </row>
    <row r="3979" spans="1:15" ht="47.25">
      <c r="A3979" s="16" t="s">
        <v>17</v>
      </c>
      <c r="B3979" s="16" t="s">
        <v>25</v>
      </c>
      <c r="C3979" s="17" t="s">
        <v>19</v>
      </c>
      <c r="D3979" s="18" t="s">
        <v>2230</v>
      </c>
      <c r="E3979" s="18">
        <v>2</v>
      </c>
      <c r="F3979" s="18" t="s">
        <v>1568</v>
      </c>
      <c r="G3979" s="18" t="s">
        <v>127</v>
      </c>
      <c r="H3979" s="18" t="s">
        <v>23</v>
      </c>
      <c r="I3979" s="19">
        <v>300</v>
      </c>
      <c r="J3979" s="20">
        <f t="shared" si="124"/>
        <v>600</v>
      </c>
      <c r="K3979" s="106"/>
      <c r="L3979" s="114"/>
      <c r="M3979" s="114">
        <f>tblAquisições[[#This Row],[VALOR UNITARIO COMPRADO]]*tblAquisições[[#This Row],[QUANTIDADE COMPRADA]]</f>
        <v>0</v>
      </c>
      <c r="N3979" s="110">
        <f>K3979-tblAquisições[[#This Row],[QUANTIDADE PLANEJADA]]</f>
        <v>-2</v>
      </c>
      <c r="O3979" s="106" t="str">
        <f t="shared" si="125"/>
        <v>Faltando Comprar</v>
      </c>
    </row>
    <row r="3980" spans="1:15" ht="47.25">
      <c r="A3980" s="16" t="s">
        <v>17</v>
      </c>
      <c r="B3980" s="16" t="s">
        <v>41</v>
      </c>
      <c r="C3980" s="17" t="s">
        <v>19</v>
      </c>
      <c r="D3980" s="18" t="s">
        <v>2230</v>
      </c>
      <c r="E3980" s="18">
        <v>10</v>
      </c>
      <c r="F3980" s="18" t="s">
        <v>1568</v>
      </c>
      <c r="G3980" s="18" t="s">
        <v>127</v>
      </c>
      <c r="H3980" s="18" t="s">
        <v>23</v>
      </c>
      <c r="I3980" s="19">
        <v>300</v>
      </c>
      <c r="J3980" s="20">
        <f t="shared" si="124"/>
        <v>3000</v>
      </c>
      <c r="K3980" s="106"/>
      <c r="L3980" s="114"/>
      <c r="M3980" s="114">
        <f>tblAquisições[[#This Row],[VALOR UNITARIO COMPRADO]]*tblAquisições[[#This Row],[QUANTIDADE COMPRADA]]</f>
        <v>0</v>
      </c>
      <c r="N3980" s="110">
        <f>K3980-tblAquisições[[#This Row],[QUANTIDADE PLANEJADA]]</f>
        <v>-10</v>
      </c>
      <c r="O3980" s="106" t="str">
        <f t="shared" si="125"/>
        <v>Faltando Comprar</v>
      </c>
    </row>
    <row r="3981" spans="1:15" ht="47.25">
      <c r="A3981" s="16" t="s">
        <v>17</v>
      </c>
      <c r="B3981" s="16" t="s">
        <v>28</v>
      </c>
      <c r="C3981" s="17" t="s">
        <v>19</v>
      </c>
      <c r="D3981" s="18" t="s">
        <v>2230</v>
      </c>
      <c r="E3981" s="18">
        <v>24</v>
      </c>
      <c r="F3981" s="18" t="s">
        <v>1568</v>
      </c>
      <c r="G3981" s="18" t="s">
        <v>127</v>
      </c>
      <c r="H3981" s="18" t="s">
        <v>23</v>
      </c>
      <c r="I3981" s="19">
        <v>300</v>
      </c>
      <c r="J3981" s="20">
        <f t="shared" si="124"/>
        <v>7200</v>
      </c>
      <c r="K3981" s="106"/>
      <c r="L3981" s="114"/>
      <c r="M3981" s="114">
        <f>tblAquisições[[#This Row],[VALOR UNITARIO COMPRADO]]*tblAquisições[[#This Row],[QUANTIDADE COMPRADA]]</f>
        <v>0</v>
      </c>
      <c r="N3981" s="110">
        <f>K3981-tblAquisições[[#This Row],[QUANTIDADE PLANEJADA]]</f>
        <v>-24</v>
      </c>
      <c r="O3981" s="106" t="str">
        <f t="shared" si="125"/>
        <v>Faltando Comprar</v>
      </c>
    </row>
    <row r="3982" spans="1:15" ht="47.25">
      <c r="A3982" s="16" t="s">
        <v>17</v>
      </c>
      <c r="B3982" s="16" t="s">
        <v>18</v>
      </c>
      <c r="C3982" s="17" t="s">
        <v>19</v>
      </c>
      <c r="D3982" s="18" t="s">
        <v>2231</v>
      </c>
      <c r="E3982" s="18">
        <v>2</v>
      </c>
      <c r="F3982" s="18" t="s">
        <v>1568</v>
      </c>
      <c r="G3982" s="18" t="s">
        <v>127</v>
      </c>
      <c r="H3982" s="18" t="s">
        <v>23</v>
      </c>
      <c r="I3982" s="19">
        <v>375</v>
      </c>
      <c r="J3982" s="20">
        <f t="shared" si="124"/>
        <v>750</v>
      </c>
      <c r="K3982" s="106"/>
      <c r="L3982" s="114"/>
      <c r="M3982" s="114">
        <f>tblAquisições[[#This Row],[VALOR UNITARIO COMPRADO]]*tblAquisições[[#This Row],[QUANTIDADE COMPRADA]]</f>
        <v>0</v>
      </c>
      <c r="N3982" s="110">
        <f>K3982-tblAquisições[[#This Row],[QUANTIDADE PLANEJADA]]</f>
        <v>-2</v>
      </c>
      <c r="O3982" s="106" t="str">
        <f t="shared" si="125"/>
        <v>Faltando Comprar</v>
      </c>
    </row>
    <row r="3983" spans="1:15" ht="47.25">
      <c r="A3983" s="16" t="s">
        <v>17</v>
      </c>
      <c r="B3983" s="16" t="s">
        <v>24</v>
      </c>
      <c r="C3983" s="17" t="s">
        <v>19</v>
      </c>
      <c r="D3983" s="18" t="s">
        <v>2231</v>
      </c>
      <c r="E3983" s="18">
        <v>2</v>
      </c>
      <c r="F3983" s="18" t="s">
        <v>1568</v>
      </c>
      <c r="G3983" s="18" t="s">
        <v>127</v>
      </c>
      <c r="H3983" s="18" t="s">
        <v>23</v>
      </c>
      <c r="I3983" s="19">
        <v>375</v>
      </c>
      <c r="J3983" s="20">
        <f t="shared" si="124"/>
        <v>750</v>
      </c>
      <c r="K3983" s="106"/>
      <c r="L3983" s="114"/>
      <c r="M3983" s="114">
        <f>tblAquisições[[#This Row],[VALOR UNITARIO COMPRADO]]*tblAquisições[[#This Row],[QUANTIDADE COMPRADA]]</f>
        <v>0</v>
      </c>
      <c r="N3983" s="110">
        <f>K3983-tblAquisições[[#This Row],[QUANTIDADE PLANEJADA]]</f>
        <v>-2</v>
      </c>
      <c r="O3983" s="106" t="str">
        <f t="shared" si="125"/>
        <v>Faltando Comprar</v>
      </c>
    </row>
    <row r="3984" spans="1:15" ht="47.25">
      <c r="A3984" s="16" t="s">
        <v>17</v>
      </c>
      <c r="B3984" s="16" t="s">
        <v>25</v>
      </c>
      <c r="C3984" s="17" t="s">
        <v>19</v>
      </c>
      <c r="D3984" s="18" t="s">
        <v>2231</v>
      </c>
      <c r="E3984" s="18">
        <v>2</v>
      </c>
      <c r="F3984" s="18" t="s">
        <v>1568</v>
      </c>
      <c r="G3984" s="18" t="s">
        <v>127</v>
      </c>
      <c r="H3984" s="18" t="s">
        <v>23</v>
      </c>
      <c r="I3984" s="19">
        <v>375</v>
      </c>
      <c r="J3984" s="20">
        <f t="shared" si="124"/>
        <v>750</v>
      </c>
      <c r="K3984" s="106"/>
      <c r="L3984" s="114"/>
      <c r="M3984" s="114">
        <f>tblAquisições[[#This Row],[VALOR UNITARIO COMPRADO]]*tblAquisições[[#This Row],[QUANTIDADE COMPRADA]]</f>
        <v>0</v>
      </c>
      <c r="N3984" s="110">
        <f>K3984-tblAquisições[[#This Row],[QUANTIDADE PLANEJADA]]</f>
        <v>-2</v>
      </c>
      <c r="O3984" s="106" t="str">
        <f t="shared" si="125"/>
        <v>Faltando Comprar</v>
      </c>
    </row>
    <row r="3985" spans="1:15" ht="31.5">
      <c r="A3985" s="16" t="s">
        <v>17</v>
      </c>
      <c r="B3985" s="16" t="s">
        <v>28</v>
      </c>
      <c r="C3985" s="17" t="s">
        <v>19</v>
      </c>
      <c r="D3985" s="18" t="s">
        <v>2232</v>
      </c>
      <c r="E3985" s="18">
        <v>6</v>
      </c>
      <c r="F3985" s="18" t="s">
        <v>170</v>
      </c>
      <c r="G3985" s="18" t="s">
        <v>22</v>
      </c>
      <c r="H3985" s="18" t="s">
        <v>23</v>
      </c>
      <c r="I3985" s="19">
        <v>53.81</v>
      </c>
      <c r="J3985" s="20">
        <f t="shared" si="124"/>
        <v>322.86</v>
      </c>
      <c r="K3985" s="106"/>
      <c r="L3985" s="114"/>
      <c r="M3985" s="114">
        <f>tblAquisições[[#This Row],[VALOR UNITARIO COMPRADO]]*tblAquisições[[#This Row],[QUANTIDADE COMPRADA]]</f>
        <v>0</v>
      </c>
      <c r="N3985" s="110">
        <f>K3985-tblAquisições[[#This Row],[QUANTIDADE PLANEJADA]]</f>
        <v>-6</v>
      </c>
      <c r="O3985" s="106" t="str">
        <f t="shared" si="125"/>
        <v>Faltando Comprar</v>
      </c>
    </row>
    <row r="3986" spans="1:15" ht="31.5">
      <c r="A3986" s="16" t="s">
        <v>17</v>
      </c>
      <c r="B3986" s="16" t="s">
        <v>80</v>
      </c>
      <c r="C3986" s="17" t="s">
        <v>19</v>
      </c>
      <c r="D3986" s="18" t="s">
        <v>2233</v>
      </c>
      <c r="E3986" s="18">
        <v>4</v>
      </c>
      <c r="F3986" s="18" t="s">
        <v>82</v>
      </c>
      <c r="G3986" s="18" t="s">
        <v>39</v>
      </c>
      <c r="H3986" s="21"/>
      <c r="I3986" s="19">
        <v>406.77</v>
      </c>
      <c r="J3986" s="20">
        <f t="shared" si="124"/>
        <v>1627.08</v>
      </c>
      <c r="K3986" s="106"/>
      <c r="L3986" s="114"/>
      <c r="M3986" s="114">
        <f>tblAquisições[[#This Row],[VALOR UNITARIO COMPRADO]]*tblAquisições[[#This Row],[QUANTIDADE COMPRADA]]</f>
        <v>0</v>
      </c>
      <c r="N3986" s="110">
        <f>K3986-tblAquisições[[#This Row],[QUANTIDADE PLANEJADA]]</f>
        <v>-4</v>
      </c>
      <c r="O3986" s="106" t="str">
        <f t="shared" si="125"/>
        <v>Faltando Comprar</v>
      </c>
    </row>
    <row r="3987" spans="1:15" ht="31.5">
      <c r="A3987" s="16" t="s">
        <v>17</v>
      </c>
      <c r="B3987" s="16" t="s">
        <v>80</v>
      </c>
      <c r="C3987" s="17" t="s">
        <v>19</v>
      </c>
      <c r="D3987" s="18" t="s">
        <v>2234</v>
      </c>
      <c r="E3987" s="18">
        <v>10</v>
      </c>
      <c r="F3987" s="18" t="s">
        <v>82</v>
      </c>
      <c r="G3987" s="18" t="s">
        <v>39</v>
      </c>
      <c r="H3987" s="21"/>
      <c r="I3987" s="19">
        <v>10.119999999999999</v>
      </c>
      <c r="J3987" s="20">
        <f t="shared" si="124"/>
        <v>101.19999999999999</v>
      </c>
      <c r="K3987" s="106"/>
      <c r="L3987" s="114"/>
      <c r="M3987" s="114">
        <f>tblAquisições[[#This Row],[VALOR UNITARIO COMPRADO]]*tblAquisições[[#This Row],[QUANTIDADE COMPRADA]]</f>
        <v>0</v>
      </c>
      <c r="N3987" s="110">
        <f>K3987-tblAquisições[[#This Row],[QUANTIDADE PLANEJADA]]</f>
        <v>-10</v>
      </c>
      <c r="O3987" s="106" t="str">
        <f t="shared" si="125"/>
        <v>Faltando Comprar</v>
      </c>
    </row>
    <row r="3988" spans="1:15" ht="31.5">
      <c r="A3988" s="16" t="s">
        <v>17</v>
      </c>
      <c r="B3988" s="16" t="s">
        <v>80</v>
      </c>
      <c r="C3988" s="17" t="s">
        <v>19</v>
      </c>
      <c r="D3988" s="18" t="s">
        <v>2235</v>
      </c>
      <c r="E3988" s="18">
        <v>5</v>
      </c>
      <c r="F3988" s="18" t="s">
        <v>82</v>
      </c>
      <c r="G3988" s="18" t="s">
        <v>39</v>
      </c>
      <c r="H3988" s="21"/>
      <c r="I3988" s="19">
        <v>152.74</v>
      </c>
      <c r="J3988" s="20">
        <f t="shared" si="124"/>
        <v>763.7</v>
      </c>
      <c r="K3988" s="106"/>
      <c r="L3988" s="114"/>
      <c r="M3988" s="114">
        <f>tblAquisições[[#This Row],[VALOR UNITARIO COMPRADO]]*tblAquisições[[#This Row],[QUANTIDADE COMPRADA]]</f>
        <v>0</v>
      </c>
      <c r="N3988" s="110">
        <f>K3988-tblAquisições[[#This Row],[QUANTIDADE PLANEJADA]]</f>
        <v>-5</v>
      </c>
      <c r="O3988" s="106" t="str">
        <f t="shared" si="125"/>
        <v>Faltando Comprar</v>
      </c>
    </row>
    <row r="3989" spans="1:15" ht="31.5">
      <c r="A3989" s="16" t="s">
        <v>17</v>
      </c>
      <c r="B3989" s="16" t="s">
        <v>28</v>
      </c>
      <c r="C3989" s="17" t="s">
        <v>19</v>
      </c>
      <c r="D3989" s="18" t="s">
        <v>2236</v>
      </c>
      <c r="E3989" s="18">
        <v>24</v>
      </c>
      <c r="F3989" s="18" t="s">
        <v>21</v>
      </c>
      <c r="G3989" s="18" t="s">
        <v>22</v>
      </c>
      <c r="H3989" s="18" t="s">
        <v>23</v>
      </c>
      <c r="I3989" s="19">
        <v>278.58</v>
      </c>
      <c r="J3989" s="20">
        <f t="shared" si="124"/>
        <v>6685.92</v>
      </c>
      <c r="K3989" s="106"/>
      <c r="L3989" s="114"/>
      <c r="M3989" s="114">
        <f>tblAquisições[[#This Row],[VALOR UNITARIO COMPRADO]]*tblAquisições[[#This Row],[QUANTIDADE COMPRADA]]</f>
        <v>0</v>
      </c>
      <c r="N3989" s="110">
        <f>K3989-tblAquisições[[#This Row],[QUANTIDADE PLANEJADA]]</f>
        <v>-24</v>
      </c>
      <c r="O3989" s="106" t="str">
        <f t="shared" si="125"/>
        <v>Faltando Comprar</v>
      </c>
    </row>
    <row r="3990" spans="1:15" ht="31.5">
      <c r="A3990" s="16" t="s">
        <v>17</v>
      </c>
      <c r="B3990" s="16" t="s">
        <v>80</v>
      </c>
      <c r="C3990" s="17" t="s">
        <v>19</v>
      </c>
      <c r="D3990" s="18" t="s">
        <v>2237</v>
      </c>
      <c r="E3990" s="18">
        <v>2</v>
      </c>
      <c r="F3990" s="18" t="s">
        <v>468</v>
      </c>
      <c r="G3990" s="18" t="s">
        <v>39</v>
      </c>
      <c r="H3990" s="21"/>
      <c r="I3990" s="19">
        <v>63.26</v>
      </c>
      <c r="J3990" s="20">
        <f t="shared" si="124"/>
        <v>126.52</v>
      </c>
      <c r="K3990" s="106"/>
      <c r="L3990" s="114"/>
      <c r="M3990" s="114">
        <f>tblAquisições[[#This Row],[VALOR UNITARIO COMPRADO]]*tblAquisições[[#This Row],[QUANTIDADE COMPRADA]]</f>
        <v>0</v>
      </c>
      <c r="N3990" s="110">
        <f>K3990-tblAquisições[[#This Row],[QUANTIDADE PLANEJADA]]</f>
        <v>-2</v>
      </c>
      <c r="O3990" s="106" t="str">
        <f t="shared" si="125"/>
        <v>Faltando Comprar</v>
      </c>
    </row>
    <row r="3991" spans="1:15" ht="31.5">
      <c r="A3991" s="16" t="s">
        <v>17</v>
      </c>
      <c r="B3991" s="16" t="s">
        <v>17</v>
      </c>
      <c r="C3991" s="17" t="s">
        <v>19</v>
      </c>
      <c r="D3991" s="18" t="s">
        <v>2238</v>
      </c>
      <c r="E3991" s="18">
        <v>200</v>
      </c>
      <c r="F3991" s="18" t="s">
        <v>38</v>
      </c>
      <c r="G3991" s="18" t="s">
        <v>39</v>
      </c>
      <c r="H3991" s="18" t="s">
        <v>23</v>
      </c>
      <c r="I3991" s="19">
        <v>1.1599999999999999</v>
      </c>
      <c r="J3991" s="20">
        <f t="shared" si="124"/>
        <v>231.99999999999997</v>
      </c>
      <c r="K3991" s="106"/>
      <c r="L3991" s="114"/>
      <c r="M3991" s="114">
        <f>tblAquisições[[#This Row],[VALOR UNITARIO COMPRADO]]*tblAquisições[[#This Row],[QUANTIDADE COMPRADA]]</f>
        <v>0</v>
      </c>
      <c r="N3991" s="110">
        <f>K3991-tblAquisições[[#This Row],[QUANTIDADE PLANEJADA]]</f>
        <v>-200</v>
      </c>
      <c r="O3991" s="106" t="str">
        <f t="shared" si="125"/>
        <v>Faltando Comprar</v>
      </c>
    </row>
    <row r="3992" spans="1:15" ht="31.5">
      <c r="A3992" s="16" t="s">
        <v>17</v>
      </c>
      <c r="B3992" s="16" t="s">
        <v>34</v>
      </c>
      <c r="C3992" s="17" t="s">
        <v>19</v>
      </c>
      <c r="D3992" s="18" t="s">
        <v>2239</v>
      </c>
      <c r="E3992" s="18">
        <v>10</v>
      </c>
      <c r="F3992" s="18" t="s">
        <v>21</v>
      </c>
      <c r="G3992" s="18" t="s">
        <v>22</v>
      </c>
      <c r="H3992" s="18" t="s">
        <v>23</v>
      </c>
      <c r="I3992" s="19">
        <v>52.4</v>
      </c>
      <c r="J3992" s="20">
        <f t="shared" si="124"/>
        <v>524</v>
      </c>
      <c r="K3992" s="106"/>
      <c r="L3992" s="114"/>
      <c r="M3992" s="114">
        <f>tblAquisições[[#This Row],[VALOR UNITARIO COMPRADO]]*tblAquisições[[#This Row],[QUANTIDADE COMPRADA]]</f>
        <v>0</v>
      </c>
      <c r="N3992" s="110">
        <f>K3992-tblAquisições[[#This Row],[QUANTIDADE PLANEJADA]]</f>
        <v>-10</v>
      </c>
      <c r="O3992" s="106" t="str">
        <f t="shared" si="125"/>
        <v>Faltando Comprar</v>
      </c>
    </row>
    <row r="3993" spans="1:15" ht="31.5">
      <c r="A3993" s="16" t="s">
        <v>17</v>
      </c>
      <c r="B3993" s="16" t="s">
        <v>28</v>
      </c>
      <c r="C3993" s="17" t="s">
        <v>19</v>
      </c>
      <c r="D3993" s="18" t="s">
        <v>2239</v>
      </c>
      <c r="E3993" s="18">
        <v>36</v>
      </c>
      <c r="F3993" s="18" t="s">
        <v>21</v>
      </c>
      <c r="G3993" s="18" t="s">
        <v>22</v>
      </c>
      <c r="H3993" s="18" t="s">
        <v>23</v>
      </c>
      <c r="I3993" s="19">
        <v>52.4</v>
      </c>
      <c r="J3993" s="20">
        <f t="shared" si="124"/>
        <v>1886.3999999999999</v>
      </c>
      <c r="K3993" s="106"/>
      <c r="L3993" s="114"/>
      <c r="M3993" s="114">
        <f>tblAquisições[[#This Row],[VALOR UNITARIO COMPRADO]]*tblAquisições[[#This Row],[QUANTIDADE COMPRADA]]</f>
        <v>0</v>
      </c>
      <c r="N3993" s="110">
        <f>K3993-tblAquisições[[#This Row],[QUANTIDADE PLANEJADA]]</f>
        <v>-36</v>
      </c>
      <c r="O3993" s="106" t="str">
        <f t="shared" si="125"/>
        <v>Faltando Comprar</v>
      </c>
    </row>
    <row r="3994" spans="1:15" ht="31.5">
      <c r="A3994" s="16" t="s">
        <v>17</v>
      </c>
      <c r="B3994" s="16" t="s">
        <v>80</v>
      </c>
      <c r="C3994" s="17" t="s">
        <v>19</v>
      </c>
      <c r="D3994" s="18" t="s">
        <v>2240</v>
      </c>
      <c r="E3994" s="18">
        <v>40</v>
      </c>
      <c r="F3994" s="18" t="s">
        <v>38</v>
      </c>
      <c r="G3994" s="18" t="s">
        <v>39</v>
      </c>
      <c r="H3994" s="18" t="s">
        <v>23</v>
      </c>
      <c r="I3994" s="19">
        <v>9.1</v>
      </c>
      <c r="J3994" s="20">
        <f t="shared" si="124"/>
        <v>364</v>
      </c>
      <c r="K3994" s="106"/>
      <c r="L3994" s="114"/>
      <c r="M3994" s="114">
        <f>tblAquisições[[#This Row],[VALOR UNITARIO COMPRADO]]*tblAquisições[[#This Row],[QUANTIDADE COMPRADA]]</f>
        <v>0</v>
      </c>
      <c r="N3994" s="110">
        <f>K3994-tblAquisições[[#This Row],[QUANTIDADE PLANEJADA]]</f>
        <v>-40</v>
      </c>
      <c r="O3994" s="106" t="str">
        <f t="shared" si="125"/>
        <v>Faltando Comprar</v>
      </c>
    </row>
    <row r="3995" spans="1:15" ht="31.5">
      <c r="A3995" s="16" t="s">
        <v>17</v>
      </c>
      <c r="B3995" s="16" t="s">
        <v>26</v>
      </c>
      <c r="C3995" s="17" t="s">
        <v>19</v>
      </c>
      <c r="D3995" s="18" t="s">
        <v>2241</v>
      </c>
      <c r="E3995" s="18">
        <v>5</v>
      </c>
      <c r="F3995" s="18" t="s">
        <v>30</v>
      </c>
      <c r="G3995" s="18" t="s">
        <v>22</v>
      </c>
      <c r="H3995" s="18" t="s">
        <v>23</v>
      </c>
      <c r="I3995" s="19">
        <v>110</v>
      </c>
      <c r="J3995" s="20">
        <f t="shared" si="124"/>
        <v>550</v>
      </c>
      <c r="K3995" s="106"/>
      <c r="L3995" s="114"/>
      <c r="M3995" s="114">
        <f>tblAquisições[[#This Row],[VALOR UNITARIO COMPRADO]]*tblAquisições[[#This Row],[QUANTIDADE COMPRADA]]</f>
        <v>0</v>
      </c>
      <c r="N3995" s="110">
        <f>K3995-tblAquisições[[#This Row],[QUANTIDADE PLANEJADA]]</f>
        <v>-5</v>
      </c>
      <c r="O3995" s="106" t="str">
        <f t="shared" si="125"/>
        <v>Faltando Comprar</v>
      </c>
    </row>
    <row r="3996" spans="1:15" ht="31.5">
      <c r="A3996" s="16" t="s">
        <v>17</v>
      </c>
      <c r="B3996" s="16" t="s">
        <v>26</v>
      </c>
      <c r="C3996" s="17" t="s">
        <v>19</v>
      </c>
      <c r="D3996" s="18" t="s">
        <v>2242</v>
      </c>
      <c r="E3996" s="18">
        <v>10</v>
      </c>
      <c r="F3996" s="18" t="s">
        <v>30</v>
      </c>
      <c r="G3996" s="18" t="s">
        <v>22</v>
      </c>
      <c r="H3996" s="18" t="s">
        <v>23</v>
      </c>
      <c r="I3996" s="19">
        <v>417.48</v>
      </c>
      <c r="J3996" s="20">
        <f t="shared" si="124"/>
        <v>4174.8</v>
      </c>
      <c r="K3996" s="106"/>
      <c r="L3996" s="114"/>
      <c r="M3996" s="114">
        <f>tblAquisições[[#This Row],[VALOR UNITARIO COMPRADO]]*tblAquisições[[#This Row],[QUANTIDADE COMPRADA]]</f>
        <v>0</v>
      </c>
      <c r="N3996" s="110">
        <f>K3996-tblAquisições[[#This Row],[QUANTIDADE PLANEJADA]]</f>
        <v>-10</v>
      </c>
      <c r="O3996" s="106" t="str">
        <f t="shared" si="125"/>
        <v>Faltando Comprar</v>
      </c>
    </row>
    <row r="3997" spans="1:15" ht="31.5">
      <c r="A3997" s="16" t="s">
        <v>17</v>
      </c>
      <c r="B3997" s="16" t="s">
        <v>26</v>
      </c>
      <c r="C3997" s="17" t="s">
        <v>19</v>
      </c>
      <c r="D3997" s="18" t="s">
        <v>2243</v>
      </c>
      <c r="E3997" s="18">
        <v>15</v>
      </c>
      <c r="F3997" s="18" t="s">
        <v>30</v>
      </c>
      <c r="G3997" s="18" t="s">
        <v>22</v>
      </c>
      <c r="H3997" s="18" t="s">
        <v>23</v>
      </c>
      <c r="I3997" s="19">
        <v>579.78</v>
      </c>
      <c r="J3997" s="20">
        <f t="shared" si="124"/>
        <v>8696.6999999999989</v>
      </c>
      <c r="K3997" s="106"/>
      <c r="L3997" s="114"/>
      <c r="M3997" s="114">
        <f>tblAquisições[[#This Row],[VALOR UNITARIO COMPRADO]]*tblAquisições[[#This Row],[QUANTIDADE COMPRADA]]</f>
        <v>0</v>
      </c>
      <c r="N3997" s="110">
        <f>K3997-tblAquisições[[#This Row],[QUANTIDADE PLANEJADA]]</f>
        <v>-15</v>
      </c>
      <c r="O3997" s="106" t="str">
        <f t="shared" si="125"/>
        <v>Faltando Comprar</v>
      </c>
    </row>
    <row r="3998" spans="1:15" ht="31.5">
      <c r="A3998" s="16" t="s">
        <v>17</v>
      </c>
      <c r="B3998" s="16" t="s">
        <v>18</v>
      </c>
      <c r="C3998" s="17" t="s">
        <v>19</v>
      </c>
      <c r="D3998" s="18" t="s">
        <v>2244</v>
      </c>
      <c r="E3998" s="18">
        <v>15</v>
      </c>
      <c r="F3998" s="18" t="s">
        <v>30</v>
      </c>
      <c r="G3998" s="18" t="s">
        <v>22</v>
      </c>
      <c r="H3998" s="18" t="s">
        <v>23</v>
      </c>
      <c r="I3998" s="19">
        <v>61.13</v>
      </c>
      <c r="J3998" s="20">
        <f t="shared" si="124"/>
        <v>916.95</v>
      </c>
      <c r="K3998" s="106"/>
      <c r="L3998" s="114"/>
      <c r="M3998" s="114">
        <f>tblAquisições[[#This Row],[VALOR UNITARIO COMPRADO]]*tblAquisições[[#This Row],[QUANTIDADE COMPRADA]]</f>
        <v>0</v>
      </c>
      <c r="N3998" s="110">
        <f>K3998-tblAquisições[[#This Row],[QUANTIDADE PLANEJADA]]</f>
        <v>-15</v>
      </c>
      <c r="O3998" s="106" t="str">
        <f t="shared" si="125"/>
        <v>Faltando Comprar</v>
      </c>
    </row>
    <row r="3999" spans="1:15" ht="31.5">
      <c r="A3999" s="16" t="s">
        <v>17</v>
      </c>
      <c r="B3999" s="16" t="s">
        <v>24</v>
      </c>
      <c r="C3999" s="17" t="s">
        <v>19</v>
      </c>
      <c r="D3999" s="18" t="s">
        <v>2244</v>
      </c>
      <c r="E3999" s="18">
        <v>15</v>
      </c>
      <c r="F3999" s="18" t="s">
        <v>30</v>
      </c>
      <c r="G3999" s="18" t="s">
        <v>22</v>
      </c>
      <c r="H3999" s="18" t="s">
        <v>23</v>
      </c>
      <c r="I3999" s="19">
        <v>61.13</v>
      </c>
      <c r="J3999" s="20">
        <f t="shared" si="124"/>
        <v>916.95</v>
      </c>
      <c r="K3999" s="106"/>
      <c r="L3999" s="114"/>
      <c r="M3999" s="114">
        <f>tblAquisições[[#This Row],[VALOR UNITARIO COMPRADO]]*tblAquisições[[#This Row],[QUANTIDADE COMPRADA]]</f>
        <v>0</v>
      </c>
      <c r="N3999" s="110">
        <f>K3999-tblAquisições[[#This Row],[QUANTIDADE PLANEJADA]]</f>
        <v>-15</v>
      </c>
      <c r="O3999" s="106" t="str">
        <f t="shared" si="125"/>
        <v>Faltando Comprar</v>
      </c>
    </row>
    <row r="4000" spans="1:15" ht="31.5">
      <c r="A4000" s="34" t="s">
        <v>17</v>
      </c>
      <c r="B4000" s="34" t="s">
        <v>25</v>
      </c>
      <c r="C4000" s="17" t="s">
        <v>19</v>
      </c>
      <c r="D4000" s="33" t="s">
        <v>2244</v>
      </c>
      <c r="E4000" s="33">
        <v>15</v>
      </c>
      <c r="F4000" s="33" t="s">
        <v>30</v>
      </c>
      <c r="G4000" s="33" t="s">
        <v>22</v>
      </c>
      <c r="H4000" s="33" t="s">
        <v>23</v>
      </c>
      <c r="I4000" s="19">
        <v>61.13</v>
      </c>
      <c r="J4000" s="20">
        <f t="shared" si="124"/>
        <v>916.95</v>
      </c>
      <c r="K4000" s="106"/>
      <c r="L4000" s="114"/>
      <c r="M4000" s="114">
        <f>tblAquisições[[#This Row],[VALOR UNITARIO COMPRADO]]*tblAquisições[[#This Row],[QUANTIDADE COMPRADA]]</f>
        <v>0</v>
      </c>
      <c r="N4000" s="110">
        <f>K4000-tblAquisições[[#This Row],[QUANTIDADE PLANEJADA]]</f>
        <v>-15</v>
      </c>
      <c r="O4000" s="106" t="str">
        <f t="shared" si="125"/>
        <v>Faltando Comprar</v>
      </c>
    </row>
    <row r="4001" spans="1:15" ht="31.5">
      <c r="A4001" s="16" t="s">
        <v>17</v>
      </c>
      <c r="B4001" s="16" t="s">
        <v>27</v>
      </c>
      <c r="C4001" s="17" t="s">
        <v>19</v>
      </c>
      <c r="D4001" s="18" t="s">
        <v>2244</v>
      </c>
      <c r="E4001" s="18">
        <v>10</v>
      </c>
      <c r="F4001" s="18" t="s">
        <v>30</v>
      </c>
      <c r="G4001" s="18" t="s">
        <v>22</v>
      </c>
      <c r="H4001" s="18" t="s">
        <v>23</v>
      </c>
      <c r="I4001" s="19">
        <v>61.13</v>
      </c>
      <c r="J4001" s="20">
        <f t="shared" si="124"/>
        <v>611.30000000000007</v>
      </c>
      <c r="K4001" s="106"/>
      <c r="L4001" s="114"/>
      <c r="M4001" s="114">
        <f>tblAquisições[[#This Row],[VALOR UNITARIO COMPRADO]]*tblAquisições[[#This Row],[QUANTIDADE COMPRADA]]</f>
        <v>0</v>
      </c>
      <c r="N4001" s="110">
        <f>K4001-tblAquisições[[#This Row],[QUANTIDADE PLANEJADA]]</f>
        <v>-10</v>
      </c>
      <c r="O4001" s="106" t="str">
        <f t="shared" si="125"/>
        <v>Faltando Comprar</v>
      </c>
    </row>
    <row r="4002" spans="1:15" ht="47.25">
      <c r="A4002" s="16" t="s">
        <v>17</v>
      </c>
      <c r="B4002" s="16" t="s">
        <v>59</v>
      </c>
      <c r="C4002" s="17" t="s">
        <v>19</v>
      </c>
      <c r="D4002" s="18" t="s">
        <v>2245</v>
      </c>
      <c r="E4002" s="18">
        <v>30</v>
      </c>
      <c r="F4002" s="18" t="s">
        <v>58</v>
      </c>
      <c r="G4002" s="18" t="s">
        <v>22</v>
      </c>
      <c r="H4002" s="18" t="s">
        <v>23</v>
      </c>
      <c r="I4002" s="19">
        <v>28.51</v>
      </c>
      <c r="J4002" s="20">
        <f t="shared" si="124"/>
        <v>855.30000000000007</v>
      </c>
      <c r="K4002" s="106"/>
      <c r="L4002" s="114"/>
      <c r="M4002" s="114">
        <f>tblAquisições[[#This Row],[VALOR UNITARIO COMPRADO]]*tblAquisições[[#This Row],[QUANTIDADE COMPRADA]]</f>
        <v>0</v>
      </c>
      <c r="N4002" s="110">
        <f>K4002-tblAquisições[[#This Row],[QUANTIDADE PLANEJADA]]</f>
        <v>-30</v>
      </c>
      <c r="O4002" s="106" t="str">
        <f t="shared" si="125"/>
        <v>Faltando Comprar</v>
      </c>
    </row>
    <row r="4003" spans="1:15" ht="47.25">
      <c r="A4003" s="16" t="s">
        <v>17</v>
      </c>
      <c r="B4003" s="16" t="s">
        <v>80</v>
      </c>
      <c r="C4003" s="17" t="s">
        <v>19</v>
      </c>
      <c r="D4003" s="18" t="s">
        <v>2246</v>
      </c>
      <c r="E4003" s="18">
        <v>2</v>
      </c>
      <c r="F4003" s="18" t="s">
        <v>147</v>
      </c>
      <c r="G4003" s="18" t="s">
        <v>39</v>
      </c>
      <c r="H4003" s="21"/>
      <c r="I4003" s="19">
        <v>42.16</v>
      </c>
      <c r="J4003" s="20">
        <f t="shared" si="124"/>
        <v>84.32</v>
      </c>
      <c r="K4003" s="106"/>
      <c r="L4003" s="114"/>
      <c r="M4003" s="114">
        <f>tblAquisições[[#This Row],[VALOR UNITARIO COMPRADO]]*tblAquisições[[#This Row],[QUANTIDADE COMPRADA]]</f>
        <v>0</v>
      </c>
      <c r="N4003" s="110">
        <f>K4003-tblAquisições[[#This Row],[QUANTIDADE PLANEJADA]]</f>
        <v>-2</v>
      </c>
      <c r="O4003" s="106" t="str">
        <f t="shared" si="125"/>
        <v>Faltando Comprar</v>
      </c>
    </row>
    <row r="4004" spans="1:15" ht="47.25">
      <c r="A4004" s="16" t="s">
        <v>17</v>
      </c>
      <c r="B4004" s="16" t="s">
        <v>80</v>
      </c>
      <c r="C4004" s="17" t="s">
        <v>19</v>
      </c>
      <c r="D4004" s="18" t="s">
        <v>2247</v>
      </c>
      <c r="E4004" s="18">
        <v>6</v>
      </c>
      <c r="F4004" s="18" t="s">
        <v>147</v>
      </c>
      <c r="G4004" s="18" t="s">
        <v>39</v>
      </c>
      <c r="H4004" s="21"/>
      <c r="I4004" s="19">
        <v>12.07</v>
      </c>
      <c r="J4004" s="20">
        <f t="shared" si="124"/>
        <v>72.42</v>
      </c>
      <c r="K4004" s="106"/>
      <c r="L4004" s="114"/>
      <c r="M4004" s="114">
        <f>tblAquisições[[#This Row],[VALOR UNITARIO COMPRADO]]*tblAquisições[[#This Row],[QUANTIDADE COMPRADA]]</f>
        <v>0</v>
      </c>
      <c r="N4004" s="110">
        <f>K4004-tblAquisições[[#This Row],[QUANTIDADE PLANEJADA]]</f>
        <v>-6</v>
      </c>
      <c r="O4004" s="106" t="str">
        <f t="shared" si="125"/>
        <v>Faltando Comprar</v>
      </c>
    </row>
    <row r="4005" spans="1:15" ht="47.25">
      <c r="A4005" s="16" t="s">
        <v>17</v>
      </c>
      <c r="B4005" s="16" t="s">
        <v>80</v>
      </c>
      <c r="C4005" s="17" t="s">
        <v>19</v>
      </c>
      <c r="D4005" s="18" t="s">
        <v>2248</v>
      </c>
      <c r="E4005" s="18">
        <v>4</v>
      </c>
      <c r="F4005" s="18" t="s">
        <v>147</v>
      </c>
      <c r="G4005" s="18" t="s">
        <v>39</v>
      </c>
      <c r="H4005" s="21"/>
      <c r="I4005" s="19">
        <v>40.6</v>
      </c>
      <c r="J4005" s="20">
        <f t="shared" si="124"/>
        <v>162.4</v>
      </c>
      <c r="K4005" s="106"/>
      <c r="L4005" s="114"/>
      <c r="M4005" s="114">
        <f>tblAquisições[[#This Row],[VALOR UNITARIO COMPRADO]]*tblAquisições[[#This Row],[QUANTIDADE COMPRADA]]</f>
        <v>0</v>
      </c>
      <c r="N4005" s="110">
        <f>K4005-tblAquisições[[#This Row],[QUANTIDADE PLANEJADA]]</f>
        <v>-4</v>
      </c>
      <c r="O4005" s="106" t="str">
        <f t="shared" si="125"/>
        <v>Faltando Comprar</v>
      </c>
    </row>
    <row r="4006" spans="1:15" ht="47.25">
      <c r="A4006" s="16" t="s">
        <v>17</v>
      </c>
      <c r="B4006" s="16" t="s">
        <v>34</v>
      </c>
      <c r="C4006" s="17" t="s">
        <v>19</v>
      </c>
      <c r="D4006" s="18" t="s">
        <v>2249</v>
      </c>
      <c r="E4006" s="18">
        <v>12</v>
      </c>
      <c r="F4006" s="18" t="s">
        <v>78</v>
      </c>
      <c r="G4006" s="18" t="s">
        <v>22</v>
      </c>
      <c r="H4006" s="18" t="s">
        <v>23</v>
      </c>
      <c r="I4006" s="19">
        <v>40.6</v>
      </c>
      <c r="J4006" s="20">
        <f t="shared" si="124"/>
        <v>487.20000000000005</v>
      </c>
      <c r="K4006" s="106"/>
      <c r="L4006" s="114"/>
      <c r="M4006" s="114">
        <f>tblAquisições[[#This Row],[VALOR UNITARIO COMPRADO]]*tblAquisições[[#This Row],[QUANTIDADE COMPRADA]]</f>
        <v>0</v>
      </c>
      <c r="N4006" s="110">
        <f>K4006-tblAquisições[[#This Row],[QUANTIDADE PLANEJADA]]</f>
        <v>-12</v>
      </c>
      <c r="O4006" s="106" t="str">
        <f t="shared" si="125"/>
        <v>Faltando Comprar</v>
      </c>
    </row>
    <row r="4007" spans="1:15" ht="47.25">
      <c r="A4007" s="16" t="s">
        <v>17</v>
      </c>
      <c r="B4007" s="16" t="s">
        <v>26</v>
      </c>
      <c r="C4007" s="17" t="s">
        <v>19</v>
      </c>
      <c r="D4007" s="18" t="s">
        <v>2249</v>
      </c>
      <c r="E4007" s="18">
        <v>7</v>
      </c>
      <c r="F4007" s="18" t="s">
        <v>78</v>
      </c>
      <c r="G4007" s="18" t="s">
        <v>22</v>
      </c>
      <c r="H4007" s="18" t="s">
        <v>23</v>
      </c>
      <c r="I4007" s="19">
        <v>40.6</v>
      </c>
      <c r="J4007" s="20">
        <f t="shared" si="124"/>
        <v>284.2</v>
      </c>
      <c r="K4007" s="106"/>
      <c r="L4007" s="114"/>
      <c r="M4007" s="114">
        <f>tblAquisições[[#This Row],[VALOR UNITARIO COMPRADO]]*tblAquisições[[#This Row],[QUANTIDADE COMPRADA]]</f>
        <v>0</v>
      </c>
      <c r="N4007" s="110">
        <f>K4007-tblAquisições[[#This Row],[QUANTIDADE PLANEJADA]]</f>
        <v>-7</v>
      </c>
      <c r="O4007" s="106" t="str">
        <f t="shared" si="125"/>
        <v>Faltando Comprar</v>
      </c>
    </row>
    <row r="4008" spans="1:15" ht="31.5">
      <c r="A4008" s="16" t="s">
        <v>17</v>
      </c>
      <c r="B4008" s="16" t="s">
        <v>18</v>
      </c>
      <c r="C4008" s="17" t="s">
        <v>19</v>
      </c>
      <c r="D4008" s="33" t="s">
        <v>2250</v>
      </c>
      <c r="E4008" s="33">
        <v>12</v>
      </c>
      <c r="F4008" s="33" t="s">
        <v>30</v>
      </c>
      <c r="G4008" s="33" t="s">
        <v>22</v>
      </c>
      <c r="H4008" s="33" t="s">
        <v>23</v>
      </c>
      <c r="I4008" s="19">
        <v>51.51</v>
      </c>
      <c r="J4008" s="20">
        <f t="shared" si="124"/>
        <v>618.12</v>
      </c>
      <c r="K4008" s="106"/>
      <c r="L4008" s="114"/>
      <c r="M4008" s="114">
        <f>tblAquisições[[#This Row],[VALOR UNITARIO COMPRADO]]*tblAquisições[[#This Row],[QUANTIDADE COMPRADA]]</f>
        <v>0</v>
      </c>
      <c r="N4008" s="110">
        <f>K4008-tblAquisições[[#This Row],[QUANTIDADE PLANEJADA]]</f>
        <v>-12</v>
      </c>
      <c r="O4008" s="106" t="str">
        <f t="shared" si="125"/>
        <v>Faltando Comprar</v>
      </c>
    </row>
    <row r="4009" spans="1:15" ht="31.5">
      <c r="A4009" s="16" t="s">
        <v>17</v>
      </c>
      <c r="B4009" s="16" t="s">
        <v>24</v>
      </c>
      <c r="C4009" s="17" t="s">
        <v>19</v>
      </c>
      <c r="D4009" s="18" t="s">
        <v>2250</v>
      </c>
      <c r="E4009" s="18">
        <v>12</v>
      </c>
      <c r="F4009" s="18" t="s">
        <v>30</v>
      </c>
      <c r="G4009" s="18" t="s">
        <v>22</v>
      </c>
      <c r="H4009" s="18" t="s">
        <v>23</v>
      </c>
      <c r="I4009" s="19">
        <v>51.51</v>
      </c>
      <c r="J4009" s="20">
        <f t="shared" si="124"/>
        <v>618.12</v>
      </c>
      <c r="K4009" s="106"/>
      <c r="L4009" s="114"/>
      <c r="M4009" s="114">
        <f>tblAquisições[[#This Row],[VALOR UNITARIO COMPRADO]]*tblAquisições[[#This Row],[QUANTIDADE COMPRADA]]</f>
        <v>0</v>
      </c>
      <c r="N4009" s="110">
        <f>K4009-tblAquisições[[#This Row],[QUANTIDADE PLANEJADA]]</f>
        <v>-12</v>
      </c>
      <c r="O4009" s="106" t="str">
        <f t="shared" si="125"/>
        <v>Faltando Comprar</v>
      </c>
    </row>
    <row r="4010" spans="1:15" ht="31.5">
      <c r="A4010" s="16" t="s">
        <v>17</v>
      </c>
      <c r="B4010" s="16" t="s">
        <v>25</v>
      </c>
      <c r="C4010" s="17" t="s">
        <v>19</v>
      </c>
      <c r="D4010" s="18" t="s">
        <v>2250</v>
      </c>
      <c r="E4010" s="18">
        <v>12</v>
      </c>
      <c r="F4010" s="18" t="s">
        <v>30</v>
      </c>
      <c r="G4010" s="18" t="s">
        <v>22</v>
      </c>
      <c r="H4010" s="18" t="s">
        <v>23</v>
      </c>
      <c r="I4010" s="19">
        <v>51.51</v>
      </c>
      <c r="J4010" s="20">
        <f t="shared" si="124"/>
        <v>618.12</v>
      </c>
      <c r="K4010" s="106"/>
      <c r="L4010" s="114"/>
      <c r="M4010" s="114">
        <f>tblAquisições[[#This Row],[VALOR UNITARIO COMPRADO]]*tblAquisições[[#This Row],[QUANTIDADE COMPRADA]]</f>
        <v>0</v>
      </c>
      <c r="N4010" s="110">
        <f>K4010-tblAquisições[[#This Row],[QUANTIDADE PLANEJADA]]</f>
        <v>-12</v>
      </c>
      <c r="O4010" s="106" t="str">
        <f t="shared" si="125"/>
        <v>Faltando Comprar</v>
      </c>
    </row>
    <row r="4011" spans="1:15" ht="31.5">
      <c r="A4011" s="16" t="s">
        <v>17</v>
      </c>
      <c r="B4011" s="16" t="s">
        <v>26</v>
      </c>
      <c r="C4011" s="17" t="s">
        <v>19</v>
      </c>
      <c r="D4011" s="18" t="s">
        <v>2250</v>
      </c>
      <c r="E4011" s="18">
        <v>5</v>
      </c>
      <c r="F4011" s="18" t="s">
        <v>30</v>
      </c>
      <c r="G4011" s="18" t="s">
        <v>22</v>
      </c>
      <c r="H4011" s="18" t="s">
        <v>23</v>
      </c>
      <c r="I4011" s="19">
        <v>51.51</v>
      </c>
      <c r="J4011" s="20">
        <f t="shared" si="124"/>
        <v>257.55</v>
      </c>
      <c r="K4011" s="106"/>
      <c r="L4011" s="114"/>
      <c r="M4011" s="114">
        <f>tblAquisições[[#This Row],[VALOR UNITARIO COMPRADO]]*tblAquisições[[#This Row],[QUANTIDADE COMPRADA]]</f>
        <v>0</v>
      </c>
      <c r="N4011" s="110">
        <f>K4011-tblAquisições[[#This Row],[QUANTIDADE PLANEJADA]]</f>
        <v>-5</v>
      </c>
      <c r="O4011" s="106" t="str">
        <f t="shared" si="125"/>
        <v>Faltando Comprar</v>
      </c>
    </row>
    <row r="4012" spans="1:15" ht="47.25">
      <c r="A4012" s="16" t="s">
        <v>17</v>
      </c>
      <c r="B4012" s="16" t="s">
        <v>34</v>
      </c>
      <c r="C4012" s="17" t="s">
        <v>19</v>
      </c>
      <c r="D4012" s="35" t="s">
        <v>2251</v>
      </c>
      <c r="E4012" s="18">
        <v>2</v>
      </c>
      <c r="F4012" s="18" t="s">
        <v>21</v>
      </c>
      <c r="G4012" s="18" t="s">
        <v>22</v>
      </c>
      <c r="H4012" s="18" t="s">
        <v>23</v>
      </c>
      <c r="I4012" s="19">
        <v>780</v>
      </c>
      <c r="J4012" s="20">
        <f t="shared" si="124"/>
        <v>1560</v>
      </c>
      <c r="K4012" s="106"/>
      <c r="L4012" s="114"/>
      <c r="M4012" s="114">
        <f>tblAquisições[[#This Row],[VALOR UNITARIO COMPRADO]]*tblAquisições[[#This Row],[QUANTIDADE COMPRADA]]</f>
        <v>0</v>
      </c>
      <c r="N4012" s="110">
        <f>K4012-tblAquisições[[#This Row],[QUANTIDADE PLANEJADA]]</f>
        <v>-2</v>
      </c>
      <c r="O4012" s="106" t="str">
        <f t="shared" si="125"/>
        <v>Faltando Comprar</v>
      </c>
    </row>
    <row r="4013" spans="1:15" ht="47.25">
      <c r="A4013" s="16" t="s">
        <v>17</v>
      </c>
      <c r="B4013" s="16" t="s">
        <v>31</v>
      </c>
      <c r="C4013" s="17" t="s">
        <v>19</v>
      </c>
      <c r="D4013" s="35" t="s">
        <v>2251</v>
      </c>
      <c r="E4013" s="18">
        <v>8</v>
      </c>
      <c r="F4013" s="18" t="s">
        <v>21</v>
      </c>
      <c r="G4013" s="18" t="s">
        <v>22</v>
      </c>
      <c r="H4013" s="18" t="s">
        <v>23</v>
      </c>
      <c r="I4013" s="19">
        <v>780</v>
      </c>
      <c r="J4013" s="20">
        <f t="shared" si="124"/>
        <v>6240</v>
      </c>
      <c r="K4013" s="106"/>
      <c r="L4013" s="114"/>
      <c r="M4013" s="114">
        <f>tblAquisições[[#This Row],[VALOR UNITARIO COMPRADO]]*tblAquisições[[#This Row],[QUANTIDADE COMPRADA]]</f>
        <v>0</v>
      </c>
      <c r="N4013" s="110">
        <f>K4013-tblAquisições[[#This Row],[QUANTIDADE PLANEJADA]]</f>
        <v>-8</v>
      </c>
      <c r="O4013" s="106" t="str">
        <f t="shared" si="125"/>
        <v>Faltando Comprar</v>
      </c>
    </row>
    <row r="4014" spans="1:15" ht="47.25">
      <c r="A4014" s="16" t="s">
        <v>17</v>
      </c>
      <c r="B4014" s="16" t="s">
        <v>34</v>
      </c>
      <c r="C4014" s="17" t="s">
        <v>19</v>
      </c>
      <c r="D4014" s="35" t="s">
        <v>2252</v>
      </c>
      <c r="E4014" s="18">
        <v>2</v>
      </c>
      <c r="F4014" s="18" t="s">
        <v>21</v>
      </c>
      <c r="G4014" s="18" t="s">
        <v>22</v>
      </c>
      <c r="H4014" s="18" t="s">
        <v>23</v>
      </c>
      <c r="I4014" s="19">
        <v>1600</v>
      </c>
      <c r="J4014" s="20">
        <f t="shared" si="124"/>
        <v>3200</v>
      </c>
      <c r="K4014" s="106"/>
      <c r="L4014" s="114"/>
      <c r="M4014" s="114">
        <f>tblAquisições[[#This Row],[VALOR UNITARIO COMPRADO]]*tblAquisições[[#This Row],[QUANTIDADE COMPRADA]]</f>
        <v>0</v>
      </c>
      <c r="N4014" s="110">
        <f>K4014-tblAquisições[[#This Row],[QUANTIDADE PLANEJADA]]</f>
        <v>-2</v>
      </c>
      <c r="O4014" s="106" t="str">
        <f t="shared" si="125"/>
        <v>Faltando Comprar</v>
      </c>
    </row>
    <row r="4015" spans="1:15" ht="47.25">
      <c r="A4015" s="16" t="s">
        <v>17</v>
      </c>
      <c r="B4015" s="16" t="s">
        <v>28</v>
      </c>
      <c r="C4015" s="17" t="s">
        <v>19</v>
      </c>
      <c r="D4015" s="35" t="s">
        <v>2252</v>
      </c>
      <c r="E4015" s="18">
        <v>6</v>
      </c>
      <c r="F4015" s="18" t="s">
        <v>21</v>
      </c>
      <c r="G4015" s="18" t="s">
        <v>22</v>
      </c>
      <c r="H4015" s="18" t="s">
        <v>23</v>
      </c>
      <c r="I4015" s="19">
        <v>1600</v>
      </c>
      <c r="J4015" s="20">
        <f t="shared" si="124"/>
        <v>9600</v>
      </c>
      <c r="K4015" s="106"/>
      <c r="L4015" s="114"/>
      <c r="M4015" s="114">
        <f>tblAquisições[[#This Row],[VALOR UNITARIO COMPRADO]]*tblAquisições[[#This Row],[QUANTIDADE COMPRADA]]</f>
        <v>0</v>
      </c>
      <c r="N4015" s="110">
        <f>K4015-tblAquisições[[#This Row],[QUANTIDADE PLANEJADA]]</f>
        <v>-6</v>
      </c>
      <c r="O4015" s="106" t="str">
        <f t="shared" si="125"/>
        <v>Faltando Comprar</v>
      </c>
    </row>
    <row r="4016" spans="1:15" ht="63">
      <c r="A4016" s="16" t="s">
        <v>17</v>
      </c>
      <c r="B4016" s="16" t="s">
        <v>17</v>
      </c>
      <c r="C4016" s="17" t="s">
        <v>19</v>
      </c>
      <c r="D4016" s="35" t="s">
        <v>2253</v>
      </c>
      <c r="E4016" s="18">
        <v>4</v>
      </c>
      <c r="F4016" s="18" t="s">
        <v>38</v>
      </c>
      <c r="G4016" s="18" t="s">
        <v>39</v>
      </c>
      <c r="H4016" s="18" t="s">
        <v>23</v>
      </c>
      <c r="I4016" s="19">
        <v>1590</v>
      </c>
      <c r="J4016" s="20">
        <f t="shared" si="124"/>
        <v>6360</v>
      </c>
      <c r="K4016" s="106"/>
      <c r="L4016" s="114"/>
      <c r="M4016" s="114">
        <f>tblAquisições[[#This Row],[VALOR UNITARIO COMPRADO]]*tblAquisições[[#This Row],[QUANTIDADE COMPRADA]]</f>
        <v>0</v>
      </c>
      <c r="N4016" s="110">
        <f>K4016-tblAquisições[[#This Row],[QUANTIDADE PLANEJADA]]</f>
        <v>-4</v>
      </c>
      <c r="O4016" s="106" t="str">
        <f t="shared" si="125"/>
        <v>Faltando Comprar</v>
      </c>
    </row>
    <row r="4017" spans="1:15" ht="47.25">
      <c r="A4017" s="16" t="s">
        <v>17</v>
      </c>
      <c r="B4017" s="16" t="s">
        <v>34</v>
      </c>
      <c r="C4017" s="17" t="s">
        <v>19</v>
      </c>
      <c r="D4017" s="35" t="s">
        <v>2254</v>
      </c>
      <c r="E4017" s="18">
        <v>5</v>
      </c>
      <c r="F4017" s="18" t="s">
        <v>21</v>
      </c>
      <c r="G4017" s="18" t="s">
        <v>22</v>
      </c>
      <c r="H4017" s="18" t="s">
        <v>23</v>
      </c>
      <c r="I4017" s="19">
        <v>1590</v>
      </c>
      <c r="J4017" s="20">
        <f t="shared" si="124"/>
        <v>7950</v>
      </c>
      <c r="K4017" s="106"/>
      <c r="L4017" s="114"/>
      <c r="M4017" s="114">
        <f>tblAquisições[[#This Row],[VALOR UNITARIO COMPRADO]]*tblAquisições[[#This Row],[QUANTIDADE COMPRADA]]</f>
        <v>0</v>
      </c>
      <c r="N4017" s="110">
        <f>K4017-tblAquisições[[#This Row],[QUANTIDADE PLANEJADA]]</f>
        <v>-5</v>
      </c>
      <c r="O4017" s="106" t="str">
        <f t="shared" si="125"/>
        <v>Faltando Comprar</v>
      </c>
    </row>
    <row r="4018" spans="1:15" ht="47.25">
      <c r="A4018" s="16" t="s">
        <v>17</v>
      </c>
      <c r="B4018" s="16" t="s">
        <v>31</v>
      </c>
      <c r="C4018" s="17" t="s">
        <v>19</v>
      </c>
      <c r="D4018" s="35" t="s">
        <v>2254</v>
      </c>
      <c r="E4018" s="18">
        <v>6</v>
      </c>
      <c r="F4018" s="18" t="s">
        <v>21</v>
      </c>
      <c r="G4018" s="18" t="s">
        <v>22</v>
      </c>
      <c r="H4018" s="18" t="s">
        <v>23</v>
      </c>
      <c r="I4018" s="19">
        <v>1590</v>
      </c>
      <c r="J4018" s="20">
        <f t="shared" si="124"/>
        <v>9540</v>
      </c>
      <c r="K4018" s="106"/>
      <c r="L4018" s="114"/>
      <c r="M4018" s="114">
        <f>tblAquisições[[#This Row],[VALOR UNITARIO COMPRADO]]*tblAquisições[[#This Row],[QUANTIDADE COMPRADA]]</f>
        <v>0</v>
      </c>
      <c r="N4018" s="110">
        <f>K4018-tblAquisições[[#This Row],[QUANTIDADE PLANEJADA]]</f>
        <v>-6</v>
      </c>
      <c r="O4018" s="106" t="str">
        <f t="shared" si="125"/>
        <v>Faltando Comprar</v>
      </c>
    </row>
    <row r="4019" spans="1:15" ht="47.25">
      <c r="A4019" s="16" t="s">
        <v>17</v>
      </c>
      <c r="B4019" s="16" t="s">
        <v>18</v>
      </c>
      <c r="C4019" s="17" t="s">
        <v>19</v>
      </c>
      <c r="D4019" s="35" t="s">
        <v>2254</v>
      </c>
      <c r="E4019" s="18">
        <v>15</v>
      </c>
      <c r="F4019" s="18" t="s">
        <v>21</v>
      </c>
      <c r="G4019" s="18" t="s">
        <v>22</v>
      </c>
      <c r="H4019" s="18" t="s">
        <v>23</v>
      </c>
      <c r="I4019" s="19">
        <v>1590</v>
      </c>
      <c r="J4019" s="20">
        <f t="shared" si="124"/>
        <v>23850</v>
      </c>
      <c r="K4019" s="106"/>
      <c r="L4019" s="114"/>
      <c r="M4019" s="114">
        <f>tblAquisições[[#This Row],[VALOR UNITARIO COMPRADO]]*tblAquisições[[#This Row],[QUANTIDADE COMPRADA]]</f>
        <v>0</v>
      </c>
      <c r="N4019" s="110">
        <f>K4019-tblAquisições[[#This Row],[QUANTIDADE PLANEJADA]]</f>
        <v>-15</v>
      </c>
      <c r="O4019" s="106" t="str">
        <f t="shared" si="125"/>
        <v>Faltando Comprar</v>
      </c>
    </row>
    <row r="4020" spans="1:15" ht="47.25">
      <c r="A4020" s="16" t="s">
        <v>17</v>
      </c>
      <c r="B4020" s="16" t="s">
        <v>24</v>
      </c>
      <c r="C4020" s="17" t="s">
        <v>19</v>
      </c>
      <c r="D4020" s="35" t="s">
        <v>2254</v>
      </c>
      <c r="E4020" s="18">
        <v>15</v>
      </c>
      <c r="F4020" s="18" t="s">
        <v>21</v>
      </c>
      <c r="G4020" s="18" t="s">
        <v>22</v>
      </c>
      <c r="H4020" s="18" t="s">
        <v>23</v>
      </c>
      <c r="I4020" s="19">
        <v>1590</v>
      </c>
      <c r="J4020" s="20">
        <f t="shared" si="124"/>
        <v>23850</v>
      </c>
      <c r="K4020" s="106"/>
      <c r="L4020" s="114"/>
      <c r="M4020" s="114">
        <f>tblAquisições[[#This Row],[VALOR UNITARIO COMPRADO]]*tblAquisições[[#This Row],[QUANTIDADE COMPRADA]]</f>
        <v>0</v>
      </c>
      <c r="N4020" s="110">
        <f>K4020-tblAquisições[[#This Row],[QUANTIDADE PLANEJADA]]</f>
        <v>-15</v>
      </c>
      <c r="O4020" s="106" t="str">
        <f t="shared" si="125"/>
        <v>Faltando Comprar</v>
      </c>
    </row>
    <row r="4021" spans="1:15" ht="47.25">
      <c r="A4021" s="16" t="s">
        <v>17</v>
      </c>
      <c r="B4021" s="16" t="s">
        <v>25</v>
      </c>
      <c r="C4021" s="17" t="s">
        <v>19</v>
      </c>
      <c r="D4021" s="35" t="s">
        <v>2254</v>
      </c>
      <c r="E4021" s="18">
        <v>15</v>
      </c>
      <c r="F4021" s="18" t="s">
        <v>21</v>
      </c>
      <c r="G4021" s="18" t="s">
        <v>22</v>
      </c>
      <c r="H4021" s="18" t="s">
        <v>23</v>
      </c>
      <c r="I4021" s="19">
        <v>1590</v>
      </c>
      <c r="J4021" s="20">
        <f t="shared" si="124"/>
        <v>23850</v>
      </c>
      <c r="K4021" s="106"/>
      <c r="L4021" s="114"/>
      <c r="M4021" s="114">
        <f>tblAquisições[[#This Row],[VALOR UNITARIO COMPRADO]]*tblAquisições[[#This Row],[QUANTIDADE COMPRADA]]</f>
        <v>0</v>
      </c>
      <c r="N4021" s="110">
        <f>K4021-tblAquisições[[#This Row],[QUANTIDADE PLANEJADA]]</f>
        <v>-15</v>
      </c>
      <c r="O4021" s="106" t="str">
        <f t="shared" si="125"/>
        <v>Faltando Comprar</v>
      </c>
    </row>
    <row r="4022" spans="1:15" ht="47.25">
      <c r="A4022" s="16" t="s">
        <v>17</v>
      </c>
      <c r="B4022" s="16" t="s">
        <v>41</v>
      </c>
      <c r="C4022" s="17" t="s">
        <v>19</v>
      </c>
      <c r="D4022" s="35" t="s">
        <v>2254</v>
      </c>
      <c r="E4022" s="18">
        <v>6</v>
      </c>
      <c r="F4022" s="18" t="s">
        <v>21</v>
      </c>
      <c r="G4022" s="18" t="s">
        <v>22</v>
      </c>
      <c r="H4022" s="18" t="s">
        <v>23</v>
      </c>
      <c r="I4022" s="19">
        <v>1590</v>
      </c>
      <c r="J4022" s="20">
        <f t="shared" si="124"/>
        <v>9540</v>
      </c>
      <c r="K4022" s="106"/>
      <c r="L4022" s="114"/>
      <c r="M4022" s="114">
        <f>tblAquisições[[#This Row],[VALOR UNITARIO COMPRADO]]*tblAquisições[[#This Row],[QUANTIDADE COMPRADA]]</f>
        <v>0</v>
      </c>
      <c r="N4022" s="110">
        <f>K4022-tblAquisições[[#This Row],[QUANTIDADE PLANEJADA]]</f>
        <v>-6</v>
      </c>
      <c r="O4022" s="106" t="str">
        <f t="shared" si="125"/>
        <v>Faltando Comprar</v>
      </c>
    </row>
    <row r="4023" spans="1:15" ht="47.25">
      <c r="A4023" s="16" t="s">
        <v>17</v>
      </c>
      <c r="B4023" s="16" t="s">
        <v>27</v>
      </c>
      <c r="C4023" s="17" t="s">
        <v>19</v>
      </c>
      <c r="D4023" s="35" t="s">
        <v>2254</v>
      </c>
      <c r="E4023" s="18">
        <v>20</v>
      </c>
      <c r="F4023" s="18" t="s">
        <v>21</v>
      </c>
      <c r="G4023" s="18" t="s">
        <v>22</v>
      </c>
      <c r="H4023" s="18" t="s">
        <v>23</v>
      </c>
      <c r="I4023" s="19">
        <v>1590</v>
      </c>
      <c r="J4023" s="20">
        <f t="shared" si="124"/>
        <v>31800</v>
      </c>
      <c r="K4023" s="106"/>
      <c r="L4023" s="114"/>
      <c r="M4023" s="114">
        <f>tblAquisições[[#This Row],[VALOR UNITARIO COMPRADO]]*tblAquisições[[#This Row],[QUANTIDADE COMPRADA]]</f>
        <v>0</v>
      </c>
      <c r="N4023" s="110">
        <f>K4023-tblAquisições[[#This Row],[QUANTIDADE PLANEJADA]]</f>
        <v>-20</v>
      </c>
      <c r="O4023" s="106" t="str">
        <f t="shared" si="125"/>
        <v>Faltando Comprar</v>
      </c>
    </row>
    <row r="4024" spans="1:15" ht="47.25">
      <c r="A4024" s="16" t="s">
        <v>17</v>
      </c>
      <c r="B4024" s="16" t="s">
        <v>28</v>
      </c>
      <c r="C4024" s="17" t="s">
        <v>19</v>
      </c>
      <c r="D4024" s="35" t="s">
        <v>2254</v>
      </c>
      <c r="E4024" s="18">
        <v>12</v>
      </c>
      <c r="F4024" s="18" t="s">
        <v>21</v>
      </c>
      <c r="G4024" s="18" t="s">
        <v>22</v>
      </c>
      <c r="H4024" s="18" t="s">
        <v>53</v>
      </c>
      <c r="I4024" s="19">
        <v>1590</v>
      </c>
      <c r="J4024" s="20">
        <f t="shared" si="124"/>
        <v>19080</v>
      </c>
      <c r="K4024" s="106"/>
      <c r="L4024" s="114"/>
      <c r="M4024" s="114">
        <f>tblAquisições[[#This Row],[VALOR UNITARIO COMPRADO]]*tblAquisições[[#This Row],[QUANTIDADE COMPRADA]]</f>
        <v>0</v>
      </c>
      <c r="N4024" s="110">
        <f>K4024-tblAquisições[[#This Row],[QUANTIDADE PLANEJADA]]</f>
        <v>-12</v>
      </c>
      <c r="O4024" s="106" t="str">
        <f t="shared" si="125"/>
        <v>Faltando Comprar</v>
      </c>
    </row>
    <row r="4025" spans="1:15" ht="63">
      <c r="A4025" s="16" t="s">
        <v>17</v>
      </c>
      <c r="B4025" s="16" t="s">
        <v>17</v>
      </c>
      <c r="C4025" s="17" t="s">
        <v>19</v>
      </c>
      <c r="D4025" s="36" t="s">
        <v>2255</v>
      </c>
      <c r="E4025" s="33">
        <v>4</v>
      </c>
      <c r="F4025" s="33" t="s">
        <v>38</v>
      </c>
      <c r="G4025" s="33" t="s">
        <v>39</v>
      </c>
      <c r="H4025" s="33" t="s">
        <v>23</v>
      </c>
      <c r="I4025" s="19">
        <v>2000</v>
      </c>
      <c r="J4025" s="20">
        <f t="shared" si="124"/>
        <v>8000</v>
      </c>
      <c r="K4025" s="106"/>
      <c r="L4025" s="114"/>
      <c r="M4025" s="114">
        <f>tblAquisições[[#This Row],[VALOR UNITARIO COMPRADO]]*tblAquisições[[#This Row],[QUANTIDADE COMPRADA]]</f>
        <v>0</v>
      </c>
      <c r="N4025" s="110">
        <f>K4025-tblAquisições[[#This Row],[QUANTIDADE PLANEJADA]]</f>
        <v>-4</v>
      </c>
      <c r="O4025" s="106" t="str">
        <f t="shared" si="125"/>
        <v>Faltando Comprar</v>
      </c>
    </row>
    <row r="4026" spans="1:15" ht="47.25">
      <c r="A4026" s="16" t="s">
        <v>17</v>
      </c>
      <c r="B4026" s="16" t="s">
        <v>34</v>
      </c>
      <c r="C4026" s="17" t="s">
        <v>19</v>
      </c>
      <c r="D4026" s="35" t="s">
        <v>2256</v>
      </c>
      <c r="E4026" s="18">
        <v>5</v>
      </c>
      <c r="F4026" s="18" t="s">
        <v>21</v>
      </c>
      <c r="G4026" s="18" t="s">
        <v>22</v>
      </c>
      <c r="H4026" s="18" t="s">
        <v>23</v>
      </c>
      <c r="I4026" s="19">
        <v>2000</v>
      </c>
      <c r="J4026" s="20">
        <f t="shared" si="124"/>
        <v>10000</v>
      </c>
      <c r="K4026" s="106"/>
      <c r="L4026" s="114"/>
      <c r="M4026" s="114">
        <f>tblAquisições[[#This Row],[VALOR UNITARIO COMPRADO]]*tblAquisições[[#This Row],[QUANTIDADE COMPRADA]]</f>
        <v>0</v>
      </c>
      <c r="N4026" s="110">
        <f>K4026-tblAquisições[[#This Row],[QUANTIDADE PLANEJADA]]</f>
        <v>-5</v>
      </c>
      <c r="O4026" s="106" t="str">
        <f t="shared" si="125"/>
        <v>Faltando Comprar</v>
      </c>
    </row>
    <row r="4027" spans="1:15" ht="47.25">
      <c r="A4027" s="16" t="s">
        <v>17</v>
      </c>
      <c r="B4027" s="16" t="s">
        <v>31</v>
      </c>
      <c r="C4027" s="17" t="s">
        <v>19</v>
      </c>
      <c r="D4027" s="35" t="s">
        <v>2256</v>
      </c>
      <c r="E4027" s="18">
        <v>6</v>
      </c>
      <c r="F4027" s="18" t="s">
        <v>21</v>
      </c>
      <c r="G4027" s="18" t="s">
        <v>22</v>
      </c>
      <c r="H4027" s="18" t="s">
        <v>23</v>
      </c>
      <c r="I4027" s="19">
        <v>2000</v>
      </c>
      <c r="J4027" s="20">
        <f t="shared" si="124"/>
        <v>12000</v>
      </c>
      <c r="K4027" s="106"/>
      <c r="L4027" s="114"/>
      <c r="M4027" s="114">
        <f>tblAquisições[[#This Row],[VALOR UNITARIO COMPRADO]]*tblAquisições[[#This Row],[QUANTIDADE COMPRADA]]</f>
        <v>0</v>
      </c>
      <c r="N4027" s="110">
        <f>K4027-tblAquisições[[#This Row],[QUANTIDADE PLANEJADA]]</f>
        <v>-6</v>
      </c>
      <c r="O4027" s="106" t="str">
        <f t="shared" si="125"/>
        <v>Faltando Comprar</v>
      </c>
    </row>
    <row r="4028" spans="1:15" ht="47.25">
      <c r="A4028" s="16" t="s">
        <v>17</v>
      </c>
      <c r="B4028" s="16" t="s">
        <v>18</v>
      </c>
      <c r="C4028" s="17" t="s">
        <v>19</v>
      </c>
      <c r="D4028" s="35" t="s">
        <v>2256</v>
      </c>
      <c r="E4028" s="18">
        <v>15</v>
      </c>
      <c r="F4028" s="18" t="s">
        <v>21</v>
      </c>
      <c r="G4028" s="18" t="s">
        <v>22</v>
      </c>
      <c r="H4028" s="18" t="s">
        <v>23</v>
      </c>
      <c r="I4028" s="19">
        <v>2000</v>
      </c>
      <c r="J4028" s="20">
        <f t="shared" si="124"/>
        <v>30000</v>
      </c>
      <c r="K4028" s="106"/>
      <c r="L4028" s="114"/>
      <c r="M4028" s="114">
        <f>tblAquisições[[#This Row],[VALOR UNITARIO COMPRADO]]*tblAquisições[[#This Row],[QUANTIDADE COMPRADA]]</f>
        <v>0</v>
      </c>
      <c r="N4028" s="110">
        <f>K4028-tblAquisições[[#This Row],[QUANTIDADE PLANEJADA]]</f>
        <v>-15</v>
      </c>
      <c r="O4028" s="106" t="str">
        <f t="shared" si="125"/>
        <v>Faltando Comprar</v>
      </c>
    </row>
    <row r="4029" spans="1:15" ht="47.25">
      <c r="A4029" s="16" t="s">
        <v>17</v>
      </c>
      <c r="B4029" s="16" t="s">
        <v>24</v>
      </c>
      <c r="C4029" s="17" t="s">
        <v>19</v>
      </c>
      <c r="D4029" s="35" t="s">
        <v>2256</v>
      </c>
      <c r="E4029" s="18">
        <v>15</v>
      </c>
      <c r="F4029" s="18" t="s">
        <v>21</v>
      </c>
      <c r="G4029" s="18" t="s">
        <v>22</v>
      </c>
      <c r="H4029" s="18" t="s">
        <v>23</v>
      </c>
      <c r="I4029" s="19">
        <v>2000</v>
      </c>
      <c r="J4029" s="20">
        <f t="shared" si="124"/>
        <v>30000</v>
      </c>
      <c r="K4029" s="106"/>
      <c r="L4029" s="114"/>
      <c r="M4029" s="114">
        <f>tblAquisições[[#This Row],[VALOR UNITARIO COMPRADO]]*tblAquisições[[#This Row],[QUANTIDADE COMPRADA]]</f>
        <v>0</v>
      </c>
      <c r="N4029" s="110">
        <f>K4029-tblAquisições[[#This Row],[QUANTIDADE PLANEJADA]]</f>
        <v>-15</v>
      </c>
      <c r="O4029" s="106" t="str">
        <f t="shared" si="125"/>
        <v>Faltando Comprar</v>
      </c>
    </row>
    <row r="4030" spans="1:15" ht="47.25">
      <c r="A4030" s="16" t="s">
        <v>17</v>
      </c>
      <c r="B4030" s="16" t="s">
        <v>25</v>
      </c>
      <c r="C4030" s="17" t="s">
        <v>19</v>
      </c>
      <c r="D4030" s="35" t="s">
        <v>2256</v>
      </c>
      <c r="E4030" s="18">
        <v>15</v>
      </c>
      <c r="F4030" s="18" t="s">
        <v>21</v>
      </c>
      <c r="G4030" s="18" t="s">
        <v>22</v>
      </c>
      <c r="H4030" s="18" t="s">
        <v>23</v>
      </c>
      <c r="I4030" s="19">
        <v>2000</v>
      </c>
      <c r="J4030" s="20">
        <f t="shared" si="124"/>
        <v>30000</v>
      </c>
      <c r="K4030" s="106"/>
      <c r="L4030" s="114"/>
      <c r="M4030" s="114">
        <f>tblAquisições[[#This Row],[VALOR UNITARIO COMPRADO]]*tblAquisições[[#This Row],[QUANTIDADE COMPRADA]]</f>
        <v>0</v>
      </c>
      <c r="N4030" s="110">
        <f>K4030-tblAquisições[[#This Row],[QUANTIDADE PLANEJADA]]</f>
        <v>-15</v>
      </c>
      <c r="O4030" s="106" t="str">
        <f t="shared" si="125"/>
        <v>Faltando Comprar</v>
      </c>
    </row>
    <row r="4031" spans="1:15" ht="47.25">
      <c r="A4031" s="16" t="s">
        <v>17</v>
      </c>
      <c r="B4031" s="16" t="s">
        <v>41</v>
      </c>
      <c r="C4031" s="17" t="s">
        <v>19</v>
      </c>
      <c r="D4031" s="35" t="s">
        <v>2256</v>
      </c>
      <c r="E4031" s="18">
        <v>4</v>
      </c>
      <c r="F4031" s="18" t="s">
        <v>21</v>
      </c>
      <c r="G4031" s="18" t="s">
        <v>22</v>
      </c>
      <c r="H4031" s="18" t="s">
        <v>23</v>
      </c>
      <c r="I4031" s="19">
        <v>2000</v>
      </c>
      <c r="J4031" s="20">
        <f t="shared" si="124"/>
        <v>8000</v>
      </c>
      <c r="K4031" s="106"/>
      <c r="L4031" s="114"/>
      <c r="M4031" s="114">
        <f>tblAquisições[[#This Row],[VALOR UNITARIO COMPRADO]]*tblAquisições[[#This Row],[QUANTIDADE COMPRADA]]</f>
        <v>0</v>
      </c>
      <c r="N4031" s="110">
        <f>K4031-tblAquisições[[#This Row],[QUANTIDADE PLANEJADA]]</f>
        <v>-4</v>
      </c>
      <c r="O4031" s="106" t="str">
        <f t="shared" si="125"/>
        <v>Faltando Comprar</v>
      </c>
    </row>
    <row r="4032" spans="1:15" ht="47.25">
      <c r="A4032" s="16" t="s">
        <v>17</v>
      </c>
      <c r="B4032" s="16" t="s">
        <v>27</v>
      </c>
      <c r="C4032" s="17" t="s">
        <v>19</v>
      </c>
      <c r="D4032" s="35" t="s">
        <v>2256</v>
      </c>
      <c r="E4032" s="18">
        <v>20</v>
      </c>
      <c r="F4032" s="18" t="s">
        <v>21</v>
      </c>
      <c r="G4032" s="18" t="s">
        <v>22</v>
      </c>
      <c r="H4032" s="18" t="s">
        <v>23</v>
      </c>
      <c r="I4032" s="19">
        <v>2000</v>
      </c>
      <c r="J4032" s="20">
        <f t="shared" si="124"/>
        <v>40000</v>
      </c>
      <c r="K4032" s="106"/>
      <c r="L4032" s="114"/>
      <c r="M4032" s="114">
        <f>tblAquisições[[#This Row],[VALOR UNITARIO COMPRADO]]*tblAquisições[[#This Row],[QUANTIDADE COMPRADA]]</f>
        <v>0</v>
      </c>
      <c r="N4032" s="110">
        <f>K4032-tblAquisições[[#This Row],[QUANTIDADE PLANEJADA]]</f>
        <v>-20</v>
      </c>
      <c r="O4032" s="106" t="str">
        <f t="shared" si="125"/>
        <v>Faltando Comprar</v>
      </c>
    </row>
    <row r="4033" spans="1:15" ht="47.25">
      <c r="A4033" s="16" t="s">
        <v>17</v>
      </c>
      <c r="B4033" s="16" t="s">
        <v>28</v>
      </c>
      <c r="C4033" s="17" t="s">
        <v>19</v>
      </c>
      <c r="D4033" s="35" t="s">
        <v>2256</v>
      </c>
      <c r="E4033" s="18">
        <v>12</v>
      </c>
      <c r="F4033" s="18" t="s">
        <v>21</v>
      </c>
      <c r="G4033" s="18" t="s">
        <v>22</v>
      </c>
      <c r="H4033" s="18" t="s">
        <v>53</v>
      </c>
      <c r="I4033" s="19">
        <v>2000</v>
      </c>
      <c r="J4033" s="20">
        <f t="shared" si="124"/>
        <v>24000</v>
      </c>
      <c r="K4033" s="106"/>
      <c r="L4033" s="114"/>
      <c r="M4033" s="114">
        <f>tblAquisições[[#This Row],[VALOR UNITARIO COMPRADO]]*tblAquisições[[#This Row],[QUANTIDADE COMPRADA]]</f>
        <v>0</v>
      </c>
      <c r="N4033" s="110">
        <f>K4033-tblAquisições[[#This Row],[QUANTIDADE PLANEJADA]]</f>
        <v>-12</v>
      </c>
      <c r="O4033" s="106" t="str">
        <f t="shared" si="125"/>
        <v>Faltando Comprar</v>
      </c>
    </row>
    <row r="4034" spans="1:15" ht="63">
      <c r="A4034" s="16" t="s">
        <v>17</v>
      </c>
      <c r="B4034" s="16" t="s">
        <v>17</v>
      </c>
      <c r="C4034" s="17" t="s">
        <v>19</v>
      </c>
      <c r="D4034" s="35" t="s">
        <v>2257</v>
      </c>
      <c r="E4034" s="18">
        <v>8</v>
      </c>
      <c r="F4034" s="18" t="s">
        <v>38</v>
      </c>
      <c r="G4034" s="18" t="s">
        <v>39</v>
      </c>
      <c r="H4034" s="18" t="s">
        <v>23</v>
      </c>
      <c r="I4034" s="19">
        <v>2951.78</v>
      </c>
      <c r="J4034" s="20">
        <f t="shared" ref="J4034:J4097" si="126">E4034*I4034</f>
        <v>23614.240000000002</v>
      </c>
      <c r="K4034" s="106"/>
      <c r="L4034" s="114"/>
      <c r="M4034" s="114">
        <f>tblAquisições[[#This Row],[VALOR UNITARIO COMPRADO]]*tblAquisições[[#This Row],[QUANTIDADE COMPRADA]]</f>
        <v>0</v>
      </c>
      <c r="N4034" s="110">
        <f>K4034-tblAquisições[[#This Row],[QUANTIDADE PLANEJADA]]</f>
        <v>-8</v>
      </c>
      <c r="O4034" s="106" t="str">
        <f t="shared" ref="O4034:O4097" si="127">IF(K4034=E4034,"OK",IF(K4034&lt;E4034,"Faltando Comprar","Excedente"))</f>
        <v>Faltando Comprar</v>
      </c>
    </row>
    <row r="4035" spans="1:15" ht="47.25">
      <c r="A4035" s="16" t="s">
        <v>17</v>
      </c>
      <c r="B4035" s="16" t="s">
        <v>34</v>
      </c>
      <c r="C4035" s="17" t="s">
        <v>19</v>
      </c>
      <c r="D4035" s="35" t="s">
        <v>2258</v>
      </c>
      <c r="E4035" s="18">
        <v>2</v>
      </c>
      <c r="F4035" s="18" t="s">
        <v>21</v>
      </c>
      <c r="G4035" s="18" t="s">
        <v>22</v>
      </c>
      <c r="H4035" s="18" t="s">
        <v>23</v>
      </c>
      <c r="I4035" s="19">
        <v>2951.78</v>
      </c>
      <c r="J4035" s="20">
        <f t="shared" si="126"/>
        <v>5903.56</v>
      </c>
      <c r="K4035" s="106"/>
      <c r="L4035" s="114"/>
      <c r="M4035" s="114">
        <f>tblAquisições[[#This Row],[VALOR UNITARIO COMPRADO]]*tblAquisições[[#This Row],[QUANTIDADE COMPRADA]]</f>
        <v>0</v>
      </c>
      <c r="N4035" s="110">
        <f>K4035-tblAquisições[[#This Row],[QUANTIDADE PLANEJADA]]</f>
        <v>-2</v>
      </c>
      <c r="O4035" s="106" t="str">
        <f t="shared" si="127"/>
        <v>Faltando Comprar</v>
      </c>
    </row>
    <row r="4036" spans="1:15" ht="47.25">
      <c r="A4036" s="16" t="s">
        <v>17</v>
      </c>
      <c r="B4036" s="16" t="s">
        <v>31</v>
      </c>
      <c r="C4036" s="17" t="s">
        <v>19</v>
      </c>
      <c r="D4036" s="35" t="s">
        <v>2258</v>
      </c>
      <c r="E4036" s="18">
        <v>4</v>
      </c>
      <c r="F4036" s="18" t="s">
        <v>21</v>
      </c>
      <c r="G4036" s="18" t="s">
        <v>22</v>
      </c>
      <c r="H4036" s="18" t="s">
        <v>23</v>
      </c>
      <c r="I4036" s="19">
        <v>2951.78</v>
      </c>
      <c r="J4036" s="20">
        <f t="shared" si="126"/>
        <v>11807.12</v>
      </c>
      <c r="K4036" s="106"/>
      <c r="L4036" s="114"/>
      <c r="M4036" s="114">
        <f>tblAquisições[[#This Row],[VALOR UNITARIO COMPRADO]]*tblAquisições[[#This Row],[QUANTIDADE COMPRADA]]</f>
        <v>0</v>
      </c>
      <c r="N4036" s="110">
        <f>K4036-tblAquisições[[#This Row],[QUANTIDADE PLANEJADA]]</f>
        <v>-4</v>
      </c>
      <c r="O4036" s="106" t="str">
        <f t="shared" si="127"/>
        <v>Faltando Comprar</v>
      </c>
    </row>
    <row r="4037" spans="1:15" ht="47.25">
      <c r="A4037" s="16" t="s">
        <v>17</v>
      </c>
      <c r="B4037" s="16" t="s">
        <v>18</v>
      </c>
      <c r="C4037" s="17" t="s">
        <v>19</v>
      </c>
      <c r="D4037" s="35" t="s">
        <v>2258</v>
      </c>
      <c r="E4037" s="18">
        <v>30</v>
      </c>
      <c r="F4037" s="18" t="s">
        <v>21</v>
      </c>
      <c r="G4037" s="18" t="s">
        <v>22</v>
      </c>
      <c r="H4037" s="18" t="s">
        <v>23</v>
      </c>
      <c r="I4037" s="19">
        <v>2951.78</v>
      </c>
      <c r="J4037" s="20">
        <f t="shared" si="126"/>
        <v>88553.400000000009</v>
      </c>
      <c r="K4037" s="106"/>
      <c r="L4037" s="114"/>
      <c r="M4037" s="114">
        <f>tblAquisições[[#This Row],[VALOR UNITARIO COMPRADO]]*tblAquisições[[#This Row],[QUANTIDADE COMPRADA]]</f>
        <v>0</v>
      </c>
      <c r="N4037" s="110">
        <f>K4037-tblAquisições[[#This Row],[QUANTIDADE PLANEJADA]]</f>
        <v>-30</v>
      </c>
      <c r="O4037" s="106" t="str">
        <f t="shared" si="127"/>
        <v>Faltando Comprar</v>
      </c>
    </row>
    <row r="4038" spans="1:15" ht="47.25">
      <c r="A4038" s="16" t="s">
        <v>17</v>
      </c>
      <c r="B4038" s="16" t="s">
        <v>24</v>
      </c>
      <c r="C4038" s="17" t="s">
        <v>19</v>
      </c>
      <c r="D4038" s="35" t="s">
        <v>2258</v>
      </c>
      <c r="E4038" s="18">
        <v>30</v>
      </c>
      <c r="F4038" s="18" t="s">
        <v>21</v>
      </c>
      <c r="G4038" s="18" t="s">
        <v>22</v>
      </c>
      <c r="H4038" s="18" t="s">
        <v>23</v>
      </c>
      <c r="I4038" s="19">
        <v>2951.78</v>
      </c>
      <c r="J4038" s="20">
        <f t="shared" si="126"/>
        <v>88553.400000000009</v>
      </c>
      <c r="K4038" s="106"/>
      <c r="L4038" s="114"/>
      <c r="M4038" s="114">
        <f>tblAquisições[[#This Row],[VALOR UNITARIO COMPRADO]]*tblAquisições[[#This Row],[QUANTIDADE COMPRADA]]</f>
        <v>0</v>
      </c>
      <c r="N4038" s="110">
        <f>K4038-tblAquisições[[#This Row],[QUANTIDADE PLANEJADA]]</f>
        <v>-30</v>
      </c>
      <c r="O4038" s="106" t="str">
        <f t="shared" si="127"/>
        <v>Faltando Comprar</v>
      </c>
    </row>
    <row r="4039" spans="1:15" ht="47.25">
      <c r="A4039" s="16" t="s">
        <v>17</v>
      </c>
      <c r="B4039" s="16" t="s">
        <v>25</v>
      </c>
      <c r="C4039" s="17" t="s">
        <v>19</v>
      </c>
      <c r="D4039" s="35" t="s">
        <v>2258</v>
      </c>
      <c r="E4039" s="18">
        <v>30</v>
      </c>
      <c r="F4039" s="18" t="s">
        <v>21</v>
      </c>
      <c r="G4039" s="18" t="s">
        <v>22</v>
      </c>
      <c r="H4039" s="18" t="s">
        <v>23</v>
      </c>
      <c r="I4039" s="19">
        <v>2951.78</v>
      </c>
      <c r="J4039" s="20">
        <f t="shared" si="126"/>
        <v>88553.400000000009</v>
      </c>
      <c r="K4039" s="106"/>
      <c r="L4039" s="114"/>
      <c r="M4039" s="114">
        <f>tblAquisições[[#This Row],[VALOR UNITARIO COMPRADO]]*tblAquisições[[#This Row],[QUANTIDADE COMPRADA]]</f>
        <v>0</v>
      </c>
      <c r="N4039" s="110">
        <f>K4039-tblAquisições[[#This Row],[QUANTIDADE PLANEJADA]]</f>
        <v>-30</v>
      </c>
      <c r="O4039" s="106" t="str">
        <f t="shared" si="127"/>
        <v>Faltando Comprar</v>
      </c>
    </row>
    <row r="4040" spans="1:15" ht="47.25">
      <c r="A4040" s="16" t="s">
        <v>17</v>
      </c>
      <c r="B4040" s="16" t="s">
        <v>41</v>
      </c>
      <c r="C4040" s="17" t="s">
        <v>19</v>
      </c>
      <c r="D4040" s="35" t="s">
        <v>2258</v>
      </c>
      <c r="E4040" s="18">
        <v>2</v>
      </c>
      <c r="F4040" s="18" t="s">
        <v>21</v>
      </c>
      <c r="G4040" s="18" t="s">
        <v>22</v>
      </c>
      <c r="H4040" s="18" t="s">
        <v>23</v>
      </c>
      <c r="I4040" s="19">
        <v>2951.78</v>
      </c>
      <c r="J4040" s="20">
        <f t="shared" si="126"/>
        <v>5903.56</v>
      </c>
      <c r="K4040" s="106"/>
      <c r="L4040" s="114"/>
      <c r="M4040" s="114">
        <f>tblAquisições[[#This Row],[VALOR UNITARIO COMPRADO]]*tblAquisições[[#This Row],[QUANTIDADE COMPRADA]]</f>
        <v>0</v>
      </c>
      <c r="N4040" s="110">
        <f>K4040-tblAquisições[[#This Row],[QUANTIDADE PLANEJADA]]</f>
        <v>-2</v>
      </c>
      <c r="O4040" s="106" t="str">
        <f t="shared" si="127"/>
        <v>Faltando Comprar</v>
      </c>
    </row>
    <row r="4041" spans="1:15" ht="47.25">
      <c r="A4041" s="16" t="s">
        <v>17</v>
      </c>
      <c r="B4041" s="16" t="s">
        <v>27</v>
      </c>
      <c r="C4041" s="17" t="s">
        <v>19</v>
      </c>
      <c r="D4041" s="35" t="s">
        <v>2258</v>
      </c>
      <c r="E4041" s="18">
        <v>30</v>
      </c>
      <c r="F4041" s="18" t="s">
        <v>21</v>
      </c>
      <c r="G4041" s="18" t="s">
        <v>22</v>
      </c>
      <c r="H4041" s="18" t="s">
        <v>23</v>
      </c>
      <c r="I4041" s="19">
        <v>2951.78</v>
      </c>
      <c r="J4041" s="20">
        <f t="shared" si="126"/>
        <v>88553.400000000009</v>
      </c>
      <c r="K4041" s="106"/>
      <c r="L4041" s="114"/>
      <c r="M4041" s="114">
        <f>tblAquisições[[#This Row],[VALOR UNITARIO COMPRADO]]*tblAquisições[[#This Row],[QUANTIDADE COMPRADA]]</f>
        <v>0</v>
      </c>
      <c r="N4041" s="110">
        <f>K4041-tblAquisições[[#This Row],[QUANTIDADE PLANEJADA]]</f>
        <v>-30</v>
      </c>
      <c r="O4041" s="106" t="str">
        <f t="shared" si="127"/>
        <v>Faltando Comprar</v>
      </c>
    </row>
    <row r="4042" spans="1:15" ht="47.25">
      <c r="A4042" s="16" t="s">
        <v>17</v>
      </c>
      <c r="B4042" s="16" t="s">
        <v>28</v>
      </c>
      <c r="C4042" s="17" t="s">
        <v>19</v>
      </c>
      <c r="D4042" s="35" t="s">
        <v>2258</v>
      </c>
      <c r="E4042" s="18">
        <v>12</v>
      </c>
      <c r="F4042" s="18" t="s">
        <v>21</v>
      </c>
      <c r="G4042" s="18" t="s">
        <v>22</v>
      </c>
      <c r="H4042" s="18" t="s">
        <v>53</v>
      </c>
      <c r="I4042" s="19">
        <v>2951.78</v>
      </c>
      <c r="J4042" s="20">
        <f t="shared" si="126"/>
        <v>35421.360000000001</v>
      </c>
      <c r="K4042" s="106"/>
      <c r="L4042" s="114"/>
      <c r="M4042" s="114">
        <f>tblAquisições[[#This Row],[VALOR UNITARIO COMPRADO]]*tblAquisições[[#This Row],[QUANTIDADE COMPRADA]]</f>
        <v>0</v>
      </c>
      <c r="N4042" s="110">
        <f>K4042-tblAquisições[[#This Row],[QUANTIDADE PLANEJADA]]</f>
        <v>-12</v>
      </c>
      <c r="O4042" s="106" t="str">
        <f t="shared" si="127"/>
        <v>Faltando Comprar</v>
      </c>
    </row>
    <row r="4043" spans="1:15" ht="47.25">
      <c r="A4043" s="16" t="s">
        <v>17</v>
      </c>
      <c r="B4043" s="16" t="s">
        <v>34</v>
      </c>
      <c r="C4043" s="17" t="s">
        <v>19</v>
      </c>
      <c r="D4043" s="35" t="s">
        <v>2259</v>
      </c>
      <c r="E4043" s="18">
        <v>2</v>
      </c>
      <c r="F4043" s="18" t="s">
        <v>21</v>
      </c>
      <c r="G4043" s="18" t="s">
        <v>22</v>
      </c>
      <c r="H4043" s="18" t="s">
        <v>23</v>
      </c>
      <c r="I4043" s="19">
        <v>5000</v>
      </c>
      <c r="J4043" s="20">
        <f t="shared" si="126"/>
        <v>10000</v>
      </c>
      <c r="K4043" s="106"/>
      <c r="L4043" s="114"/>
      <c r="M4043" s="114">
        <f>tblAquisições[[#This Row],[VALOR UNITARIO COMPRADO]]*tblAquisições[[#This Row],[QUANTIDADE COMPRADA]]</f>
        <v>0</v>
      </c>
      <c r="N4043" s="110">
        <f>K4043-tblAquisições[[#This Row],[QUANTIDADE PLANEJADA]]</f>
        <v>-2</v>
      </c>
      <c r="O4043" s="106" t="str">
        <f t="shared" si="127"/>
        <v>Faltando Comprar</v>
      </c>
    </row>
    <row r="4044" spans="1:15" ht="47.25">
      <c r="A4044" s="16" t="s">
        <v>17</v>
      </c>
      <c r="B4044" s="16" t="s">
        <v>31</v>
      </c>
      <c r="C4044" s="17" t="s">
        <v>19</v>
      </c>
      <c r="D4044" s="35" t="s">
        <v>2259</v>
      </c>
      <c r="E4044" s="18">
        <v>4</v>
      </c>
      <c r="F4044" s="18" t="s">
        <v>21</v>
      </c>
      <c r="G4044" s="18" t="s">
        <v>22</v>
      </c>
      <c r="H4044" s="18" t="s">
        <v>23</v>
      </c>
      <c r="I4044" s="19">
        <v>5000</v>
      </c>
      <c r="J4044" s="20">
        <f t="shared" si="126"/>
        <v>20000</v>
      </c>
      <c r="K4044" s="106"/>
      <c r="L4044" s="114"/>
      <c r="M4044" s="114">
        <f>tblAquisições[[#This Row],[VALOR UNITARIO COMPRADO]]*tblAquisições[[#This Row],[QUANTIDADE COMPRADA]]</f>
        <v>0</v>
      </c>
      <c r="N4044" s="110">
        <f>K4044-tblAquisições[[#This Row],[QUANTIDADE PLANEJADA]]</f>
        <v>-4</v>
      </c>
      <c r="O4044" s="106" t="str">
        <f t="shared" si="127"/>
        <v>Faltando Comprar</v>
      </c>
    </row>
    <row r="4045" spans="1:15" ht="47.25">
      <c r="A4045" s="16" t="s">
        <v>17</v>
      </c>
      <c r="B4045" s="16" t="s">
        <v>18</v>
      </c>
      <c r="C4045" s="17" t="s">
        <v>19</v>
      </c>
      <c r="D4045" s="36" t="s">
        <v>2259</v>
      </c>
      <c r="E4045" s="33">
        <v>10</v>
      </c>
      <c r="F4045" s="33" t="s">
        <v>21</v>
      </c>
      <c r="G4045" s="33" t="s">
        <v>22</v>
      </c>
      <c r="H4045" s="33" t="s">
        <v>23</v>
      </c>
      <c r="I4045" s="19">
        <v>5000</v>
      </c>
      <c r="J4045" s="20">
        <f t="shared" si="126"/>
        <v>50000</v>
      </c>
      <c r="K4045" s="106"/>
      <c r="L4045" s="114"/>
      <c r="M4045" s="114">
        <f>tblAquisições[[#This Row],[VALOR UNITARIO COMPRADO]]*tblAquisições[[#This Row],[QUANTIDADE COMPRADA]]</f>
        <v>0</v>
      </c>
      <c r="N4045" s="110">
        <f>K4045-tblAquisições[[#This Row],[QUANTIDADE PLANEJADA]]</f>
        <v>-10</v>
      </c>
      <c r="O4045" s="106" t="str">
        <f t="shared" si="127"/>
        <v>Faltando Comprar</v>
      </c>
    </row>
    <row r="4046" spans="1:15" ht="47.25">
      <c r="A4046" s="16" t="s">
        <v>17</v>
      </c>
      <c r="B4046" s="16" t="s">
        <v>24</v>
      </c>
      <c r="C4046" s="17" t="s">
        <v>19</v>
      </c>
      <c r="D4046" s="35" t="s">
        <v>2259</v>
      </c>
      <c r="E4046" s="18">
        <v>10</v>
      </c>
      <c r="F4046" s="18" t="s">
        <v>21</v>
      </c>
      <c r="G4046" s="18" t="s">
        <v>22</v>
      </c>
      <c r="H4046" s="18" t="s">
        <v>23</v>
      </c>
      <c r="I4046" s="19">
        <v>5000</v>
      </c>
      <c r="J4046" s="20">
        <f t="shared" si="126"/>
        <v>50000</v>
      </c>
      <c r="K4046" s="106"/>
      <c r="L4046" s="114"/>
      <c r="M4046" s="114">
        <f>tblAquisições[[#This Row],[VALOR UNITARIO COMPRADO]]*tblAquisições[[#This Row],[QUANTIDADE COMPRADA]]</f>
        <v>0</v>
      </c>
      <c r="N4046" s="110">
        <f>K4046-tblAquisições[[#This Row],[QUANTIDADE PLANEJADA]]</f>
        <v>-10</v>
      </c>
      <c r="O4046" s="106" t="str">
        <f t="shared" si="127"/>
        <v>Faltando Comprar</v>
      </c>
    </row>
    <row r="4047" spans="1:15" ht="47.25">
      <c r="A4047" s="16" t="s">
        <v>17</v>
      </c>
      <c r="B4047" s="16" t="s">
        <v>25</v>
      </c>
      <c r="C4047" s="17" t="s">
        <v>19</v>
      </c>
      <c r="D4047" s="35" t="s">
        <v>2259</v>
      </c>
      <c r="E4047" s="18">
        <v>10</v>
      </c>
      <c r="F4047" s="18" t="s">
        <v>21</v>
      </c>
      <c r="G4047" s="18" t="s">
        <v>22</v>
      </c>
      <c r="H4047" s="18" t="s">
        <v>23</v>
      </c>
      <c r="I4047" s="19">
        <v>5000</v>
      </c>
      <c r="J4047" s="20">
        <f t="shared" si="126"/>
        <v>50000</v>
      </c>
      <c r="K4047" s="106"/>
      <c r="L4047" s="114"/>
      <c r="M4047" s="114">
        <f>tblAquisições[[#This Row],[VALOR UNITARIO COMPRADO]]*tblAquisições[[#This Row],[QUANTIDADE COMPRADA]]</f>
        <v>0</v>
      </c>
      <c r="N4047" s="110">
        <f>K4047-tblAquisições[[#This Row],[QUANTIDADE PLANEJADA]]</f>
        <v>-10</v>
      </c>
      <c r="O4047" s="106" t="str">
        <f t="shared" si="127"/>
        <v>Faltando Comprar</v>
      </c>
    </row>
    <row r="4048" spans="1:15" ht="47.25">
      <c r="A4048" s="16" t="s">
        <v>17</v>
      </c>
      <c r="B4048" s="16" t="s">
        <v>41</v>
      </c>
      <c r="C4048" s="17" t="s">
        <v>19</v>
      </c>
      <c r="D4048" s="35" t="s">
        <v>2259</v>
      </c>
      <c r="E4048" s="18">
        <v>2</v>
      </c>
      <c r="F4048" s="18" t="s">
        <v>21</v>
      </c>
      <c r="G4048" s="18" t="s">
        <v>22</v>
      </c>
      <c r="H4048" s="18" t="s">
        <v>23</v>
      </c>
      <c r="I4048" s="19">
        <v>5000</v>
      </c>
      <c r="J4048" s="20">
        <f t="shared" si="126"/>
        <v>10000</v>
      </c>
      <c r="K4048" s="106"/>
      <c r="L4048" s="114"/>
      <c r="M4048" s="114">
        <f>tblAquisições[[#This Row],[VALOR UNITARIO COMPRADO]]*tblAquisições[[#This Row],[QUANTIDADE COMPRADA]]</f>
        <v>0</v>
      </c>
      <c r="N4048" s="110">
        <f>K4048-tblAquisições[[#This Row],[QUANTIDADE PLANEJADA]]</f>
        <v>-2</v>
      </c>
      <c r="O4048" s="106" t="str">
        <f t="shared" si="127"/>
        <v>Faltando Comprar</v>
      </c>
    </row>
    <row r="4049" spans="1:15" ht="47.25">
      <c r="A4049" s="16" t="s">
        <v>17</v>
      </c>
      <c r="B4049" s="16" t="s">
        <v>27</v>
      </c>
      <c r="C4049" s="17" t="s">
        <v>19</v>
      </c>
      <c r="D4049" s="35" t="s">
        <v>2259</v>
      </c>
      <c r="E4049" s="18">
        <v>15</v>
      </c>
      <c r="F4049" s="18" t="s">
        <v>21</v>
      </c>
      <c r="G4049" s="18" t="s">
        <v>22</v>
      </c>
      <c r="H4049" s="18" t="s">
        <v>23</v>
      </c>
      <c r="I4049" s="19">
        <v>5000</v>
      </c>
      <c r="J4049" s="20">
        <f t="shared" si="126"/>
        <v>75000</v>
      </c>
      <c r="K4049" s="106"/>
      <c r="L4049" s="114"/>
      <c r="M4049" s="114">
        <f>tblAquisições[[#This Row],[VALOR UNITARIO COMPRADO]]*tblAquisições[[#This Row],[QUANTIDADE COMPRADA]]</f>
        <v>0</v>
      </c>
      <c r="N4049" s="110">
        <f>K4049-tblAquisições[[#This Row],[QUANTIDADE PLANEJADA]]</f>
        <v>-15</v>
      </c>
      <c r="O4049" s="106" t="str">
        <f t="shared" si="127"/>
        <v>Faltando Comprar</v>
      </c>
    </row>
    <row r="4050" spans="1:15" ht="47.25">
      <c r="A4050" s="16" t="s">
        <v>17</v>
      </c>
      <c r="B4050" s="16" t="s">
        <v>28</v>
      </c>
      <c r="C4050" s="17" t="s">
        <v>19</v>
      </c>
      <c r="D4050" s="35" t="s">
        <v>2259</v>
      </c>
      <c r="E4050" s="18">
        <v>12</v>
      </c>
      <c r="F4050" s="18" t="s">
        <v>21</v>
      </c>
      <c r="G4050" s="18" t="s">
        <v>22</v>
      </c>
      <c r="H4050" s="18" t="s">
        <v>53</v>
      </c>
      <c r="I4050" s="19">
        <v>5000</v>
      </c>
      <c r="J4050" s="20">
        <f t="shared" si="126"/>
        <v>60000</v>
      </c>
      <c r="K4050" s="106"/>
      <c r="L4050" s="114"/>
      <c r="M4050" s="114">
        <f>tblAquisições[[#This Row],[VALOR UNITARIO COMPRADO]]*tblAquisições[[#This Row],[QUANTIDADE COMPRADA]]</f>
        <v>0</v>
      </c>
      <c r="N4050" s="110">
        <f>K4050-tblAquisições[[#This Row],[QUANTIDADE PLANEJADA]]</f>
        <v>-12</v>
      </c>
      <c r="O4050" s="106" t="str">
        <f t="shared" si="127"/>
        <v>Faltando Comprar</v>
      </c>
    </row>
    <row r="4051" spans="1:15" ht="63">
      <c r="A4051" s="16" t="s">
        <v>17</v>
      </c>
      <c r="B4051" s="16" t="s">
        <v>17</v>
      </c>
      <c r="C4051" s="17" t="s">
        <v>19</v>
      </c>
      <c r="D4051" s="35" t="s">
        <v>2260</v>
      </c>
      <c r="E4051" s="18">
        <v>8</v>
      </c>
      <c r="F4051" s="18" t="s">
        <v>38</v>
      </c>
      <c r="G4051" s="18" t="s">
        <v>39</v>
      </c>
      <c r="H4051" s="18" t="s">
        <v>23</v>
      </c>
      <c r="I4051" s="19">
        <v>13000</v>
      </c>
      <c r="J4051" s="20">
        <f t="shared" si="126"/>
        <v>104000</v>
      </c>
      <c r="K4051" s="106"/>
      <c r="L4051" s="114"/>
      <c r="M4051" s="114">
        <f>tblAquisições[[#This Row],[VALOR UNITARIO COMPRADO]]*tblAquisições[[#This Row],[QUANTIDADE COMPRADA]]</f>
        <v>0</v>
      </c>
      <c r="N4051" s="110">
        <f>K4051-tblAquisições[[#This Row],[QUANTIDADE PLANEJADA]]</f>
        <v>-8</v>
      </c>
      <c r="O4051" s="106" t="str">
        <f t="shared" si="127"/>
        <v>Faltando Comprar</v>
      </c>
    </row>
    <row r="4052" spans="1:15" ht="47.25">
      <c r="A4052" s="16" t="s">
        <v>17</v>
      </c>
      <c r="B4052" s="16" t="s">
        <v>34</v>
      </c>
      <c r="C4052" s="17" t="s">
        <v>19</v>
      </c>
      <c r="D4052" s="35" t="s">
        <v>2261</v>
      </c>
      <c r="E4052" s="18">
        <v>2</v>
      </c>
      <c r="F4052" s="18" t="s">
        <v>21</v>
      </c>
      <c r="G4052" s="18" t="s">
        <v>22</v>
      </c>
      <c r="H4052" s="18" t="s">
        <v>23</v>
      </c>
      <c r="I4052" s="19">
        <v>13000</v>
      </c>
      <c r="J4052" s="20">
        <f t="shared" si="126"/>
        <v>26000</v>
      </c>
      <c r="K4052" s="106"/>
      <c r="L4052" s="114"/>
      <c r="M4052" s="114">
        <f>tblAquisições[[#This Row],[VALOR UNITARIO COMPRADO]]*tblAquisições[[#This Row],[QUANTIDADE COMPRADA]]</f>
        <v>0</v>
      </c>
      <c r="N4052" s="110">
        <f>K4052-tblAquisições[[#This Row],[QUANTIDADE PLANEJADA]]</f>
        <v>-2</v>
      </c>
      <c r="O4052" s="106" t="str">
        <f t="shared" si="127"/>
        <v>Faltando Comprar</v>
      </c>
    </row>
    <row r="4053" spans="1:15" ht="47.25">
      <c r="A4053" s="16" t="s">
        <v>17</v>
      </c>
      <c r="B4053" s="16" t="s">
        <v>31</v>
      </c>
      <c r="C4053" s="17" t="s">
        <v>19</v>
      </c>
      <c r="D4053" s="35" t="s">
        <v>2261</v>
      </c>
      <c r="E4053" s="18">
        <v>3</v>
      </c>
      <c r="F4053" s="18" t="s">
        <v>21</v>
      </c>
      <c r="G4053" s="18" t="s">
        <v>22</v>
      </c>
      <c r="H4053" s="18" t="s">
        <v>23</v>
      </c>
      <c r="I4053" s="19">
        <v>13000</v>
      </c>
      <c r="J4053" s="20">
        <f t="shared" si="126"/>
        <v>39000</v>
      </c>
      <c r="K4053" s="106"/>
      <c r="L4053" s="114"/>
      <c r="M4053" s="114">
        <f>tblAquisições[[#This Row],[VALOR UNITARIO COMPRADO]]*tblAquisições[[#This Row],[QUANTIDADE COMPRADA]]</f>
        <v>0</v>
      </c>
      <c r="N4053" s="110">
        <f>K4053-tblAquisições[[#This Row],[QUANTIDADE PLANEJADA]]</f>
        <v>-3</v>
      </c>
      <c r="O4053" s="106" t="str">
        <f t="shared" si="127"/>
        <v>Faltando Comprar</v>
      </c>
    </row>
    <row r="4054" spans="1:15" ht="47.25">
      <c r="A4054" s="16" t="s">
        <v>17</v>
      </c>
      <c r="B4054" s="16" t="s">
        <v>27</v>
      </c>
      <c r="C4054" s="17" t="s">
        <v>19</v>
      </c>
      <c r="D4054" s="35" t="s">
        <v>2261</v>
      </c>
      <c r="E4054" s="18">
        <v>10</v>
      </c>
      <c r="F4054" s="18" t="s">
        <v>21</v>
      </c>
      <c r="G4054" s="18" t="s">
        <v>22</v>
      </c>
      <c r="H4054" s="18" t="s">
        <v>23</v>
      </c>
      <c r="I4054" s="19">
        <v>13000</v>
      </c>
      <c r="J4054" s="20">
        <f t="shared" si="126"/>
        <v>130000</v>
      </c>
      <c r="K4054" s="106"/>
      <c r="L4054" s="114"/>
      <c r="M4054" s="114">
        <f>tblAquisições[[#This Row],[VALOR UNITARIO COMPRADO]]*tblAquisições[[#This Row],[QUANTIDADE COMPRADA]]</f>
        <v>0</v>
      </c>
      <c r="N4054" s="110">
        <f>K4054-tblAquisições[[#This Row],[QUANTIDADE PLANEJADA]]</f>
        <v>-10</v>
      </c>
      <c r="O4054" s="106" t="str">
        <f t="shared" si="127"/>
        <v>Faltando Comprar</v>
      </c>
    </row>
    <row r="4055" spans="1:15" ht="47.25">
      <c r="A4055" s="16" t="s">
        <v>17</v>
      </c>
      <c r="B4055" s="16" t="s">
        <v>28</v>
      </c>
      <c r="C4055" s="17" t="s">
        <v>19</v>
      </c>
      <c r="D4055" s="35" t="s">
        <v>2261</v>
      </c>
      <c r="E4055" s="18">
        <v>12</v>
      </c>
      <c r="F4055" s="18" t="s">
        <v>21</v>
      </c>
      <c r="G4055" s="18" t="s">
        <v>22</v>
      </c>
      <c r="H4055" s="18" t="s">
        <v>53</v>
      </c>
      <c r="I4055" s="19">
        <v>13000</v>
      </c>
      <c r="J4055" s="20">
        <f t="shared" si="126"/>
        <v>156000</v>
      </c>
      <c r="K4055" s="106"/>
      <c r="L4055" s="114"/>
      <c r="M4055" s="114">
        <f>tblAquisições[[#This Row],[VALOR UNITARIO COMPRADO]]*tblAquisições[[#This Row],[QUANTIDADE COMPRADA]]</f>
        <v>0</v>
      </c>
      <c r="N4055" s="110">
        <f>K4055-tblAquisições[[#This Row],[QUANTIDADE PLANEJADA]]</f>
        <v>-12</v>
      </c>
      <c r="O4055" s="106" t="str">
        <f t="shared" si="127"/>
        <v>Faltando Comprar</v>
      </c>
    </row>
    <row r="4056" spans="1:15" ht="47.25">
      <c r="A4056" s="16" t="s">
        <v>17</v>
      </c>
      <c r="B4056" s="16" t="s">
        <v>31</v>
      </c>
      <c r="C4056" s="17" t="s">
        <v>19</v>
      </c>
      <c r="D4056" s="35" t="s">
        <v>2262</v>
      </c>
      <c r="E4056" s="18">
        <v>2</v>
      </c>
      <c r="F4056" s="18" t="s">
        <v>21</v>
      </c>
      <c r="G4056" s="18" t="s">
        <v>22</v>
      </c>
      <c r="H4056" s="18" t="s">
        <v>23</v>
      </c>
      <c r="I4056" s="19">
        <v>20000</v>
      </c>
      <c r="J4056" s="20">
        <f t="shared" si="126"/>
        <v>40000</v>
      </c>
      <c r="K4056" s="106"/>
      <c r="L4056" s="114"/>
      <c r="M4056" s="114">
        <f>tblAquisições[[#This Row],[VALOR UNITARIO COMPRADO]]*tblAquisições[[#This Row],[QUANTIDADE COMPRADA]]</f>
        <v>0</v>
      </c>
      <c r="N4056" s="110">
        <f>K4056-tblAquisições[[#This Row],[QUANTIDADE PLANEJADA]]</f>
        <v>-2</v>
      </c>
      <c r="O4056" s="106" t="str">
        <f t="shared" si="127"/>
        <v>Faltando Comprar</v>
      </c>
    </row>
    <row r="4057" spans="1:15" ht="47.25">
      <c r="A4057" s="16" t="s">
        <v>17</v>
      </c>
      <c r="B4057" s="16" t="s">
        <v>31</v>
      </c>
      <c r="C4057" s="17" t="s">
        <v>19</v>
      </c>
      <c r="D4057" s="35" t="s">
        <v>2263</v>
      </c>
      <c r="E4057" s="18">
        <v>2</v>
      </c>
      <c r="F4057" s="18" t="s">
        <v>21</v>
      </c>
      <c r="G4057" s="18" t="s">
        <v>22</v>
      </c>
      <c r="H4057" s="18" t="s">
        <v>23</v>
      </c>
      <c r="I4057" s="19">
        <v>30000</v>
      </c>
      <c r="J4057" s="20">
        <f t="shared" si="126"/>
        <v>60000</v>
      </c>
      <c r="K4057" s="106"/>
      <c r="L4057" s="114"/>
      <c r="M4057" s="114">
        <f>tblAquisições[[#This Row],[VALOR UNITARIO COMPRADO]]*tblAquisições[[#This Row],[QUANTIDADE COMPRADA]]</f>
        <v>0</v>
      </c>
      <c r="N4057" s="110">
        <f>K4057-tblAquisições[[#This Row],[QUANTIDADE PLANEJADA]]</f>
        <v>-2</v>
      </c>
      <c r="O4057" s="106" t="str">
        <f t="shared" si="127"/>
        <v>Faltando Comprar</v>
      </c>
    </row>
    <row r="4058" spans="1:15" ht="31.5">
      <c r="A4058" s="16" t="s">
        <v>17</v>
      </c>
      <c r="B4058" s="16" t="s">
        <v>18</v>
      </c>
      <c r="C4058" s="17" t="s">
        <v>19</v>
      </c>
      <c r="D4058" s="18" t="s">
        <v>2264</v>
      </c>
      <c r="E4058" s="18">
        <v>600</v>
      </c>
      <c r="F4058" s="18" t="s">
        <v>21</v>
      </c>
      <c r="G4058" s="18" t="s">
        <v>22</v>
      </c>
      <c r="H4058" s="18" t="s">
        <v>23</v>
      </c>
      <c r="I4058" s="19">
        <v>1.59</v>
      </c>
      <c r="J4058" s="20">
        <f t="shared" si="126"/>
        <v>954</v>
      </c>
      <c r="K4058" s="106"/>
      <c r="L4058" s="114"/>
      <c r="M4058" s="114">
        <f>tblAquisições[[#This Row],[VALOR UNITARIO COMPRADO]]*tblAquisições[[#This Row],[QUANTIDADE COMPRADA]]</f>
        <v>0</v>
      </c>
      <c r="N4058" s="110">
        <f>K4058-tblAquisições[[#This Row],[QUANTIDADE PLANEJADA]]</f>
        <v>-600</v>
      </c>
      <c r="O4058" s="106" t="str">
        <f t="shared" si="127"/>
        <v>Faltando Comprar</v>
      </c>
    </row>
    <row r="4059" spans="1:15" ht="31.5">
      <c r="A4059" s="16" t="s">
        <v>17</v>
      </c>
      <c r="B4059" s="16" t="s">
        <v>24</v>
      </c>
      <c r="C4059" s="17" t="s">
        <v>19</v>
      </c>
      <c r="D4059" s="18" t="s">
        <v>2264</v>
      </c>
      <c r="E4059" s="18">
        <v>600</v>
      </c>
      <c r="F4059" s="18" t="s">
        <v>21</v>
      </c>
      <c r="G4059" s="18" t="s">
        <v>22</v>
      </c>
      <c r="H4059" s="18" t="s">
        <v>23</v>
      </c>
      <c r="I4059" s="19">
        <v>1.59</v>
      </c>
      <c r="J4059" s="20">
        <f t="shared" si="126"/>
        <v>954</v>
      </c>
      <c r="K4059" s="106"/>
      <c r="L4059" s="114"/>
      <c r="M4059" s="114">
        <f>tblAquisições[[#This Row],[VALOR UNITARIO COMPRADO]]*tblAquisições[[#This Row],[QUANTIDADE COMPRADA]]</f>
        <v>0</v>
      </c>
      <c r="N4059" s="110">
        <f>K4059-tblAquisições[[#This Row],[QUANTIDADE PLANEJADA]]</f>
        <v>-600</v>
      </c>
      <c r="O4059" s="106" t="str">
        <f t="shared" si="127"/>
        <v>Faltando Comprar</v>
      </c>
    </row>
    <row r="4060" spans="1:15" ht="31.5">
      <c r="A4060" s="16" t="s">
        <v>17</v>
      </c>
      <c r="B4060" s="16" t="s">
        <v>25</v>
      </c>
      <c r="C4060" s="17" t="s">
        <v>19</v>
      </c>
      <c r="D4060" s="18" t="s">
        <v>2264</v>
      </c>
      <c r="E4060" s="18">
        <v>600</v>
      </c>
      <c r="F4060" s="18" t="s">
        <v>21</v>
      </c>
      <c r="G4060" s="18" t="s">
        <v>22</v>
      </c>
      <c r="H4060" s="18" t="s">
        <v>23</v>
      </c>
      <c r="I4060" s="19">
        <v>1.59</v>
      </c>
      <c r="J4060" s="20">
        <f t="shared" si="126"/>
        <v>954</v>
      </c>
      <c r="K4060" s="106"/>
      <c r="L4060" s="114"/>
      <c r="M4060" s="114">
        <f>tblAquisições[[#This Row],[VALOR UNITARIO COMPRADO]]*tblAquisições[[#This Row],[QUANTIDADE COMPRADA]]</f>
        <v>0</v>
      </c>
      <c r="N4060" s="110">
        <f>K4060-tblAquisições[[#This Row],[QUANTIDADE PLANEJADA]]</f>
        <v>-600</v>
      </c>
      <c r="O4060" s="106" t="str">
        <f t="shared" si="127"/>
        <v>Faltando Comprar</v>
      </c>
    </row>
    <row r="4061" spans="1:15" ht="47.25">
      <c r="A4061" s="16" t="s">
        <v>17</v>
      </c>
      <c r="B4061" s="16" t="s">
        <v>80</v>
      </c>
      <c r="C4061" s="17" t="s">
        <v>19</v>
      </c>
      <c r="D4061" s="18" t="s">
        <v>2265</v>
      </c>
      <c r="E4061" s="18">
        <v>200</v>
      </c>
      <c r="F4061" s="18" t="s">
        <v>147</v>
      </c>
      <c r="G4061" s="18" t="s">
        <v>39</v>
      </c>
      <c r="H4061" s="21"/>
      <c r="I4061" s="19">
        <v>13.48</v>
      </c>
      <c r="J4061" s="20">
        <f t="shared" si="126"/>
        <v>2696</v>
      </c>
      <c r="K4061" s="106"/>
      <c r="L4061" s="114"/>
      <c r="M4061" s="114">
        <f>tblAquisições[[#This Row],[VALOR UNITARIO COMPRADO]]*tblAquisições[[#This Row],[QUANTIDADE COMPRADA]]</f>
        <v>0</v>
      </c>
      <c r="N4061" s="110">
        <f>K4061-tblAquisições[[#This Row],[QUANTIDADE PLANEJADA]]</f>
        <v>-200</v>
      </c>
      <c r="O4061" s="106" t="str">
        <f t="shared" si="127"/>
        <v>Faltando Comprar</v>
      </c>
    </row>
    <row r="4062" spans="1:15" ht="47.25">
      <c r="A4062" s="16" t="s">
        <v>17</v>
      </c>
      <c r="B4062" s="16" t="s">
        <v>26</v>
      </c>
      <c r="C4062" s="17" t="s">
        <v>19</v>
      </c>
      <c r="D4062" s="18" t="s">
        <v>2266</v>
      </c>
      <c r="E4062" s="18">
        <v>2</v>
      </c>
      <c r="F4062" s="18" t="s">
        <v>214</v>
      </c>
      <c r="G4062" s="18" t="s">
        <v>127</v>
      </c>
      <c r="H4062" s="18" t="s">
        <v>23</v>
      </c>
      <c r="I4062" s="19">
        <v>1390.35</v>
      </c>
      <c r="J4062" s="20">
        <f t="shared" si="126"/>
        <v>2780.7</v>
      </c>
      <c r="K4062" s="106"/>
      <c r="L4062" s="114"/>
      <c r="M4062" s="114">
        <f>tblAquisições[[#This Row],[VALOR UNITARIO COMPRADO]]*tblAquisições[[#This Row],[QUANTIDADE COMPRADA]]</f>
        <v>0</v>
      </c>
      <c r="N4062" s="110">
        <f>K4062-tblAquisições[[#This Row],[QUANTIDADE PLANEJADA]]</f>
        <v>-2</v>
      </c>
      <c r="O4062" s="106" t="str">
        <f t="shared" si="127"/>
        <v>Faltando Comprar</v>
      </c>
    </row>
    <row r="4063" spans="1:15" ht="47.25">
      <c r="A4063" s="16" t="s">
        <v>17</v>
      </c>
      <c r="B4063" s="16" t="s">
        <v>72</v>
      </c>
      <c r="C4063" s="17" t="s">
        <v>19</v>
      </c>
      <c r="D4063" s="18" t="s">
        <v>2267</v>
      </c>
      <c r="E4063" s="18">
        <v>12</v>
      </c>
      <c r="F4063" s="18" t="s">
        <v>58</v>
      </c>
      <c r="G4063" s="18" t="s">
        <v>22</v>
      </c>
      <c r="H4063" s="18" t="s">
        <v>23</v>
      </c>
      <c r="I4063" s="19">
        <v>12.43</v>
      </c>
      <c r="J4063" s="20">
        <f t="shared" si="126"/>
        <v>149.16</v>
      </c>
      <c r="K4063" s="106"/>
      <c r="L4063" s="114"/>
      <c r="M4063" s="114">
        <f>tblAquisições[[#This Row],[VALOR UNITARIO COMPRADO]]*tblAquisições[[#This Row],[QUANTIDADE COMPRADA]]</f>
        <v>0</v>
      </c>
      <c r="N4063" s="110">
        <f>K4063-tblAquisições[[#This Row],[QUANTIDADE PLANEJADA]]</f>
        <v>-12</v>
      </c>
      <c r="O4063" s="106" t="str">
        <f t="shared" si="127"/>
        <v>Faltando Comprar</v>
      </c>
    </row>
    <row r="4064" spans="1:15" ht="47.25">
      <c r="A4064" s="16" t="s">
        <v>17</v>
      </c>
      <c r="B4064" s="16" t="s">
        <v>28</v>
      </c>
      <c r="C4064" s="17" t="s">
        <v>19</v>
      </c>
      <c r="D4064" s="18" t="s">
        <v>2268</v>
      </c>
      <c r="E4064" s="18">
        <v>10</v>
      </c>
      <c r="F4064" s="18" t="s">
        <v>58</v>
      </c>
      <c r="G4064" s="18" t="s">
        <v>22</v>
      </c>
      <c r="H4064" s="18" t="s">
        <v>23</v>
      </c>
      <c r="I4064" s="19">
        <v>24.64</v>
      </c>
      <c r="J4064" s="20">
        <f t="shared" si="126"/>
        <v>246.4</v>
      </c>
      <c r="K4064" s="106"/>
      <c r="L4064" s="114"/>
      <c r="M4064" s="114">
        <f>tblAquisições[[#This Row],[VALOR UNITARIO COMPRADO]]*tblAquisições[[#This Row],[QUANTIDADE COMPRADA]]</f>
        <v>0</v>
      </c>
      <c r="N4064" s="110">
        <f>K4064-tblAquisições[[#This Row],[QUANTIDADE PLANEJADA]]</f>
        <v>-10</v>
      </c>
      <c r="O4064" s="106" t="str">
        <f t="shared" si="127"/>
        <v>Faltando Comprar</v>
      </c>
    </row>
    <row r="4065" spans="1:15" ht="47.25">
      <c r="A4065" s="16" t="s">
        <v>17</v>
      </c>
      <c r="B4065" s="16" t="s">
        <v>59</v>
      </c>
      <c r="C4065" s="17" t="s">
        <v>19</v>
      </c>
      <c r="D4065" s="18" t="s">
        <v>2269</v>
      </c>
      <c r="E4065" s="18">
        <v>10</v>
      </c>
      <c r="F4065" s="18" t="s">
        <v>58</v>
      </c>
      <c r="G4065" s="18" t="s">
        <v>22</v>
      </c>
      <c r="H4065" s="18" t="s">
        <v>23</v>
      </c>
      <c r="I4065" s="19">
        <v>26.1</v>
      </c>
      <c r="J4065" s="20">
        <f t="shared" si="126"/>
        <v>261</v>
      </c>
      <c r="K4065" s="106"/>
      <c r="L4065" s="114"/>
      <c r="M4065" s="114">
        <f>tblAquisições[[#This Row],[VALOR UNITARIO COMPRADO]]*tblAquisições[[#This Row],[QUANTIDADE COMPRADA]]</f>
        <v>0</v>
      </c>
      <c r="N4065" s="110">
        <f>K4065-tblAquisições[[#This Row],[QUANTIDADE PLANEJADA]]</f>
        <v>-10</v>
      </c>
      <c r="O4065" s="106" t="str">
        <f t="shared" si="127"/>
        <v>Faltando Comprar</v>
      </c>
    </row>
    <row r="4066" spans="1:15" ht="47.25">
      <c r="A4066" s="16" t="s">
        <v>17</v>
      </c>
      <c r="B4066" s="16" t="s">
        <v>18</v>
      </c>
      <c r="C4066" s="17" t="s">
        <v>19</v>
      </c>
      <c r="D4066" s="18" t="s">
        <v>2270</v>
      </c>
      <c r="E4066" s="18">
        <v>2</v>
      </c>
      <c r="F4066" s="18" t="s">
        <v>126</v>
      </c>
      <c r="G4066" s="18" t="s">
        <v>127</v>
      </c>
      <c r="H4066" s="18" t="s">
        <v>23</v>
      </c>
      <c r="I4066" s="19">
        <v>11763.19</v>
      </c>
      <c r="J4066" s="20">
        <f t="shared" si="126"/>
        <v>23526.38</v>
      </c>
      <c r="K4066" s="106"/>
      <c r="L4066" s="114"/>
      <c r="M4066" s="114">
        <f>tblAquisições[[#This Row],[VALOR UNITARIO COMPRADO]]*tblAquisições[[#This Row],[QUANTIDADE COMPRADA]]</f>
        <v>0</v>
      </c>
      <c r="N4066" s="110">
        <f>K4066-tblAquisições[[#This Row],[QUANTIDADE PLANEJADA]]</f>
        <v>-2</v>
      </c>
      <c r="O4066" s="106" t="str">
        <f t="shared" si="127"/>
        <v>Faltando Comprar</v>
      </c>
    </row>
    <row r="4067" spans="1:15" ht="47.25">
      <c r="A4067" s="16" t="s">
        <v>17</v>
      </c>
      <c r="B4067" s="16" t="s">
        <v>24</v>
      </c>
      <c r="C4067" s="17" t="s">
        <v>19</v>
      </c>
      <c r="D4067" s="18" t="s">
        <v>2270</v>
      </c>
      <c r="E4067" s="18">
        <v>2</v>
      </c>
      <c r="F4067" s="18" t="s">
        <v>126</v>
      </c>
      <c r="G4067" s="18" t="s">
        <v>127</v>
      </c>
      <c r="H4067" s="18" t="s">
        <v>23</v>
      </c>
      <c r="I4067" s="19">
        <v>11763.19</v>
      </c>
      <c r="J4067" s="20">
        <f t="shared" si="126"/>
        <v>23526.38</v>
      </c>
      <c r="K4067" s="106"/>
      <c r="L4067" s="114"/>
      <c r="M4067" s="114">
        <f>tblAquisições[[#This Row],[VALOR UNITARIO COMPRADO]]*tblAquisições[[#This Row],[QUANTIDADE COMPRADA]]</f>
        <v>0</v>
      </c>
      <c r="N4067" s="110">
        <f>K4067-tblAquisições[[#This Row],[QUANTIDADE PLANEJADA]]</f>
        <v>-2</v>
      </c>
      <c r="O4067" s="106" t="str">
        <f t="shared" si="127"/>
        <v>Faltando Comprar</v>
      </c>
    </row>
    <row r="4068" spans="1:15" ht="47.25">
      <c r="A4068" s="16" t="s">
        <v>17</v>
      </c>
      <c r="B4068" s="16" t="s">
        <v>25</v>
      </c>
      <c r="C4068" s="17" t="s">
        <v>19</v>
      </c>
      <c r="D4068" s="18" t="s">
        <v>2270</v>
      </c>
      <c r="E4068" s="18">
        <v>2</v>
      </c>
      <c r="F4068" s="18" t="s">
        <v>126</v>
      </c>
      <c r="G4068" s="18" t="s">
        <v>127</v>
      </c>
      <c r="H4068" s="18" t="s">
        <v>23</v>
      </c>
      <c r="I4068" s="19">
        <v>11763.19</v>
      </c>
      <c r="J4068" s="20">
        <f t="shared" si="126"/>
        <v>23526.38</v>
      </c>
      <c r="K4068" s="106"/>
      <c r="L4068" s="114"/>
      <c r="M4068" s="114">
        <f>tblAquisições[[#This Row],[VALOR UNITARIO COMPRADO]]*tblAquisições[[#This Row],[QUANTIDADE COMPRADA]]</f>
        <v>0</v>
      </c>
      <c r="N4068" s="110">
        <f>K4068-tblAquisições[[#This Row],[QUANTIDADE PLANEJADA]]</f>
        <v>-2</v>
      </c>
      <c r="O4068" s="106" t="str">
        <f t="shared" si="127"/>
        <v>Faltando Comprar</v>
      </c>
    </row>
    <row r="4069" spans="1:15" ht="47.25">
      <c r="A4069" s="16" t="s">
        <v>17</v>
      </c>
      <c r="B4069" s="16" t="s">
        <v>18</v>
      </c>
      <c r="C4069" s="17" t="s">
        <v>19</v>
      </c>
      <c r="D4069" s="18" t="s">
        <v>2271</v>
      </c>
      <c r="E4069" s="18">
        <v>2</v>
      </c>
      <c r="F4069" s="18" t="s">
        <v>126</v>
      </c>
      <c r="G4069" s="18" t="s">
        <v>127</v>
      </c>
      <c r="H4069" s="18" t="s">
        <v>23</v>
      </c>
      <c r="I4069" s="19">
        <v>13505</v>
      </c>
      <c r="J4069" s="20">
        <f t="shared" si="126"/>
        <v>27010</v>
      </c>
      <c r="K4069" s="106"/>
      <c r="L4069" s="114"/>
      <c r="M4069" s="114">
        <f>tblAquisições[[#This Row],[VALOR UNITARIO COMPRADO]]*tblAquisições[[#This Row],[QUANTIDADE COMPRADA]]</f>
        <v>0</v>
      </c>
      <c r="N4069" s="110">
        <f>K4069-tblAquisições[[#This Row],[QUANTIDADE PLANEJADA]]</f>
        <v>-2</v>
      </c>
      <c r="O4069" s="106" t="str">
        <f t="shared" si="127"/>
        <v>Faltando Comprar</v>
      </c>
    </row>
    <row r="4070" spans="1:15" ht="47.25">
      <c r="A4070" s="16" t="s">
        <v>17</v>
      </c>
      <c r="B4070" s="16" t="s">
        <v>24</v>
      </c>
      <c r="C4070" s="17" t="s">
        <v>19</v>
      </c>
      <c r="D4070" s="18" t="s">
        <v>2271</v>
      </c>
      <c r="E4070" s="18">
        <v>2</v>
      </c>
      <c r="F4070" s="18" t="s">
        <v>126</v>
      </c>
      <c r="G4070" s="18" t="s">
        <v>127</v>
      </c>
      <c r="H4070" s="18" t="s">
        <v>23</v>
      </c>
      <c r="I4070" s="19">
        <v>13505</v>
      </c>
      <c r="J4070" s="20">
        <f t="shared" si="126"/>
        <v>27010</v>
      </c>
      <c r="K4070" s="106"/>
      <c r="L4070" s="114"/>
      <c r="M4070" s="114">
        <f>tblAquisições[[#This Row],[VALOR UNITARIO COMPRADO]]*tblAquisições[[#This Row],[QUANTIDADE COMPRADA]]</f>
        <v>0</v>
      </c>
      <c r="N4070" s="110">
        <f>K4070-tblAquisições[[#This Row],[QUANTIDADE PLANEJADA]]</f>
        <v>-2</v>
      </c>
      <c r="O4070" s="106" t="str">
        <f t="shared" si="127"/>
        <v>Faltando Comprar</v>
      </c>
    </row>
    <row r="4071" spans="1:15" ht="47.25">
      <c r="A4071" s="16" t="s">
        <v>17</v>
      </c>
      <c r="B4071" s="16" t="s">
        <v>25</v>
      </c>
      <c r="C4071" s="17" t="s">
        <v>19</v>
      </c>
      <c r="D4071" s="18" t="s">
        <v>2271</v>
      </c>
      <c r="E4071" s="18">
        <v>2</v>
      </c>
      <c r="F4071" s="18" t="s">
        <v>126</v>
      </c>
      <c r="G4071" s="18" t="s">
        <v>127</v>
      </c>
      <c r="H4071" s="18" t="s">
        <v>23</v>
      </c>
      <c r="I4071" s="19">
        <v>13505</v>
      </c>
      <c r="J4071" s="20">
        <f t="shared" si="126"/>
        <v>27010</v>
      </c>
      <c r="K4071" s="106"/>
      <c r="L4071" s="114"/>
      <c r="M4071" s="114">
        <f>tblAquisições[[#This Row],[VALOR UNITARIO COMPRADO]]*tblAquisições[[#This Row],[QUANTIDADE COMPRADA]]</f>
        <v>0</v>
      </c>
      <c r="N4071" s="110">
        <f>K4071-tblAquisições[[#This Row],[QUANTIDADE PLANEJADA]]</f>
        <v>-2</v>
      </c>
      <c r="O4071" s="106" t="str">
        <f t="shared" si="127"/>
        <v>Faltando Comprar</v>
      </c>
    </row>
    <row r="4072" spans="1:15" ht="31.5">
      <c r="A4072" s="16" t="s">
        <v>17</v>
      </c>
      <c r="B4072" s="16" t="s">
        <v>26</v>
      </c>
      <c r="C4072" s="17" t="s">
        <v>19</v>
      </c>
      <c r="D4072" s="18" t="s">
        <v>2272</v>
      </c>
      <c r="E4072" s="18">
        <v>10</v>
      </c>
      <c r="F4072" s="18" t="s">
        <v>30</v>
      </c>
      <c r="G4072" s="18" t="s">
        <v>22</v>
      </c>
      <c r="H4072" s="18" t="s">
        <v>23</v>
      </c>
      <c r="I4072" s="19">
        <v>196.71</v>
      </c>
      <c r="J4072" s="20">
        <f t="shared" si="126"/>
        <v>1967.1000000000001</v>
      </c>
      <c r="K4072" s="106"/>
      <c r="L4072" s="114"/>
      <c r="M4072" s="114">
        <f>tblAquisições[[#This Row],[VALOR UNITARIO COMPRADO]]*tblAquisições[[#This Row],[QUANTIDADE COMPRADA]]</f>
        <v>0</v>
      </c>
      <c r="N4072" s="110">
        <f>K4072-tblAquisições[[#This Row],[QUANTIDADE PLANEJADA]]</f>
        <v>-10</v>
      </c>
      <c r="O4072" s="106" t="str">
        <f t="shared" si="127"/>
        <v>Faltando Comprar</v>
      </c>
    </row>
    <row r="4073" spans="1:15" ht="47.25">
      <c r="A4073" s="16" t="s">
        <v>17</v>
      </c>
      <c r="B4073" s="16" t="s">
        <v>18</v>
      </c>
      <c r="C4073" s="17" t="s">
        <v>19</v>
      </c>
      <c r="D4073" s="18" t="s">
        <v>2273</v>
      </c>
      <c r="E4073" s="18">
        <v>2</v>
      </c>
      <c r="F4073" s="18" t="s">
        <v>313</v>
      </c>
      <c r="G4073" s="18" t="s">
        <v>22</v>
      </c>
      <c r="H4073" s="18" t="s">
        <v>23</v>
      </c>
      <c r="I4073" s="19">
        <v>190.26</v>
      </c>
      <c r="J4073" s="20">
        <f t="shared" si="126"/>
        <v>380.52</v>
      </c>
      <c r="K4073" s="106"/>
      <c r="L4073" s="114"/>
      <c r="M4073" s="114">
        <f>tblAquisições[[#This Row],[VALOR UNITARIO COMPRADO]]*tblAquisições[[#This Row],[QUANTIDADE COMPRADA]]</f>
        <v>0</v>
      </c>
      <c r="N4073" s="110">
        <f>K4073-tblAquisições[[#This Row],[QUANTIDADE PLANEJADA]]</f>
        <v>-2</v>
      </c>
      <c r="O4073" s="106" t="str">
        <f t="shared" si="127"/>
        <v>Faltando Comprar</v>
      </c>
    </row>
    <row r="4074" spans="1:15" ht="47.25">
      <c r="A4074" s="16" t="s">
        <v>17</v>
      </c>
      <c r="B4074" s="16" t="s">
        <v>24</v>
      </c>
      <c r="C4074" s="17" t="s">
        <v>19</v>
      </c>
      <c r="D4074" s="18" t="s">
        <v>2273</v>
      </c>
      <c r="E4074" s="18">
        <v>2</v>
      </c>
      <c r="F4074" s="18" t="s">
        <v>313</v>
      </c>
      <c r="G4074" s="18" t="s">
        <v>22</v>
      </c>
      <c r="H4074" s="18" t="s">
        <v>23</v>
      </c>
      <c r="I4074" s="19">
        <v>190.26</v>
      </c>
      <c r="J4074" s="20">
        <f t="shared" si="126"/>
        <v>380.52</v>
      </c>
      <c r="K4074" s="106"/>
      <c r="L4074" s="114"/>
      <c r="M4074" s="114">
        <f>tblAquisições[[#This Row],[VALOR UNITARIO COMPRADO]]*tblAquisições[[#This Row],[QUANTIDADE COMPRADA]]</f>
        <v>0</v>
      </c>
      <c r="N4074" s="110">
        <f>K4074-tblAquisições[[#This Row],[QUANTIDADE PLANEJADA]]</f>
        <v>-2</v>
      </c>
      <c r="O4074" s="106" t="str">
        <f t="shared" si="127"/>
        <v>Faltando Comprar</v>
      </c>
    </row>
    <row r="4075" spans="1:15" ht="47.25">
      <c r="A4075" s="16" t="s">
        <v>17</v>
      </c>
      <c r="B4075" s="16" t="s">
        <v>25</v>
      </c>
      <c r="C4075" s="17" t="s">
        <v>19</v>
      </c>
      <c r="D4075" s="18" t="s">
        <v>2273</v>
      </c>
      <c r="E4075" s="18">
        <v>2</v>
      </c>
      <c r="F4075" s="18" t="s">
        <v>313</v>
      </c>
      <c r="G4075" s="18" t="s">
        <v>22</v>
      </c>
      <c r="H4075" s="18" t="s">
        <v>23</v>
      </c>
      <c r="I4075" s="19">
        <v>190.26</v>
      </c>
      <c r="J4075" s="20">
        <f t="shared" si="126"/>
        <v>380.52</v>
      </c>
      <c r="K4075" s="106"/>
      <c r="L4075" s="114"/>
      <c r="M4075" s="114">
        <f>tblAquisições[[#This Row],[VALOR UNITARIO COMPRADO]]*tblAquisições[[#This Row],[QUANTIDADE COMPRADA]]</f>
        <v>0</v>
      </c>
      <c r="N4075" s="110">
        <f>K4075-tblAquisições[[#This Row],[QUANTIDADE PLANEJADA]]</f>
        <v>-2</v>
      </c>
      <c r="O4075" s="106" t="str">
        <f t="shared" si="127"/>
        <v>Faltando Comprar</v>
      </c>
    </row>
    <row r="4076" spans="1:15" ht="47.25">
      <c r="A4076" s="16" t="s">
        <v>17</v>
      </c>
      <c r="B4076" s="16" t="s">
        <v>27</v>
      </c>
      <c r="C4076" s="17" t="s">
        <v>19</v>
      </c>
      <c r="D4076" s="18" t="s">
        <v>2273</v>
      </c>
      <c r="E4076" s="18">
        <v>2</v>
      </c>
      <c r="F4076" s="18" t="s">
        <v>313</v>
      </c>
      <c r="G4076" s="18" t="s">
        <v>22</v>
      </c>
      <c r="H4076" s="18" t="s">
        <v>23</v>
      </c>
      <c r="I4076" s="19">
        <v>190.26</v>
      </c>
      <c r="J4076" s="20">
        <f t="shared" si="126"/>
        <v>380.52</v>
      </c>
      <c r="K4076" s="106"/>
      <c r="L4076" s="114"/>
      <c r="M4076" s="114">
        <f>tblAquisições[[#This Row],[VALOR UNITARIO COMPRADO]]*tblAquisições[[#This Row],[QUANTIDADE COMPRADA]]</f>
        <v>0</v>
      </c>
      <c r="N4076" s="110">
        <f>K4076-tblAquisições[[#This Row],[QUANTIDADE PLANEJADA]]</f>
        <v>-2</v>
      </c>
      <c r="O4076" s="106" t="str">
        <f t="shared" si="127"/>
        <v>Faltando Comprar</v>
      </c>
    </row>
    <row r="4077" spans="1:15" ht="31.5">
      <c r="A4077" s="16" t="s">
        <v>17</v>
      </c>
      <c r="B4077" s="16" t="s">
        <v>80</v>
      </c>
      <c r="C4077" s="17" t="s">
        <v>19</v>
      </c>
      <c r="D4077" s="18" t="s">
        <v>2274</v>
      </c>
      <c r="E4077" s="18">
        <v>6</v>
      </c>
      <c r="F4077" s="18" t="s">
        <v>272</v>
      </c>
      <c r="G4077" s="18" t="s">
        <v>39</v>
      </c>
      <c r="H4077" s="21"/>
      <c r="I4077" s="19">
        <v>17.47</v>
      </c>
      <c r="J4077" s="20">
        <f t="shared" si="126"/>
        <v>104.82</v>
      </c>
      <c r="K4077" s="106"/>
      <c r="L4077" s="114"/>
      <c r="M4077" s="114">
        <f>tblAquisições[[#This Row],[VALOR UNITARIO COMPRADO]]*tblAquisições[[#This Row],[QUANTIDADE COMPRADA]]</f>
        <v>0</v>
      </c>
      <c r="N4077" s="110">
        <f>K4077-tblAquisições[[#This Row],[QUANTIDADE PLANEJADA]]</f>
        <v>-6</v>
      </c>
      <c r="O4077" s="106" t="str">
        <f t="shared" si="127"/>
        <v>Faltando Comprar</v>
      </c>
    </row>
    <row r="4078" spans="1:15" ht="63">
      <c r="A4078" s="16" t="s">
        <v>17</v>
      </c>
      <c r="B4078" s="16" t="s">
        <v>26</v>
      </c>
      <c r="C4078" s="17" t="s">
        <v>19</v>
      </c>
      <c r="D4078" s="18" t="s">
        <v>2275</v>
      </c>
      <c r="E4078" s="18">
        <v>1</v>
      </c>
      <c r="F4078" s="18" t="s">
        <v>126</v>
      </c>
      <c r="G4078" s="18" t="s">
        <v>127</v>
      </c>
      <c r="H4078" s="18" t="s">
        <v>23</v>
      </c>
      <c r="I4078" s="19">
        <v>13854.28</v>
      </c>
      <c r="J4078" s="20">
        <f t="shared" si="126"/>
        <v>13854.28</v>
      </c>
      <c r="K4078" s="106"/>
      <c r="L4078" s="114"/>
      <c r="M4078" s="114">
        <f>tblAquisições[[#This Row],[VALOR UNITARIO COMPRADO]]*tblAquisições[[#This Row],[QUANTIDADE COMPRADA]]</f>
        <v>0</v>
      </c>
      <c r="N4078" s="110">
        <f>K4078-tblAquisições[[#This Row],[QUANTIDADE PLANEJADA]]</f>
        <v>-1</v>
      </c>
      <c r="O4078" s="106" t="str">
        <f t="shared" si="127"/>
        <v>Faltando Comprar</v>
      </c>
    </row>
    <row r="4079" spans="1:15" ht="63">
      <c r="A4079" s="16" t="s">
        <v>17</v>
      </c>
      <c r="B4079" s="16" t="s">
        <v>26</v>
      </c>
      <c r="C4079" s="17" t="s">
        <v>19</v>
      </c>
      <c r="D4079" s="18" t="s">
        <v>2276</v>
      </c>
      <c r="E4079" s="18">
        <v>1</v>
      </c>
      <c r="F4079" s="18" t="s">
        <v>126</v>
      </c>
      <c r="G4079" s="18" t="s">
        <v>127</v>
      </c>
      <c r="H4079" s="18" t="s">
        <v>23</v>
      </c>
      <c r="I4079" s="19">
        <v>13607.06</v>
      </c>
      <c r="J4079" s="20">
        <f t="shared" si="126"/>
        <v>13607.06</v>
      </c>
      <c r="K4079" s="106"/>
      <c r="L4079" s="114"/>
      <c r="M4079" s="114">
        <f>tblAquisições[[#This Row],[VALOR UNITARIO COMPRADO]]*tblAquisições[[#This Row],[QUANTIDADE COMPRADA]]</f>
        <v>0</v>
      </c>
      <c r="N4079" s="110">
        <f>K4079-tblAquisições[[#This Row],[QUANTIDADE PLANEJADA]]</f>
        <v>-1</v>
      </c>
      <c r="O4079" s="106" t="str">
        <f t="shared" si="127"/>
        <v>Faltando Comprar</v>
      </c>
    </row>
    <row r="4080" spans="1:15" ht="63">
      <c r="A4080" s="16" t="s">
        <v>17</v>
      </c>
      <c r="B4080" s="16" t="s">
        <v>26</v>
      </c>
      <c r="C4080" s="17" t="s">
        <v>19</v>
      </c>
      <c r="D4080" s="18" t="s">
        <v>2277</v>
      </c>
      <c r="E4080" s="18">
        <v>1</v>
      </c>
      <c r="F4080" s="18" t="s">
        <v>126</v>
      </c>
      <c r="G4080" s="18" t="s">
        <v>127</v>
      </c>
      <c r="H4080" s="18" t="s">
        <v>23</v>
      </c>
      <c r="I4080" s="19">
        <v>23212.63</v>
      </c>
      <c r="J4080" s="20">
        <f t="shared" si="126"/>
        <v>23212.63</v>
      </c>
      <c r="K4080" s="106"/>
      <c r="L4080" s="114"/>
      <c r="M4080" s="114">
        <f>tblAquisições[[#This Row],[VALOR UNITARIO COMPRADO]]*tblAquisições[[#This Row],[QUANTIDADE COMPRADA]]</f>
        <v>0</v>
      </c>
      <c r="N4080" s="110">
        <f>K4080-tblAquisições[[#This Row],[QUANTIDADE PLANEJADA]]</f>
        <v>-1</v>
      </c>
      <c r="O4080" s="106" t="str">
        <f t="shared" si="127"/>
        <v>Faltando Comprar</v>
      </c>
    </row>
    <row r="4081" spans="1:15" ht="63">
      <c r="A4081" s="16" t="s">
        <v>17</v>
      </c>
      <c r="B4081" s="16" t="s">
        <v>80</v>
      </c>
      <c r="C4081" s="17" t="s">
        <v>19</v>
      </c>
      <c r="D4081" s="18" t="s">
        <v>2278</v>
      </c>
      <c r="E4081" s="18">
        <v>2</v>
      </c>
      <c r="F4081" s="18" t="s">
        <v>1158</v>
      </c>
      <c r="G4081" s="18" t="s">
        <v>775</v>
      </c>
      <c r="H4081" s="18" t="s">
        <v>23</v>
      </c>
      <c r="I4081" s="19">
        <v>17174.97</v>
      </c>
      <c r="J4081" s="20">
        <f t="shared" si="126"/>
        <v>34349.94</v>
      </c>
      <c r="K4081" s="106"/>
      <c r="L4081" s="114"/>
      <c r="M4081" s="114">
        <f>tblAquisições[[#This Row],[VALOR UNITARIO COMPRADO]]*tblAquisições[[#This Row],[QUANTIDADE COMPRADA]]</f>
        <v>0</v>
      </c>
      <c r="N4081" s="110">
        <f>K4081-tblAquisições[[#This Row],[QUANTIDADE PLANEJADA]]</f>
        <v>-2</v>
      </c>
      <c r="O4081" s="106" t="str">
        <f t="shared" si="127"/>
        <v>Faltando Comprar</v>
      </c>
    </row>
    <row r="4082" spans="1:15" ht="63">
      <c r="A4082" s="16" t="s">
        <v>17</v>
      </c>
      <c r="B4082" s="16" t="s">
        <v>80</v>
      </c>
      <c r="C4082" s="17" t="s">
        <v>19</v>
      </c>
      <c r="D4082" s="18" t="s">
        <v>2279</v>
      </c>
      <c r="E4082" s="18">
        <v>2</v>
      </c>
      <c r="F4082" s="18" t="s">
        <v>1158</v>
      </c>
      <c r="G4082" s="18" t="s">
        <v>775</v>
      </c>
      <c r="H4082" s="18" t="s">
        <v>23</v>
      </c>
      <c r="I4082" s="19">
        <v>9480.06</v>
      </c>
      <c r="J4082" s="20">
        <f t="shared" si="126"/>
        <v>18960.12</v>
      </c>
      <c r="K4082" s="106"/>
      <c r="L4082" s="114"/>
      <c r="M4082" s="114">
        <f>tblAquisições[[#This Row],[VALOR UNITARIO COMPRADO]]*tblAquisições[[#This Row],[QUANTIDADE COMPRADA]]</f>
        <v>0</v>
      </c>
      <c r="N4082" s="110">
        <f>K4082-tblAquisições[[#This Row],[QUANTIDADE PLANEJADA]]</f>
        <v>-2</v>
      </c>
      <c r="O4082" s="106" t="str">
        <f t="shared" si="127"/>
        <v>Faltando Comprar</v>
      </c>
    </row>
    <row r="4083" spans="1:15" ht="63">
      <c r="A4083" s="16" t="s">
        <v>17</v>
      </c>
      <c r="B4083" s="16" t="s">
        <v>28</v>
      </c>
      <c r="C4083" s="17" t="s">
        <v>19</v>
      </c>
      <c r="D4083" s="18" t="s">
        <v>2280</v>
      </c>
      <c r="E4083" s="18">
        <v>3</v>
      </c>
      <c r="F4083" s="18" t="s">
        <v>126</v>
      </c>
      <c r="G4083" s="18" t="s">
        <v>127</v>
      </c>
      <c r="H4083" s="18" t="s">
        <v>23</v>
      </c>
      <c r="I4083" s="19">
        <v>9480.06</v>
      </c>
      <c r="J4083" s="20">
        <f t="shared" si="126"/>
        <v>28440.18</v>
      </c>
      <c r="K4083" s="106"/>
      <c r="L4083" s="114"/>
      <c r="M4083" s="114">
        <f>tblAquisições[[#This Row],[VALOR UNITARIO COMPRADO]]*tblAquisições[[#This Row],[QUANTIDADE COMPRADA]]</f>
        <v>0</v>
      </c>
      <c r="N4083" s="110">
        <f>K4083-tblAquisições[[#This Row],[QUANTIDADE PLANEJADA]]</f>
        <v>-3</v>
      </c>
      <c r="O4083" s="106" t="str">
        <f t="shared" si="127"/>
        <v>Faltando Comprar</v>
      </c>
    </row>
    <row r="4084" spans="1:15" ht="63">
      <c r="A4084" s="16" t="s">
        <v>17</v>
      </c>
      <c r="B4084" s="16" t="s">
        <v>26</v>
      </c>
      <c r="C4084" s="17" t="s">
        <v>19</v>
      </c>
      <c r="D4084" s="18" t="s">
        <v>2281</v>
      </c>
      <c r="E4084" s="18">
        <v>1</v>
      </c>
      <c r="F4084" s="18" t="s">
        <v>126</v>
      </c>
      <c r="G4084" s="18" t="s">
        <v>127</v>
      </c>
      <c r="H4084" s="18" t="s">
        <v>23</v>
      </c>
      <c r="I4084" s="19">
        <v>12351.35</v>
      </c>
      <c r="J4084" s="20">
        <f t="shared" si="126"/>
        <v>12351.35</v>
      </c>
      <c r="K4084" s="106"/>
      <c r="L4084" s="114"/>
      <c r="M4084" s="114">
        <f>tblAquisições[[#This Row],[VALOR UNITARIO COMPRADO]]*tblAquisições[[#This Row],[QUANTIDADE COMPRADA]]</f>
        <v>0</v>
      </c>
      <c r="N4084" s="110">
        <f>K4084-tblAquisições[[#This Row],[QUANTIDADE PLANEJADA]]</f>
        <v>-1</v>
      </c>
      <c r="O4084" s="106" t="str">
        <f t="shared" si="127"/>
        <v>Faltando Comprar</v>
      </c>
    </row>
    <row r="4085" spans="1:15" ht="63">
      <c r="A4085" s="16" t="s">
        <v>17</v>
      </c>
      <c r="B4085" s="16" t="s">
        <v>80</v>
      </c>
      <c r="C4085" s="17" t="s">
        <v>19</v>
      </c>
      <c r="D4085" s="18" t="s">
        <v>2282</v>
      </c>
      <c r="E4085" s="18">
        <v>2</v>
      </c>
      <c r="F4085" s="18" t="s">
        <v>1158</v>
      </c>
      <c r="G4085" s="18" t="s">
        <v>775</v>
      </c>
      <c r="H4085" s="18" t="s">
        <v>23</v>
      </c>
      <c r="I4085" s="19">
        <v>14485.31</v>
      </c>
      <c r="J4085" s="20">
        <f t="shared" si="126"/>
        <v>28970.62</v>
      </c>
      <c r="K4085" s="106"/>
      <c r="L4085" s="114"/>
      <c r="M4085" s="114">
        <f>tblAquisições[[#This Row],[VALOR UNITARIO COMPRADO]]*tblAquisições[[#This Row],[QUANTIDADE COMPRADA]]</f>
        <v>0</v>
      </c>
      <c r="N4085" s="110">
        <f>K4085-tblAquisições[[#This Row],[QUANTIDADE PLANEJADA]]</f>
        <v>-2</v>
      </c>
      <c r="O4085" s="106" t="str">
        <f t="shared" si="127"/>
        <v>Faltando Comprar</v>
      </c>
    </row>
    <row r="4086" spans="1:15" ht="63">
      <c r="A4086" s="16" t="s">
        <v>17</v>
      </c>
      <c r="B4086" s="16" t="s">
        <v>26</v>
      </c>
      <c r="C4086" s="17" t="s">
        <v>19</v>
      </c>
      <c r="D4086" s="18" t="s">
        <v>2283</v>
      </c>
      <c r="E4086" s="18">
        <v>1</v>
      </c>
      <c r="F4086" s="18" t="s">
        <v>126</v>
      </c>
      <c r="G4086" s="18" t="s">
        <v>127</v>
      </c>
      <c r="H4086" s="18" t="s">
        <v>23</v>
      </c>
      <c r="I4086" s="19">
        <v>15091.81</v>
      </c>
      <c r="J4086" s="20">
        <f t="shared" si="126"/>
        <v>15091.81</v>
      </c>
      <c r="K4086" s="106"/>
      <c r="L4086" s="114"/>
      <c r="M4086" s="114">
        <f>tblAquisições[[#This Row],[VALOR UNITARIO COMPRADO]]*tblAquisições[[#This Row],[QUANTIDADE COMPRADA]]</f>
        <v>0</v>
      </c>
      <c r="N4086" s="110">
        <f>K4086-tblAquisições[[#This Row],[QUANTIDADE PLANEJADA]]</f>
        <v>-1</v>
      </c>
      <c r="O4086" s="106" t="str">
        <f t="shared" si="127"/>
        <v>Faltando Comprar</v>
      </c>
    </row>
    <row r="4087" spans="1:15" ht="63">
      <c r="A4087" s="16" t="s">
        <v>17</v>
      </c>
      <c r="B4087" s="16" t="s">
        <v>26</v>
      </c>
      <c r="C4087" s="17" t="s">
        <v>19</v>
      </c>
      <c r="D4087" s="18" t="s">
        <v>2284</v>
      </c>
      <c r="E4087" s="18">
        <v>1</v>
      </c>
      <c r="F4087" s="18" t="s">
        <v>126</v>
      </c>
      <c r="G4087" s="18" t="s">
        <v>127</v>
      </c>
      <c r="H4087" s="18" t="s">
        <v>23</v>
      </c>
      <c r="I4087" s="19">
        <v>21687.200000000001</v>
      </c>
      <c r="J4087" s="20">
        <f t="shared" si="126"/>
        <v>21687.200000000001</v>
      </c>
      <c r="K4087" s="106"/>
      <c r="L4087" s="114"/>
      <c r="M4087" s="114">
        <f>tblAquisições[[#This Row],[VALOR UNITARIO COMPRADO]]*tblAquisições[[#This Row],[QUANTIDADE COMPRADA]]</f>
        <v>0</v>
      </c>
      <c r="N4087" s="110">
        <f>K4087-tblAquisições[[#This Row],[QUANTIDADE PLANEJADA]]</f>
        <v>-1</v>
      </c>
      <c r="O4087" s="106" t="str">
        <f t="shared" si="127"/>
        <v>Faltando Comprar</v>
      </c>
    </row>
    <row r="4088" spans="1:15" ht="63">
      <c r="A4088" s="16" t="s">
        <v>17</v>
      </c>
      <c r="B4088" s="16" t="s">
        <v>26</v>
      </c>
      <c r="C4088" s="17" t="s">
        <v>19</v>
      </c>
      <c r="D4088" s="18" t="s">
        <v>2285</v>
      </c>
      <c r="E4088" s="18">
        <v>1</v>
      </c>
      <c r="F4088" s="18" t="s">
        <v>126</v>
      </c>
      <c r="G4088" s="18" t="s">
        <v>127</v>
      </c>
      <c r="H4088" s="18" t="s">
        <v>23</v>
      </c>
      <c r="I4088" s="19">
        <v>21697.200000000001</v>
      </c>
      <c r="J4088" s="20">
        <f t="shared" si="126"/>
        <v>21697.200000000001</v>
      </c>
      <c r="K4088" s="106"/>
      <c r="L4088" s="114"/>
      <c r="M4088" s="114">
        <f>tblAquisições[[#This Row],[VALOR UNITARIO COMPRADO]]*tblAquisições[[#This Row],[QUANTIDADE COMPRADA]]</f>
        <v>0</v>
      </c>
      <c r="N4088" s="110">
        <f>K4088-tblAquisições[[#This Row],[QUANTIDADE PLANEJADA]]</f>
        <v>-1</v>
      </c>
      <c r="O4088" s="106" t="str">
        <f t="shared" si="127"/>
        <v>Faltando Comprar</v>
      </c>
    </row>
    <row r="4089" spans="1:15" ht="63">
      <c r="A4089" s="16" t="s">
        <v>17</v>
      </c>
      <c r="B4089" s="16" t="s">
        <v>80</v>
      </c>
      <c r="C4089" s="17" t="s">
        <v>19</v>
      </c>
      <c r="D4089" s="18" t="s">
        <v>2286</v>
      </c>
      <c r="E4089" s="18">
        <v>1</v>
      </c>
      <c r="F4089" s="18" t="s">
        <v>1158</v>
      </c>
      <c r="G4089" s="18" t="s">
        <v>775</v>
      </c>
      <c r="H4089" s="21"/>
      <c r="I4089" s="19">
        <v>12158.61</v>
      </c>
      <c r="J4089" s="20">
        <f t="shared" si="126"/>
        <v>12158.61</v>
      </c>
      <c r="K4089" s="106"/>
      <c r="L4089" s="114"/>
      <c r="M4089" s="114">
        <f>tblAquisições[[#This Row],[VALOR UNITARIO COMPRADO]]*tblAquisições[[#This Row],[QUANTIDADE COMPRADA]]</f>
        <v>0</v>
      </c>
      <c r="N4089" s="110">
        <f>K4089-tblAquisições[[#This Row],[QUANTIDADE PLANEJADA]]</f>
        <v>-1</v>
      </c>
      <c r="O4089" s="106" t="str">
        <f t="shared" si="127"/>
        <v>Faltando Comprar</v>
      </c>
    </row>
    <row r="4090" spans="1:15" ht="63">
      <c r="A4090" s="16" t="s">
        <v>17</v>
      </c>
      <c r="B4090" s="16" t="s">
        <v>26</v>
      </c>
      <c r="C4090" s="17" t="s">
        <v>19</v>
      </c>
      <c r="D4090" s="18" t="s">
        <v>2287</v>
      </c>
      <c r="E4090" s="18">
        <v>2</v>
      </c>
      <c r="F4090" s="18" t="s">
        <v>126</v>
      </c>
      <c r="G4090" s="18" t="s">
        <v>127</v>
      </c>
      <c r="H4090" s="18" t="s">
        <v>23</v>
      </c>
      <c r="I4090" s="19">
        <v>13005.91</v>
      </c>
      <c r="J4090" s="20">
        <f t="shared" si="126"/>
        <v>26011.82</v>
      </c>
      <c r="K4090" s="106"/>
      <c r="L4090" s="114"/>
      <c r="M4090" s="114">
        <f>tblAquisições[[#This Row],[VALOR UNITARIO COMPRADO]]*tblAquisições[[#This Row],[QUANTIDADE COMPRADA]]</f>
        <v>0</v>
      </c>
      <c r="N4090" s="110">
        <f>K4090-tblAquisições[[#This Row],[QUANTIDADE PLANEJADA]]</f>
        <v>-2</v>
      </c>
      <c r="O4090" s="106" t="str">
        <f t="shared" si="127"/>
        <v>Faltando Comprar</v>
      </c>
    </row>
    <row r="4091" spans="1:15" ht="63">
      <c r="A4091" s="16" t="s">
        <v>17</v>
      </c>
      <c r="B4091" s="16" t="s">
        <v>28</v>
      </c>
      <c r="C4091" s="17" t="s">
        <v>19</v>
      </c>
      <c r="D4091" s="18" t="s">
        <v>2288</v>
      </c>
      <c r="E4091" s="18">
        <v>8</v>
      </c>
      <c r="F4091" s="18" t="s">
        <v>126</v>
      </c>
      <c r="G4091" s="18" t="s">
        <v>127</v>
      </c>
      <c r="H4091" s="18" t="s">
        <v>23</v>
      </c>
      <c r="I4091" s="19">
        <v>8836.57</v>
      </c>
      <c r="J4091" s="20">
        <f t="shared" si="126"/>
        <v>70692.56</v>
      </c>
      <c r="K4091" s="106"/>
      <c r="L4091" s="114"/>
      <c r="M4091" s="114">
        <f>tblAquisições[[#This Row],[VALOR UNITARIO COMPRADO]]*tblAquisições[[#This Row],[QUANTIDADE COMPRADA]]</f>
        <v>0</v>
      </c>
      <c r="N4091" s="110">
        <f>K4091-tblAquisições[[#This Row],[QUANTIDADE PLANEJADA]]</f>
        <v>-8</v>
      </c>
      <c r="O4091" s="106" t="str">
        <f t="shared" si="127"/>
        <v>Faltando Comprar</v>
      </c>
    </row>
    <row r="4092" spans="1:15" ht="63">
      <c r="A4092" s="16" t="s">
        <v>17</v>
      </c>
      <c r="B4092" s="16" t="s">
        <v>18</v>
      </c>
      <c r="C4092" s="17" t="s">
        <v>19</v>
      </c>
      <c r="D4092" s="18" t="s">
        <v>2289</v>
      </c>
      <c r="E4092" s="18">
        <v>2</v>
      </c>
      <c r="F4092" s="18" t="s">
        <v>126</v>
      </c>
      <c r="G4092" s="18" t="s">
        <v>127</v>
      </c>
      <c r="H4092" s="18" t="s">
        <v>23</v>
      </c>
      <c r="I4092" s="19">
        <v>11873.4</v>
      </c>
      <c r="J4092" s="20">
        <f t="shared" si="126"/>
        <v>23746.799999999999</v>
      </c>
      <c r="K4092" s="106"/>
      <c r="L4092" s="114"/>
      <c r="M4092" s="114">
        <f>tblAquisições[[#This Row],[VALOR UNITARIO COMPRADO]]*tblAquisições[[#This Row],[QUANTIDADE COMPRADA]]</f>
        <v>0</v>
      </c>
      <c r="N4092" s="110">
        <f>K4092-tblAquisições[[#This Row],[QUANTIDADE PLANEJADA]]</f>
        <v>-2</v>
      </c>
      <c r="O4092" s="106" t="str">
        <f t="shared" si="127"/>
        <v>Faltando Comprar</v>
      </c>
    </row>
    <row r="4093" spans="1:15" ht="63">
      <c r="A4093" s="16" t="s">
        <v>17</v>
      </c>
      <c r="B4093" s="16" t="s">
        <v>24</v>
      </c>
      <c r="C4093" s="17" t="s">
        <v>19</v>
      </c>
      <c r="D4093" s="18" t="s">
        <v>2289</v>
      </c>
      <c r="E4093" s="18">
        <v>2</v>
      </c>
      <c r="F4093" s="18" t="s">
        <v>126</v>
      </c>
      <c r="G4093" s="18" t="s">
        <v>127</v>
      </c>
      <c r="H4093" s="18" t="s">
        <v>23</v>
      </c>
      <c r="I4093" s="19">
        <v>11873.4</v>
      </c>
      <c r="J4093" s="20">
        <f t="shared" si="126"/>
        <v>23746.799999999999</v>
      </c>
      <c r="K4093" s="106"/>
      <c r="L4093" s="114"/>
      <c r="M4093" s="114">
        <f>tblAquisições[[#This Row],[VALOR UNITARIO COMPRADO]]*tblAquisições[[#This Row],[QUANTIDADE COMPRADA]]</f>
        <v>0</v>
      </c>
      <c r="N4093" s="110">
        <f>K4093-tblAquisições[[#This Row],[QUANTIDADE PLANEJADA]]</f>
        <v>-2</v>
      </c>
      <c r="O4093" s="106" t="str">
        <f t="shared" si="127"/>
        <v>Faltando Comprar</v>
      </c>
    </row>
    <row r="4094" spans="1:15" ht="63">
      <c r="A4094" s="16" t="s">
        <v>17</v>
      </c>
      <c r="B4094" s="16" t="s">
        <v>25</v>
      </c>
      <c r="C4094" s="17" t="s">
        <v>19</v>
      </c>
      <c r="D4094" s="18" t="s">
        <v>2289</v>
      </c>
      <c r="E4094" s="18">
        <v>2</v>
      </c>
      <c r="F4094" s="18" t="s">
        <v>126</v>
      </c>
      <c r="G4094" s="18" t="s">
        <v>127</v>
      </c>
      <c r="H4094" s="18" t="s">
        <v>23</v>
      </c>
      <c r="I4094" s="19">
        <v>11873.4</v>
      </c>
      <c r="J4094" s="20">
        <f t="shared" si="126"/>
        <v>23746.799999999999</v>
      </c>
      <c r="K4094" s="106"/>
      <c r="L4094" s="114"/>
      <c r="M4094" s="114">
        <f>tblAquisições[[#This Row],[VALOR UNITARIO COMPRADO]]*tblAquisições[[#This Row],[QUANTIDADE COMPRADA]]</f>
        <v>0</v>
      </c>
      <c r="N4094" s="110">
        <f>K4094-tblAquisições[[#This Row],[QUANTIDADE PLANEJADA]]</f>
        <v>-2</v>
      </c>
      <c r="O4094" s="106" t="str">
        <f t="shared" si="127"/>
        <v>Faltando Comprar</v>
      </c>
    </row>
    <row r="4095" spans="1:15" ht="31.5">
      <c r="A4095" s="16" t="s">
        <v>17</v>
      </c>
      <c r="B4095" s="16" t="s">
        <v>34</v>
      </c>
      <c r="C4095" s="17" t="s">
        <v>19</v>
      </c>
      <c r="D4095" s="18" t="s">
        <v>2290</v>
      </c>
      <c r="E4095" s="18">
        <v>20</v>
      </c>
      <c r="F4095" s="18" t="s">
        <v>21</v>
      </c>
      <c r="G4095" s="18" t="s">
        <v>22</v>
      </c>
      <c r="H4095" s="18" t="s">
        <v>23</v>
      </c>
      <c r="I4095" s="19">
        <v>11.88</v>
      </c>
      <c r="J4095" s="20">
        <f t="shared" si="126"/>
        <v>237.60000000000002</v>
      </c>
      <c r="K4095" s="106"/>
      <c r="L4095" s="114"/>
      <c r="M4095" s="114">
        <f>tblAquisições[[#This Row],[VALOR UNITARIO COMPRADO]]*tblAquisições[[#This Row],[QUANTIDADE COMPRADA]]</f>
        <v>0</v>
      </c>
      <c r="N4095" s="110">
        <f>K4095-tblAquisições[[#This Row],[QUANTIDADE PLANEJADA]]</f>
        <v>-20</v>
      </c>
      <c r="O4095" s="106" t="str">
        <f t="shared" si="127"/>
        <v>Faltando Comprar</v>
      </c>
    </row>
    <row r="4096" spans="1:15" ht="31.5">
      <c r="A4096" s="16" t="s">
        <v>17</v>
      </c>
      <c r="B4096" s="16" t="s">
        <v>18</v>
      </c>
      <c r="C4096" s="17" t="s">
        <v>19</v>
      </c>
      <c r="D4096" s="18" t="s">
        <v>2290</v>
      </c>
      <c r="E4096" s="18">
        <v>100</v>
      </c>
      <c r="F4096" s="18" t="s">
        <v>21</v>
      </c>
      <c r="G4096" s="18" t="s">
        <v>22</v>
      </c>
      <c r="H4096" s="18" t="s">
        <v>23</v>
      </c>
      <c r="I4096" s="19">
        <v>11.88</v>
      </c>
      <c r="J4096" s="20">
        <f t="shared" si="126"/>
        <v>1188</v>
      </c>
      <c r="K4096" s="106"/>
      <c r="L4096" s="114"/>
      <c r="M4096" s="114">
        <f>tblAquisições[[#This Row],[VALOR UNITARIO COMPRADO]]*tblAquisições[[#This Row],[QUANTIDADE COMPRADA]]</f>
        <v>0</v>
      </c>
      <c r="N4096" s="110">
        <f>K4096-tblAquisições[[#This Row],[QUANTIDADE PLANEJADA]]</f>
        <v>-100</v>
      </c>
      <c r="O4096" s="106" t="str">
        <f t="shared" si="127"/>
        <v>Faltando Comprar</v>
      </c>
    </row>
    <row r="4097" spans="1:15" ht="31.5">
      <c r="A4097" s="16" t="s">
        <v>17</v>
      </c>
      <c r="B4097" s="16" t="s">
        <v>24</v>
      </c>
      <c r="C4097" s="17" t="s">
        <v>19</v>
      </c>
      <c r="D4097" s="18" t="s">
        <v>2290</v>
      </c>
      <c r="E4097" s="18">
        <v>100</v>
      </c>
      <c r="F4097" s="18" t="s">
        <v>21</v>
      </c>
      <c r="G4097" s="18" t="s">
        <v>22</v>
      </c>
      <c r="H4097" s="18" t="s">
        <v>23</v>
      </c>
      <c r="I4097" s="19">
        <v>11.88</v>
      </c>
      <c r="J4097" s="20">
        <f t="shared" si="126"/>
        <v>1188</v>
      </c>
      <c r="K4097" s="106"/>
      <c r="L4097" s="114"/>
      <c r="M4097" s="114">
        <f>tblAquisições[[#This Row],[VALOR UNITARIO COMPRADO]]*tblAquisições[[#This Row],[QUANTIDADE COMPRADA]]</f>
        <v>0</v>
      </c>
      <c r="N4097" s="110">
        <f>K4097-tblAquisições[[#This Row],[QUANTIDADE PLANEJADA]]</f>
        <v>-100</v>
      </c>
      <c r="O4097" s="106" t="str">
        <f t="shared" si="127"/>
        <v>Faltando Comprar</v>
      </c>
    </row>
    <row r="4098" spans="1:15" ht="31.5">
      <c r="A4098" s="16" t="s">
        <v>17</v>
      </c>
      <c r="B4098" s="16" t="s">
        <v>25</v>
      </c>
      <c r="C4098" s="17" t="s">
        <v>19</v>
      </c>
      <c r="D4098" s="18" t="s">
        <v>2290</v>
      </c>
      <c r="E4098" s="18">
        <v>100</v>
      </c>
      <c r="F4098" s="18" t="s">
        <v>21</v>
      </c>
      <c r="G4098" s="18" t="s">
        <v>22</v>
      </c>
      <c r="H4098" s="18" t="s">
        <v>23</v>
      </c>
      <c r="I4098" s="19">
        <v>11.88</v>
      </c>
      <c r="J4098" s="20">
        <f t="shared" ref="J4098:J4161" si="128">E4098*I4098</f>
        <v>1188</v>
      </c>
      <c r="K4098" s="106"/>
      <c r="L4098" s="114"/>
      <c r="M4098" s="114">
        <f>tblAquisições[[#This Row],[VALOR UNITARIO COMPRADO]]*tblAquisições[[#This Row],[QUANTIDADE COMPRADA]]</f>
        <v>0</v>
      </c>
      <c r="N4098" s="110">
        <f>K4098-tblAquisições[[#This Row],[QUANTIDADE PLANEJADA]]</f>
        <v>-100</v>
      </c>
      <c r="O4098" s="106" t="str">
        <f t="shared" ref="O4098:O4161" si="129">IF(K4098=E4098,"OK",IF(K4098&lt;E4098,"Faltando Comprar","Excedente"))</f>
        <v>Faltando Comprar</v>
      </c>
    </row>
    <row r="4099" spans="1:15" ht="31.5">
      <c r="A4099" s="16" t="s">
        <v>17</v>
      </c>
      <c r="B4099" s="16" t="s">
        <v>27</v>
      </c>
      <c r="C4099" s="17" t="s">
        <v>19</v>
      </c>
      <c r="D4099" s="18" t="s">
        <v>2290</v>
      </c>
      <c r="E4099" s="18">
        <v>100</v>
      </c>
      <c r="F4099" s="18" t="s">
        <v>21</v>
      </c>
      <c r="G4099" s="18" t="s">
        <v>22</v>
      </c>
      <c r="H4099" s="18" t="s">
        <v>23</v>
      </c>
      <c r="I4099" s="19">
        <v>11.88</v>
      </c>
      <c r="J4099" s="20">
        <f t="shared" si="128"/>
        <v>1188</v>
      </c>
      <c r="K4099" s="106"/>
      <c r="L4099" s="114"/>
      <c r="M4099" s="114">
        <f>tblAquisições[[#This Row],[VALOR UNITARIO COMPRADO]]*tblAquisições[[#This Row],[QUANTIDADE COMPRADA]]</f>
        <v>0</v>
      </c>
      <c r="N4099" s="110">
        <f>K4099-tblAquisições[[#This Row],[QUANTIDADE PLANEJADA]]</f>
        <v>-100</v>
      </c>
      <c r="O4099" s="106" t="str">
        <f t="shared" si="129"/>
        <v>Faltando Comprar</v>
      </c>
    </row>
    <row r="4100" spans="1:15" ht="31.5">
      <c r="A4100" s="16" t="s">
        <v>17</v>
      </c>
      <c r="B4100" s="16" t="s">
        <v>28</v>
      </c>
      <c r="C4100" s="17" t="s">
        <v>19</v>
      </c>
      <c r="D4100" s="18" t="s">
        <v>2290</v>
      </c>
      <c r="E4100" s="18">
        <v>38</v>
      </c>
      <c r="F4100" s="18" t="s">
        <v>21</v>
      </c>
      <c r="G4100" s="18" t="s">
        <v>22</v>
      </c>
      <c r="H4100" s="18" t="s">
        <v>23</v>
      </c>
      <c r="I4100" s="19">
        <v>11.88</v>
      </c>
      <c r="J4100" s="20">
        <f t="shared" si="128"/>
        <v>451.44000000000005</v>
      </c>
      <c r="K4100" s="106"/>
      <c r="L4100" s="114"/>
      <c r="M4100" s="114">
        <f>tblAquisições[[#This Row],[VALOR UNITARIO COMPRADO]]*tblAquisições[[#This Row],[QUANTIDADE COMPRADA]]</f>
        <v>0</v>
      </c>
      <c r="N4100" s="110">
        <f>K4100-tblAquisições[[#This Row],[QUANTIDADE PLANEJADA]]</f>
        <v>-38</v>
      </c>
      <c r="O4100" s="106" t="str">
        <f t="shared" si="129"/>
        <v>Faltando Comprar</v>
      </c>
    </row>
    <row r="4101" spans="1:15" ht="63">
      <c r="A4101" s="16" t="s">
        <v>17</v>
      </c>
      <c r="B4101" s="16" t="s">
        <v>26</v>
      </c>
      <c r="C4101" s="17" t="s">
        <v>19</v>
      </c>
      <c r="D4101" s="18" t="s">
        <v>2291</v>
      </c>
      <c r="E4101" s="18">
        <v>1</v>
      </c>
      <c r="F4101" s="18" t="s">
        <v>126</v>
      </c>
      <c r="G4101" s="18" t="s">
        <v>127</v>
      </c>
      <c r="H4101" s="18" t="s">
        <v>23</v>
      </c>
      <c r="I4101" s="19">
        <v>26452.66</v>
      </c>
      <c r="J4101" s="20">
        <f t="shared" si="128"/>
        <v>26452.66</v>
      </c>
      <c r="K4101" s="106"/>
      <c r="L4101" s="114"/>
      <c r="M4101" s="114">
        <f>tblAquisições[[#This Row],[VALOR UNITARIO COMPRADO]]*tblAquisições[[#This Row],[QUANTIDADE COMPRADA]]</f>
        <v>0</v>
      </c>
      <c r="N4101" s="110">
        <f>K4101-tblAquisições[[#This Row],[QUANTIDADE PLANEJADA]]</f>
        <v>-1</v>
      </c>
      <c r="O4101" s="106" t="str">
        <f t="shared" si="129"/>
        <v>Faltando Comprar</v>
      </c>
    </row>
    <row r="4102" spans="1:15" ht="63">
      <c r="A4102" s="16" t="s">
        <v>17</v>
      </c>
      <c r="B4102" s="16" t="s">
        <v>26</v>
      </c>
      <c r="C4102" s="17" t="s">
        <v>19</v>
      </c>
      <c r="D4102" s="18" t="s">
        <v>2292</v>
      </c>
      <c r="E4102" s="18">
        <v>1</v>
      </c>
      <c r="F4102" s="18" t="s">
        <v>126</v>
      </c>
      <c r="G4102" s="18" t="s">
        <v>127</v>
      </c>
      <c r="H4102" s="18" t="s">
        <v>23</v>
      </c>
      <c r="I4102" s="19">
        <v>28052.400000000001</v>
      </c>
      <c r="J4102" s="20">
        <f t="shared" si="128"/>
        <v>28052.400000000001</v>
      </c>
      <c r="K4102" s="106"/>
      <c r="L4102" s="114"/>
      <c r="M4102" s="114">
        <f>tblAquisições[[#This Row],[VALOR UNITARIO COMPRADO]]*tblAquisições[[#This Row],[QUANTIDADE COMPRADA]]</f>
        <v>0</v>
      </c>
      <c r="N4102" s="110">
        <f>K4102-tblAquisições[[#This Row],[QUANTIDADE PLANEJADA]]</f>
        <v>-1</v>
      </c>
      <c r="O4102" s="106" t="str">
        <f t="shared" si="129"/>
        <v>Faltando Comprar</v>
      </c>
    </row>
    <row r="4103" spans="1:15" ht="63">
      <c r="A4103" s="16" t="s">
        <v>17</v>
      </c>
      <c r="B4103" s="16" t="s">
        <v>26</v>
      </c>
      <c r="C4103" s="17" t="s">
        <v>19</v>
      </c>
      <c r="D4103" s="18" t="s">
        <v>2293</v>
      </c>
      <c r="E4103" s="18">
        <v>1</v>
      </c>
      <c r="F4103" s="18" t="s">
        <v>126</v>
      </c>
      <c r="G4103" s="18" t="s">
        <v>127</v>
      </c>
      <c r="H4103" s="18" t="s">
        <v>23</v>
      </c>
      <c r="I4103" s="19">
        <v>15399.3</v>
      </c>
      <c r="J4103" s="20">
        <f t="shared" si="128"/>
        <v>15399.3</v>
      </c>
      <c r="K4103" s="106"/>
      <c r="L4103" s="114"/>
      <c r="M4103" s="114">
        <f>tblAquisições[[#This Row],[VALOR UNITARIO COMPRADO]]*tblAquisições[[#This Row],[QUANTIDADE COMPRADA]]</f>
        <v>0</v>
      </c>
      <c r="N4103" s="110">
        <f>K4103-tblAquisições[[#This Row],[QUANTIDADE PLANEJADA]]</f>
        <v>-1</v>
      </c>
      <c r="O4103" s="106" t="str">
        <f t="shared" si="129"/>
        <v>Faltando Comprar</v>
      </c>
    </row>
    <row r="4104" spans="1:15" ht="63">
      <c r="A4104" s="16" t="s">
        <v>17</v>
      </c>
      <c r="B4104" s="16" t="s">
        <v>26</v>
      </c>
      <c r="C4104" s="17" t="s">
        <v>19</v>
      </c>
      <c r="D4104" s="18" t="s">
        <v>2294</v>
      </c>
      <c r="E4104" s="18">
        <v>1</v>
      </c>
      <c r="F4104" s="18" t="s">
        <v>126</v>
      </c>
      <c r="G4104" s="18" t="s">
        <v>127</v>
      </c>
      <c r="H4104" s="18" t="s">
        <v>23</v>
      </c>
      <c r="I4104" s="19">
        <v>17918.47</v>
      </c>
      <c r="J4104" s="20">
        <f t="shared" si="128"/>
        <v>17918.47</v>
      </c>
      <c r="K4104" s="106"/>
      <c r="L4104" s="114"/>
      <c r="M4104" s="114">
        <f>tblAquisições[[#This Row],[VALOR UNITARIO COMPRADO]]*tblAquisições[[#This Row],[QUANTIDADE COMPRADA]]</f>
        <v>0</v>
      </c>
      <c r="N4104" s="110">
        <f>K4104-tblAquisições[[#This Row],[QUANTIDADE PLANEJADA]]</f>
        <v>-1</v>
      </c>
      <c r="O4104" s="106" t="str">
        <f t="shared" si="129"/>
        <v>Faltando Comprar</v>
      </c>
    </row>
    <row r="4105" spans="1:15" ht="63">
      <c r="A4105" s="16" t="s">
        <v>17</v>
      </c>
      <c r="B4105" s="16" t="s">
        <v>26</v>
      </c>
      <c r="C4105" s="17" t="s">
        <v>19</v>
      </c>
      <c r="D4105" s="18" t="s">
        <v>2295</v>
      </c>
      <c r="E4105" s="18">
        <v>1</v>
      </c>
      <c r="F4105" s="18" t="s">
        <v>126</v>
      </c>
      <c r="G4105" s="18" t="s">
        <v>127</v>
      </c>
      <c r="H4105" s="18" t="s">
        <v>23</v>
      </c>
      <c r="I4105" s="19">
        <v>9264.26</v>
      </c>
      <c r="J4105" s="20">
        <f t="shared" si="128"/>
        <v>9264.26</v>
      </c>
      <c r="K4105" s="106"/>
      <c r="L4105" s="114"/>
      <c r="M4105" s="114">
        <f>tblAquisições[[#This Row],[VALOR UNITARIO COMPRADO]]*tblAquisições[[#This Row],[QUANTIDADE COMPRADA]]</f>
        <v>0</v>
      </c>
      <c r="N4105" s="110">
        <f>K4105-tblAquisições[[#This Row],[QUANTIDADE PLANEJADA]]</f>
        <v>-1</v>
      </c>
      <c r="O4105" s="106" t="str">
        <f t="shared" si="129"/>
        <v>Faltando Comprar</v>
      </c>
    </row>
    <row r="4106" spans="1:15" ht="63">
      <c r="A4106" s="16" t="s">
        <v>17</v>
      </c>
      <c r="B4106" s="16" t="s">
        <v>26</v>
      </c>
      <c r="C4106" s="17" t="s">
        <v>19</v>
      </c>
      <c r="D4106" s="18" t="s">
        <v>2296</v>
      </c>
      <c r="E4106" s="18">
        <v>1</v>
      </c>
      <c r="F4106" s="18" t="s">
        <v>126</v>
      </c>
      <c r="G4106" s="18" t="s">
        <v>127</v>
      </c>
      <c r="H4106" s="18" t="s">
        <v>23</v>
      </c>
      <c r="I4106" s="19">
        <v>10492.02</v>
      </c>
      <c r="J4106" s="20">
        <f t="shared" si="128"/>
        <v>10492.02</v>
      </c>
      <c r="K4106" s="106"/>
      <c r="L4106" s="114"/>
      <c r="M4106" s="114">
        <f>tblAquisições[[#This Row],[VALOR UNITARIO COMPRADO]]*tblAquisições[[#This Row],[QUANTIDADE COMPRADA]]</f>
        <v>0</v>
      </c>
      <c r="N4106" s="110">
        <f>K4106-tblAquisições[[#This Row],[QUANTIDADE PLANEJADA]]</f>
        <v>-1</v>
      </c>
      <c r="O4106" s="106" t="str">
        <f t="shared" si="129"/>
        <v>Faltando Comprar</v>
      </c>
    </row>
    <row r="4107" spans="1:15" ht="63">
      <c r="A4107" s="16" t="s">
        <v>17</v>
      </c>
      <c r="B4107" s="16" t="s">
        <v>26</v>
      </c>
      <c r="C4107" s="17" t="s">
        <v>19</v>
      </c>
      <c r="D4107" s="18" t="s">
        <v>2297</v>
      </c>
      <c r="E4107" s="18">
        <v>3</v>
      </c>
      <c r="F4107" s="18" t="s">
        <v>126</v>
      </c>
      <c r="G4107" s="18" t="s">
        <v>127</v>
      </c>
      <c r="H4107" s="18" t="s">
        <v>23</v>
      </c>
      <c r="I4107" s="19">
        <v>24741.98</v>
      </c>
      <c r="J4107" s="20">
        <f t="shared" si="128"/>
        <v>74225.94</v>
      </c>
      <c r="K4107" s="106"/>
      <c r="L4107" s="114"/>
      <c r="M4107" s="114">
        <f>tblAquisições[[#This Row],[VALOR UNITARIO COMPRADO]]*tblAquisições[[#This Row],[QUANTIDADE COMPRADA]]</f>
        <v>0</v>
      </c>
      <c r="N4107" s="110">
        <f>K4107-tblAquisições[[#This Row],[QUANTIDADE PLANEJADA]]</f>
        <v>-3</v>
      </c>
      <c r="O4107" s="106" t="str">
        <f t="shared" si="129"/>
        <v>Faltando Comprar</v>
      </c>
    </row>
    <row r="4108" spans="1:15" ht="63">
      <c r="A4108" s="16" t="s">
        <v>17</v>
      </c>
      <c r="B4108" s="16" t="s">
        <v>28</v>
      </c>
      <c r="C4108" s="17" t="s">
        <v>19</v>
      </c>
      <c r="D4108" s="18" t="s">
        <v>2297</v>
      </c>
      <c r="E4108" s="18">
        <v>2</v>
      </c>
      <c r="F4108" s="18" t="s">
        <v>126</v>
      </c>
      <c r="G4108" s="18" t="s">
        <v>127</v>
      </c>
      <c r="H4108" s="18" t="s">
        <v>23</v>
      </c>
      <c r="I4108" s="19">
        <v>24741.98</v>
      </c>
      <c r="J4108" s="20">
        <f t="shared" si="128"/>
        <v>49483.96</v>
      </c>
      <c r="K4108" s="106"/>
      <c r="L4108" s="114"/>
      <c r="M4108" s="114">
        <f>tblAquisições[[#This Row],[VALOR UNITARIO COMPRADO]]*tblAquisições[[#This Row],[QUANTIDADE COMPRADA]]</f>
        <v>0</v>
      </c>
      <c r="N4108" s="110">
        <f>K4108-tblAquisições[[#This Row],[QUANTIDADE PLANEJADA]]</f>
        <v>-2</v>
      </c>
      <c r="O4108" s="106" t="str">
        <f t="shared" si="129"/>
        <v>Faltando Comprar</v>
      </c>
    </row>
    <row r="4109" spans="1:15" ht="63">
      <c r="A4109" s="16" t="s">
        <v>17</v>
      </c>
      <c r="B4109" s="16" t="s">
        <v>18</v>
      </c>
      <c r="C4109" s="17" t="s">
        <v>19</v>
      </c>
      <c r="D4109" s="18" t="s">
        <v>2298</v>
      </c>
      <c r="E4109" s="18">
        <v>2</v>
      </c>
      <c r="F4109" s="18" t="s">
        <v>126</v>
      </c>
      <c r="G4109" s="18" t="s">
        <v>127</v>
      </c>
      <c r="H4109" s="18" t="s">
        <v>23</v>
      </c>
      <c r="I4109" s="19">
        <v>13005.91</v>
      </c>
      <c r="J4109" s="20">
        <f t="shared" si="128"/>
        <v>26011.82</v>
      </c>
      <c r="K4109" s="106"/>
      <c r="L4109" s="114"/>
      <c r="M4109" s="114">
        <f>tblAquisições[[#This Row],[VALOR UNITARIO COMPRADO]]*tblAquisições[[#This Row],[QUANTIDADE COMPRADA]]</f>
        <v>0</v>
      </c>
      <c r="N4109" s="110">
        <f>K4109-tblAquisições[[#This Row],[QUANTIDADE PLANEJADA]]</f>
        <v>-2</v>
      </c>
      <c r="O4109" s="106" t="str">
        <f t="shared" si="129"/>
        <v>Faltando Comprar</v>
      </c>
    </row>
    <row r="4110" spans="1:15" ht="63">
      <c r="A4110" s="16" t="s">
        <v>17</v>
      </c>
      <c r="B4110" s="16" t="s">
        <v>24</v>
      </c>
      <c r="C4110" s="17" t="s">
        <v>19</v>
      </c>
      <c r="D4110" s="18" t="s">
        <v>2298</v>
      </c>
      <c r="E4110" s="18">
        <v>2</v>
      </c>
      <c r="F4110" s="18" t="s">
        <v>126</v>
      </c>
      <c r="G4110" s="18" t="s">
        <v>127</v>
      </c>
      <c r="H4110" s="18" t="s">
        <v>23</v>
      </c>
      <c r="I4110" s="19">
        <v>13005.91</v>
      </c>
      <c r="J4110" s="20">
        <f t="shared" si="128"/>
        <v>26011.82</v>
      </c>
      <c r="K4110" s="106"/>
      <c r="L4110" s="114"/>
      <c r="M4110" s="114">
        <f>tblAquisições[[#This Row],[VALOR UNITARIO COMPRADO]]*tblAquisições[[#This Row],[QUANTIDADE COMPRADA]]</f>
        <v>0</v>
      </c>
      <c r="N4110" s="110">
        <f>K4110-tblAquisições[[#This Row],[QUANTIDADE PLANEJADA]]</f>
        <v>-2</v>
      </c>
      <c r="O4110" s="106" t="str">
        <f t="shared" si="129"/>
        <v>Faltando Comprar</v>
      </c>
    </row>
    <row r="4111" spans="1:15" ht="63">
      <c r="A4111" s="16" t="s">
        <v>17</v>
      </c>
      <c r="B4111" s="16" t="s">
        <v>25</v>
      </c>
      <c r="C4111" s="17" t="s">
        <v>19</v>
      </c>
      <c r="D4111" s="18" t="s">
        <v>2298</v>
      </c>
      <c r="E4111" s="18">
        <v>2</v>
      </c>
      <c r="F4111" s="18" t="s">
        <v>126</v>
      </c>
      <c r="G4111" s="18" t="s">
        <v>127</v>
      </c>
      <c r="H4111" s="18" t="s">
        <v>23</v>
      </c>
      <c r="I4111" s="19">
        <v>13005.91</v>
      </c>
      <c r="J4111" s="20">
        <f t="shared" si="128"/>
        <v>26011.82</v>
      </c>
      <c r="K4111" s="106"/>
      <c r="L4111" s="114"/>
      <c r="M4111" s="114">
        <f>tblAquisições[[#This Row],[VALOR UNITARIO COMPRADO]]*tblAquisições[[#This Row],[QUANTIDADE COMPRADA]]</f>
        <v>0</v>
      </c>
      <c r="N4111" s="110">
        <f>K4111-tblAquisições[[#This Row],[QUANTIDADE PLANEJADA]]</f>
        <v>-2</v>
      </c>
      <c r="O4111" s="106" t="str">
        <f t="shared" si="129"/>
        <v>Faltando Comprar</v>
      </c>
    </row>
    <row r="4112" spans="1:15" ht="63">
      <c r="A4112" s="16" t="s">
        <v>17</v>
      </c>
      <c r="B4112" s="16" t="s">
        <v>26</v>
      </c>
      <c r="C4112" s="17" t="s">
        <v>19</v>
      </c>
      <c r="D4112" s="18" t="s">
        <v>2299</v>
      </c>
      <c r="E4112" s="18">
        <v>1</v>
      </c>
      <c r="F4112" s="18" t="s">
        <v>126</v>
      </c>
      <c r="G4112" s="18" t="s">
        <v>127</v>
      </c>
      <c r="H4112" s="18" t="s">
        <v>23</v>
      </c>
      <c r="I4112" s="19">
        <v>21697.200000000001</v>
      </c>
      <c r="J4112" s="20">
        <f t="shared" si="128"/>
        <v>21697.200000000001</v>
      </c>
      <c r="K4112" s="106"/>
      <c r="L4112" s="114"/>
      <c r="M4112" s="114">
        <f>tblAquisições[[#This Row],[VALOR UNITARIO COMPRADO]]*tblAquisições[[#This Row],[QUANTIDADE COMPRADA]]</f>
        <v>0</v>
      </c>
      <c r="N4112" s="110">
        <f>K4112-tblAquisições[[#This Row],[QUANTIDADE PLANEJADA]]</f>
        <v>-1</v>
      </c>
      <c r="O4112" s="106" t="str">
        <f t="shared" si="129"/>
        <v>Faltando Comprar</v>
      </c>
    </row>
    <row r="4113" spans="1:15" ht="63">
      <c r="A4113" s="16" t="s">
        <v>17</v>
      </c>
      <c r="B4113" s="16" t="s">
        <v>26</v>
      </c>
      <c r="C4113" s="17" t="s">
        <v>19</v>
      </c>
      <c r="D4113" s="18" t="s">
        <v>2300</v>
      </c>
      <c r="E4113" s="18">
        <v>2</v>
      </c>
      <c r="F4113" s="18" t="s">
        <v>126</v>
      </c>
      <c r="G4113" s="18" t="s">
        <v>127</v>
      </c>
      <c r="H4113" s="18" t="s">
        <v>23</v>
      </c>
      <c r="I4113" s="19">
        <v>28078.81</v>
      </c>
      <c r="J4113" s="20">
        <f t="shared" si="128"/>
        <v>56157.62</v>
      </c>
      <c r="K4113" s="106"/>
      <c r="L4113" s="114"/>
      <c r="M4113" s="114">
        <f>tblAquisições[[#This Row],[VALOR UNITARIO COMPRADO]]*tblAquisições[[#This Row],[QUANTIDADE COMPRADA]]</f>
        <v>0</v>
      </c>
      <c r="N4113" s="110">
        <f>K4113-tblAquisições[[#This Row],[QUANTIDADE PLANEJADA]]</f>
        <v>-2</v>
      </c>
      <c r="O4113" s="106" t="str">
        <f t="shared" si="129"/>
        <v>Faltando Comprar</v>
      </c>
    </row>
    <row r="4114" spans="1:15" ht="63">
      <c r="A4114" s="16" t="s">
        <v>17</v>
      </c>
      <c r="B4114" s="16" t="s">
        <v>18</v>
      </c>
      <c r="C4114" s="17" t="s">
        <v>19</v>
      </c>
      <c r="D4114" s="18" t="s">
        <v>2301</v>
      </c>
      <c r="E4114" s="18">
        <v>2</v>
      </c>
      <c r="F4114" s="18" t="s">
        <v>126</v>
      </c>
      <c r="G4114" s="18" t="s">
        <v>127</v>
      </c>
      <c r="H4114" s="18" t="s">
        <v>23</v>
      </c>
      <c r="I4114" s="19">
        <v>24322.5</v>
      </c>
      <c r="J4114" s="20">
        <f t="shared" si="128"/>
        <v>48645</v>
      </c>
      <c r="K4114" s="106"/>
      <c r="L4114" s="114"/>
      <c r="M4114" s="114">
        <f>tblAquisições[[#This Row],[VALOR UNITARIO COMPRADO]]*tblAquisições[[#This Row],[QUANTIDADE COMPRADA]]</f>
        <v>0</v>
      </c>
      <c r="N4114" s="110">
        <f>K4114-tblAquisições[[#This Row],[QUANTIDADE PLANEJADA]]</f>
        <v>-2</v>
      </c>
      <c r="O4114" s="106" t="str">
        <f t="shared" si="129"/>
        <v>Faltando Comprar</v>
      </c>
    </row>
    <row r="4115" spans="1:15" ht="63">
      <c r="A4115" s="16" t="s">
        <v>17</v>
      </c>
      <c r="B4115" s="16" t="s">
        <v>24</v>
      </c>
      <c r="C4115" s="17" t="s">
        <v>19</v>
      </c>
      <c r="D4115" s="18" t="s">
        <v>2301</v>
      </c>
      <c r="E4115" s="18">
        <v>2</v>
      </c>
      <c r="F4115" s="18" t="s">
        <v>126</v>
      </c>
      <c r="G4115" s="18" t="s">
        <v>127</v>
      </c>
      <c r="H4115" s="18" t="s">
        <v>23</v>
      </c>
      <c r="I4115" s="19">
        <v>24322.5</v>
      </c>
      <c r="J4115" s="20">
        <f t="shared" si="128"/>
        <v>48645</v>
      </c>
      <c r="K4115" s="106"/>
      <c r="L4115" s="114"/>
      <c r="M4115" s="114">
        <f>tblAquisições[[#This Row],[VALOR UNITARIO COMPRADO]]*tblAquisições[[#This Row],[QUANTIDADE COMPRADA]]</f>
        <v>0</v>
      </c>
      <c r="N4115" s="110">
        <f>K4115-tblAquisições[[#This Row],[QUANTIDADE PLANEJADA]]</f>
        <v>-2</v>
      </c>
      <c r="O4115" s="106" t="str">
        <f t="shared" si="129"/>
        <v>Faltando Comprar</v>
      </c>
    </row>
    <row r="4116" spans="1:15" ht="63">
      <c r="A4116" s="16" t="s">
        <v>17</v>
      </c>
      <c r="B4116" s="16" t="s">
        <v>25</v>
      </c>
      <c r="C4116" s="17" t="s">
        <v>19</v>
      </c>
      <c r="D4116" s="18" t="s">
        <v>2301</v>
      </c>
      <c r="E4116" s="18">
        <v>2</v>
      </c>
      <c r="F4116" s="18" t="s">
        <v>126</v>
      </c>
      <c r="G4116" s="18" t="s">
        <v>127</v>
      </c>
      <c r="H4116" s="18" t="s">
        <v>23</v>
      </c>
      <c r="I4116" s="19">
        <v>24322.5</v>
      </c>
      <c r="J4116" s="20">
        <f t="shared" si="128"/>
        <v>48645</v>
      </c>
      <c r="K4116" s="106"/>
      <c r="L4116" s="114"/>
      <c r="M4116" s="114">
        <f>tblAquisições[[#This Row],[VALOR UNITARIO COMPRADO]]*tblAquisições[[#This Row],[QUANTIDADE COMPRADA]]</f>
        <v>0</v>
      </c>
      <c r="N4116" s="110">
        <f>K4116-tblAquisições[[#This Row],[QUANTIDADE PLANEJADA]]</f>
        <v>-2</v>
      </c>
      <c r="O4116" s="106" t="str">
        <f t="shared" si="129"/>
        <v>Faltando Comprar</v>
      </c>
    </row>
    <row r="4117" spans="1:15" ht="31.5">
      <c r="A4117" s="16" t="s">
        <v>17</v>
      </c>
      <c r="B4117" s="16" t="s">
        <v>959</v>
      </c>
      <c r="C4117" s="17" t="s">
        <v>19</v>
      </c>
      <c r="D4117" s="18" t="s">
        <v>2302</v>
      </c>
      <c r="E4117" s="18">
        <v>5</v>
      </c>
      <c r="F4117" s="18" t="s">
        <v>56</v>
      </c>
      <c r="G4117" s="18" t="s">
        <v>39</v>
      </c>
      <c r="H4117" s="18" t="s">
        <v>23</v>
      </c>
      <c r="I4117" s="19">
        <v>241.81</v>
      </c>
      <c r="J4117" s="20">
        <f t="shared" si="128"/>
        <v>1209.05</v>
      </c>
      <c r="K4117" s="106"/>
      <c r="L4117" s="114"/>
      <c r="M4117" s="114">
        <f>tblAquisições[[#This Row],[VALOR UNITARIO COMPRADO]]*tblAquisições[[#This Row],[QUANTIDADE COMPRADA]]</f>
        <v>0</v>
      </c>
      <c r="N4117" s="110">
        <f>K4117-tblAquisições[[#This Row],[QUANTIDADE PLANEJADA]]</f>
        <v>-5</v>
      </c>
      <c r="O4117" s="106" t="str">
        <f t="shared" si="129"/>
        <v>Faltando Comprar</v>
      </c>
    </row>
    <row r="4118" spans="1:15" ht="31.5">
      <c r="A4118" s="16" t="s">
        <v>17</v>
      </c>
      <c r="B4118" s="16" t="s">
        <v>26</v>
      </c>
      <c r="C4118" s="17" t="s">
        <v>19</v>
      </c>
      <c r="D4118" s="18" t="s">
        <v>2303</v>
      </c>
      <c r="E4118" s="18">
        <v>3</v>
      </c>
      <c r="F4118" s="18" t="s">
        <v>170</v>
      </c>
      <c r="G4118" s="18" t="s">
        <v>22</v>
      </c>
      <c r="H4118" s="18" t="s">
        <v>23</v>
      </c>
      <c r="I4118" s="19">
        <v>241.81</v>
      </c>
      <c r="J4118" s="20">
        <f t="shared" si="128"/>
        <v>725.43000000000006</v>
      </c>
      <c r="K4118" s="106"/>
      <c r="L4118" s="114"/>
      <c r="M4118" s="114">
        <f>tblAquisições[[#This Row],[VALOR UNITARIO COMPRADO]]*tblAquisições[[#This Row],[QUANTIDADE COMPRADA]]</f>
        <v>0</v>
      </c>
      <c r="N4118" s="110">
        <f>K4118-tblAquisições[[#This Row],[QUANTIDADE PLANEJADA]]</f>
        <v>-3</v>
      </c>
      <c r="O4118" s="106" t="str">
        <f t="shared" si="129"/>
        <v>Faltando Comprar</v>
      </c>
    </row>
    <row r="4119" spans="1:15" ht="47.25">
      <c r="A4119" s="16" t="s">
        <v>17</v>
      </c>
      <c r="B4119" s="16" t="s">
        <v>80</v>
      </c>
      <c r="C4119" s="17" t="s">
        <v>19</v>
      </c>
      <c r="D4119" s="18" t="s">
        <v>2304</v>
      </c>
      <c r="E4119" s="18">
        <v>2</v>
      </c>
      <c r="F4119" s="18" t="s">
        <v>147</v>
      </c>
      <c r="G4119" s="18" t="s">
        <v>39</v>
      </c>
      <c r="H4119" s="21"/>
      <c r="I4119" s="19">
        <v>262.97000000000003</v>
      </c>
      <c r="J4119" s="20">
        <f t="shared" si="128"/>
        <v>525.94000000000005</v>
      </c>
      <c r="K4119" s="106"/>
      <c r="L4119" s="114"/>
      <c r="M4119" s="114">
        <f>tblAquisições[[#This Row],[VALOR UNITARIO COMPRADO]]*tblAquisições[[#This Row],[QUANTIDADE COMPRADA]]</f>
        <v>0</v>
      </c>
      <c r="N4119" s="110">
        <f>K4119-tblAquisições[[#This Row],[QUANTIDADE PLANEJADA]]</f>
        <v>-2</v>
      </c>
      <c r="O4119" s="106" t="str">
        <f t="shared" si="129"/>
        <v>Faltando Comprar</v>
      </c>
    </row>
    <row r="4120" spans="1:15" ht="31.5">
      <c r="A4120" s="16" t="s">
        <v>17</v>
      </c>
      <c r="B4120" s="16" t="s">
        <v>26</v>
      </c>
      <c r="C4120" s="17" t="s">
        <v>19</v>
      </c>
      <c r="D4120" s="18" t="s">
        <v>2305</v>
      </c>
      <c r="E4120" s="18">
        <v>8</v>
      </c>
      <c r="F4120" s="18" t="s">
        <v>30</v>
      </c>
      <c r="G4120" s="18" t="s">
        <v>22</v>
      </c>
      <c r="H4120" s="18" t="s">
        <v>23</v>
      </c>
      <c r="I4120" s="19">
        <v>130</v>
      </c>
      <c r="J4120" s="20">
        <f t="shared" si="128"/>
        <v>1040</v>
      </c>
      <c r="K4120" s="106"/>
      <c r="L4120" s="114"/>
      <c r="M4120" s="114">
        <f>tblAquisições[[#This Row],[VALOR UNITARIO COMPRADO]]*tblAquisições[[#This Row],[QUANTIDADE COMPRADA]]</f>
        <v>0</v>
      </c>
      <c r="N4120" s="110">
        <f>K4120-tblAquisições[[#This Row],[QUANTIDADE PLANEJADA]]</f>
        <v>-8</v>
      </c>
      <c r="O4120" s="106" t="str">
        <f t="shared" si="129"/>
        <v>Faltando Comprar</v>
      </c>
    </row>
    <row r="4121" spans="1:15" ht="31.5">
      <c r="A4121" s="16" t="s">
        <v>17</v>
      </c>
      <c r="B4121" s="16" t="s">
        <v>80</v>
      </c>
      <c r="C4121" s="17" t="s">
        <v>19</v>
      </c>
      <c r="D4121" s="18" t="s">
        <v>2306</v>
      </c>
      <c r="E4121" s="18">
        <v>3</v>
      </c>
      <c r="F4121" s="18" t="s">
        <v>82</v>
      </c>
      <c r="G4121" s="18" t="s">
        <v>39</v>
      </c>
      <c r="H4121" s="21"/>
      <c r="I4121" s="19">
        <v>1063.29</v>
      </c>
      <c r="J4121" s="20">
        <f t="shared" si="128"/>
        <v>3189.87</v>
      </c>
      <c r="K4121" s="106"/>
      <c r="L4121" s="114"/>
      <c r="M4121" s="114">
        <f>tblAquisições[[#This Row],[VALOR UNITARIO COMPRADO]]*tblAquisições[[#This Row],[QUANTIDADE COMPRADA]]</f>
        <v>0</v>
      </c>
      <c r="N4121" s="110">
        <f>K4121-tblAquisições[[#This Row],[QUANTIDADE PLANEJADA]]</f>
        <v>-3</v>
      </c>
      <c r="O4121" s="106" t="str">
        <f t="shared" si="129"/>
        <v>Faltando Comprar</v>
      </c>
    </row>
    <row r="4122" spans="1:15" ht="31.5">
      <c r="A4122" s="16" t="s">
        <v>17</v>
      </c>
      <c r="B4122" s="16" t="s">
        <v>26</v>
      </c>
      <c r="C4122" s="17" t="s">
        <v>19</v>
      </c>
      <c r="D4122" s="18" t="s">
        <v>2307</v>
      </c>
      <c r="E4122" s="18">
        <v>40</v>
      </c>
      <c r="F4122" s="18" t="s">
        <v>30</v>
      </c>
      <c r="G4122" s="18" t="s">
        <v>22</v>
      </c>
      <c r="H4122" s="18" t="s">
        <v>23</v>
      </c>
      <c r="I4122" s="19">
        <v>1063.29</v>
      </c>
      <c r="J4122" s="20">
        <f t="shared" si="128"/>
        <v>42531.6</v>
      </c>
      <c r="K4122" s="106"/>
      <c r="L4122" s="114"/>
      <c r="M4122" s="114">
        <f>tblAquisições[[#This Row],[VALOR UNITARIO COMPRADO]]*tblAquisições[[#This Row],[QUANTIDADE COMPRADA]]</f>
        <v>0</v>
      </c>
      <c r="N4122" s="110">
        <f>K4122-tblAquisições[[#This Row],[QUANTIDADE PLANEJADA]]</f>
        <v>-40</v>
      </c>
      <c r="O4122" s="106" t="str">
        <f t="shared" si="129"/>
        <v>Faltando Comprar</v>
      </c>
    </row>
    <row r="4123" spans="1:15" ht="47.25">
      <c r="A4123" s="16" t="s">
        <v>17</v>
      </c>
      <c r="B4123" s="16" t="s">
        <v>80</v>
      </c>
      <c r="C4123" s="17" t="s">
        <v>19</v>
      </c>
      <c r="D4123" s="18" t="s">
        <v>2308</v>
      </c>
      <c r="E4123" s="18">
        <v>200</v>
      </c>
      <c r="F4123" s="18" t="s">
        <v>191</v>
      </c>
      <c r="G4123" s="18" t="s">
        <v>39</v>
      </c>
      <c r="H4123" s="18" t="s">
        <v>23</v>
      </c>
      <c r="I4123" s="19">
        <v>22.75</v>
      </c>
      <c r="J4123" s="20">
        <f t="shared" si="128"/>
        <v>4550</v>
      </c>
      <c r="K4123" s="106"/>
      <c r="L4123" s="114"/>
      <c r="M4123" s="114">
        <f>tblAquisições[[#This Row],[VALOR UNITARIO COMPRADO]]*tblAquisições[[#This Row],[QUANTIDADE COMPRADA]]</f>
        <v>0</v>
      </c>
      <c r="N4123" s="110">
        <f>K4123-tblAquisições[[#This Row],[QUANTIDADE PLANEJADA]]</f>
        <v>-200</v>
      </c>
      <c r="O4123" s="106" t="str">
        <f t="shared" si="129"/>
        <v>Faltando Comprar</v>
      </c>
    </row>
    <row r="4124" spans="1:15" ht="47.25">
      <c r="A4124" s="16" t="s">
        <v>17</v>
      </c>
      <c r="B4124" s="16" t="s">
        <v>80</v>
      </c>
      <c r="C4124" s="17" t="s">
        <v>19</v>
      </c>
      <c r="D4124" s="18" t="s">
        <v>2309</v>
      </c>
      <c r="E4124" s="18">
        <v>4</v>
      </c>
      <c r="F4124" s="18" t="s">
        <v>147</v>
      </c>
      <c r="G4124" s="18" t="s">
        <v>39</v>
      </c>
      <c r="H4124" s="21"/>
      <c r="I4124" s="19">
        <v>15.57</v>
      </c>
      <c r="J4124" s="20">
        <f t="shared" si="128"/>
        <v>62.28</v>
      </c>
      <c r="K4124" s="106"/>
      <c r="L4124" s="114"/>
      <c r="M4124" s="114">
        <f>tblAquisições[[#This Row],[VALOR UNITARIO COMPRADO]]*tblAquisições[[#This Row],[QUANTIDADE COMPRADA]]</f>
        <v>0</v>
      </c>
      <c r="N4124" s="110">
        <f>K4124-tblAquisições[[#This Row],[QUANTIDADE PLANEJADA]]</f>
        <v>-4</v>
      </c>
      <c r="O4124" s="106" t="str">
        <f t="shared" si="129"/>
        <v>Faltando Comprar</v>
      </c>
    </row>
    <row r="4125" spans="1:15" ht="47.25">
      <c r="A4125" s="16" t="s">
        <v>17</v>
      </c>
      <c r="B4125" s="16" t="s">
        <v>28</v>
      </c>
      <c r="C4125" s="17" t="s">
        <v>19</v>
      </c>
      <c r="D4125" s="18" t="s">
        <v>2310</v>
      </c>
      <c r="E4125" s="18">
        <v>2</v>
      </c>
      <c r="F4125" s="18" t="s">
        <v>78</v>
      </c>
      <c r="G4125" s="18" t="s">
        <v>22</v>
      </c>
      <c r="H4125" s="22"/>
      <c r="I4125" s="19">
        <v>15.57</v>
      </c>
      <c r="J4125" s="20">
        <f t="shared" si="128"/>
        <v>31.14</v>
      </c>
      <c r="K4125" s="106"/>
      <c r="L4125" s="114"/>
      <c r="M4125" s="114">
        <f>tblAquisições[[#This Row],[VALOR UNITARIO COMPRADO]]*tblAquisições[[#This Row],[QUANTIDADE COMPRADA]]</f>
        <v>0</v>
      </c>
      <c r="N4125" s="110">
        <f>K4125-tblAquisições[[#This Row],[QUANTIDADE PLANEJADA]]</f>
        <v>-2</v>
      </c>
      <c r="O4125" s="106" t="str">
        <f t="shared" si="129"/>
        <v>Faltando Comprar</v>
      </c>
    </row>
    <row r="4126" spans="1:15" ht="31.5">
      <c r="A4126" s="16" t="s">
        <v>17</v>
      </c>
      <c r="B4126" s="16" t="s">
        <v>80</v>
      </c>
      <c r="C4126" s="17" t="s">
        <v>19</v>
      </c>
      <c r="D4126" s="18" t="s">
        <v>2311</v>
      </c>
      <c r="E4126" s="18">
        <v>5</v>
      </c>
      <c r="F4126" s="18" t="s">
        <v>82</v>
      </c>
      <c r="G4126" s="18" t="s">
        <v>39</v>
      </c>
      <c r="H4126" s="21"/>
      <c r="I4126" s="19">
        <v>298.89</v>
      </c>
      <c r="J4126" s="20">
        <f t="shared" si="128"/>
        <v>1494.4499999999998</v>
      </c>
      <c r="K4126" s="106"/>
      <c r="L4126" s="114"/>
      <c r="M4126" s="114">
        <f>tblAquisições[[#This Row],[VALOR UNITARIO COMPRADO]]*tblAquisições[[#This Row],[QUANTIDADE COMPRADA]]</f>
        <v>0</v>
      </c>
      <c r="N4126" s="110">
        <f>K4126-tblAquisições[[#This Row],[QUANTIDADE PLANEJADA]]</f>
        <v>-5</v>
      </c>
      <c r="O4126" s="106" t="str">
        <f t="shared" si="129"/>
        <v>Faltando Comprar</v>
      </c>
    </row>
    <row r="4127" spans="1:15" ht="31.5">
      <c r="A4127" s="16" t="s">
        <v>17</v>
      </c>
      <c r="B4127" s="16" t="s">
        <v>26</v>
      </c>
      <c r="C4127" s="17" t="s">
        <v>19</v>
      </c>
      <c r="D4127" s="18" t="s">
        <v>2312</v>
      </c>
      <c r="E4127" s="18">
        <v>15</v>
      </c>
      <c r="F4127" s="18" t="s">
        <v>30</v>
      </c>
      <c r="G4127" s="18" t="s">
        <v>22</v>
      </c>
      <c r="H4127" s="18" t="s">
        <v>23</v>
      </c>
      <c r="I4127" s="19">
        <v>298.89</v>
      </c>
      <c r="J4127" s="20">
        <f t="shared" si="128"/>
        <v>4483.3499999999995</v>
      </c>
      <c r="K4127" s="106"/>
      <c r="L4127" s="114"/>
      <c r="M4127" s="114">
        <f>tblAquisições[[#This Row],[VALOR UNITARIO COMPRADO]]*tblAquisições[[#This Row],[QUANTIDADE COMPRADA]]</f>
        <v>0</v>
      </c>
      <c r="N4127" s="110">
        <f>K4127-tblAquisições[[#This Row],[QUANTIDADE PLANEJADA]]</f>
        <v>-15</v>
      </c>
      <c r="O4127" s="106" t="str">
        <f t="shared" si="129"/>
        <v>Faltando Comprar</v>
      </c>
    </row>
    <row r="4128" spans="1:15" ht="31.5">
      <c r="A4128" s="16" t="s">
        <v>17</v>
      </c>
      <c r="B4128" s="16" t="s">
        <v>28</v>
      </c>
      <c r="C4128" s="17" t="s">
        <v>19</v>
      </c>
      <c r="D4128" s="18" t="s">
        <v>2313</v>
      </c>
      <c r="E4128" s="18">
        <v>20</v>
      </c>
      <c r="F4128" s="18" t="s">
        <v>328</v>
      </c>
      <c r="G4128" s="18" t="s">
        <v>22</v>
      </c>
      <c r="H4128" s="18" t="s">
        <v>23</v>
      </c>
      <c r="I4128" s="19">
        <v>72.8</v>
      </c>
      <c r="J4128" s="20">
        <f t="shared" si="128"/>
        <v>1456</v>
      </c>
      <c r="K4128" s="106"/>
      <c r="L4128" s="114"/>
      <c r="M4128" s="114">
        <f>tblAquisições[[#This Row],[VALOR UNITARIO COMPRADO]]*tblAquisições[[#This Row],[QUANTIDADE COMPRADA]]</f>
        <v>0</v>
      </c>
      <c r="N4128" s="110">
        <f>K4128-tblAquisições[[#This Row],[QUANTIDADE PLANEJADA]]</f>
        <v>-20</v>
      </c>
      <c r="O4128" s="106" t="str">
        <f t="shared" si="129"/>
        <v>Faltando Comprar</v>
      </c>
    </row>
    <row r="4129" spans="1:15" ht="47.25">
      <c r="A4129" s="16" t="s">
        <v>17</v>
      </c>
      <c r="B4129" s="16" t="s">
        <v>28</v>
      </c>
      <c r="C4129" s="17" t="s">
        <v>19</v>
      </c>
      <c r="D4129" s="18" t="s">
        <v>2314</v>
      </c>
      <c r="E4129" s="18">
        <v>25</v>
      </c>
      <c r="F4129" s="18" t="s">
        <v>78</v>
      </c>
      <c r="G4129" s="18" t="s">
        <v>22</v>
      </c>
      <c r="H4129" s="18" t="s">
        <v>23</v>
      </c>
      <c r="I4129" s="19">
        <v>45.01</v>
      </c>
      <c r="J4129" s="20">
        <f t="shared" si="128"/>
        <v>1125.25</v>
      </c>
      <c r="K4129" s="106"/>
      <c r="L4129" s="114"/>
      <c r="M4129" s="114">
        <f>tblAquisições[[#This Row],[VALOR UNITARIO COMPRADO]]*tblAquisições[[#This Row],[QUANTIDADE COMPRADA]]</f>
        <v>0</v>
      </c>
      <c r="N4129" s="110">
        <f>K4129-tblAquisições[[#This Row],[QUANTIDADE PLANEJADA]]</f>
        <v>-25</v>
      </c>
      <c r="O4129" s="106" t="str">
        <f t="shared" si="129"/>
        <v>Faltando Comprar</v>
      </c>
    </row>
    <row r="4130" spans="1:15" ht="47.25">
      <c r="A4130" s="16" t="s">
        <v>17</v>
      </c>
      <c r="B4130" s="16" t="s">
        <v>28</v>
      </c>
      <c r="C4130" s="17" t="s">
        <v>19</v>
      </c>
      <c r="D4130" s="18" t="s">
        <v>2315</v>
      </c>
      <c r="E4130" s="18">
        <v>20</v>
      </c>
      <c r="F4130" s="18" t="s">
        <v>78</v>
      </c>
      <c r="G4130" s="18" t="s">
        <v>22</v>
      </c>
      <c r="H4130" s="18" t="s">
        <v>23</v>
      </c>
      <c r="I4130" s="19">
        <v>22.05</v>
      </c>
      <c r="J4130" s="20">
        <f t="shared" si="128"/>
        <v>441</v>
      </c>
      <c r="K4130" s="106"/>
      <c r="L4130" s="114"/>
      <c r="M4130" s="114">
        <f>tblAquisições[[#This Row],[VALOR UNITARIO COMPRADO]]*tblAquisições[[#This Row],[QUANTIDADE COMPRADA]]</f>
        <v>0</v>
      </c>
      <c r="N4130" s="110">
        <f>K4130-tblAquisições[[#This Row],[QUANTIDADE PLANEJADA]]</f>
        <v>-20</v>
      </c>
      <c r="O4130" s="106" t="str">
        <f t="shared" si="129"/>
        <v>Faltando Comprar</v>
      </c>
    </row>
    <row r="4131" spans="1:15" ht="47.25">
      <c r="A4131" s="16" t="s">
        <v>17</v>
      </c>
      <c r="B4131" s="16" t="s">
        <v>28</v>
      </c>
      <c r="C4131" s="17" t="s">
        <v>19</v>
      </c>
      <c r="D4131" s="18" t="s">
        <v>2316</v>
      </c>
      <c r="E4131" s="18">
        <v>25</v>
      </c>
      <c r="F4131" s="18" t="s">
        <v>78</v>
      </c>
      <c r="G4131" s="18" t="s">
        <v>22</v>
      </c>
      <c r="H4131" s="18" t="s">
        <v>23</v>
      </c>
      <c r="I4131" s="19">
        <v>22.86</v>
      </c>
      <c r="J4131" s="20">
        <f t="shared" si="128"/>
        <v>571.5</v>
      </c>
      <c r="K4131" s="106"/>
      <c r="L4131" s="114"/>
      <c r="M4131" s="114">
        <f>tblAquisições[[#This Row],[VALOR UNITARIO COMPRADO]]*tblAquisições[[#This Row],[QUANTIDADE COMPRADA]]</f>
        <v>0</v>
      </c>
      <c r="N4131" s="110">
        <f>K4131-tblAquisições[[#This Row],[QUANTIDADE PLANEJADA]]</f>
        <v>-25</v>
      </c>
      <c r="O4131" s="106" t="str">
        <f t="shared" si="129"/>
        <v>Faltando Comprar</v>
      </c>
    </row>
    <row r="4132" spans="1:15" ht="31.5">
      <c r="A4132" s="16" t="s">
        <v>17</v>
      </c>
      <c r="B4132" s="16" t="s">
        <v>31</v>
      </c>
      <c r="C4132" s="17" t="s">
        <v>19</v>
      </c>
      <c r="D4132" s="18" t="s">
        <v>2317</v>
      </c>
      <c r="E4132" s="18">
        <v>5</v>
      </c>
      <c r="F4132" s="18" t="s">
        <v>328</v>
      </c>
      <c r="G4132" s="18" t="s">
        <v>22</v>
      </c>
      <c r="H4132" s="18" t="s">
        <v>23</v>
      </c>
      <c r="I4132" s="19">
        <v>38.69</v>
      </c>
      <c r="J4132" s="20">
        <f t="shared" si="128"/>
        <v>193.45</v>
      </c>
      <c r="K4132" s="106"/>
      <c r="L4132" s="114"/>
      <c r="M4132" s="114">
        <f>tblAquisições[[#This Row],[VALOR UNITARIO COMPRADO]]*tblAquisições[[#This Row],[QUANTIDADE COMPRADA]]</f>
        <v>0</v>
      </c>
      <c r="N4132" s="110">
        <f>K4132-tblAquisições[[#This Row],[QUANTIDADE PLANEJADA]]</f>
        <v>-5</v>
      </c>
      <c r="O4132" s="106" t="str">
        <f t="shared" si="129"/>
        <v>Faltando Comprar</v>
      </c>
    </row>
    <row r="4133" spans="1:15" ht="31.5">
      <c r="A4133" s="16" t="s">
        <v>17</v>
      </c>
      <c r="B4133" s="16" t="s">
        <v>28</v>
      </c>
      <c r="C4133" s="17" t="s">
        <v>19</v>
      </c>
      <c r="D4133" s="18" t="s">
        <v>2317</v>
      </c>
      <c r="E4133" s="18">
        <v>2</v>
      </c>
      <c r="F4133" s="18" t="s">
        <v>328</v>
      </c>
      <c r="G4133" s="18" t="s">
        <v>22</v>
      </c>
      <c r="H4133" s="18" t="s">
        <v>23</v>
      </c>
      <c r="I4133" s="19">
        <v>38.69</v>
      </c>
      <c r="J4133" s="20">
        <f t="shared" si="128"/>
        <v>77.38</v>
      </c>
      <c r="K4133" s="106"/>
      <c r="L4133" s="114"/>
      <c r="M4133" s="114">
        <f>tblAquisições[[#This Row],[VALOR UNITARIO COMPRADO]]*tblAquisições[[#This Row],[QUANTIDADE COMPRADA]]</f>
        <v>0</v>
      </c>
      <c r="N4133" s="110">
        <f>K4133-tblAquisições[[#This Row],[QUANTIDADE PLANEJADA]]</f>
        <v>-2</v>
      </c>
      <c r="O4133" s="106" t="str">
        <f t="shared" si="129"/>
        <v>Faltando Comprar</v>
      </c>
    </row>
    <row r="4134" spans="1:15" ht="47.25">
      <c r="A4134" s="16" t="s">
        <v>17</v>
      </c>
      <c r="B4134" s="16" t="s">
        <v>28</v>
      </c>
      <c r="C4134" s="17" t="s">
        <v>19</v>
      </c>
      <c r="D4134" s="18" t="s">
        <v>2318</v>
      </c>
      <c r="E4134" s="18">
        <v>10</v>
      </c>
      <c r="F4134" s="18" t="s">
        <v>78</v>
      </c>
      <c r="G4134" s="18" t="s">
        <v>22</v>
      </c>
      <c r="H4134" s="18" t="s">
        <v>23</v>
      </c>
      <c r="I4134" s="19">
        <v>33.42</v>
      </c>
      <c r="J4134" s="20">
        <f t="shared" si="128"/>
        <v>334.20000000000005</v>
      </c>
      <c r="K4134" s="106"/>
      <c r="L4134" s="114"/>
      <c r="M4134" s="114">
        <f>tblAquisições[[#This Row],[VALOR UNITARIO COMPRADO]]*tblAquisições[[#This Row],[QUANTIDADE COMPRADA]]</f>
        <v>0</v>
      </c>
      <c r="N4134" s="110">
        <f>K4134-tblAquisições[[#This Row],[QUANTIDADE PLANEJADA]]</f>
        <v>-10</v>
      </c>
      <c r="O4134" s="106" t="str">
        <f t="shared" si="129"/>
        <v>Faltando Comprar</v>
      </c>
    </row>
    <row r="4135" spans="1:15" ht="47.25">
      <c r="A4135" s="16" t="s">
        <v>17</v>
      </c>
      <c r="B4135" s="16" t="s">
        <v>80</v>
      </c>
      <c r="C4135" s="17" t="s">
        <v>19</v>
      </c>
      <c r="D4135" s="18" t="s">
        <v>2319</v>
      </c>
      <c r="E4135" s="18">
        <v>60</v>
      </c>
      <c r="F4135" s="18" t="s">
        <v>191</v>
      </c>
      <c r="G4135" s="18" t="s">
        <v>39</v>
      </c>
      <c r="H4135" s="18" t="s">
        <v>23</v>
      </c>
      <c r="I4135" s="19">
        <v>5.46</v>
      </c>
      <c r="J4135" s="20">
        <f t="shared" si="128"/>
        <v>327.60000000000002</v>
      </c>
      <c r="K4135" s="106"/>
      <c r="L4135" s="114"/>
      <c r="M4135" s="114">
        <f>tblAquisições[[#This Row],[VALOR UNITARIO COMPRADO]]*tblAquisições[[#This Row],[QUANTIDADE COMPRADA]]</f>
        <v>0</v>
      </c>
      <c r="N4135" s="110">
        <f>K4135-tblAquisições[[#This Row],[QUANTIDADE PLANEJADA]]</f>
        <v>-60</v>
      </c>
      <c r="O4135" s="106" t="str">
        <f t="shared" si="129"/>
        <v>Faltando Comprar</v>
      </c>
    </row>
    <row r="4136" spans="1:15" ht="47.25">
      <c r="A4136" s="16" t="s">
        <v>17</v>
      </c>
      <c r="B4136" s="16" t="s">
        <v>28</v>
      </c>
      <c r="C4136" s="17" t="s">
        <v>19</v>
      </c>
      <c r="D4136" s="18" t="s">
        <v>2320</v>
      </c>
      <c r="E4136" s="18">
        <v>25</v>
      </c>
      <c r="F4136" s="18" t="s">
        <v>78</v>
      </c>
      <c r="G4136" s="18" t="s">
        <v>22</v>
      </c>
      <c r="H4136" s="18" t="s">
        <v>23</v>
      </c>
      <c r="I4136" s="19">
        <v>18.86</v>
      </c>
      <c r="J4136" s="20">
        <f t="shared" si="128"/>
        <v>471.5</v>
      </c>
      <c r="K4136" s="106"/>
      <c r="L4136" s="114"/>
      <c r="M4136" s="114">
        <f>tblAquisições[[#This Row],[VALOR UNITARIO COMPRADO]]*tblAquisições[[#This Row],[QUANTIDADE COMPRADA]]</f>
        <v>0</v>
      </c>
      <c r="N4136" s="110">
        <f>K4136-tblAquisições[[#This Row],[QUANTIDADE PLANEJADA]]</f>
        <v>-25</v>
      </c>
      <c r="O4136" s="106" t="str">
        <f t="shared" si="129"/>
        <v>Faltando Comprar</v>
      </c>
    </row>
    <row r="4137" spans="1:15" ht="47.25">
      <c r="A4137" s="16" t="s">
        <v>17</v>
      </c>
      <c r="B4137" s="16" t="s">
        <v>26</v>
      </c>
      <c r="C4137" s="17" t="s">
        <v>19</v>
      </c>
      <c r="D4137" s="18" t="s">
        <v>2321</v>
      </c>
      <c r="E4137" s="18">
        <v>3</v>
      </c>
      <c r="F4137" s="18" t="s">
        <v>78</v>
      </c>
      <c r="G4137" s="18" t="s">
        <v>22</v>
      </c>
      <c r="H4137" s="18" t="s">
        <v>23</v>
      </c>
      <c r="I4137" s="19">
        <v>22.29</v>
      </c>
      <c r="J4137" s="20">
        <f t="shared" si="128"/>
        <v>66.87</v>
      </c>
      <c r="K4137" s="106"/>
      <c r="L4137" s="114"/>
      <c r="M4137" s="114">
        <f>tblAquisições[[#This Row],[VALOR UNITARIO COMPRADO]]*tblAquisições[[#This Row],[QUANTIDADE COMPRADA]]</f>
        <v>0</v>
      </c>
      <c r="N4137" s="110">
        <f>K4137-tblAquisições[[#This Row],[QUANTIDADE PLANEJADA]]</f>
        <v>-3</v>
      </c>
      <c r="O4137" s="106" t="str">
        <f t="shared" si="129"/>
        <v>Faltando Comprar</v>
      </c>
    </row>
    <row r="4138" spans="1:15" ht="47.25">
      <c r="A4138" s="16" t="s">
        <v>17</v>
      </c>
      <c r="B4138" s="16" t="s">
        <v>80</v>
      </c>
      <c r="C4138" s="17" t="s">
        <v>19</v>
      </c>
      <c r="D4138" s="18" t="s">
        <v>2322</v>
      </c>
      <c r="E4138" s="18">
        <v>40</v>
      </c>
      <c r="F4138" s="18" t="s">
        <v>191</v>
      </c>
      <c r="G4138" s="18" t="s">
        <v>39</v>
      </c>
      <c r="H4138" s="18" t="s">
        <v>23</v>
      </c>
      <c r="I4138" s="19">
        <v>2.65</v>
      </c>
      <c r="J4138" s="20">
        <f t="shared" si="128"/>
        <v>106</v>
      </c>
      <c r="K4138" s="106"/>
      <c r="L4138" s="114"/>
      <c r="M4138" s="114">
        <f>tblAquisições[[#This Row],[VALOR UNITARIO COMPRADO]]*tblAquisições[[#This Row],[QUANTIDADE COMPRADA]]</f>
        <v>0</v>
      </c>
      <c r="N4138" s="110">
        <f>K4138-tblAquisições[[#This Row],[QUANTIDADE PLANEJADA]]</f>
        <v>-40</v>
      </c>
      <c r="O4138" s="106" t="str">
        <f t="shared" si="129"/>
        <v>Faltando Comprar</v>
      </c>
    </row>
    <row r="4139" spans="1:15" ht="47.25">
      <c r="A4139" s="16" t="s">
        <v>17</v>
      </c>
      <c r="B4139" s="16" t="s">
        <v>26</v>
      </c>
      <c r="C4139" s="17" t="s">
        <v>19</v>
      </c>
      <c r="D4139" s="18" t="s">
        <v>2323</v>
      </c>
      <c r="E4139" s="18">
        <v>80</v>
      </c>
      <c r="F4139" s="18" t="s">
        <v>239</v>
      </c>
      <c r="G4139" s="18" t="s">
        <v>22</v>
      </c>
      <c r="H4139" s="18" t="s">
        <v>23</v>
      </c>
      <c r="I4139" s="19">
        <v>2.65</v>
      </c>
      <c r="J4139" s="20">
        <f t="shared" si="128"/>
        <v>212</v>
      </c>
      <c r="K4139" s="106"/>
      <c r="L4139" s="114"/>
      <c r="M4139" s="114">
        <f>tblAquisições[[#This Row],[VALOR UNITARIO COMPRADO]]*tblAquisições[[#This Row],[QUANTIDADE COMPRADA]]</f>
        <v>0</v>
      </c>
      <c r="N4139" s="110">
        <f>K4139-tblAquisições[[#This Row],[QUANTIDADE PLANEJADA]]</f>
        <v>-80</v>
      </c>
      <c r="O4139" s="106" t="str">
        <f t="shared" si="129"/>
        <v>Faltando Comprar</v>
      </c>
    </row>
    <row r="4140" spans="1:15" ht="47.25">
      <c r="A4140" s="16" t="s">
        <v>17</v>
      </c>
      <c r="B4140" s="16" t="s">
        <v>28</v>
      </c>
      <c r="C4140" s="17" t="s">
        <v>19</v>
      </c>
      <c r="D4140" s="18" t="s">
        <v>2323</v>
      </c>
      <c r="E4140" s="18">
        <v>20</v>
      </c>
      <c r="F4140" s="18" t="s">
        <v>239</v>
      </c>
      <c r="G4140" s="18" t="s">
        <v>22</v>
      </c>
      <c r="H4140" s="18" t="s">
        <v>23</v>
      </c>
      <c r="I4140" s="19">
        <v>2.65</v>
      </c>
      <c r="J4140" s="20">
        <f t="shared" si="128"/>
        <v>53</v>
      </c>
      <c r="K4140" s="106"/>
      <c r="L4140" s="114"/>
      <c r="M4140" s="114">
        <f>tblAquisições[[#This Row],[VALOR UNITARIO COMPRADO]]*tblAquisições[[#This Row],[QUANTIDADE COMPRADA]]</f>
        <v>0</v>
      </c>
      <c r="N4140" s="110">
        <f>K4140-tblAquisições[[#This Row],[QUANTIDADE PLANEJADA]]</f>
        <v>-20</v>
      </c>
      <c r="O4140" s="106" t="str">
        <f t="shared" si="129"/>
        <v>Faltando Comprar</v>
      </c>
    </row>
    <row r="4141" spans="1:15" ht="47.25">
      <c r="A4141" s="16" t="s">
        <v>17</v>
      </c>
      <c r="B4141" s="16" t="s">
        <v>28</v>
      </c>
      <c r="C4141" s="17" t="s">
        <v>19</v>
      </c>
      <c r="D4141" s="18" t="s">
        <v>2324</v>
      </c>
      <c r="E4141" s="18">
        <v>3</v>
      </c>
      <c r="F4141" s="18" t="s">
        <v>78</v>
      </c>
      <c r="G4141" s="18" t="s">
        <v>22</v>
      </c>
      <c r="H4141" s="22"/>
      <c r="I4141" s="19">
        <v>132.85</v>
      </c>
      <c r="J4141" s="20">
        <f t="shared" si="128"/>
        <v>398.54999999999995</v>
      </c>
      <c r="K4141" s="106"/>
      <c r="L4141" s="114"/>
      <c r="M4141" s="114">
        <f>tblAquisições[[#This Row],[VALOR UNITARIO COMPRADO]]*tblAquisições[[#This Row],[QUANTIDADE COMPRADA]]</f>
        <v>0</v>
      </c>
      <c r="N4141" s="110">
        <f>K4141-tblAquisições[[#This Row],[QUANTIDADE PLANEJADA]]</f>
        <v>-3</v>
      </c>
      <c r="O4141" s="106" t="str">
        <f t="shared" si="129"/>
        <v>Faltando Comprar</v>
      </c>
    </row>
    <row r="4142" spans="1:15" ht="47.25">
      <c r="A4142" s="16" t="s">
        <v>17</v>
      </c>
      <c r="B4142" s="16" t="s">
        <v>28</v>
      </c>
      <c r="C4142" s="17" t="s">
        <v>19</v>
      </c>
      <c r="D4142" s="18" t="s">
        <v>2325</v>
      </c>
      <c r="E4142" s="18">
        <v>24</v>
      </c>
      <c r="F4142" s="18" t="s">
        <v>1455</v>
      </c>
      <c r="G4142" s="18" t="s">
        <v>127</v>
      </c>
      <c r="H4142" s="18" t="s">
        <v>23</v>
      </c>
      <c r="I4142" s="19">
        <v>4622.63</v>
      </c>
      <c r="J4142" s="20">
        <f t="shared" si="128"/>
        <v>110943.12</v>
      </c>
      <c r="K4142" s="106"/>
      <c r="L4142" s="114"/>
      <c r="M4142" s="114">
        <f>tblAquisições[[#This Row],[VALOR UNITARIO COMPRADO]]*tblAquisições[[#This Row],[QUANTIDADE COMPRADA]]</f>
        <v>0</v>
      </c>
      <c r="N4142" s="110">
        <f>K4142-tblAquisições[[#This Row],[QUANTIDADE PLANEJADA]]</f>
        <v>-24</v>
      </c>
      <c r="O4142" s="106" t="str">
        <f t="shared" si="129"/>
        <v>Faltando Comprar</v>
      </c>
    </row>
    <row r="4143" spans="1:15" ht="63">
      <c r="A4143" s="16" t="s">
        <v>17</v>
      </c>
      <c r="B4143" s="16" t="s">
        <v>31</v>
      </c>
      <c r="C4143" s="17" t="s">
        <v>19</v>
      </c>
      <c r="D4143" s="18" t="s">
        <v>2326</v>
      </c>
      <c r="E4143" s="18">
        <v>2</v>
      </c>
      <c r="F4143" s="18" t="s">
        <v>1455</v>
      </c>
      <c r="G4143" s="18" t="s">
        <v>127</v>
      </c>
      <c r="H4143" s="18" t="s">
        <v>23</v>
      </c>
      <c r="I4143" s="19">
        <v>3000</v>
      </c>
      <c r="J4143" s="20">
        <f t="shared" si="128"/>
        <v>6000</v>
      </c>
      <c r="K4143" s="106"/>
      <c r="L4143" s="114"/>
      <c r="M4143" s="114">
        <f>tblAquisições[[#This Row],[VALOR UNITARIO COMPRADO]]*tblAquisições[[#This Row],[QUANTIDADE COMPRADA]]</f>
        <v>0</v>
      </c>
      <c r="N4143" s="110">
        <f>K4143-tblAquisições[[#This Row],[QUANTIDADE PLANEJADA]]</f>
        <v>-2</v>
      </c>
      <c r="O4143" s="106" t="str">
        <f t="shared" si="129"/>
        <v>Faltando Comprar</v>
      </c>
    </row>
    <row r="4144" spans="1:15" ht="63">
      <c r="A4144" s="16" t="s">
        <v>17</v>
      </c>
      <c r="B4144" s="16" t="s">
        <v>18</v>
      </c>
      <c r="C4144" s="17" t="s">
        <v>19</v>
      </c>
      <c r="D4144" s="18" t="s">
        <v>2326</v>
      </c>
      <c r="E4144" s="18">
        <v>2</v>
      </c>
      <c r="F4144" s="18" t="s">
        <v>1455</v>
      </c>
      <c r="G4144" s="18" t="s">
        <v>127</v>
      </c>
      <c r="H4144" s="18" t="s">
        <v>23</v>
      </c>
      <c r="I4144" s="19">
        <v>3000</v>
      </c>
      <c r="J4144" s="20">
        <f t="shared" si="128"/>
        <v>6000</v>
      </c>
      <c r="K4144" s="106"/>
      <c r="L4144" s="114"/>
      <c r="M4144" s="114">
        <f>tblAquisições[[#This Row],[VALOR UNITARIO COMPRADO]]*tblAquisições[[#This Row],[QUANTIDADE COMPRADA]]</f>
        <v>0</v>
      </c>
      <c r="N4144" s="110">
        <f>K4144-tblAquisições[[#This Row],[QUANTIDADE PLANEJADA]]</f>
        <v>-2</v>
      </c>
      <c r="O4144" s="106" t="str">
        <f t="shared" si="129"/>
        <v>Faltando Comprar</v>
      </c>
    </row>
    <row r="4145" spans="1:15" ht="63">
      <c r="A4145" s="16" t="s">
        <v>17</v>
      </c>
      <c r="B4145" s="16" t="s">
        <v>24</v>
      </c>
      <c r="C4145" s="17" t="s">
        <v>19</v>
      </c>
      <c r="D4145" s="18" t="s">
        <v>2326</v>
      </c>
      <c r="E4145" s="18">
        <v>2</v>
      </c>
      <c r="F4145" s="18" t="s">
        <v>1455</v>
      </c>
      <c r="G4145" s="18" t="s">
        <v>127</v>
      </c>
      <c r="H4145" s="18" t="s">
        <v>23</v>
      </c>
      <c r="I4145" s="19">
        <v>3000</v>
      </c>
      <c r="J4145" s="20">
        <f t="shared" si="128"/>
        <v>6000</v>
      </c>
      <c r="K4145" s="106"/>
      <c r="L4145" s="114"/>
      <c r="M4145" s="114">
        <f>tblAquisições[[#This Row],[VALOR UNITARIO COMPRADO]]*tblAquisições[[#This Row],[QUANTIDADE COMPRADA]]</f>
        <v>0</v>
      </c>
      <c r="N4145" s="110">
        <f>K4145-tblAquisições[[#This Row],[QUANTIDADE PLANEJADA]]</f>
        <v>-2</v>
      </c>
      <c r="O4145" s="106" t="str">
        <f t="shared" si="129"/>
        <v>Faltando Comprar</v>
      </c>
    </row>
    <row r="4146" spans="1:15" ht="63">
      <c r="A4146" s="16" t="s">
        <v>17</v>
      </c>
      <c r="B4146" s="16" t="s">
        <v>25</v>
      </c>
      <c r="C4146" s="17" t="s">
        <v>19</v>
      </c>
      <c r="D4146" s="18" t="s">
        <v>2326</v>
      </c>
      <c r="E4146" s="18">
        <v>2</v>
      </c>
      <c r="F4146" s="18" t="s">
        <v>1455</v>
      </c>
      <c r="G4146" s="18" t="s">
        <v>127</v>
      </c>
      <c r="H4146" s="18" t="s">
        <v>23</v>
      </c>
      <c r="I4146" s="19">
        <v>3000</v>
      </c>
      <c r="J4146" s="20">
        <f t="shared" si="128"/>
        <v>6000</v>
      </c>
      <c r="K4146" s="106"/>
      <c r="L4146" s="114"/>
      <c r="M4146" s="114">
        <f>tblAquisições[[#This Row],[VALOR UNITARIO COMPRADO]]*tblAquisições[[#This Row],[QUANTIDADE COMPRADA]]</f>
        <v>0</v>
      </c>
      <c r="N4146" s="110">
        <f>K4146-tblAquisições[[#This Row],[QUANTIDADE PLANEJADA]]</f>
        <v>-2</v>
      </c>
      <c r="O4146" s="106" t="str">
        <f t="shared" si="129"/>
        <v>Faltando Comprar</v>
      </c>
    </row>
    <row r="4147" spans="1:15" ht="63">
      <c r="A4147" s="16" t="s">
        <v>17</v>
      </c>
      <c r="B4147" s="16" t="s">
        <v>41</v>
      </c>
      <c r="C4147" s="17" t="s">
        <v>19</v>
      </c>
      <c r="D4147" s="33" t="s">
        <v>2326</v>
      </c>
      <c r="E4147" s="33">
        <v>5</v>
      </c>
      <c r="F4147" s="33" t="s">
        <v>1455</v>
      </c>
      <c r="G4147" s="33" t="s">
        <v>127</v>
      </c>
      <c r="H4147" s="33" t="s">
        <v>23</v>
      </c>
      <c r="I4147" s="19">
        <v>3000</v>
      </c>
      <c r="J4147" s="20">
        <f t="shared" si="128"/>
        <v>15000</v>
      </c>
      <c r="K4147" s="106"/>
      <c r="L4147" s="114"/>
      <c r="M4147" s="114">
        <f>tblAquisições[[#This Row],[VALOR UNITARIO COMPRADO]]*tblAquisições[[#This Row],[QUANTIDADE COMPRADA]]</f>
        <v>0</v>
      </c>
      <c r="N4147" s="110">
        <f>K4147-tblAquisições[[#This Row],[QUANTIDADE PLANEJADA]]</f>
        <v>-5</v>
      </c>
      <c r="O4147" s="106" t="str">
        <f t="shared" si="129"/>
        <v>Faltando Comprar</v>
      </c>
    </row>
    <row r="4148" spans="1:15" ht="63">
      <c r="A4148" s="16" t="s">
        <v>17</v>
      </c>
      <c r="B4148" s="16" t="s">
        <v>27</v>
      </c>
      <c r="C4148" s="17" t="s">
        <v>19</v>
      </c>
      <c r="D4148" s="18" t="s">
        <v>2326</v>
      </c>
      <c r="E4148" s="18">
        <v>2</v>
      </c>
      <c r="F4148" s="18" t="s">
        <v>1455</v>
      </c>
      <c r="G4148" s="18" t="s">
        <v>127</v>
      </c>
      <c r="H4148" s="18" t="s">
        <v>23</v>
      </c>
      <c r="I4148" s="19">
        <v>3000</v>
      </c>
      <c r="J4148" s="20">
        <f t="shared" si="128"/>
        <v>6000</v>
      </c>
      <c r="K4148" s="106"/>
      <c r="L4148" s="114"/>
      <c r="M4148" s="114">
        <f>tblAquisições[[#This Row],[VALOR UNITARIO COMPRADO]]*tblAquisições[[#This Row],[QUANTIDADE COMPRADA]]</f>
        <v>0</v>
      </c>
      <c r="N4148" s="110">
        <f>K4148-tblAquisições[[#This Row],[QUANTIDADE PLANEJADA]]</f>
        <v>-2</v>
      </c>
      <c r="O4148" s="106" t="str">
        <f t="shared" si="129"/>
        <v>Faltando Comprar</v>
      </c>
    </row>
    <row r="4149" spans="1:15" ht="63">
      <c r="A4149" s="16" t="s">
        <v>17</v>
      </c>
      <c r="B4149" s="16" t="s">
        <v>28</v>
      </c>
      <c r="C4149" s="17" t="s">
        <v>19</v>
      </c>
      <c r="D4149" s="18" t="s">
        <v>2326</v>
      </c>
      <c r="E4149" s="18">
        <v>2</v>
      </c>
      <c r="F4149" s="18" t="s">
        <v>1455</v>
      </c>
      <c r="G4149" s="18" t="s">
        <v>127</v>
      </c>
      <c r="H4149" s="18" t="s">
        <v>23</v>
      </c>
      <c r="I4149" s="19">
        <v>3000</v>
      </c>
      <c r="J4149" s="20">
        <f t="shared" si="128"/>
        <v>6000</v>
      </c>
      <c r="K4149" s="106"/>
      <c r="L4149" s="114"/>
      <c r="M4149" s="114">
        <f>tblAquisições[[#This Row],[VALOR UNITARIO COMPRADO]]*tblAquisições[[#This Row],[QUANTIDADE COMPRADA]]</f>
        <v>0</v>
      </c>
      <c r="N4149" s="110">
        <f>K4149-tblAquisições[[#This Row],[QUANTIDADE PLANEJADA]]</f>
        <v>-2</v>
      </c>
      <c r="O4149" s="106" t="str">
        <f t="shared" si="129"/>
        <v>Faltando Comprar</v>
      </c>
    </row>
    <row r="4150" spans="1:15" ht="47.25">
      <c r="A4150" s="16" t="s">
        <v>17</v>
      </c>
      <c r="B4150" s="16" t="s">
        <v>26</v>
      </c>
      <c r="C4150" s="17" t="s">
        <v>19</v>
      </c>
      <c r="D4150" s="18" t="s">
        <v>2327</v>
      </c>
      <c r="E4150" s="18">
        <v>8</v>
      </c>
      <c r="F4150" s="18" t="s">
        <v>58</v>
      </c>
      <c r="G4150" s="18" t="s">
        <v>22</v>
      </c>
      <c r="H4150" s="18" t="s">
        <v>23</v>
      </c>
      <c r="I4150" s="19">
        <v>24.63</v>
      </c>
      <c r="J4150" s="20">
        <f t="shared" si="128"/>
        <v>197.04</v>
      </c>
      <c r="K4150" s="106"/>
      <c r="L4150" s="114"/>
      <c r="M4150" s="114">
        <f>tblAquisições[[#This Row],[VALOR UNITARIO COMPRADO]]*tblAquisições[[#This Row],[QUANTIDADE COMPRADA]]</f>
        <v>0</v>
      </c>
      <c r="N4150" s="110">
        <f>K4150-tblAquisições[[#This Row],[QUANTIDADE PLANEJADA]]</f>
        <v>-8</v>
      </c>
      <c r="O4150" s="106" t="str">
        <f t="shared" si="129"/>
        <v>Faltando Comprar</v>
      </c>
    </row>
    <row r="4151" spans="1:15" ht="47.25">
      <c r="A4151" s="16" t="s">
        <v>17</v>
      </c>
      <c r="B4151" s="16" t="s">
        <v>72</v>
      </c>
      <c r="C4151" s="17" t="s">
        <v>19</v>
      </c>
      <c r="D4151" s="18" t="s">
        <v>2327</v>
      </c>
      <c r="E4151" s="18">
        <v>3</v>
      </c>
      <c r="F4151" s="18" t="s">
        <v>58</v>
      </c>
      <c r="G4151" s="18" t="s">
        <v>22</v>
      </c>
      <c r="H4151" s="18" t="s">
        <v>23</v>
      </c>
      <c r="I4151" s="19">
        <v>24.63</v>
      </c>
      <c r="J4151" s="20">
        <f t="shared" si="128"/>
        <v>73.89</v>
      </c>
      <c r="K4151" s="106"/>
      <c r="L4151" s="114"/>
      <c r="M4151" s="114">
        <f>tblAquisições[[#This Row],[VALOR UNITARIO COMPRADO]]*tblAquisições[[#This Row],[QUANTIDADE COMPRADA]]</f>
        <v>0</v>
      </c>
      <c r="N4151" s="110">
        <f>K4151-tblAquisições[[#This Row],[QUANTIDADE PLANEJADA]]</f>
        <v>-3</v>
      </c>
      <c r="O4151" s="106" t="str">
        <f t="shared" si="129"/>
        <v>Faltando Comprar</v>
      </c>
    </row>
    <row r="4152" spans="1:15" ht="47.25">
      <c r="A4152" s="16" t="s">
        <v>17</v>
      </c>
      <c r="B4152" s="16" t="s">
        <v>80</v>
      </c>
      <c r="C4152" s="17" t="s">
        <v>19</v>
      </c>
      <c r="D4152" s="18" t="s">
        <v>2328</v>
      </c>
      <c r="E4152" s="18">
        <v>6</v>
      </c>
      <c r="F4152" s="18" t="s">
        <v>147</v>
      </c>
      <c r="G4152" s="18" t="s">
        <v>39</v>
      </c>
      <c r="H4152" s="21"/>
      <c r="I4152" s="19">
        <v>59.72</v>
      </c>
      <c r="J4152" s="20">
        <f t="shared" si="128"/>
        <v>358.32</v>
      </c>
      <c r="K4152" s="106"/>
      <c r="L4152" s="114"/>
      <c r="M4152" s="114">
        <f>tblAquisições[[#This Row],[VALOR UNITARIO COMPRADO]]*tblAquisições[[#This Row],[QUANTIDADE COMPRADA]]</f>
        <v>0</v>
      </c>
      <c r="N4152" s="110">
        <f>K4152-tblAquisições[[#This Row],[QUANTIDADE PLANEJADA]]</f>
        <v>-6</v>
      </c>
      <c r="O4152" s="106" t="str">
        <f t="shared" si="129"/>
        <v>Faltando Comprar</v>
      </c>
    </row>
    <row r="4153" spans="1:15" ht="31.5">
      <c r="A4153" s="16" t="s">
        <v>17</v>
      </c>
      <c r="B4153" s="16" t="s">
        <v>26</v>
      </c>
      <c r="C4153" s="17" t="s">
        <v>19</v>
      </c>
      <c r="D4153" s="18" t="s">
        <v>2329</v>
      </c>
      <c r="E4153" s="18">
        <v>15</v>
      </c>
      <c r="F4153" s="18" t="s">
        <v>30</v>
      </c>
      <c r="G4153" s="18" t="s">
        <v>22</v>
      </c>
      <c r="H4153" s="18" t="s">
        <v>23</v>
      </c>
      <c r="I4153" s="19">
        <v>33.96</v>
      </c>
      <c r="J4153" s="20">
        <f t="shared" si="128"/>
        <v>509.40000000000003</v>
      </c>
      <c r="K4153" s="106"/>
      <c r="L4153" s="114"/>
      <c r="M4153" s="114">
        <f>tblAquisições[[#This Row],[VALOR UNITARIO COMPRADO]]*tblAquisições[[#This Row],[QUANTIDADE COMPRADA]]</f>
        <v>0</v>
      </c>
      <c r="N4153" s="110">
        <f>K4153-tblAquisições[[#This Row],[QUANTIDADE PLANEJADA]]</f>
        <v>-15</v>
      </c>
      <c r="O4153" s="106" t="str">
        <f t="shared" si="129"/>
        <v>Faltando Comprar</v>
      </c>
    </row>
    <row r="4154" spans="1:15" ht="31.5">
      <c r="A4154" s="16" t="s">
        <v>17</v>
      </c>
      <c r="B4154" s="16" t="s">
        <v>26</v>
      </c>
      <c r="C4154" s="17" t="s">
        <v>19</v>
      </c>
      <c r="D4154" s="18" t="s">
        <v>2330</v>
      </c>
      <c r="E4154" s="18">
        <v>50</v>
      </c>
      <c r="F4154" s="18" t="s">
        <v>30</v>
      </c>
      <c r="G4154" s="18" t="s">
        <v>22</v>
      </c>
      <c r="H4154" s="18" t="s">
        <v>83</v>
      </c>
      <c r="I4154" s="19">
        <v>27.52</v>
      </c>
      <c r="J4154" s="20">
        <f t="shared" si="128"/>
        <v>1376</v>
      </c>
      <c r="K4154" s="106"/>
      <c r="L4154" s="114"/>
      <c r="M4154" s="114">
        <f>tblAquisições[[#This Row],[VALOR UNITARIO COMPRADO]]*tblAquisições[[#This Row],[QUANTIDADE COMPRADA]]</f>
        <v>0</v>
      </c>
      <c r="N4154" s="110">
        <f>K4154-tblAquisições[[#This Row],[QUANTIDADE PLANEJADA]]</f>
        <v>-50</v>
      </c>
      <c r="O4154" s="106" t="str">
        <f t="shared" si="129"/>
        <v>Faltando Comprar</v>
      </c>
    </row>
    <row r="4155" spans="1:15" ht="31.5">
      <c r="A4155" s="16" t="s">
        <v>17</v>
      </c>
      <c r="B4155" s="16" t="s">
        <v>26</v>
      </c>
      <c r="C4155" s="17" t="s">
        <v>19</v>
      </c>
      <c r="D4155" s="18" t="s">
        <v>2331</v>
      </c>
      <c r="E4155" s="18">
        <v>30</v>
      </c>
      <c r="F4155" s="18" t="s">
        <v>30</v>
      </c>
      <c r="G4155" s="18" t="s">
        <v>22</v>
      </c>
      <c r="H4155" s="18" t="s">
        <v>23</v>
      </c>
      <c r="I4155" s="19">
        <v>27.1</v>
      </c>
      <c r="J4155" s="20">
        <f t="shared" si="128"/>
        <v>813</v>
      </c>
      <c r="K4155" s="106"/>
      <c r="L4155" s="114"/>
      <c r="M4155" s="114">
        <f>tblAquisições[[#This Row],[VALOR UNITARIO COMPRADO]]*tblAquisições[[#This Row],[QUANTIDADE COMPRADA]]</f>
        <v>0</v>
      </c>
      <c r="N4155" s="110">
        <f>K4155-tblAquisições[[#This Row],[QUANTIDADE PLANEJADA]]</f>
        <v>-30</v>
      </c>
      <c r="O4155" s="106" t="str">
        <f t="shared" si="129"/>
        <v>Faltando Comprar</v>
      </c>
    </row>
    <row r="4156" spans="1:15" ht="47.25">
      <c r="A4156" s="16" t="s">
        <v>17</v>
      </c>
      <c r="B4156" s="16" t="s">
        <v>28</v>
      </c>
      <c r="C4156" s="17" t="s">
        <v>19</v>
      </c>
      <c r="D4156" s="18" t="s">
        <v>2332</v>
      </c>
      <c r="E4156" s="18">
        <v>5</v>
      </c>
      <c r="F4156" s="18" t="s">
        <v>78</v>
      </c>
      <c r="G4156" s="18" t="s">
        <v>22</v>
      </c>
      <c r="H4156" s="18" t="s">
        <v>23</v>
      </c>
      <c r="I4156" s="19">
        <v>7.6</v>
      </c>
      <c r="J4156" s="20">
        <f t="shared" si="128"/>
        <v>38</v>
      </c>
      <c r="K4156" s="106"/>
      <c r="L4156" s="114"/>
      <c r="M4156" s="114">
        <f>tblAquisições[[#This Row],[VALOR UNITARIO COMPRADO]]*tblAquisições[[#This Row],[QUANTIDADE COMPRADA]]</f>
        <v>0</v>
      </c>
      <c r="N4156" s="110">
        <f>K4156-tblAquisições[[#This Row],[QUANTIDADE PLANEJADA]]</f>
        <v>-5</v>
      </c>
      <c r="O4156" s="106" t="str">
        <f t="shared" si="129"/>
        <v>Faltando Comprar</v>
      </c>
    </row>
    <row r="4157" spans="1:15" ht="47.25">
      <c r="A4157" s="16" t="s">
        <v>17</v>
      </c>
      <c r="B4157" s="16" t="s">
        <v>28</v>
      </c>
      <c r="C4157" s="17" t="s">
        <v>19</v>
      </c>
      <c r="D4157" s="18" t="s">
        <v>2333</v>
      </c>
      <c r="E4157" s="18">
        <v>15</v>
      </c>
      <c r="F4157" s="18" t="s">
        <v>78</v>
      </c>
      <c r="G4157" s="18" t="s">
        <v>22</v>
      </c>
      <c r="H4157" s="18" t="s">
        <v>23</v>
      </c>
      <c r="I4157" s="19">
        <v>90.87</v>
      </c>
      <c r="J4157" s="20">
        <f t="shared" si="128"/>
        <v>1363.0500000000002</v>
      </c>
      <c r="K4157" s="106"/>
      <c r="L4157" s="114"/>
      <c r="M4157" s="114">
        <f>tblAquisições[[#This Row],[VALOR UNITARIO COMPRADO]]*tblAquisições[[#This Row],[QUANTIDADE COMPRADA]]</f>
        <v>0</v>
      </c>
      <c r="N4157" s="110">
        <f>K4157-tblAquisições[[#This Row],[QUANTIDADE PLANEJADA]]</f>
        <v>-15</v>
      </c>
      <c r="O4157" s="106" t="str">
        <f t="shared" si="129"/>
        <v>Faltando Comprar</v>
      </c>
    </row>
    <row r="4158" spans="1:15" ht="47.25">
      <c r="A4158" s="16" t="s">
        <v>17</v>
      </c>
      <c r="B4158" s="16" t="s">
        <v>28</v>
      </c>
      <c r="C4158" s="17" t="s">
        <v>19</v>
      </c>
      <c r="D4158" s="18" t="s">
        <v>2334</v>
      </c>
      <c r="E4158" s="18">
        <v>10</v>
      </c>
      <c r="F4158" s="18" t="s">
        <v>78</v>
      </c>
      <c r="G4158" s="18" t="s">
        <v>22</v>
      </c>
      <c r="H4158" s="18" t="s">
        <v>23</v>
      </c>
      <c r="I4158" s="19">
        <v>56.34</v>
      </c>
      <c r="J4158" s="20">
        <f t="shared" si="128"/>
        <v>563.40000000000009</v>
      </c>
      <c r="K4158" s="106"/>
      <c r="L4158" s="114"/>
      <c r="M4158" s="114">
        <f>tblAquisições[[#This Row],[VALOR UNITARIO COMPRADO]]*tblAquisições[[#This Row],[QUANTIDADE COMPRADA]]</f>
        <v>0</v>
      </c>
      <c r="N4158" s="110">
        <f>K4158-tblAquisições[[#This Row],[QUANTIDADE PLANEJADA]]</f>
        <v>-10</v>
      </c>
      <c r="O4158" s="106" t="str">
        <f t="shared" si="129"/>
        <v>Faltando Comprar</v>
      </c>
    </row>
    <row r="4159" spans="1:15" ht="47.25">
      <c r="A4159" s="16" t="s">
        <v>17</v>
      </c>
      <c r="B4159" s="16" t="s">
        <v>80</v>
      </c>
      <c r="C4159" s="17" t="s">
        <v>19</v>
      </c>
      <c r="D4159" s="32" t="s">
        <v>2335</v>
      </c>
      <c r="E4159" s="18">
        <v>3</v>
      </c>
      <c r="F4159" s="18" t="s">
        <v>191</v>
      </c>
      <c r="G4159" s="18" t="s">
        <v>39</v>
      </c>
      <c r="H4159" s="18" t="s">
        <v>65</v>
      </c>
      <c r="I4159" s="24">
        <v>59.9</v>
      </c>
      <c r="J4159" s="20">
        <f t="shared" si="128"/>
        <v>179.7</v>
      </c>
      <c r="K4159" s="106"/>
      <c r="L4159" s="114"/>
      <c r="M4159" s="114">
        <f>tblAquisições[[#This Row],[VALOR UNITARIO COMPRADO]]*tblAquisições[[#This Row],[QUANTIDADE COMPRADA]]</f>
        <v>0</v>
      </c>
      <c r="N4159" s="110">
        <f>K4159-tblAquisições[[#This Row],[QUANTIDADE PLANEJADA]]</f>
        <v>-3</v>
      </c>
      <c r="O4159" s="106" t="str">
        <f t="shared" si="129"/>
        <v>Faltando Comprar</v>
      </c>
    </row>
    <row r="4160" spans="1:15" ht="47.25">
      <c r="A4160" s="16" t="s">
        <v>17</v>
      </c>
      <c r="B4160" s="16" t="s">
        <v>31</v>
      </c>
      <c r="C4160" s="17" t="s">
        <v>19</v>
      </c>
      <c r="D4160" s="18" t="s">
        <v>2336</v>
      </c>
      <c r="E4160" s="18">
        <v>100</v>
      </c>
      <c r="F4160" s="18" t="s">
        <v>78</v>
      </c>
      <c r="G4160" s="18" t="s">
        <v>22</v>
      </c>
      <c r="H4160" s="18" t="s">
        <v>83</v>
      </c>
      <c r="I4160" s="19">
        <v>85.75</v>
      </c>
      <c r="J4160" s="20">
        <f t="shared" si="128"/>
        <v>8575</v>
      </c>
      <c r="K4160" s="106"/>
      <c r="L4160" s="114"/>
      <c r="M4160" s="114">
        <f>tblAquisições[[#This Row],[VALOR UNITARIO COMPRADO]]*tblAquisições[[#This Row],[QUANTIDADE COMPRADA]]</f>
        <v>0</v>
      </c>
      <c r="N4160" s="110">
        <f>K4160-tblAquisições[[#This Row],[QUANTIDADE PLANEJADA]]</f>
        <v>-100</v>
      </c>
      <c r="O4160" s="106" t="str">
        <f t="shared" si="129"/>
        <v>Faltando Comprar</v>
      </c>
    </row>
    <row r="4161" spans="1:15" ht="47.25">
      <c r="A4161" s="16" t="s">
        <v>17</v>
      </c>
      <c r="B4161" s="16" t="s">
        <v>28</v>
      </c>
      <c r="C4161" s="17" t="s">
        <v>19</v>
      </c>
      <c r="D4161" s="18" t="s">
        <v>2336</v>
      </c>
      <c r="E4161" s="18">
        <v>2</v>
      </c>
      <c r="F4161" s="18" t="s">
        <v>78</v>
      </c>
      <c r="G4161" s="18" t="s">
        <v>22</v>
      </c>
      <c r="H4161" s="18" t="s">
        <v>23</v>
      </c>
      <c r="I4161" s="19">
        <v>85.75</v>
      </c>
      <c r="J4161" s="20">
        <f t="shared" si="128"/>
        <v>171.5</v>
      </c>
      <c r="K4161" s="106"/>
      <c r="L4161" s="114"/>
      <c r="M4161" s="114">
        <f>tblAquisições[[#This Row],[VALOR UNITARIO COMPRADO]]*tblAquisições[[#This Row],[QUANTIDADE COMPRADA]]</f>
        <v>0</v>
      </c>
      <c r="N4161" s="110">
        <f>K4161-tblAquisições[[#This Row],[QUANTIDADE PLANEJADA]]</f>
        <v>-2</v>
      </c>
      <c r="O4161" s="106" t="str">
        <f t="shared" si="129"/>
        <v>Faltando Comprar</v>
      </c>
    </row>
    <row r="4162" spans="1:15" ht="47.25">
      <c r="A4162" s="16" t="s">
        <v>17</v>
      </c>
      <c r="B4162" s="16" t="s">
        <v>34</v>
      </c>
      <c r="C4162" s="17" t="s">
        <v>19</v>
      </c>
      <c r="D4162" s="18" t="s">
        <v>2337</v>
      </c>
      <c r="E4162" s="18">
        <v>2</v>
      </c>
      <c r="F4162" s="18" t="s">
        <v>78</v>
      </c>
      <c r="G4162" s="18" t="s">
        <v>22</v>
      </c>
      <c r="H4162" s="18" t="s">
        <v>23</v>
      </c>
      <c r="I4162" s="19">
        <v>61.31</v>
      </c>
      <c r="J4162" s="20">
        <f t="shared" ref="J4162:J4225" si="130">E4162*I4162</f>
        <v>122.62</v>
      </c>
      <c r="K4162" s="106"/>
      <c r="L4162" s="114"/>
      <c r="M4162" s="114">
        <f>tblAquisições[[#This Row],[VALOR UNITARIO COMPRADO]]*tblAquisições[[#This Row],[QUANTIDADE COMPRADA]]</f>
        <v>0</v>
      </c>
      <c r="N4162" s="110">
        <f>K4162-tblAquisições[[#This Row],[QUANTIDADE PLANEJADA]]</f>
        <v>-2</v>
      </c>
      <c r="O4162" s="106" t="str">
        <f t="shared" ref="O4162:O4225" si="131">IF(K4162=E4162,"OK",IF(K4162&lt;E4162,"Faltando Comprar","Excedente"))</f>
        <v>Faltando Comprar</v>
      </c>
    </row>
    <row r="4163" spans="1:15" ht="47.25">
      <c r="A4163" s="16" t="s">
        <v>17</v>
      </c>
      <c r="B4163" s="16" t="s">
        <v>18</v>
      </c>
      <c r="C4163" s="17" t="s">
        <v>19</v>
      </c>
      <c r="D4163" s="18" t="s">
        <v>2338</v>
      </c>
      <c r="E4163" s="18">
        <v>100</v>
      </c>
      <c r="F4163" s="18" t="s">
        <v>78</v>
      </c>
      <c r="G4163" s="18" t="s">
        <v>22</v>
      </c>
      <c r="H4163" s="18" t="s">
        <v>23</v>
      </c>
      <c r="I4163" s="19">
        <v>13.14</v>
      </c>
      <c r="J4163" s="20">
        <f t="shared" si="130"/>
        <v>1314</v>
      </c>
      <c r="K4163" s="106"/>
      <c r="L4163" s="114"/>
      <c r="M4163" s="114">
        <f>tblAquisições[[#This Row],[VALOR UNITARIO COMPRADO]]*tblAquisições[[#This Row],[QUANTIDADE COMPRADA]]</f>
        <v>0</v>
      </c>
      <c r="N4163" s="110">
        <f>K4163-tblAquisições[[#This Row],[QUANTIDADE PLANEJADA]]</f>
        <v>-100</v>
      </c>
      <c r="O4163" s="106" t="str">
        <f t="shared" si="131"/>
        <v>Faltando Comprar</v>
      </c>
    </row>
    <row r="4164" spans="1:15" ht="47.25">
      <c r="A4164" s="16" t="s">
        <v>17</v>
      </c>
      <c r="B4164" s="16" t="s">
        <v>24</v>
      </c>
      <c r="C4164" s="17" t="s">
        <v>19</v>
      </c>
      <c r="D4164" s="18" t="s">
        <v>2338</v>
      </c>
      <c r="E4164" s="18">
        <v>100</v>
      </c>
      <c r="F4164" s="18" t="s">
        <v>78</v>
      </c>
      <c r="G4164" s="18" t="s">
        <v>22</v>
      </c>
      <c r="H4164" s="18" t="s">
        <v>23</v>
      </c>
      <c r="I4164" s="19">
        <v>13.14</v>
      </c>
      <c r="J4164" s="20">
        <f t="shared" si="130"/>
        <v>1314</v>
      </c>
      <c r="K4164" s="106"/>
      <c r="L4164" s="114"/>
      <c r="M4164" s="114">
        <f>tblAquisições[[#This Row],[VALOR UNITARIO COMPRADO]]*tblAquisições[[#This Row],[QUANTIDADE COMPRADA]]</f>
        <v>0</v>
      </c>
      <c r="N4164" s="110">
        <f>K4164-tblAquisições[[#This Row],[QUANTIDADE PLANEJADA]]</f>
        <v>-100</v>
      </c>
      <c r="O4164" s="106" t="str">
        <f t="shared" si="131"/>
        <v>Faltando Comprar</v>
      </c>
    </row>
    <row r="4165" spans="1:15" ht="47.25">
      <c r="A4165" s="16" t="s">
        <v>17</v>
      </c>
      <c r="B4165" s="16" t="s">
        <v>25</v>
      </c>
      <c r="C4165" s="17" t="s">
        <v>19</v>
      </c>
      <c r="D4165" s="18" t="s">
        <v>2338</v>
      </c>
      <c r="E4165" s="18">
        <v>100</v>
      </c>
      <c r="F4165" s="18" t="s">
        <v>78</v>
      </c>
      <c r="G4165" s="18" t="s">
        <v>22</v>
      </c>
      <c r="H4165" s="18" t="s">
        <v>23</v>
      </c>
      <c r="I4165" s="19">
        <v>13.14</v>
      </c>
      <c r="J4165" s="20">
        <f t="shared" si="130"/>
        <v>1314</v>
      </c>
      <c r="K4165" s="106"/>
      <c r="L4165" s="114"/>
      <c r="M4165" s="114">
        <f>tblAquisições[[#This Row],[VALOR UNITARIO COMPRADO]]*tblAquisições[[#This Row],[QUANTIDADE COMPRADA]]</f>
        <v>0</v>
      </c>
      <c r="N4165" s="110">
        <f>K4165-tblAquisições[[#This Row],[QUANTIDADE PLANEJADA]]</f>
        <v>-100</v>
      </c>
      <c r="O4165" s="106" t="str">
        <f t="shared" si="131"/>
        <v>Faltando Comprar</v>
      </c>
    </row>
    <row r="4166" spans="1:15" ht="47.25">
      <c r="A4166" s="16" t="s">
        <v>17</v>
      </c>
      <c r="B4166" s="16" t="s">
        <v>80</v>
      </c>
      <c r="C4166" s="17" t="s">
        <v>19</v>
      </c>
      <c r="D4166" s="18" t="s">
        <v>2339</v>
      </c>
      <c r="E4166" s="18">
        <v>6</v>
      </c>
      <c r="F4166" s="18" t="s">
        <v>147</v>
      </c>
      <c r="G4166" s="18" t="s">
        <v>39</v>
      </c>
      <c r="H4166" s="21"/>
      <c r="I4166" s="19">
        <v>31.72</v>
      </c>
      <c r="J4166" s="20">
        <f t="shared" si="130"/>
        <v>190.32</v>
      </c>
      <c r="K4166" s="106"/>
      <c r="L4166" s="114"/>
      <c r="M4166" s="114">
        <f>tblAquisições[[#This Row],[VALOR UNITARIO COMPRADO]]*tblAquisições[[#This Row],[QUANTIDADE COMPRADA]]</f>
        <v>0</v>
      </c>
      <c r="N4166" s="110">
        <f>K4166-tblAquisições[[#This Row],[QUANTIDADE PLANEJADA]]</f>
        <v>-6</v>
      </c>
      <c r="O4166" s="106" t="str">
        <f t="shared" si="131"/>
        <v>Faltando Comprar</v>
      </c>
    </row>
    <row r="4167" spans="1:15" ht="31.5">
      <c r="A4167" s="16" t="s">
        <v>17</v>
      </c>
      <c r="B4167" s="16" t="s">
        <v>31</v>
      </c>
      <c r="C4167" s="17" t="s">
        <v>19</v>
      </c>
      <c r="D4167" s="18" t="s">
        <v>2340</v>
      </c>
      <c r="E4167" s="18">
        <v>100</v>
      </c>
      <c r="F4167" s="18" t="s">
        <v>21</v>
      </c>
      <c r="G4167" s="18" t="s">
        <v>22</v>
      </c>
      <c r="H4167" s="18" t="s">
        <v>23</v>
      </c>
      <c r="I4167" s="19">
        <v>1.0109999999999999</v>
      </c>
      <c r="J4167" s="20">
        <f t="shared" si="130"/>
        <v>101.1</v>
      </c>
      <c r="K4167" s="106"/>
      <c r="L4167" s="114"/>
      <c r="M4167" s="114">
        <f>tblAquisições[[#This Row],[VALOR UNITARIO COMPRADO]]*tblAquisições[[#This Row],[QUANTIDADE COMPRADA]]</f>
        <v>0</v>
      </c>
      <c r="N4167" s="110">
        <f>K4167-tblAquisições[[#This Row],[QUANTIDADE PLANEJADA]]</f>
        <v>-100</v>
      </c>
      <c r="O4167" s="106" t="str">
        <f t="shared" si="131"/>
        <v>Faltando Comprar</v>
      </c>
    </row>
    <row r="4168" spans="1:15" ht="31.5">
      <c r="A4168" s="16" t="s">
        <v>17</v>
      </c>
      <c r="B4168" s="16" t="s">
        <v>26</v>
      </c>
      <c r="C4168" s="17" t="s">
        <v>19</v>
      </c>
      <c r="D4168" s="18" t="s">
        <v>2341</v>
      </c>
      <c r="E4168" s="18">
        <v>10</v>
      </c>
      <c r="F4168" s="18" t="s">
        <v>30</v>
      </c>
      <c r="G4168" s="18" t="s">
        <v>22</v>
      </c>
      <c r="H4168" s="18" t="s">
        <v>23</v>
      </c>
      <c r="I4168" s="19">
        <v>143.97</v>
      </c>
      <c r="J4168" s="20">
        <f t="shared" si="130"/>
        <v>1439.7</v>
      </c>
      <c r="K4168" s="106"/>
      <c r="L4168" s="114"/>
      <c r="M4168" s="114">
        <f>tblAquisições[[#This Row],[VALOR UNITARIO COMPRADO]]*tblAquisições[[#This Row],[QUANTIDADE COMPRADA]]</f>
        <v>0</v>
      </c>
      <c r="N4168" s="110">
        <f>K4168-tblAquisições[[#This Row],[QUANTIDADE PLANEJADA]]</f>
        <v>-10</v>
      </c>
      <c r="O4168" s="106" t="str">
        <f t="shared" si="131"/>
        <v>Faltando Comprar</v>
      </c>
    </row>
    <row r="4169" spans="1:15" ht="31.5">
      <c r="A4169" s="16" t="s">
        <v>17</v>
      </c>
      <c r="B4169" s="16" t="s">
        <v>28</v>
      </c>
      <c r="C4169" s="17" t="s">
        <v>19</v>
      </c>
      <c r="D4169" s="18" t="s">
        <v>2342</v>
      </c>
      <c r="E4169" s="18">
        <v>15</v>
      </c>
      <c r="F4169" s="18" t="s">
        <v>21</v>
      </c>
      <c r="G4169" s="18" t="s">
        <v>22</v>
      </c>
      <c r="H4169" s="18" t="s">
        <v>23</v>
      </c>
      <c r="I4169" s="19">
        <v>66.11</v>
      </c>
      <c r="J4169" s="20">
        <f t="shared" si="130"/>
        <v>991.65</v>
      </c>
      <c r="K4169" s="106"/>
      <c r="L4169" s="114"/>
      <c r="M4169" s="114">
        <f>tblAquisições[[#This Row],[VALOR UNITARIO COMPRADO]]*tblAquisições[[#This Row],[QUANTIDADE COMPRADA]]</f>
        <v>0</v>
      </c>
      <c r="N4169" s="110">
        <f>K4169-tblAquisições[[#This Row],[QUANTIDADE PLANEJADA]]</f>
        <v>-15</v>
      </c>
      <c r="O4169" s="106" t="str">
        <f t="shared" si="131"/>
        <v>Faltando Comprar</v>
      </c>
    </row>
    <row r="4170" spans="1:15" ht="47.25">
      <c r="A4170" s="16" t="s">
        <v>17</v>
      </c>
      <c r="B4170" s="16" t="s">
        <v>18</v>
      </c>
      <c r="C4170" s="17" t="s">
        <v>19</v>
      </c>
      <c r="D4170" s="18" t="s">
        <v>2343</v>
      </c>
      <c r="E4170" s="18">
        <v>200</v>
      </c>
      <c r="F4170" s="18" t="s">
        <v>78</v>
      </c>
      <c r="G4170" s="18" t="s">
        <v>22</v>
      </c>
      <c r="H4170" s="18" t="s">
        <v>83</v>
      </c>
      <c r="I4170" s="19">
        <v>173.18</v>
      </c>
      <c r="J4170" s="20">
        <f t="shared" si="130"/>
        <v>34636</v>
      </c>
      <c r="K4170" s="106"/>
      <c r="L4170" s="114"/>
      <c r="M4170" s="114">
        <f>tblAquisições[[#This Row],[VALOR UNITARIO COMPRADO]]*tblAquisições[[#This Row],[QUANTIDADE COMPRADA]]</f>
        <v>0</v>
      </c>
      <c r="N4170" s="110">
        <f>K4170-tblAquisições[[#This Row],[QUANTIDADE PLANEJADA]]</f>
        <v>-200</v>
      </c>
      <c r="O4170" s="106" t="str">
        <f t="shared" si="131"/>
        <v>Faltando Comprar</v>
      </c>
    </row>
    <row r="4171" spans="1:15" ht="47.25">
      <c r="A4171" s="16" t="s">
        <v>17</v>
      </c>
      <c r="B4171" s="16" t="s">
        <v>24</v>
      </c>
      <c r="C4171" s="17" t="s">
        <v>19</v>
      </c>
      <c r="D4171" s="18" t="s">
        <v>2343</v>
      </c>
      <c r="E4171" s="18">
        <v>200</v>
      </c>
      <c r="F4171" s="18" t="s">
        <v>78</v>
      </c>
      <c r="G4171" s="18" t="s">
        <v>22</v>
      </c>
      <c r="H4171" s="18" t="s">
        <v>83</v>
      </c>
      <c r="I4171" s="19">
        <v>173.18</v>
      </c>
      <c r="J4171" s="20">
        <f t="shared" si="130"/>
        <v>34636</v>
      </c>
      <c r="K4171" s="106"/>
      <c r="L4171" s="114"/>
      <c r="M4171" s="114">
        <f>tblAquisições[[#This Row],[VALOR UNITARIO COMPRADO]]*tblAquisições[[#This Row],[QUANTIDADE COMPRADA]]</f>
        <v>0</v>
      </c>
      <c r="N4171" s="110">
        <f>K4171-tblAquisições[[#This Row],[QUANTIDADE PLANEJADA]]</f>
        <v>-200</v>
      </c>
      <c r="O4171" s="106" t="str">
        <f t="shared" si="131"/>
        <v>Faltando Comprar</v>
      </c>
    </row>
    <row r="4172" spans="1:15" ht="47.25">
      <c r="A4172" s="16" t="s">
        <v>17</v>
      </c>
      <c r="B4172" s="16" t="s">
        <v>25</v>
      </c>
      <c r="C4172" s="17" t="s">
        <v>19</v>
      </c>
      <c r="D4172" s="18" t="s">
        <v>2343</v>
      </c>
      <c r="E4172" s="18">
        <v>200</v>
      </c>
      <c r="F4172" s="18" t="s">
        <v>78</v>
      </c>
      <c r="G4172" s="18" t="s">
        <v>22</v>
      </c>
      <c r="H4172" s="18" t="s">
        <v>83</v>
      </c>
      <c r="I4172" s="19">
        <v>173.18</v>
      </c>
      <c r="J4172" s="20">
        <f t="shared" si="130"/>
        <v>34636</v>
      </c>
      <c r="K4172" s="106"/>
      <c r="L4172" s="114"/>
      <c r="M4172" s="114">
        <f>tblAquisições[[#This Row],[VALOR UNITARIO COMPRADO]]*tblAquisições[[#This Row],[QUANTIDADE COMPRADA]]</f>
        <v>0</v>
      </c>
      <c r="N4172" s="110">
        <f>K4172-tblAquisições[[#This Row],[QUANTIDADE PLANEJADA]]</f>
        <v>-200</v>
      </c>
      <c r="O4172" s="106" t="str">
        <f t="shared" si="131"/>
        <v>Faltando Comprar</v>
      </c>
    </row>
    <row r="4173" spans="1:15" ht="47.25">
      <c r="A4173" s="16" t="s">
        <v>17</v>
      </c>
      <c r="B4173" s="16" t="s">
        <v>27</v>
      </c>
      <c r="C4173" s="17" t="s">
        <v>19</v>
      </c>
      <c r="D4173" s="18" t="s">
        <v>2343</v>
      </c>
      <c r="E4173" s="18">
        <v>400</v>
      </c>
      <c r="F4173" s="18" t="s">
        <v>78</v>
      </c>
      <c r="G4173" s="18" t="s">
        <v>22</v>
      </c>
      <c r="H4173" s="18" t="s">
        <v>23</v>
      </c>
      <c r="I4173" s="19">
        <v>173.18</v>
      </c>
      <c r="J4173" s="20">
        <f t="shared" si="130"/>
        <v>69272</v>
      </c>
      <c r="K4173" s="106"/>
      <c r="L4173" s="114"/>
      <c r="M4173" s="114">
        <f>tblAquisições[[#This Row],[VALOR UNITARIO COMPRADO]]*tblAquisições[[#This Row],[QUANTIDADE COMPRADA]]</f>
        <v>0</v>
      </c>
      <c r="N4173" s="110">
        <f>K4173-tblAquisições[[#This Row],[QUANTIDADE PLANEJADA]]</f>
        <v>-400</v>
      </c>
      <c r="O4173" s="106" t="str">
        <f t="shared" si="131"/>
        <v>Faltando Comprar</v>
      </c>
    </row>
    <row r="4174" spans="1:15" ht="31.5">
      <c r="A4174" s="16" t="s">
        <v>17</v>
      </c>
      <c r="B4174" s="16" t="s">
        <v>31</v>
      </c>
      <c r="C4174" s="17" t="s">
        <v>19</v>
      </c>
      <c r="D4174" s="18" t="s">
        <v>2344</v>
      </c>
      <c r="E4174" s="18">
        <v>3</v>
      </c>
      <c r="F4174" s="18" t="s">
        <v>170</v>
      </c>
      <c r="G4174" s="18" t="s">
        <v>22</v>
      </c>
      <c r="H4174" s="18" t="s">
        <v>23</v>
      </c>
      <c r="I4174" s="19">
        <v>304.67</v>
      </c>
      <c r="J4174" s="20">
        <f t="shared" si="130"/>
        <v>914.01</v>
      </c>
      <c r="K4174" s="106"/>
      <c r="L4174" s="114"/>
      <c r="M4174" s="114">
        <f>tblAquisições[[#This Row],[VALOR UNITARIO COMPRADO]]*tblAquisições[[#This Row],[QUANTIDADE COMPRADA]]</f>
        <v>0</v>
      </c>
      <c r="N4174" s="110">
        <f>K4174-tblAquisições[[#This Row],[QUANTIDADE PLANEJADA]]</f>
        <v>-3</v>
      </c>
      <c r="O4174" s="106" t="str">
        <f t="shared" si="131"/>
        <v>Faltando Comprar</v>
      </c>
    </row>
    <row r="4175" spans="1:15" ht="47.25">
      <c r="A4175" s="16" t="s">
        <v>17</v>
      </c>
      <c r="B4175" s="16" t="s">
        <v>34</v>
      </c>
      <c r="C4175" s="17" t="s">
        <v>19</v>
      </c>
      <c r="D4175" s="18" t="s">
        <v>2345</v>
      </c>
      <c r="E4175" s="18">
        <v>12</v>
      </c>
      <c r="F4175" s="18" t="s">
        <v>78</v>
      </c>
      <c r="G4175" s="18" t="s">
        <v>22</v>
      </c>
      <c r="H4175" s="18" t="s">
        <v>23</v>
      </c>
      <c r="I4175" s="19">
        <v>15.21</v>
      </c>
      <c r="J4175" s="20">
        <f t="shared" si="130"/>
        <v>182.52</v>
      </c>
      <c r="K4175" s="106"/>
      <c r="L4175" s="114"/>
      <c r="M4175" s="114">
        <f>tblAquisições[[#This Row],[VALOR UNITARIO COMPRADO]]*tblAquisições[[#This Row],[QUANTIDADE COMPRADA]]</f>
        <v>0</v>
      </c>
      <c r="N4175" s="110">
        <f>K4175-tblAquisições[[#This Row],[QUANTIDADE PLANEJADA]]</f>
        <v>-12</v>
      </c>
      <c r="O4175" s="106" t="str">
        <f t="shared" si="131"/>
        <v>Faltando Comprar</v>
      </c>
    </row>
    <row r="4176" spans="1:15" ht="47.25">
      <c r="A4176" s="16" t="s">
        <v>17</v>
      </c>
      <c r="B4176" s="16" t="s">
        <v>18</v>
      </c>
      <c r="C4176" s="17" t="s">
        <v>19</v>
      </c>
      <c r="D4176" s="18" t="s">
        <v>2345</v>
      </c>
      <c r="E4176" s="18">
        <v>100</v>
      </c>
      <c r="F4176" s="18" t="s">
        <v>78</v>
      </c>
      <c r="G4176" s="18" t="s">
        <v>22</v>
      </c>
      <c r="H4176" s="18" t="s">
        <v>23</v>
      </c>
      <c r="I4176" s="19">
        <v>15.21</v>
      </c>
      <c r="J4176" s="20">
        <f t="shared" si="130"/>
        <v>1521</v>
      </c>
      <c r="K4176" s="106"/>
      <c r="L4176" s="114"/>
      <c r="M4176" s="114">
        <f>tblAquisições[[#This Row],[VALOR UNITARIO COMPRADO]]*tblAquisições[[#This Row],[QUANTIDADE COMPRADA]]</f>
        <v>0</v>
      </c>
      <c r="N4176" s="110">
        <f>K4176-tblAquisições[[#This Row],[QUANTIDADE PLANEJADA]]</f>
        <v>-100</v>
      </c>
      <c r="O4176" s="106" t="str">
        <f t="shared" si="131"/>
        <v>Faltando Comprar</v>
      </c>
    </row>
    <row r="4177" spans="1:15" ht="47.25">
      <c r="A4177" s="16" t="s">
        <v>17</v>
      </c>
      <c r="B4177" s="16" t="s">
        <v>24</v>
      </c>
      <c r="C4177" s="17" t="s">
        <v>19</v>
      </c>
      <c r="D4177" s="18" t="s">
        <v>2345</v>
      </c>
      <c r="E4177" s="18">
        <v>100</v>
      </c>
      <c r="F4177" s="18" t="s">
        <v>78</v>
      </c>
      <c r="G4177" s="18" t="s">
        <v>22</v>
      </c>
      <c r="H4177" s="18" t="s">
        <v>23</v>
      </c>
      <c r="I4177" s="19">
        <v>15.21</v>
      </c>
      <c r="J4177" s="20">
        <f t="shared" si="130"/>
        <v>1521</v>
      </c>
      <c r="K4177" s="106"/>
      <c r="L4177" s="114"/>
      <c r="M4177" s="114">
        <f>tblAquisições[[#This Row],[VALOR UNITARIO COMPRADO]]*tblAquisições[[#This Row],[QUANTIDADE COMPRADA]]</f>
        <v>0</v>
      </c>
      <c r="N4177" s="110">
        <f>K4177-tblAquisições[[#This Row],[QUANTIDADE PLANEJADA]]</f>
        <v>-100</v>
      </c>
      <c r="O4177" s="106" t="str">
        <f t="shared" si="131"/>
        <v>Faltando Comprar</v>
      </c>
    </row>
    <row r="4178" spans="1:15" ht="47.25">
      <c r="A4178" s="16" t="s">
        <v>17</v>
      </c>
      <c r="B4178" s="16" t="s">
        <v>25</v>
      </c>
      <c r="C4178" s="17" t="s">
        <v>19</v>
      </c>
      <c r="D4178" s="18" t="s">
        <v>2345</v>
      </c>
      <c r="E4178" s="18">
        <v>100</v>
      </c>
      <c r="F4178" s="18" t="s">
        <v>78</v>
      </c>
      <c r="G4178" s="18" t="s">
        <v>22</v>
      </c>
      <c r="H4178" s="18" t="s">
        <v>23</v>
      </c>
      <c r="I4178" s="19">
        <v>15.21</v>
      </c>
      <c r="J4178" s="20">
        <f t="shared" si="130"/>
        <v>1521</v>
      </c>
      <c r="K4178" s="106"/>
      <c r="L4178" s="114"/>
      <c r="M4178" s="114">
        <f>tblAquisições[[#This Row],[VALOR UNITARIO COMPRADO]]*tblAquisições[[#This Row],[QUANTIDADE COMPRADA]]</f>
        <v>0</v>
      </c>
      <c r="N4178" s="110">
        <f>K4178-tblAquisições[[#This Row],[QUANTIDADE PLANEJADA]]</f>
        <v>-100</v>
      </c>
      <c r="O4178" s="106" t="str">
        <f t="shared" si="131"/>
        <v>Faltando Comprar</v>
      </c>
    </row>
    <row r="4179" spans="1:15" ht="47.25">
      <c r="A4179" s="16" t="s">
        <v>17</v>
      </c>
      <c r="B4179" s="16" t="s">
        <v>27</v>
      </c>
      <c r="C4179" s="17" t="s">
        <v>19</v>
      </c>
      <c r="D4179" s="18" t="s">
        <v>2345</v>
      </c>
      <c r="E4179" s="18">
        <v>100</v>
      </c>
      <c r="F4179" s="18" t="s">
        <v>78</v>
      </c>
      <c r="G4179" s="18" t="s">
        <v>22</v>
      </c>
      <c r="H4179" s="18" t="s">
        <v>23</v>
      </c>
      <c r="I4179" s="19">
        <v>15.21</v>
      </c>
      <c r="J4179" s="20">
        <f t="shared" si="130"/>
        <v>1521</v>
      </c>
      <c r="K4179" s="106"/>
      <c r="L4179" s="114"/>
      <c r="M4179" s="114">
        <f>tblAquisições[[#This Row],[VALOR UNITARIO COMPRADO]]*tblAquisições[[#This Row],[QUANTIDADE COMPRADA]]</f>
        <v>0</v>
      </c>
      <c r="N4179" s="110">
        <f>K4179-tblAquisições[[#This Row],[QUANTIDADE PLANEJADA]]</f>
        <v>-100</v>
      </c>
      <c r="O4179" s="106" t="str">
        <f t="shared" si="131"/>
        <v>Faltando Comprar</v>
      </c>
    </row>
    <row r="4180" spans="1:15" ht="47.25">
      <c r="A4180" s="16" t="s">
        <v>17</v>
      </c>
      <c r="B4180" s="16" t="s">
        <v>28</v>
      </c>
      <c r="C4180" s="17" t="s">
        <v>19</v>
      </c>
      <c r="D4180" s="18" t="s">
        <v>2345</v>
      </c>
      <c r="E4180" s="18">
        <v>10</v>
      </c>
      <c r="F4180" s="18" t="s">
        <v>78</v>
      </c>
      <c r="G4180" s="18" t="s">
        <v>22</v>
      </c>
      <c r="H4180" s="18" t="s">
        <v>65</v>
      </c>
      <c r="I4180" s="19">
        <v>15.21</v>
      </c>
      <c r="J4180" s="20">
        <f t="shared" si="130"/>
        <v>152.10000000000002</v>
      </c>
      <c r="K4180" s="106"/>
      <c r="L4180" s="114"/>
      <c r="M4180" s="114">
        <f>tblAquisições[[#This Row],[VALOR UNITARIO COMPRADO]]*tblAquisições[[#This Row],[QUANTIDADE COMPRADA]]</f>
        <v>0</v>
      </c>
      <c r="N4180" s="110">
        <f>K4180-tblAquisições[[#This Row],[QUANTIDADE PLANEJADA]]</f>
        <v>-10</v>
      </c>
      <c r="O4180" s="106" t="str">
        <f t="shared" si="131"/>
        <v>Faltando Comprar</v>
      </c>
    </row>
    <row r="4181" spans="1:15" ht="47.25">
      <c r="A4181" s="16" t="s">
        <v>17</v>
      </c>
      <c r="B4181" s="16" t="s">
        <v>750</v>
      </c>
      <c r="C4181" s="17" t="s">
        <v>19</v>
      </c>
      <c r="D4181" s="18" t="s">
        <v>2346</v>
      </c>
      <c r="E4181" s="18">
        <v>10</v>
      </c>
      <c r="F4181" s="18" t="s">
        <v>58</v>
      </c>
      <c r="G4181" s="18" t="s">
        <v>22</v>
      </c>
      <c r="H4181" s="18" t="s">
        <v>23</v>
      </c>
      <c r="I4181" s="19">
        <v>31.31</v>
      </c>
      <c r="J4181" s="20">
        <f t="shared" si="130"/>
        <v>313.09999999999997</v>
      </c>
      <c r="K4181" s="106"/>
      <c r="L4181" s="114"/>
      <c r="M4181" s="114">
        <f>tblAquisições[[#This Row],[VALOR UNITARIO COMPRADO]]*tblAquisições[[#This Row],[QUANTIDADE COMPRADA]]</f>
        <v>0</v>
      </c>
      <c r="N4181" s="110">
        <f>K4181-tblAquisições[[#This Row],[QUANTIDADE PLANEJADA]]</f>
        <v>-10</v>
      </c>
      <c r="O4181" s="106" t="str">
        <f t="shared" si="131"/>
        <v>Faltando Comprar</v>
      </c>
    </row>
    <row r="4182" spans="1:15" ht="47.25">
      <c r="A4182" s="16" t="s">
        <v>17</v>
      </c>
      <c r="B4182" s="16" t="s">
        <v>80</v>
      </c>
      <c r="C4182" s="17" t="s">
        <v>19</v>
      </c>
      <c r="D4182" s="18" t="s">
        <v>2347</v>
      </c>
      <c r="E4182" s="18">
        <v>1</v>
      </c>
      <c r="F4182" s="18" t="s">
        <v>147</v>
      </c>
      <c r="G4182" s="18" t="s">
        <v>39</v>
      </c>
      <c r="H4182" s="21"/>
      <c r="I4182" s="19">
        <v>1830.15</v>
      </c>
      <c r="J4182" s="20">
        <f t="shared" si="130"/>
        <v>1830.15</v>
      </c>
      <c r="K4182" s="106"/>
      <c r="L4182" s="114"/>
      <c r="M4182" s="114">
        <f>tblAquisições[[#This Row],[VALOR UNITARIO COMPRADO]]*tblAquisições[[#This Row],[QUANTIDADE COMPRADA]]</f>
        <v>0</v>
      </c>
      <c r="N4182" s="110">
        <f>K4182-tblAquisições[[#This Row],[QUANTIDADE PLANEJADA]]</f>
        <v>-1</v>
      </c>
      <c r="O4182" s="106" t="str">
        <f t="shared" si="131"/>
        <v>Faltando Comprar</v>
      </c>
    </row>
    <row r="4183" spans="1:15" ht="31.5">
      <c r="A4183" s="16" t="s">
        <v>17</v>
      </c>
      <c r="B4183" s="16" t="s">
        <v>28</v>
      </c>
      <c r="C4183" s="17" t="s">
        <v>19</v>
      </c>
      <c r="D4183" s="18" t="s">
        <v>2348</v>
      </c>
      <c r="E4183" s="18">
        <v>48</v>
      </c>
      <c r="F4183" s="18" t="s">
        <v>21</v>
      </c>
      <c r="G4183" s="18" t="s">
        <v>22</v>
      </c>
      <c r="H4183" s="18" t="s">
        <v>23</v>
      </c>
      <c r="I4183" s="19">
        <v>112.47</v>
      </c>
      <c r="J4183" s="20">
        <f t="shared" si="130"/>
        <v>5398.5599999999995</v>
      </c>
      <c r="K4183" s="106"/>
      <c r="L4183" s="114"/>
      <c r="M4183" s="114">
        <f>tblAquisições[[#This Row],[VALOR UNITARIO COMPRADO]]*tblAquisições[[#This Row],[QUANTIDADE COMPRADA]]</f>
        <v>0</v>
      </c>
      <c r="N4183" s="110">
        <f>K4183-tblAquisições[[#This Row],[QUANTIDADE PLANEJADA]]</f>
        <v>-48</v>
      </c>
      <c r="O4183" s="106" t="str">
        <f t="shared" si="131"/>
        <v>Faltando Comprar</v>
      </c>
    </row>
    <row r="4184" spans="1:15" ht="31.5">
      <c r="A4184" s="16" t="s">
        <v>17</v>
      </c>
      <c r="B4184" s="16" t="s">
        <v>41</v>
      </c>
      <c r="C4184" s="17" t="s">
        <v>19</v>
      </c>
      <c r="D4184" s="18" t="s">
        <v>2349</v>
      </c>
      <c r="E4184" s="18">
        <v>10</v>
      </c>
      <c r="F4184" s="18" t="s">
        <v>21</v>
      </c>
      <c r="G4184" s="18" t="s">
        <v>22</v>
      </c>
      <c r="H4184" s="18" t="s">
        <v>23</v>
      </c>
      <c r="I4184" s="19">
        <v>27.33</v>
      </c>
      <c r="J4184" s="20">
        <f t="shared" si="130"/>
        <v>273.29999999999995</v>
      </c>
      <c r="K4184" s="106"/>
      <c r="L4184" s="114"/>
      <c r="M4184" s="114">
        <f>tblAquisições[[#This Row],[VALOR UNITARIO COMPRADO]]*tblAquisições[[#This Row],[QUANTIDADE COMPRADA]]</f>
        <v>0</v>
      </c>
      <c r="N4184" s="110">
        <f>K4184-tblAquisições[[#This Row],[QUANTIDADE PLANEJADA]]</f>
        <v>-10</v>
      </c>
      <c r="O4184" s="106" t="str">
        <f t="shared" si="131"/>
        <v>Faltando Comprar</v>
      </c>
    </row>
    <row r="4185" spans="1:15" ht="31.5">
      <c r="A4185" s="16" t="s">
        <v>17</v>
      </c>
      <c r="B4185" s="16" t="s">
        <v>26</v>
      </c>
      <c r="C4185" s="17" t="s">
        <v>19</v>
      </c>
      <c r="D4185" s="18" t="s">
        <v>2350</v>
      </c>
      <c r="E4185" s="18">
        <v>12</v>
      </c>
      <c r="F4185" s="18" t="s">
        <v>21</v>
      </c>
      <c r="G4185" s="18" t="s">
        <v>22</v>
      </c>
      <c r="H4185" s="18" t="s">
        <v>23</v>
      </c>
      <c r="I4185" s="19">
        <v>200</v>
      </c>
      <c r="J4185" s="20">
        <f t="shared" si="130"/>
        <v>2400</v>
      </c>
      <c r="K4185" s="106"/>
      <c r="L4185" s="114"/>
      <c r="M4185" s="114">
        <f>tblAquisições[[#This Row],[VALOR UNITARIO COMPRADO]]*tblAquisições[[#This Row],[QUANTIDADE COMPRADA]]</f>
        <v>0</v>
      </c>
      <c r="N4185" s="110">
        <f>K4185-tblAquisições[[#This Row],[QUANTIDADE PLANEJADA]]</f>
        <v>-12</v>
      </c>
      <c r="O4185" s="106" t="str">
        <f t="shared" si="131"/>
        <v>Faltando Comprar</v>
      </c>
    </row>
    <row r="4186" spans="1:15" ht="31.5">
      <c r="A4186" s="16" t="s">
        <v>17</v>
      </c>
      <c r="B4186" s="16" t="s">
        <v>28</v>
      </c>
      <c r="C4186" s="17" t="s">
        <v>19</v>
      </c>
      <c r="D4186" s="18" t="s">
        <v>2350</v>
      </c>
      <c r="E4186" s="18">
        <v>10</v>
      </c>
      <c r="F4186" s="18" t="s">
        <v>21</v>
      </c>
      <c r="G4186" s="18" t="s">
        <v>22</v>
      </c>
      <c r="H4186" s="18" t="s">
        <v>23</v>
      </c>
      <c r="I4186" s="19">
        <v>200</v>
      </c>
      <c r="J4186" s="20">
        <f t="shared" si="130"/>
        <v>2000</v>
      </c>
      <c r="K4186" s="106"/>
      <c r="L4186" s="114"/>
      <c r="M4186" s="114">
        <f>tblAquisições[[#This Row],[VALOR UNITARIO COMPRADO]]*tblAquisições[[#This Row],[QUANTIDADE COMPRADA]]</f>
        <v>0</v>
      </c>
      <c r="N4186" s="110">
        <f>K4186-tblAquisições[[#This Row],[QUANTIDADE PLANEJADA]]</f>
        <v>-10</v>
      </c>
      <c r="O4186" s="106" t="str">
        <f t="shared" si="131"/>
        <v>Faltando Comprar</v>
      </c>
    </row>
    <row r="4187" spans="1:15" ht="31.5">
      <c r="A4187" s="16" t="s">
        <v>17</v>
      </c>
      <c r="B4187" s="16" t="s">
        <v>28</v>
      </c>
      <c r="C4187" s="17" t="s">
        <v>19</v>
      </c>
      <c r="D4187" s="18" t="s">
        <v>2351</v>
      </c>
      <c r="E4187" s="18">
        <v>12</v>
      </c>
      <c r="F4187" s="18" t="s">
        <v>21</v>
      </c>
      <c r="G4187" s="18" t="s">
        <v>22</v>
      </c>
      <c r="H4187" s="18" t="s">
        <v>23</v>
      </c>
      <c r="I4187" s="19">
        <v>9.2100000000000009</v>
      </c>
      <c r="J4187" s="20">
        <f t="shared" si="130"/>
        <v>110.52000000000001</v>
      </c>
      <c r="K4187" s="106"/>
      <c r="L4187" s="114"/>
      <c r="M4187" s="114">
        <f>tblAquisições[[#This Row],[VALOR UNITARIO COMPRADO]]*tblAquisições[[#This Row],[QUANTIDADE COMPRADA]]</f>
        <v>0</v>
      </c>
      <c r="N4187" s="110">
        <f>K4187-tblAquisições[[#This Row],[QUANTIDADE PLANEJADA]]</f>
        <v>-12</v>
      </c>
      <c r="O4187" s="106" t="str">
        <f t="shared" si="131"/>
        <v>Faltando Comprar</v>
      </c>
    </row>
    <row r="4188" spans="1:15" ht="31.5">
      <c r="A4188" s="16" t="s">
        <v>17</v>
      </c>
      <c r="B4188" s="16" t="s">
        <v>31</v>
      </c>
      <c r="C4188" s="17" t="s">
        <v>19</v>
      </c>
      <c r="D4188" s="18" t="s">
        <v>2352</v>
      </c>
      <c r="E4188" s="18">
        <v>10</v>
      </c>
      <c r="F4188" s="18" t="s">
        <v>328</v>
      </c>
      <c r="G4188" s="18" t="s">
        <v>22</v>
      </c>
      <c r="H4188" s="18" t="s">
        <v>23</v>
      </c>
      <c r="I4188" s="19">
        <v>38.07</v>
      </c>
      <c r="J4188" s="20">
        <f t="shared" si="130"/>
        <v>380.7</v>
      </c>
      <c r="K4188" s="106"/>
      <c r="L4188" s="114"/>
      <c r="M4188" s="114">
        <f>tblAquisições[[#This Row],[VALOR UNITARIO COMPRADO]]*tblAquisições[[#This Row],[QUANTIDADE COMPRADA]]</f>
        <v>0</v>
      </c>
      <c r="N4188" s="110">
        <f>K4188-tblAquisições[[#This Row],[QUANTIDADE PLANEJADA]]</f>
        <v>-10</v>
      </c>
      <c r="O4188" s="106" t="str">
        <f t="shared" si="131"/>
        <v>Faltando Comprar</v>
      </c>
    </row>
    <row r="4189" spans="1:15" ht="31.5">
      <c r="A4189" s="16" t="s">
        <v>17</v>
      </c>
      <c r="B4189" s="16" t="s">
        <v>26</v>
      </c>
      <c r="C4189" s="17" t="s">
        <v>19</v>
      </c>
      <c r="D4189" s="18" t="s">
        <v>2352</v>
      </c>
      <c r="E4189" s="18">
        <v>5</v>
      </c>
      <c r="F4189" s="18" t="s">
        <v>328</v>
      </c>
      <c r="G4189" s="18" t="s">
        <v>22</v>
      </c>
      <c r="H4189" s="18" t="s">
        <v>23</v>
      </c>
      <c r="I4189" s="19">
        <v>38.07</v>
      </c>
      <c r="J4189" s="20">
        <f t="shared" si="130"/>
        <v>190.35</v>
      </c>
      <c r="K4189" s="106"/>
      <c r="L4189" s="114"/>
      <c r="M4189" s="114">
        <f>tblAquisições[[#This Row],[VALOR UNITARIO COMPRADO]]*tblAquisições[[#This Row],[QUANTIDADE COMPRADA]]</f>
        <v>0</v>
      </c>
      <c r="N4189" s="110">
        <f>K4189-tblAquisições[[#This Row],[QUANTIDADE PLANEJADA]]</f>
        <v>-5</v>
      </c>
      <c r="O4189" s="106" t="str">
        <f t="shared" si="131"/>
        <v>Faltando Comprar</v>
      </c>
    </row>
    <row r="4190" spans="1:15" ht="31.5">
      <c r="A4190" s="16" t="s">
        <v>17</v>
      </c>
      <c r="B4190" s="16" t="s">
        <v>41</v>
      </c>
      <c r="C4190" s="17" t="s">
        <v>19</v>
      </c>
      <c r="D4190" s="18" t="s">
        <v>2353</v>
      </c>
      <c r="E4190" s="18">
        <v>240</v>
      </c>
      <c r="F4190" s="18" t="s">
        <v>21</v>
      </c>
      <c r="G4190" s="18" t="s">
        <v>22</v>
      </c>
      <c r="H4190" s="18" t="s">
        <v>23</v>
      </c>
      <c r="I4190" s="19">
        <v>52.8</v>
      </c>
      <c r="J4190" s="20">
        <f t="shared" si="130"/>
        <v>12672</v>
      </c>
      <c r="K4190" s="106"/>
      <c r="L4190" s="114"/>
      <c r="M4190" s="114">
        <f>tblAquisições[[#This Row],[VALOR UNITARIO COMPRADO]]*tblAquisições[[#This Row],[QUANTIDADE COMPRADA]]</f>
        <v>0</v>
      </c>
      <c r="N4190" s="110">
        <f>K4190-tblAquisições[[#This Row],[QUANTIDADE PLANEJADA]]</f>
        <v>-240</v>
      </c>
      <c r="O4190" s="106" t="str">
        <f t="shared" si="131"/>
        <v>Faltando Comprar</v>
      </c>
    </row>
    <row r="4191" spans="1:15" ht="31.5">
      <c r="A4191" s="16" t="s">
        <v>17</v>
      </c>
      <c r="B4191" s="16" t="s">
        <v>17</v>
      </c>
      <c r="C4191" s="17" t="s">
        <v>19</v>
      </c>
      <c r="D4191" s="18" t="s">
        <v>2354</v>
      </c>
      <c r="E4191" s="18">
        <v>100</v>
      </c>
      <c r="F4191" s="18" t="s">
        <v>38</v>
      </c>
      <c r="G4191" s="18" t="s">
        <v>39</v>
      </c>
      <c r="H4191" s="18" t="s">
        <v>23</v>
      </c>
      <c r="I4191" s="19">
        <v>2.9</v>
      </c>
      <c r="J4191" s="20">
        <f t="shared" si="130"/>
        <v>290</v>
      </c>
      <c r="K4191" s="106"/>
      <c r="L4191" s="114"/>
      <c r="M4191" s="114">
        <f>tblAquisições[[#This Row],[VALOR UNITARIO COMPRADO]]*tblAquisições[[#This Row],[QUANTIDADE COMPRADA]]</f>
        <v>0</v>
      </c>
      <c r="N4191" s="110">
        <f>K4191-tblAquisições[[#This Row],[QUANTIDADE PLANEJADA]]</f>
        <v>-100</v>
      </c>
      <c r="O4191" s="106" t="str">
        <f t="shared" si="131"/>
        <v>Faltando Comprar</v>
      </c>
    </row>
    <row r="4192" spans="1:15" ht="31.5">
      <c r="A4192" s="16" t="s">
        <v>17</v>
      </c>
      <c r="B4192" s="16" t="s">
        <v>31</v>
      </c>
      <c r="C4192" s="17" t="s">
        <v>19</v>
      </c>
      <c r="D4192" s="18" t="s">
        <v>2355</v>
      </c>
      <c r="E4192" s="18">
        <v>25</v>
      </c>
      <c r="F4192" s="18" t="s">
        <v>21</v>
      </c>
      <c r="G4192" s="18" t="s">
        <v>22</v>
      </c>
      <c r="H4192" s="18" t="s">
        <v>23</v>
      </c>
      <c r="I4192" s="19">
        <v>2.9</v>
      </c>
      <c r="J4192" s="20">
        <f t="shared" si="130"/>
        <v>72.5</v>
      </c>
      <c r="K4192" s="106"/>
      <c r="L4192" s="114"/>
      <c r="M4192" s="114">
        <f>tblAquisições[[#This Row],[VALOR UNITARIO COMPRADO]]*tblAquisições[[#This Row],[QUANTIDADE COMPRADA]]</f>
        <v>0</v>
      </c>
      <c r="N4192" s="110">
        <f>K4192-tblAquisições[[#This Row],[QUANTIDADE PLANEJADA]]</f>
        <v>-25</v>
      </c>
      <c r="O4192" s="106" t="str">
        <f t="shared" si="131"/>
        <v>Faltando Comprar</v>
      </c>
    </row>
    <row r="4193" spans="1:15" ht="31.5">
      <c r="A4193" s="16" t="s">
        <v>17</v>
      </c>
      <c r="B4193" s="16" t="s">
        <v>28</v>
      </c>
      <c r="C4193" s="17" t="s">
        <v>19</v>
      </c>
      <c r="D4193" s="18" t="s">
        <v>2355</v>
      </c>
      <c r="E4193" s="18">
        <v>100</v>
      </c>
      <c r="F4193" s="18" t="s">
        <v>21</v>
      </c>
      <c r="G4193" s="18" t="s">
        <v>22</v>
      </c>
      <c r="H4193" s="18" t="s">
        <v>23</v>
      </c>
      <c r="I4193" s="19">
        <v>2.9</v>
      </c>
      <c r="J4193" s="20">
        <f t="shared" si="130"/>
        <v>290</v>
      </c>
      <c r="K4193" s="106"/>
      <c r="L4193" s="114"/>
      <c r="M4193" s="114">
        <f>tblAquisições[[#This Row],[VALOR UNITARIO COMPRADO]]*tblAquisições[[#This Row],[QUANTIDADE COMPRADA]]</f>
        <v>0</v>
      </c>
      <c r="N4193" s="110">
        <f>K4193-tblAquisições[[#This Row],[QUANTIDADE PLANEJADA]]</f>
        <v>-100</v>
      </c>
      <c r="O4193" s="106" t="str">
        <f t="shared" si="131"/>
        <v>Faltando Comprar</v>
      </c>
    </row>
    <row r="4194" spans="1:15" ht="31.5">
      <c r="A4194" s="16" t="s">
        <v>17</v>
      </c>
      <c r="B4194" s="16" t="s">
        <v>80</v>
      </c>
      <c r="C4194" s="17" t="s">
        <v>19</v>
      </c>
      <c r="D4194" s="18" t="s">
        <v>2356</v>
      </c>
      <c r="E4194" s="18">
        <v>2</v>
      </c>
      <c r="F4194" s="18" t="s">
        <v>468</v>
      </c>
      <c r="G4194" s="18" t="s">
        <v>39</v>
      </c>
      <c r="H4194" s="21"/>
      <c r="I4194" s="19">
        <v>70.45</v>
      </c>
      <c r="J4194" s="20">
        <f t="shared" si="130"/>
        <v>140.9</v>
      </c>
      <c r="K4194" s="106"/>
      <c r="L4194" s="114"/>
      <c r="M4194" s="114">
        <f>tblAquisições[[#This Row],[VALOR UNITARIO COMPRADO]]*tblAquisições[[#This Row],[QUANTIDADE COMPRADA]]</f>
        <v>0</v>
      </c>
      <c r="N4194" s="110">
        <f>K4194-tblAquisições[[#This Row],[QUANTIDADE PLANEJADA]]</f>
        <v>-2</v>
      </c>
      <c r="O4194" s="106" t="str">
        <f t="shared" si="131"/>
        <v>Faltando Comprar</v>
      </c>
    </row>
    <row r="4195" spans="1:15" ht="31.5">
      <c r="A4195" s="16" t="s">
        <v>17</v>
      </c>
      <c r="B4195" s="16" t="s">
        <v>31</v>
      </c>
      <c r="C4195" s="17" t="s">
        <v>19</v>
      </c>
      <c r="D4195" s="18" t="s">
        <v>2357</v>
      </c>
      <c r="E4195" s="18">
        <v>10</v>
      </c>
      <c r="F4195" s="18" t="s">
        <v>328</v>
      </c>
      <c r="G4195" s="18" t="s">
        <v>22</v>
      </c>
      <c r="H4195" s="18" t="s">
        <v>23</v>
      </c>
      <c r="I4195" s="19">
        <v>70.45</v>
      </c>
      <c r="J4195" s="20">
        <f t="shared" si="130"/>
        <v>704.5</v>
      </c>
      <c r="K4195" s="106"/>
      <c r="L4195" s="114"/>
      <c r="M4195" s="114">
        <f>tblAquisições[[#This Row],[VALOR UNITARIO COMPRADO]]*tblAquisições[[#This Row],[QUANTIDADE COMPRADA]]</f>
        <v>0</v>
      </c>
      <c r="N4195" s="110">
        <f>K4195-tblAquisições[[#This Row],[QUANTIDADE PLANEJADA]]</f>
        <v>-10</v>
      </c>
      <c r="O4195" s="106" t="str">
        <f t="shared" si="131"/>
        <v>Faltando Comprar</v>
      </c>
    </row>
    <row r="4196" spans="1:15" ht="31.5">
      <c r="A4196" s="16" t="s">
        <v>17</v>
      </c>
      <c r="B4196" s="16" t="s">
        <v>26</v>
      </c>
      <c r="C4196" s="17" t="s">
        <v>19</v>
      </c>
      <c r="D4196" s="18" t="s">
        <v>2358</v>
      </c>
      <c r="E4196" s="18">
        <v>5</v>
      </c>
      <c r="F4196" s="18" t="s">
        <v>30</v>
      </c>
      <c r="G4196" s="18" t="s">
        <v>22</v>
      </c>
      <c r="H4196" s="18" t="s">
        <v>23</v>
      </c>
      <c r="I4196" s="19">
        <v>22.68</v>
      </c>
      <c r="J4196" s="20">
        <f t="shared" si="130"/>
        <v>113.4</v>
      </c>
      <c r="K4196" s="106"/>
      <c r="L4196" s="114"/>
      <c r="M4196" s="114">
        <f>tblAquisições[[#This Row],[VALOR UNITARIO COMPRADO]]*tblAquisições[[#This Row],[QUANTIDADE COMPRADA]]</f>
        <v>0</v>
      </c>
      <c r="N4196" s="110">
        <f>K4196-tblAquisições[[#This Row],[QUANTIDADE PLANEJADA]]</f>
        <v>-5</v>
      </c>
      <c r="O4196" s="106" t="str">
        <f t="shared" si="131"/>
        <v>Faltando Comprar</v>
      </c>
    </row>
    <row r="4197" spans="1:15" ht="47.25">
      <c r="A4197" s="16" t="s">
        <v>17</v>
      </c>
      <c r="B4197" s="16" t="s">
        <v>28</v>
      </c>
      <c r="C4197" s="17" t="s">
        <v>19</v>
      </c>
      <c r="D4197" s="18" t="s">
        <v>2359</v>
      </c>
      <c r="E4197" s="18">
        <v>250</v>
      </c>
      <c r="F4197" s="18" t="s">
        <v>78</v>
      </c>
      <c r="G4197" s="18" t="s">
        <v>22</v>
      </c>
      <c r="H4197" s="18" t="s">
        <v>83</v>
      </c>
      <c r="I4197" s="19">
        <v>5.5</v>
      </c>
      <c r="J4197" s="20">
        <f t="shared" si="130"/>
        <v>1375</v>
      </c>
      <c r="K4197" s="106"/>
      <c r="L4197" s="114"/>
      <c r="M4197" s="114">
        <f>tblAquisições[[#This Row],[VALOR UNITARIO COMPRADO]]*tblAquisições[[#This Row],[QUANTIDADE COMPRADA]]</f>
        <v>0</v>
      </c>
      <c r="N4197" s="110">
        <f>K4197-tblAquisições[[#This Row],[QUANTIDADE PLANEJADA]]</f>
        <v>-250</v>
      </c>
      <c r="O4197" s="106" t="str">
        <f t="shared" si="131"/>
        <v>Faltando Comprar</v>
      </c>
    </row>
    <row r="4198" spans="1:15" ht="31.5">
      <c r="A4198" s="16" t="s">
        <v>17</v>
      </c>
      <c r="B4198" s="16" t="s">
        <v>80</v>
      </c>
      <c r="C4198" s="17" t="s">
        <v>19</v>
      </c>
      <c r="D4198" s="18" t="s">
        <v>2360</v>
      </c>
      <c r="E4198" s="18">
        <v>6</v>
      </c>
      <c r="F4198" s="18" t="s">
        <v>38</v>
      </c>
      <c r="G4198" s="18" t="s">
        <v>39</v>
      </c>
      <c r="H4198" s="18" t="s">
        <v>23</v>
      </c>
      <c r="I4198" s="19">
        <v>71.41</v>
      </c>
      <c r="J4198" s="20">
        <f t="shared" si="130"/>
        <v>428.46</v>
      </c>
      <c r="K4198" s="106"/>
      <c r="L4198" s="114"/>
      <c r="M4198" s="114">
        <f>tblAquisições[[#This Row],[VALOR UNITARIO COMPRADO]]*tblAquisições[[#This Row],[QUANTIDADE COMPRADA]]</f>
        <v>0</v>
      </c>
      <c r="N4198" s="110">
        <f>K4198-tblAquisições[[#This Row],[QUANTIDADE PLANEJADA]]</f>
        <v>-6</v>
      </c>
      <c r="O4198" s="106" t="str">
        <f t="shared" si="131"/>
        <v>Faltando Comprar</v>
      </c>
    </row>
    <row r="4199" spans="1:15" ht="31.5">
      <c r="A4199" s="16" t="s">
        <v>17</v>
      </c>
      <c r="B4199" s="16" t="s">
        <v>41</v>
      </c>
      <c r="C4199" s="17" t="s">
        <v>19</v>
      </c>
      <c r="D4199" s="18" t="s">
        <v>2361</v>
      </c>
      <c r="E4199" s="18">
        <v>50</v>
      </c>
      <c r="F4199" s="18" t="s">
        <v>21</v>
      </c>
      <c r="G4199" s="18" t="s">
        <v>22</v>
      </c>
      <c r="H4199" s="18" t="s">
        <v>23</v>
      </c>
      <c r="I4199" s="19">
        <v>71.41</v>
      </c>
      <c r="J4199" s="20">
        <f t="shared" si="130"/>
        <v>3570.5</v>
      </c>
      <c r="K4199" s="106"/>
      <c r="L4199" s="114"/>
      <c r="M4199" s="114">
        <f>tblAquisições[[#This Row],[VALOR UNITARIO COMPRADO]]*tblAquisições[[#This Row],[QUANTIDADE COMPRADA]]</f>
        <v>0</v>
      </c>
      <c r="N4199" s="110">
        <f>K4199-tblAquisições[[#This Row],[QUANTIDADE PLANEJADA]]</f>
        <v>-50</v>
      </c>
      <c r="O4199" s="106" t="str">
        <f t="shared" si="131"/>
        <v>Faltando Comprar</v>
      </c>
    </row>
    <row r="4200" spans="1:15" ht="31.5">
      <c r="A4200" s="16" t="s">
        <v>17</v>
      </c>
      <c r="B4200" s="16" t="s">
        <v>28</v>
      </c>
      <c r="C4200" s="17" t="s">
        <v>19</v>
      </c>
      <c r="D4200" s="18" t="s">
        <v>2361</v>
      </c>
      <c r="E4200" s="18">
        <v>30</v>
      </c>
      <c r="F4200" s="18" t="s">
        <v>21</v>
      </c>
      <c r="G4200" s="18" t="s">
        <v>22</v>
      </c>
      <c r="H4200" s="18" t="s">
        <v>23</v>
      </c>
      <c r="I4200" s="19">
        <v>71.41</v>
      </c>
      <c r="J4200" s="20">
        <f t="shared" si="130"/>
        <v>2142.2999999999997</v>
      </c>
      <c r="K4200" s="106"/>
      <c r="L4200" s="114"/>
      <c r="M4200" s="114">
        <f>tblAquisições[[#This Row],[VALOR UNITARIO COMPRADO]]*tblAquisições[[#This Row],[QUANTIDADE COMPRADA]]</f>
        <v>0</v>
      </c>
      <c r="N4200" s="110">
        <f>K4200-tblAquisições[[#This Row],[QUANTIDADE PLANEJADA]]</f>
        <v>-30</v>
      </c>
      <c r="O4200" s="106" t="str">
        <f t="shared" si="131"/>
        <v>Faltando Comprar</v>
      </c>
    </row>
    <row r="4201" spans="1:15" ht="47.25">
      <c r="A4201" s="16" t="s">
        <v>17</v>
      </c>
      <c r="B4201" s="16" t="s">
        <v>80</v>
      </c>
      <c r="C4201" s="17" t="s">
        <v>19</v>
      </c>
      <c r="D4201" s="18" t="s">
        <v>2362</v>
      </c>
      <c r="E4201" s="18">
        <v>4</v>
      </c>
      <c r="F4201" s="18" t="s">
        <v>147</v>
      </c>
      <c r="G4201" s="18" t="s">
        <v>39</v>
      </c>
      <c r="H4201" s="18" t="s">
        <v>23</v>
      </c>
      <c r="I4201" s="19">
        <v>76.77</v>
      </c>
      <c r="J4201" s="20">
        <f t="shared" si="130"/>
        <v>307.08</v>
      </c>
      <c r="K4201" s="106"/>
      <c r="L4201" s="114"/>
      <c r="M4201" s="114">
        <f>tblAquisições[[#This Row],[VALOR UNITARIO COMPRADO]]*tblAquisições[[#This Row],[QUANTIDADE COMPRADA]]</f>
        <v>0</v>
      </c>
      <c r="N4201" s="110">
        <f>K4201-tblAquisições[[#This Row],[QUANTIDADE PLANEJADA]]</f>
        <v>-4</v>
      </c>
      <c r="O4201" s="106" t="str">
        <f t="shared" si="131"/>
        <v>Faltando Comprar</v>
      </c>
    </row>
    <row r="4202" spans="1:15" ht="31.5">
      <c r="A4202" s="16" t="s">
        <v>17</v>
      </c>
      <c r="B4202" s="16" t="s">
        <v>28</v>
      </c>
      <c r="C4202" s="17" t="s">
        <v>19</v>
      </c>
      <c r="D4202" s="18" t="s">
        <v>2363</v>
      </c>
      <c r="E4202" s="18">
        <v>70</v>
      </c>
      <c r="F4202" s="18" t="s">
        <v>21</v>
      </c>
      <c r="G4202" s="18" t="s">
        <v>22</v>
      </c>
      <c r="H4202" s="18" t="s">
        <v>23</v>
      </c>
      <c r="I4202" s="19">
        <v>59.93</v>
      </c>
      <c r="J4202" s="20">
        <f t="shared" si="130"/>
        <v>4195.1000000000004</v>
      </c>
      <c r="K4202" s="106"/>
      <c r="L4202" s="114"/>
      <c r="M4202" s="114">
        <f>tblAquisições[[#This Row],[VALOR UNITARIO COMPRADO]]*tblAquisições[[#This Row],[QUANTIDADE COMPRADA]]</f>
        <v>0</v>
      </c>
      <c r="N4202" s="110">
        <f>K4202-tblAquisições[[#This Row],[QUANTIDADE PLANEJADA]]</f>
        <v>-70</v>
      </c>
      <c r="O4202" s="106" t="str">
        <f t="shared" si="131"/>
        <v>Faltando Comprar</v>
      </c>
    </row>
    <row r="4203" spans="1:15" ht="47.25">
      <c r="A4203" s="16" t="s">
        <v>17</v>
      </c>
      <c r="B4203" s="16" t="s">
        <v>28</v>
      </c>
      <c r="C4203" s="17" t="s">
        <v>19</v>
      </c>
      <c r="D4203" s="18" t="s">
        <v>2364</v>
      </c>
      <c r="E4203" s="18">
        <v>10</v>
      </c>
      <c r="F4203" s="18" t="s">
        <v>78</v>
      </c>
      <c r="G4203" s="18" t="s">
        <v>22</v>
      </c>
      <c r="H4203" s="18" t="s">
        <v>23</v>
      </c>
      <c r="I4203" s="19">
        <v>89.53</v>
      </c>
      <c r="J4203" s="20">
        <f t="shared" si="130"/>
        <v>895.3</v>
      </c>
      <c r="K4203" s="106"/>
      <c r="L4203" s="114"/>
      <c r="M4203" s="114">
        <f>tblAquisições[[#This Row],[VALOR UNITARIO COMPRADO]]*tblAquisições[[#This Row],[QUANTIDADE COMPRADA]]</f>
        <v>0</v>
      </c>
      <c r="N4203" s="110">
        <f>K4203-tblAquisições[[#This Row],[QUANTIDADE PLANEJADA]]</f>
        <v>-10</v>
      </c>
      <c r="O4203" s="106" t="str">
        <f t="shared" si="131"/>
        <v>Faltando Comprar</v>
      </c>
    </row>
    <row r="4204" spans="1:15" ht="47.25">
      <c r="A4204" s="16" t="s">
        <v>17</v>
      </c>
      <c r="B4204" s="16" t="s">
        <v>28</v>
      </c>
      <c r="C4204" s="17" t="s">
        <v>19</v>
      </c>
      <c r="D4204" s="18" t="s">
        <v>2365</v>
      </c>
      <c r="E4204" s="18">
        <v>10</v>
      </c>
      <c r="F4204" s="18" t="s">
        <v>78</v>
      </c>
      <c r="G4204" s="18" t="s">
        <v>22</v>
      </c>
      <c r="H4204" s="18" t="s">
        <v>23</v>
      </c>
      <c r="I4204" s="19">
        <v>5.07</v>
      </c>
      <c r="J4204" s="20">
        <f t="shared" si="130"/>
        <v>50.7</v>
      </c>
      <c r="K4204" s="106"/>
      <c r="L4204" s="114"/>
      <c r="M4204" s="114">
        <f>tblAquisições[[#This Row],[VALOR UNITARIO COMPRADO]]*tblAquisições[[#This Row],[QUANTIDADE COMPRADA]]</f>
        <v>0</v>
      </c>
      <c r="N4204" s="110">
        <f>K4204-tblAquisições[[#This Row],[QUANTIDADE PLANEJADA]]</f>
        <v>-10</v>
      </c>
      <c r="O4204" s="106" t="str">
        <f t="shared" si="131"/>
        <v>Faltando Comprar</v>
      </c>
    </row>
    <row r="4205" spans="1:15" ht="47.25">
      <c r="A4205" s="16" t="s">
        <v>17</v>
      </c>
      <c r="B4205" s="16" t="s">
        <v>18</v>
      </c>
      <c r="C4205" s="17" t="s">
        <v>19</v>
      </c>
      <c r="D4205" s="18" t="s">
        <v>2366</v>
      </c>
      <c r="E4205" s="18">
        <v>20</v>
      </c>
      <c r="F4205" s="18" t="s">
        <v>78</v>
      </c>
      <c r="G4205" s="18" t="s">
        <v>22</v>
      </c>
      <c r="H4205" s="18" t="s">
        <v>23</v>
      </c>
      <c r="I4205" s="19">
        <v>6.2</v>
      </c>
      <c r="J4205" s="20">
        <f t="shared" si="130"/>
        <v>124</v>
      </c>
      <c r="K4205" s="106"/>
      <c r="L4205" s="114"/>
      <c r="M4205" s="114">
        <f>tblAquisições[[#This Row],[VALOR UNITARIO COMPRADO]]*tblAquisições[[#This Row],[QUANTIDADE COMPRADA]]</f>
        <v>0</v>
      </c>
      <c r="N4205" s="110">
        <f>K4205-tblAquisições[[#This Row],[QUANTIDADE PLANEJADA]]</f>
        <v>-20</v>
      </c>
      <c r="O4205" s="106" t="str">
        <f t="shared" si="131"/>
        <v>Faltando Comprar</v>
      </c>
    </row>
    <row r="4206" spans="1:15" ht="47.25">
      <c r="A4206" s="16" t="s">
        <v>17</v>
      </c>
      <c r="B4206" s="16" t="s">
        <v>24</v>
      </c>
      <c r="C4206" s="17" t="s">
        <v>19</v>
      </c>
      <c r="D4206" s="18" t="s">
        <v>2366</v>
      </c>
      <c r="E4206" s="18">
        <v>20</v>
      </c>
      <c r="F4206" s="18" t="s">
        <v>78</v>
      </c>
      <c r="G4206" s="18" t="s">
        <v>22</v>
      </c>
      <c r="H4206" s="18" t="s">
        <v>23</v>
      </c>
      <c r="I4206" s="19">
        <v>6.2</v>
      </c>
      <c r="J4206" s="20">
        <f t="shared" si="130"/>
        <v>124</v>
      </c>
      <c r="K4206" s="106"/>
      <c r="L4206" s="114"/>
      <c r="M4206" s="114">
        <f>tblAquisições[[#This Row],[VALOR UNITARIO COMPRADO]]*tblAquisições[[#This Row],[QUANTIDADE COMPRADA]]</f>
        <v>0</v>
      </c>
      <c r="N4206" s="110">
        <f>K4206-tblAquisições[[#This Row],[QUANTIDADE PLANEJADA]]</f>
        <v>-20</v>
      </c>
      <c r="O4206" s="106" t="str">
        <f t="shared" si="131"/>
        <v>Faltando Comprar</v>
      </c>
    </row>
    <row r="4207" spans="1:15" ht="47.25">
      <c r="A4207" s="16" t="s">
        <v>17</v>
      </c>
      <c r="B4207" s="16" t="s">
        <v>25</v>
      </c>
      <c r="C4207" s="17" t="s">
        <v>19</v>
      </c>
      <c r="D4207" s="18" t="s">
        <v>2366</v>
      </c>
      <c r="E4207" s="18">
        <v>20</v>
      </c>
      <c r="F4207" s="18" t="s">
        <v>78</v>
      </c>
      <c r="G4207" s="18" t="s">
        <v>22</v>
      </c>
      <c r="H4207" s="18" t="s">
        <v>23</v>
      </c>
      <c r="I4207" s="19">
        <v>6.2</v>
      </c>
      <c r="J4207" s="20">
        <f t="shared" si="130"/>
        <v>124</v>
      </c>
      <c r="K4207" s="106"/>
      <c r="L4207" s="114"/>
      <c r="M4207" s="114">
        <f>tblAquisições[[#This Row],[VALOR UNITARIO COMPRADO]]*tblAquisições[[#This Row],[QUANTIDADE COMPRADA]]</f>
        <v>0</v>
      </c>
      <c r="N4207" s="110">
        <f>K4207-tblAquisições[[#This Row],[QUANTIDADE PLANEJADA]]</f>
        <v>-20</v>
      </c>
      <c r="O4207" s="106" t="str">
        <f t="shared" si="131"/>
        <v>Faltando Comprar</v>
      </c>
    </row>
    <row r="4208" spans="1:15" ht="31.5">
      <c r="A4208" s="16" t="s">
        <v>17</v>
      </c>
      <c r="B4208" s="16" t="s">
        <v>34</v>
      </c>
      <c r="C4208" s="17" t="s">
        <v>19</v>
      </c>
      <c r="D4208" s="18" t="s">
        <v>2367</v>
      </c>
      <c r="E4208" s="18">
        <v>2</v>
      </c>
      <c r="F4208" s="18" t="s">
        <v>328</v>
      </c>
      <c r="G4208" s="18" t="s">
        <v>22</v>
      </c>
      <c r="H4208" s="18" t="s">
        <v>23</v>
      </c>
      <c r="I4208" s="19">
        <v>38.42</v>
      </c>
      <c r="J4208" s="20">
        <f t="shared" si="130"/>
        <v>76.84</v>
      </c>
      <c r="K4208" s="106"/>
      <c r="L4208" s="114"/>
      <c r="M4208" s="114">
        <f>tblAquisições[[#This Row],[VALOR UNITARIO COMPRADO]]*tblAquisições[[#This Row],[QUANTIDADE COMPRADA]]</f>
        <v>0</v>
      </c>
      <c r="N4208" s="110">
        <f>K4208-tblAquisições[[#This Row],[QUANTIDADE PLANEJADA]]</f>
        <v>-2</v>
      </c>
      <c r="O4208" s="106" t="str">
        <f t="shared" si="131"/>
        <v>Faltando Comprar</v>
      </c>
    </row>
    <row r="4209" spans="1:15" ht="31.5">
      <c r="A4209" s="16" t="s">
        <v>17</v>
      </c>
      <c r="B4209" s="16" t="s">
        <v>31</v>
      </c>
      <c r="C4209" s="17" t="s">
        <v>19</v>
      </c>
      <c r="D4209" s="18" t="s">
        <v>2367</v>
      </c>
      <c r="E4209" s="18">
        <v>2</v>
      </c>
      <c r="F4209" s="18" t="s">
        <v>328</v>
      </c>
      <c r="G4209" s="18" t="s">
        <v>22</v>
      </c>
      <c r="H4209" s="18" t="s">
        <v>23</v>
      </c>
      <c r="I4209" s="19">
        <v>38.42</v>
      </c>
      <c r="J4209" s="20">
        <f t="shared" si="130"/>
        <v>76.84</v>
      </c>
      <c r="K4209" s="106"/>
      <c r="L4209" s="114"/>
      <c r="M4209" s="114">
        <f>tblAquisições[[#This Row],[VALOR UNITARIO COMPRADO]]*tblAquisições[[#This Row],[QUANTIDADE COMPRADA]]</f>
        <v>0</v>
      </c>
      <c r="N4209" s="110">
        <f>K4209-tblAquisições[[#This Row],[QUANTIDADE PLANEJADA]]</f>
        <v>-2</v>
      </c>
      <c r="O4209" s="106" t="str">
        <f t="shared" si="131"/>
        <v>Faltando Comprar</v>
      </c>
    </row>
    <row r="4210" spans="1:15" ht="31.5">
      <c r="A4210" s="16" t="s">
        <v>17</v>
      </c>
      <c r="B4210" s="16" t="s">
        <v>80</v>
      </c>
      <c r="C4210" s="17" t="s">
        <v>19</v>
      </c>
      <c r="D4210" s="18" t="s">
        <v>2368</v>
      </c>
      <c r="E4210" s="18">
        <v>4</v>
      </c>
      <c r="F4210" s="18" t="s">
        <v>38</v>
      </c>
      <c r="G4210" s="18" t="s">
        <v>39</v>
      </c>
      <c r="H4210" s="21"/>
      <c r="I4210" s="19">
        <v>350</v>
      </c>
      <c r="J4210" s="20">
        <f t="shared" si="130"/>
        <v>1400</v>
      </c>
      <c r="K4210" s="106"/>
      <c r="L4210" s="114"/>
      <c r="M4210" s="114">
        <f>tblAquisições[[#This Row],[VALOR UNITARIO COMPRADO]]*tblAquisições[[#This Row],[QUANTIDADE COMPRADA]]</f>
        <v>0</v>
      </c>
      <c r="N4210" s="110">
        <f>K4210-tblAquisições[[#This Row],[QUANTIDADE PLANEJADA]]</f>
        <v>-4</v>
      </c>
      <c r="O4210" s="106" t="str">
        <f t="shared" si="131"/>
        <v>Faltando Comprar</v>
      </c>
    </row>
    <row r="4211" spans="1:15" ht="31.5">
      <c r="A4211" s="16" t="s">
        <v>17</v>
      </c>
      <c r="B4211" s="16" t="s">
        <v>28</v>
      </c>
      <c r="C4211" s="17" t="s">
        <v>19</v>
      </c>
      <c r="D4211" s="18" t="s">
        <v>2369</v>
      </c>
      <c r="E4211" s="18">
        <v>50</v>
      </c>
      <c r="F4211" s="18" t="s">
        <v>21</v>
      </c>
      <c r="G4211" s="18" t="s">
        <v>22</v>
      </c>
      <c r="H4211" s="18" t="s">
        <v>23</v>
      </c>
      <c r="I4211" s="19">
        <v>170</v>
      </c>
      <c r="J4211" s="20">
        <f t="shared" si="130"/>
        <v>8500</v>
      </c>
      <c r="K4211" s="106"/>
      <c r="L4211" s="114"/>
      <c r="M4211" s="114">
        <f>tblAquisições[[#This Row],[VALOR UNITARIO COMPRADO]]*tblAquisições[[#This Row],[QUANTIDADE COMPRADA]]</f>
        <v>0</v>
      </c>
      <c r="N4211" s="110">
        <f>K4211-tblAquisições[[#This Row],[QUANTIDADE PLANEJADA]]</f>
        <v>-50</v>
      </c>
      <c r="O4211" s="106" t="str">
        <f t="shared" si="131"/>
        <v>Faltando Comprar</v>
      </c>
    </row>
    <row r="4212" spans="1:15" ht="31.5">
      <c r="A4212" s="16" t="s">
        <v>17</v>
      </c>
      <c r="B4212" s="16" t="s">
        <v>31</v>
      </c>
      <c r="C4212" s="17" t="s">
        <v>19</v>
      </c>
      <c r="D4212" s="18" t="s">
        <v>2370</v>
      </c>
      <c r="E4212" s="18">
        <v>2</v>
      </c>
      <c r="F4212" s="18" t="s">
        <v>328</v>
      </c>
      <c r="G4212" s="18" t="s">
        <v>22</v>
      </c>
      <c r="H4212" s="18" t="s">
        <v>23</v>
      </c>
      <c r="I4212" s="19">
        <v>1106</v>
      </c>
      <c r="J4212" s="20">
        <f t="shared" si="130"/>
        <v>2212</v>
      </c>
      <c r="K4212" s="106"/>
      <c r="L4212" s="114"/>
      <c r="M4212" s="114">
        <f>tblAquisições[[#This Row],[VALOR UNITARIO COMPRADO]]*tblAquisições[[#This Row],[QUANTIDADE COMPRADA]]</f>
        <v>0</v>
      </c>
      <c r="N4212" s="110">
        <f>K4212-tblAquisições[[#This Row],[QUANTIDADE PLANEJADA]]</f>
        <v>-2</v>
      </c>
      <c r="O4212" s="106" t="str">
        <f t="shared" si="131"/>
        <v>Faltando Comprar</v>
      </c>
    </row>
    <row r="4213" spans="1:15" ht="31.5">
      <c r="A4213" s="16" t="s">
        <v>17</v>
      </c>
      <c r="B4213" s="16" t="s">
        <v>34</v>
      </c>
      <c r="C4213" s="17" t="s">
        <v>19</v>
      </c>
      <c r="D4213" s="18" t="s">
        <v>2371</v>
      </c>
      <c r="E4213" s="18">
        <v>1</v>
      </c>
      <c r="F4213" s="18" t="s">
        <v>328</v>
      </c>
      <c r="G4213" s="18" t="s">
        <v>22</v>
      </c>
      <c r="H4213" s="18" t="s">
        <v>23</v>
      </c>
      <c r="I4213" s="19">
        <v>130</v>
      </c>
      <c r="J4213" s="20">
        <f t="shared" si="130"/>
        <v>130</v>
      </c>
      <c r="K4213" s="106"/>
      <c r="L4213" s="114"/>
      <c r="M4213" s="114">
        <f>tblAquisições[[#This Row],[VALOR UNITARIO COMPRADO]]*tblAquisições[[#This Row],[QUANTIDADE COMPRADA]]</f>
        <v>0</v>
      </c>
      <c r="N4213" s="110">
        <f>K4213-tblAquisições[[#This Row],[QUANTIDADE PLANEJADA]]</f>
        <v>-1</v>
      </c>
      <c r="O4213" s="106" t="str">
        <f t="shared" si="131"/>
        <v>Faltando Comprar</v>
      </c>
    </row>
    <row r="4214" spans="1:15" ht="31.5">
      <c r="A4214" s="16" t="s">
        <v>17</v>
      </c>
      <c r="B4214" s="16" t="s">
        <v>26</v>
      </c>
      <c r="C4214" s="17" t="s">
        <v>19</v>
      </c>
      <c r="D4214" s="18" t="s">
        <v>2372</v>
      </c>
      <c r="E4214" s="18">
        <v>10</v>
      </c>
      <c r="F4214" s="18" t="s">
        <v>30</v>
      </c>
      <c r="G4214" s="18" t="s">
        <v>22</v>
      </c>
      <c r="H4214" s="18" t="s">
        <v>23</v>
      </c>
      <c r="I4214" s="19">
        <v>2.97</v>
      </c>
      <c r="J4214" s="20">
        <f t="shared" si="130"/>
        <v>29.700000000000003</v>
      </c>
      <c r="K4214" s="106"/>
      <c r="L4214" s="114"/>
      <c r="M4214" s="114">
        <f>tblAquisições[[#This Row],[VALOR UNITARIO COMPRADO]]*tblAquisições[[#This Row],[QUANTIDADE COMPRADA]]</f>
        <v>0</v>
      </c>
      <c r="N4214" s="110">
        <f>K4214-tblAquisições[[#This Row],[QUANTIDADE PLANEJADA]]</f>
        <v>-10</v>
      </c>
      <c r="O4214" s="106" t="str">
        <f t="shared" si="131"/>
        <v>Faltando Comprar</v>
      </c>
    </row>
    <row r="4215" spans="1:15" ht="31.5">
      <c r="A4215" s="16" t="s">
        <v>17</v>
      </c>
      <c r="B4215" s="16" t="s">
        <v>17</v>
      </c>
      <c r="C4215" s="17" t="s">
        <v>19</v>
      </c>
      <c r="D4215" s="18" t="s">
        <v>2373</v>
      </c>
      <c r="E4215" s="18">
        <v>400</v>
      </c>
      <c r="F4215" s="18" t="s">
        <v>38</v>
      </c>
      <c r="G4215" s="18" t="s">
        <v>39</v>
      </c>
      <c r="H4215" s="18" t="s">
        <v>23</v>
      </c>
      <c r="I4215" s="19">
        <v>1.17</v>
      </c>
      <c r="J4215" s="20">
        <f t="shared" si="130"/>
        <v>468</v>
      </c>
      <c r="K4215" s="106"/>
      <c r="L4215" s="114"/>
      <c r="M4215" s="114">
        <f>tblAquisições[[#This Row],[VALOR UNITARIO COMPRADO]]*tblAquisições[[#This Row],[QUANTIDADE COMPRADA]]</f>
        <v>0</v>
      </c>
      <c r="N4215" s="110">
        <f>K4215-tblAquisições[[#This Row],[QUANTIDADE PLANEJADA]]</f>
        <v>-400</v>
      </c>
      <c r="O4215" s="106" t="str">
        <f t="shared" si="131"/>
        <v>Faltando Comprar</v>
      </c>
    </row>
    <row r="4216" spans="1:15" ht="31.5">
      <c r="A4216" s="16" t="s">
        <v>17</v>
      </c>
      <c r="B4216" s="16" t="s">
        <v>34</v>
      </c>
      <c r="C4216" s="17" t="s">
        <v>19</v>
      </c>
      <c r="D4216" s="18" t="s">
        <v>2374</v>
      </c>
      <c r="E4216" s="18">
        <v>20</v>
      </c>
      <c r="F4216" s="18" t="s">
        <v>21</v>
      </c>
      <c r="G4216" s="18" t="s">
        <v>22</v>
      </c>
      <c r="H4216" s="18" t="s">
        <v>23</v>
      </c>
      <c r="I4216" s="19">
        <v>1.17</v>
      </c>
      <c r="J4216" s="20">
        <f t="shared" si="130"/>
        <v>23.4</v>
      </c>
      <c r="K4216" s="106"/>
      <c r="L4216" s="114"/>
      <c r="M4216" s="114">
        <f>tblAquisições[[#This Row],[VALOR UNITARIO COMPRADO]]*tblAquisições[[#This Row],[QUANTIDADE COMPRADA]]</f>
        <v>0</v>
      </c>
      <c r="N4216" s="110">
        <f>K4216-tblAquisições[[#This Row],[QUANTIDADE PLANEJADA]]</f>
        <v>-20</v>
      </c>
      <c r="O4216" s="106" t="str">
        <f t="shared" si="131"/>
        <v>Faltando Comprar</v>
      </c>
    </row>
    <row r="4217" spans="1:15" ht="31.5">
      <c r="A4217" s="16" t="s">
        <v>17</v>
      </c>
      <c r="B4217" s="16" t="s">
        <v>31</v>
      </c>
      <c r="C4217" s="17" t="s">
        <v>19</v>
      </c>
      <c r="D4217" s="18" t="s">
        <v>2374</v>
      </c>
      <c r="E4217" s="18">
        <v>50</v>
      </c>
      <c r="F4217" s="18" t="s">
        <v>21</v>
      </c>
      <c r="G4217" s="18" t="s">
        <v>22</v>
      </c>
      <c r="H4217" s="18" t="s">
        <v>23</v>
      </c>
      <c r="I4217" s="19">
        <v>1.17</v>
      </c>
      <c r="J4217" s="20">
        <f t="shared" si="130"/>
        <v>58.5</v>
      </c>
      <c r="K4217" s="106"/>
      <c r="L4217" s="114"/>
      <c r="M4217" s="114">
        <f>tblAquisições[[#This Row],[VALOR UNITARIO COMPRADO]]*tblAquisições[[#This Row],[QUANTIDADE COMPRADA]]</f>
        <v>0</v>
      </c>
      <c r="N4217" s="110">
        <f>K4217-tblAquisições[[#This Row],[QUANTIDADE PLANEJADA]]</f>
        <v>-50</v>
      </c>
      <c r="O4217" s="106" t="str">
        <f t="shared" si="131"/>
        <v>Faltando Comprar</v>
      </c>
    </row>
    <row r="4218" spans="1:15" ht="31.5">
      <c r="A4218" s="16" t="s">
        <v>17</v>
      </c>
      <c r="B4218" s="16" t="s">
        <v>18</v>
      </c>
      <c r="C4218" s="17" t="s">
        <v>19</v>
      </c>
      <c r="D4218" s="18" t="s">
        <v>2374</v>
      </c>
      <c r="E4218" s="18">
        <v>200</v>
      </c>
      <c r="F4218" s="18" t="s">
        <v>21</v>
      </c>
      <c r="G4218" s="18" t="s">
        <v>22</v>
      </c>
      <c r="H4218" s="18" t="s">
        <v>23</v>
      </c>
      <c r="I4218" s="19">
        <v>1.17</v>
      </c>
      <c r="J4218" s="20">
        <f t="shared" si="130"/>
        <v>234</v>
      </c>
      <c r="K4218" s="106"/>
      <c r="L4218" s="114"/>
      <c r="M4218" s="114">
        <f>tblAquisições[[#This Row],[VALOR UNITARIO COMPRADO]]*tblAquisições[[#This Row],[QUANTIDADE COMPRADA]]</f>
        <v>0</v>
      </c>
      <c r="N4218" s="110">
        <f>K4218-tblAquisições[[#This Row],[QUANTIDADE PLANEJADA]]</f>
        <v>-200</v>
      </c>
      <c r="O4218" s="106" t="str">
        <f t="shared" si="131"/>
        <v>Faltando Comprar</v>
      </c>
    </row>
    <row r="4219" spans="1:15" ht="31.5">
      <c r="A4219" s="16" t="s">
        <v>17</v>
      </c>
      <c r="B4219" s="16" t="s">
        <v>24</v>
      </c>
      <c r="C4219" s="17" t="s">
        <v>19</v>
      </c>
      <c r="D4219" s="18" t="s">
        <v>2374</v>
      </c>
      <c r="E4219" s="18">
        <v>200</v>
      </c>
      <c r="F4219" s="18" t="s">
        <v>21</v>
      </c>
      <c r="G4219" s="18" t="s">
        <v>22</v>
      </c>
      <c r="H4219" s="18" t="s">
        <v>23</v>
      </c>
      <c r="I4219" s="19">
        <v>1.17</v>
      </c>
      <c r="J4219" s="20">
        <f t="shared" si="130"/>
        <v>234</v>
      </c>
      <c r="K4219" s="106"/>
      <c r="L4219" s="114"/>
      <c r="M4219" s="114">
        <f>tblAquisições[[#This Row],[VALOR UNITARIO COMPRADO]]*tblAquisições[[#This Row],[QUANTIDADE COMPRADA]]</f>
        <v>0</v>
      </c>
      <c r="N4219" s="110">
        <f>K4219-tblAquisições[[#This Row],[QUANTIDADE PLANEJADA]]</f>
        <v>-200</v>
      </c>
      <c r="O4219" s="106" t="str">
        <f t="shared" si="131"/>
        <v>Faltando Comprar</v>
      </c>
    </row>
    <row r="4220" spans="1:15" ht="31.5">
      <c r="A4220" s="16" t="s">
        <v>17</v>
      </c>
      <c r="B4220" s="16" t="s">
        <v>25</v>
      </c>
      <c r="C4220" s="17" t="s">
        <v>19</v>
      </c>
      <c r="D4220" s="18" t="s">
        <v>2374</v>
      </c>
      <c r="E4220" s="18">
        <v>200</v>
      </c>
      <c r="F4220" s="18" t="s">
        <v>21</v>
      </c>
      <c r="G4220" s="18" t="s">
        <v>22</v>
      </c>
      <c r="H4220" s="18" t="s">
        <v>23</v>
      </c>
      <c r="I4220" s="19">
        <v>1.17</v>
      </c>
      <c r="J4220" s="20">
        <f t="shared" si="130"/>
        <v>234</v>
      </c>
      <c r="K4220" s="106"/>
      <c r="L4220" s="114"/>
      <c r="M4220" s="114">
        <f>tblAquisições[[#This Row],[VALOR UNITARIO COMPRADO]]*tblAquisições[[#This Row],[QUANTIDADE COMPRADA]]</f>
        <v>0</v>
      </c>
      <c r="N4220" s="110">
        <f>K4220-tblAquisições[[#This Row],[QUANTIDADE PLANEJADA]]</f>
        <v>-200</v>
      </c>
      <c r="O4220" s="106" t="str">
        <f t="shared" si="131"/>
        <v>Faltando Comprar</v>
      </c>
    </row>
    <row r="4221" spans="1:15" ht="31.5">
      <c r="A4221" s="16" t="s">
        <v>17</v>
      </c>
      <c r="B4221" s="16" t="s">
        <v>41</v>
      </c>
      <c r="C4221" s="17" t="s">
        <v>19</v>
      </c>
      <c r="D4221" s="18" t="s">
        <v>2374</v>
      </c>
      <c r="E4221" s="18">
        <v>100</v>
      </c>
      <c r="F4221" s="18" t="s">
        <v>21</v>
      </c>
      <c r="G4221" s="18" t="s">
        <v>22</v>
      </c>
      <c r="H4221" s="18" t="s">
        <v>23</v>
      </c>
      <c r="I4221" s="19">
        <v>1.17</v>
      </c>
      <c r="J4221" s="20">
        <f t="shared" si="130"/>
        <v>117</v>
      </c>
      <c r="K4221" s="106"/>
      <c r="L4221" s="114"/>
      <c r="M4221" s="114">
        <f>tblAquisições[[#This Row],[VALOR UNITARIO COMPRADO]]*tblAquisições[[#This Row],[QUANTIDADE COMPRADA]]</f>
        <v>0</v>
      </c>
      <c r="N4221" s="110">
        <f>K4221-tblAquisições[[#This Row],[QUANTIDADE PLANEJADA]]</f>
        <v>-100</v>
      </c>
      <c r="O4221" s="106" t="str">
        <f t="shared" si="131"/>
        <v>Faltando Comprar</v>
      </c>
    </row>
    <row r="4222" spans="1:15" ht="31.5">
      <c r="A4222" s="16" t="s">
        <v>17</v>
      </c>
      <c r="B4222" s="16" t="s">
        <v>27</v>
      </c>
      <c r="C4222" s="17" t="s">
        <v>19</v>
      </c>
      <c r="D4222" s="18" t="s">
        <v>2374</v>
      </c>
      <c r="E4222" s="18">
        <v>100</v>
      </c>
      <c r="F4222" s="18" t="s">
        <v>21</v>
      </c>
      <c r="G4222" s="18" t="s">
        <v>22</v>
      </c>
      <c r="H4222" s="18" t="s">
        <v>23</v>
      </c>
      <c r="I4222" s="19">
        <v>1.17</v>
      </c>
      <c r="J4222" s="20">
        <f t="shared" si="130"/>
        <v>117</v>
      </c>
      <c r="K4222" s="106"/>
      <c r="L4222" s="114"/>
      <c r="M4222" s="114">
        <f>tblAquisições[[#This Row],[VALOR UNITARIO COMPRADO]]*tblAquisições[[#This Row],[QUANTIDADE COMPRADA]]</f>
        <v>0</v>
      </c>
      <c r="N4222" s="110">
        <f>K4222-tblAquisições[[#This Row],[QUANTIDADE PLANEJADA]]</f>
        <v>-100</v>
      </c>
      <c r="O4222" s="106" t="str">
        <f t="shared" si="131"/>
        <v>Faltando Comprar</v>
      </c>
    </row>
    <row r="4223" spans="1:15" ht="31.5">
      <c r="A4223" s="16" t="s">
        <v>17</v>
      </c>
      <c r="B4223" s="16" t="s">
        <v>28</v>
      </c>
      <c r="C4223" s="17" t="s">
        <v>19</v>
      </c>
      <c r="D4223" s="18" t="s">
        <v>2374</v>
      </c>
      <c r="E4223" s="18">
        <v>400</v>
      </c>
      <c r="F4223" s="18" t="s">
        <v>21</v>
      </c>
      <c r="G4223" s="18" t="s">
        <v>22</v>
      </c>
      <c r="H4223" s="18" t="s">
        <v>23</v>
      </c>
      <c r="I4223" s="19">
        <v>1.17</v>
      </c>
      <c r="J4223" s="20">
        <f t="shared" si="130"/>
        <v>468</v>
      </c>
      <c r="K4223" s="106"/>
      <c r="L4223" s="114"/>
      <c r="M4223" s="114">
        <f>tblAquisições[[#This Row],[VALOR UNITARIO COMPRADO]]*tblAquisições[[#This Row],[QUANTIDADE COMPRADA]]</f>
        <v>0</v>
      </c>
      <c r="N4223" s="110">
        <f>K4223-tblAquisições[[#This Row],[QUANTIDADE PLANEJADA]]</f>
        <v>-400</v>
      </c>
      <c r="O4223" s="106" t="str">
        <f t="shared" si="131"/>
        <v>Faltando Comprar</v>
      </c>
    </row>
    <row r="4224" spans="1:15" ht="47.25">
      <c r="A4224" s="16" t="s">
        <v>17</v>
      </c>
      <c r="B4224" s="16" t="s">
        <v>26</v>
      </c>
      <c r="C4224" s="17" t="s">
        <v>19</v>
      </c>
      <c r="D4224" s="18" t="s">
        <v>2375</v>
      </c>
      <c r="E4224" s="18">
        <v>4</v>
      </c>
      <c r="F4224" s="18" t="s">
        <v>58</v>
      </c>
      <c r="G4224" s="18" t="s">
        <v>22</v>
      </c>
      <c r="H4224" s="18" t="s">
        <v>23</v>
      </c>
      <c r="I4224" s="19">
        <v>22.32</v>
      </c>
      <c r="J4224" s="20">
        <f t="shared" si="130"/>
        <v>89.28</v>
      </c>
      <c r="K4224" s="106"/>
      <c r="L4224" s="114"/>
      <c r="M4224" s="114">
        <f>tblAquisições[[#This Row],[VALOR UNITARIO COMPRADO]]*tblAquisições[[#This Row],[QUANTIDADE COMPRADA]]</f>
        <v>0</v>
      </c>
      <c r="N4224" s="110">
        <f>K4224-tblAquisições[[#This Row],[QUANTIDADE PLANEJADA]]</f>
        <v>-4</v>
      </c>
      <c r="O4224" s="106" t="str">
        <f t="shared" si="131"/>
        <v>Faltando Comprar</v>
      </c>
    </row>
    <row r="4225" spans="1:15" ht="47.25">
      <c r="A4225" s="16" t="s">
        <v>17</v>
      </c>
      <c r="B4225" s="16" t="s">
        <v>28</v>
      </c>
      <c r="C4225" s="17" t="s">
        <v>19</v>
      </c>
      <c r="D4225" s="18" t="s">
        <v>2375</v>
      </c>
      <c r="E4225" s="18">
        <v>2</v>
      </c>
      <c r="F4225" s="18" t="s">
        <v>58</v>
      </c>
      <c r="G4225" s="18" t="s">
        <v>22</v>
      </c>
      <c r="H4225" s="18" t="s">
        <v>23</v>
      </c>
      <c r="I4225" s="19">
        <v>22.32</v>
      </c>
      <c r="J4225" s="20">
        <f t="shared" si="130"/>
        <v>44.64</v>
      </c>
      <c r="K4225" s="106"/>
      <c r="L4225" s="114"/>
      <c r="M4225" s="114">
        <f>tblAquisições[[#This Row],[VALOR UNITARIO COMPRADO]]*tblAquisições[[#This Row],[QUANTIDADE COMPRADA]]</f>
        <v>0</v>
      </c>
      <c r="N4225" s="110">
        <f>K4225-tblAquisições[[#This Row],[QUANTIDADE PLANEJADA]]</f>
        <v>-2</v>
      </c>
      <c r="O4225" s="106" t="str">
        <f t="shared" si="131"/>
        <v>Faltando Comprar</v>
      </c>
    </row>
    <row r="4226" spans="1:15" ht="47.25">
      <c r="A4226" s="16" t="s">
        <v>17</v>
      </c>
      <c r="B4226" s="16" t="s">
        <v>18</v>
      </c>
      <c r="C4226" s="17" t="s">
        <v>19</v>
      </c>
      <c r="D4226" s="18" t="s">
        <v>2376</v>
      </c>
      <c r="E4226" s="18">
        <v>150</v>
      </c>
      <c r="F4226" s="18" t="s">
        <v>78</v>
      </c>
      <c r="G4226" s="18" t="s">
        <v>22</v>
      </c>
      <c r="H4226" s="18" t="s">
        <v>83</v>
      </c>
      <c r="I4226" s="19">
        <v>51.94</v>
      </c>
      <c r="J4226" s="20">
        <f t="shared" ref="J4226:J4289" si="132">E4226*I4226</f>
        <v>7791</v>
      </c>
      <c r="K4226" s="106"/>
      <c r="L4226" s="114"/>
      <c r="M4226" s="114">
        <f>tblAquisições[[#This Row],[VALOR UNITARIO COMPRADO]]*tblAquisições[[#This Row],[QUANTIDADE COMPRADA]]</f>
        <v>0</v>
      </c>
      <c r="N4226" s="110">
        <f>K4226-tblAquisições[[#This Row],[QUANTIDADE PLANEJADA]]</f>
        <v>-150</v>
      </c>
      <c r="O4226" s="106" t="str">
        <f t="shared" ref="O4226:O4289" si="133">IF(K4226=E4226,"OK",IF(K4226&lt;E4226,"Faltando Comprar","Excedente"))</f>
        <v>Faltando Comprar</v>
      </c>
    </row>
    <row r="4227" spans="1:15" ht="47.25">
      <c r="A4227" s="16" t="s">
        <v>17</v>
      </c>
      <c r="B4227" s="16" t="s">
        <v>24</v>
      </c>
      <c r="C4227" s="17" t="s">
        <v>19</v>
      </c>
      <c r="D4227" s="18" t="s">
        <v>2376</v>
      </c>
      <c r="E4227" s="18">
        <v>150</v>
      </c>
      <c r="F4227" s="18" t="s">
        <v>78</v>
      </c>
      <c r="G4227" s="18" t="s">
        <v>22</v>
      </c>
      <c r="H4227" s="18" t="s">
        <v>83</v>
      </c>
      <c r="I4227" s="19">
        <v>51.94</v>
      </c>
      <c r="J4227" s="20">
        <f t="shared" si="132"/>
        <v>7791</v>
      </c>
      <c r="K4227" s="106"/>
      <c r="L4227" s="114"/>
      <c r="M4227" s="114">
        <f>tblAquisições[[#This Row],[VALOR UNITARIO COMPRADO]]*tblAquisições[[#This Row],[QUANTIDADE COMPRADA]]</f>
        <v>0</v>
      </c>
      <c r="N4227" s="110">
        <f>K4227-tblAquisições[[#This Row],[QUANTIDADE PLANEJADA]]</f>
        <v>-150</v>
      </c>
      <c r="O4227" s="106" t="str">
        <f t="shared" si="133"/>
        <v>Faltando Comprar</v>
      </c>
    </row>
    <row r="4228" spans="1:15" ht="47.25">
      <c r="A4228" s="16" t="s">
        <v>17</v>
      </c>
      <c r="B4228" s="16" t="s">
        <v>25</v>
      </c>
      <c r="C4228" s="17" t="s">
        <v>19</v>
      </c>
      <c r="D4228" s="18" t="s">
        <v>2376</v>
      </c>
      <c r="E4228" s="18">
        <v>150</v>
      </c>
      <c r="F4228" s="18" t="s">
        <v>78</v>
      </c>
      <c r="G4228" s="18" t="s">
        <v>22</v>
      </c>
      <c r="H4228" s="18" t="s">
        <v>83</v>
      </c>
      <c r="I4228" s="19">
        <v>51.94</v>
      </c>
      <c r="J4228" s="20">
        <f t="shared" si="132"/>
        <v>7791</v>
      </c>
      <c r="K4228" s="106"/>
      <c r="L4228" s="114"/>
      <c r="M4228" s="114">
        <f>tblAquisições[[#This Row],[VALOR UNITARIO COMPRADO]]*tblAquisições[[#This Row],[QUANTIDADE COMPRADA]]</f>
        <v>0</v>
      </c>
      <c r="N4228" s="110">
        <f>K4228-tblAquisições[[#This Row],[QUANTIDADE PLANEJADA]]</f>
        <v>-150</v>
      </c>
      <c r="O4228" s="106" t="str">
        <f t="shared" si="133"/>
        <v>Faltando Comprar</v>
      </c>
    </row>
    <row r="4229" spans="1:15" ht="31.5">
      <c r="A4229" s="16" t="s">
        <v>17</v>
      </c>
      <c r="B4229" s="16" t="s">
        <v>27</v>
      </c>
      <c r="C4229" s="17" t="s">
        <v>19</v>
      </c>
      <c r="D4229" s="18" t="s">
        <v>2377</v>
      </c>
      <c r="E4229" s="18">
        <v>10</v>
      </c>
      <c r="F4229" s="18" t="s">
        <v>1455</v>
      </c>
      <c r="G4229" s="18" t="s">
        <v>127</v>
      </c>
      <c r="H4229" s="18" t="s">
        <v>23</v>
      </c>
      <c r="I4229" s="19">
        <v>306.35000000000002</v>
      </c>
      <c r="J4229" s="20">
        <f t="shared" si="132"/>
        <v>3063.5</v>
      </c>
      <c r="K4229" s="106"/>
      <c r="L4229" s="114"/>
      <c r="M4229" s="114">
        <f>tblAquisições[[#This Row],[VALOR UNITARIO COMPRADO]]*tblAquisições[[#This Row],[QUANTIDADE COMPRADA]]</f>
        <v>0</v>
      </c>
      <c r="N4229" s="110">
        <f>K4229-tblAquisições[[#This Row],[QUANTIDADE PLANEJADA]]</f>
        <v>-10</v>
      </c>
      <c r="O4229" s="106" t="str">
        <f t="shared" si="133"/>
        <v>Faltando Comprar</v>
      </c>
    </row>
    <row r="4230" spans="1:15" ht="47.25">
      <c r="A4230" s="16" t="s">
        <v>17</v>
      </c>
      <c r="B4230" s="16" t="s">
        <v>26</v>
      </c>
      <c r="C4230" s="17" t="s">
        <v>19</v>
      </c>
      <c r="D4230" s="18" t="s">
        <v>2378</v>
      </c>
      <c r="E4230" s="18">
        <v>10</v>
      </c>
      <c r="F4230" s="18" t="s">
        <v>78</v>
      </c>
      <c r="G4230" s="18" t="s">
        <v>22</v>
      </c>
      <c r="H4230" s="18" t="s">
        <v>23</v>
      </c>
      <c r="I4230" s="19">
        <v>35.92</v>
      </c>
      <c r="J4230" s="20">
        <f t="shared" si="132"/>
        <v>359.20000000000005</v>
      </c>
      <c r="K4230" s="106"/>
      <c r="L4230" s="114"/>
      <c r="M4230" s="114">
        <f>tblAquisições[[#This Row],[VALOR UNITARIO COMPRADO]]*tblAquisições[[#This Row],[QUANTIDADE COMPRADA]]</f>
        <v>0</v>
      </c>
      <c r="N4230" s="110">
        <f>K4230-tblAquisições[[#This Row],[QUANTIDADE PLANEJADA]]</f>
        <v>-10</v>
      </c>
      <c r="O4230" s="106" t="str">
        <f t="shared" si="133"/>
        <v>Faltando Comprar</v>
      </c>
    </row>
    <row r="4231" spans="1:15" ht="47.25">
      <c r="A4231" s="16" t="s">
        <v>17</v>
      </c>
      <c r="B4231" s="16" t="s">
        <v>27</v>
      </c>
      <c r="C4231" s="17" t="s">
        <v>19</v>
      </c>
      <c r="D4231" s="18" t="s">
        <v>2378</v>
      </c>
      <c r="E4231" s="18">
        <v>10</v>
      </c>
      <c r="F4231" s="18" t="s">
        <v>78</v>
      </c>
      <c r="G4231" s="18" t="s">
        <v>22</v>
      </c>
      <c r="H4231" s="18" t="s">
        <v>23</v>
      </c>
      <c r="I4231" s="19">
        <v>35.92</v>
      </c>
      <c r="J4231" s="20">
        <f t="shared" si="132"/>
        <v>359.20000000000005</v>
      </c>
      <c r="K4231" s="106"/>
      <c r="L4231" s="114"/>
      <c r="M4231" s="114">
        <f>tblAquisições[[#This Row],[VALOR UNITARIO COMPRADO]]*tblAquisições[[#This Row],[QUANTIDADE COMPRADA]]</f>
        <v>0</v>
      </c>
      <c r="N4231" s="110">
        <f>K4231-tblAquisições[[#This Row],[QUANTIDADE PLANEJADA]]</f>
        <v>-10</v>
      </c>
      <c r="O4231" s="106" t="str">
        <f t="shared" si="133"/>
        <v>Faltando Comprar</v>
      </c>
    </row>
    <row r="4232" spans="1:15" ht="31.5">
      <c r="A4232" s="16" t="s">
        <v>17</v>
      </c>
      <c r="B4232" s="16" t="s">
        <v>41</v>
      </c>
      <c r="C4232" s="17" t="s">
        <v>19</v>
      </c>
      <c r="D4232" s="18" t="s">
        <v>2379</v>
      </c>
      <c r="E4232" s="18">
        <v>20</v>
      </c>
      <c r="F4232" s="18" t="s">
        <v>21</v>
      </c>
      <c r="G4232" s="18" t="s">
        <v>22</v>
      </c>
      <c r="H4232" s="18" t="s">
        <v>23</v>
      </c>
      <c r="I4232" s="19">
        <v>9.89</v>
      </c>
      <c r="J4232" s="20">
        <f t="shared" si="132"/>
        <v>197.8</v>
      </c>
      <c r="K4232" s="106"/>
      <c r="L4232" s="114"/>
      <c r="M4232" s="114">
        <f>tblAquisições[[#This Row],[VALOR UNITARIO COMPRADO]]*tblAquisições[[#This Row],[QUANTIDADE COMPRADA]]</f>
        <v>0</v>
      </c>
      <c r="N4232" s="110">
        <f>K4232-tblAquisições[[#This Row],[QUANTIDADE PLANEJADA]]</f>
        <v>-20</v>
      </c>
      <c r="O4232" s="106" t="str">
        <f t="shared" si="133"/>
        <v>Faltando Comprar</v>
      </c>
    </row>
    <row r="4233" spans="1:15" ht="47.25">
      <c r="A4233" s="16" t="s">
        <v>17</v>
      </c>
      <c r="B4233" s="16" t="s">
        <v>28</v>
      </c>
      <c r="C4233" s="17" t="s">
        <v>19</v>
      </c>
      <c r="D4233" s="18" t="s">
        <v>2380</v>
      </c>
      <c r="E4233" s="18">
        <v>5</v>
      </c>
      <c r="F4233" s="18" t="s">
        <v>78</v>
      </c>
      <c r="G4233" s="18" t="s">
        <v>22</v>
      </c>
      <c r="H4233" s="18" t="s">
        <v>23</v>
      </c>
      <c r="I4233" s="19">
        <v>600</v>
      </c>
      <c r="J4233" s="20">
        <f t="shared" si="132"/>
        <v>3000</v>
      </c>
      <c r="K4233" s="106"/>
      <c r="L4233" s="114"/>
      <c r="M4233" s="114">
        <f>tblAquisições[[#This Row],[VALOR UNITARIO COMPRADO]]*tblAquisições[[#This Row],[QUANTIDADE COMPRADA]]</f>
        <v>0</v>
      </c>
      <c r="N4233" s="110">
        <f>K4233-tblAquisições[[#This Row],[QUANTIDADE PLANEJADA]]</f>
        <v>-5</v>
      </c>
      <c r="O4233" s="106" t="str">
        <f t="shared" si="133"/>
        <v>Faltando Comprar</v>
      </c>
    </row>
    <row r="4234" spans="1:15" ht="47.25">
      <c r="A4234" s="16" t="s">
        <v>17</v>
      </c>
      <c r="B4234" s="16" t="s">
        <v>26</v>
      </c>
      <c r="C4234" s="17" t="s">
        <v>19</v>
      </c>
      <c r="D4234" s="18" t="s">
        <v>2381</v>
      </c>
      <c r="E4234" s="18">
        <v>20</v>
      </c>
      <c r="F4234" s="18" t="s">
        <v>78</v>
      </c>
      <c r="G4234" s="18" t="s">
        <v>22</v>
      </c>
      <c r="H4234" s="18" t="s">
        <v>23</v>
      </c>
      <c r="I4234" s="19">
        <v>20.62</v>
      </c>
      <c r="J4234" s="20">
        <f t="shared" si="132"/>
        <v>412.40000000000003</v>
      </c>
      <c r="K4234" s="106"/>
      <c r="L4234" s="114"/>
      <c r="M4234" s="114">
        <f>tblAquisições[[#This Row],[VALOR UNITARIO COMPRADO]]*tblAquisições[[#This Row],[QUANTIDADE COMPRADA]]</f>
        <v>0</v>
      </c>
      <c r="N4234" s="110">
        <f>K4234-tblAquisições[[#This Row],[QUANTIDADE PLANEJADA]]</f>
        <v>-20</v>
      </c>
      <c r="O4234" s="106" t="str">
        <f t="shared" si="133"/>
        <v>Faltando Comprar</v>
      </c>
    </row>
    <row r="4235" spans="1:15" ht="31.5">
      <c r="A4235" s="16" t="s">
        <v>17</v>
      </c>
      <c r="B4235" s="16" t="s">
        <v>31</v>
      </c>
      <c r="C4235" s="17" t="s">
        <v>19</v>
      </c>
      <c r="D4235" s="18" t="s">
        <v>2382</v>
      </c>
      <c r="E4235" s="18">
        <v>10</v>
      </c>
      <c r="F4235" s="18" t="s">
        <v>328</v>
      </c>
      <c r="G4235" s="18" t="s">
        <v>22</v>
      </c>
      <c r="H4235" s="18" t="s">
        <v>23</v>
      </c>
      <c r="I4235" s="19">
        <v>16.09</v>
      </c>
      <c r="J4235" s="20">
        <f t="shared" si="132"/>
        <v>160.9</v>
      </c>
      <c r="K4235" s="106"/>
      <c r="L4235" s="114"/>
      <c r="M4235" s="114">
        <f>tblAquisições[[#This Row],[VALOR UNITARIO COMPRADO]]*tblAquisições[[#This Row],[QUANTIDADE COMPRADA]]</f>
        <v>0</v>
      </c>
      <c r="N4235" s="110">
        <f>K4235-tblAquisições[[#This Row],[QUANTIDADE PLANEJADA]]</f>
        <v>-10</v>
      </c>
      <c r="O4235" s="106" t="str">
        <f t="shared" si="133"/>
        <v>Faltando Comprar</v>
      </c>
    </row>
    <row r="4236" spans="1:15" ht="31.5">
      <c r="A4236" s="16" t="s">
        <v>17</v>
      </c>
      <c r="B4236" s="16" t="s">
        <v>18</v>
      </c>
      <c r="C4236" s="17" t="s">
        <v>19</v>
      </c>
      <c r="D4236" s="18" t="s">
        <v>2383</v>
      </c>
      <c r="E4236" s="18">
        <v>200</v>
      </c>
      <c r="F4236" s="18" t="s">
        <v>30</v>
      </c>
      <c r="G4236" s="18" t="s">
        <v>22</v>
      </c>
      <c r="H4236" s="18" t="s">
        <v>83</v>
      </c>
      <c r="I4236" s="19">
        <v>17.8</v>
      </c>
      <c r="J4236" s="20">
        <f t="shared" si="132"/>
        <v>3560</v>
      </c>
      <c r="K4236" s="106"/>
      <c r="L4236" s="114"/>
      <c r="M4236" s="114">
        <f>tblAquisições[[#This Row],[VALOR UNITARIO COMPRADO]]*tblAquisições[[#This Row],[QUANTIDADE COMPRADA]]</f>
        <v>0</v>
      </c>
      <c r="N4236" s="110">
        <f>K4236-tblAquisições[[#This Row],[QUANTIDADE PLANEJADA]]</f>
        <v>-200</v>
      </c>
      <c r="O4236" s="106" t="str">
        <f t="shared" si="133"/>
        <v>Faltando Comprar</v>
      </c>
    </row>
    <row r="4237" spans="1:15" ht="31.5">
      <c r="A4237" s="16" t="s">
        <v>17</v>
      </c>
      <c r="B4237" s="16" t="s">
        <v>24</v>
      </c>
      <c r="C4237" s="17" t="s">
        <v>19</v>
      </c>
      <c r="D4237" s="18" t="s">
        <v>2383</v>
      </c>
      <c r="E4237" s="18">
        <v>200</v>
      </c>
      <c r="F4237" s="18" t="s">
        <v>30</v>
      </c>
      <c r="G4237" s="18" t="s">
        <v>22</v>
      </c>
      <c r="H4237" s="18" t="s">
        <v>83</v>
      </c>
      <c r="I4237" s="19">
        <v>17.8</v>
      </c>
      <c r="J4237" s="20">
        <f t="shared" si="132"/>
        <v>3560</v>
      </c>
      <c r="K4237" s="106"/>
      <c r="L4237" s="114"/>
      <c r="M4237" s="114">
        <f>tblAquisições[[#This Row],[VALOR UNITARIO COMPRADO]]*tblAquisições[[#This Row],[QUANTIDADE COMPRADA]]</f>
        <v>0</v>
      </c>
      <c r="N4237" s="110">
        <f>K4237-tblAquisições[[#This Row],[QUANTIDADE PLANEJADA]]</f>
        <v>-200</v>
      </c>
      <c r="O4237" s="106" t="str">
        <f t="shared" si="133"/>
        <v>Faltando Comprar</v>
      </c>
    </row>
    <row r="4238" spans="1:15" ht="31.5">
      <c r="A4238" s="16" t="s">
        <v>17</v>
      </c>
      <c r="B4238" s="16" t="s">
        <v>25</v>
      </c>
      <c r="C4238" s="17" t="s">
        <v>19</v>
      </c>
      <c r="D4238" s="18" t="s">
        <v>2383</v>
      </c>
      <c r="E4238" s="18">
        <v>200</v>
      </c>
      <c r="F4238" s="18" t="s">
        <v>30</v>
      </c>
      <c r="G4238" s="18" t="s">
        <v>22</v>
      </c>
      <c r="H4238" s="18" t="s">
        <v>83</v>
      </c>
      <c r="I4238" s="19">
        <v>17.8</v>
      </c>
      <c r="J4238" s="20">
        <f t="shared" si="132"/>
        <v>3560</v>
      </c>
      <c r="K4238" s="106"/>
      <c r="L4238" s="114"/>
      <c r="M4238" s="114">
        <f>tblAquisições[[#This Row],[VALOR UNITARIO COMPRADO]]*tblAquisições[[#This Row],[QUANTIDADE COMPRADA]]</f>
        <v>0</v>
      </c>
      <c r="N4238" s="110">
        <f>K4238-tblAquisições[[#This Row],[QUANTIDADE PLANEJADA]]</f>
        <v>-200</v>
      </c>
      <c r="O4238" s="106" t="str">
        <f t="shared" si="133"/>
        <v>Faltando Comprar</v>
      </c>
    </row>
    <row r="4239" spans="1:15" ht="31.5">
      <c r="A4239" s="16" t="s">
        <v>17</v>
      </c>
      <c r="B4239" s="16" t="s">
        <v>27</v>
      </c>
      <c r="C4239" s="17" t="s">
        <v>19</v>
      </c>
      <c r="D4239" s="18" t="s">
        <v>2383</v>
      </c>
      <c r="E4239" s="18">
        <v>200</v>
      </c>
      <c r="F4239" s="18" t="s">
        <v>30</v>
      </c>
      <c r="G4239" s="18" t="s">
        <v>22</v>
      </c>
      <c r="H4239" s="18" t="s">
        <v>23</v>
      </c>
      <c r="I4239" s="19">
        <v>17.8</v>
      </c>
      <c r="J4239" s="20">
        <f t="shared" si="132"/>
        <v>3560</v>
      </c>
      <c r="K4239" s="106"/>
      <c r="L4239" s="114"/>
      <c r="M4239" s="114">
        <f>tblAquisições[[#This Row],[VALOR UNITARIO COMPRADO]]*tblAquisições[[#This Row],[QUANTIDADE COMPRADA]]</f>
        <v>0</v>
      </c>
      <c r="N4239" s="110">
        <f>K4239-tblAquisições[[#This Row],[QUANTIDADE PLANEJADA]]</f>
        <v>-200</v>
      </c>
      <c r="O4239" s="106" t="str">
        <f t="shared" si="133"/>
        <v>Faltando Comprar</v>
      </c>
    </row>
    <row r="4240" spans="1:15" ht="31.5">
      <c r="A4240" s="16" t="s">
        <v>17</v>
      </c>
      <c r="B4240" s="16" t="s">
        <v>31</v>
      </c>
      <c r="C4240" s="17" t="s">
        <v>19</v>
      </c>
      <c r="D4240" s="18" t="s">
        <v>2384</v>
      </c>
      <c r="E4240" s="18">
        <v>2</v>
      </c>
      <c r="F4240" s="18" t="s">
        <v>328</v>
      </c>
      <c r="G4240" s="18" t="s">
        <v>22</v>
      </c>
      <c r="H4240" s="18" t="s">
        <v>23</v>
      </c>
      <c r="I4240" s="19">
        <v>50.38</v>
      </c>
      <c r="J4240" s="20">
        <f t="shared" si="132"/>
        <v>100.76</v>
      </c>
      <c r="K4240" s="106"/>
      <c r="L4240" s="114"/>
      <c r="M4240" s="114">
        <f>tblAquisições[[#This Row],[VALOR UNITARIO COMPRADO]]*tblAquisições[[#This Row],[QUANTIDADE COMPRADA]]</f>
        <v>0</v>
      </c>
      <c r="N4240" s="110">
        <f>K4240-tblAquisições[[#This Row],[QUANTIDADE PLANEJADA]]</f>
        <v>-2</v>
      </c>
      <c r="O4240" s="106" t="str">
        <f t="shared" si="133"/>
        <v>Faltando Comprar</v>
      </c>
    </row>
    <row r="4241" spans="1:15" ht="31.5">
      <c r="A4241" s="16" t="s">
        <v>17</v>
      </c>
      <c r="B4241" s="16" t="s">
        <v>18</v>
      </c>
      <c r="C4241" s="17" t="s">
        <v>19</v>
      </c>
      <c r="D4241" s="18" t="s">
        <v>2384</v>
      </c>
      <c r="E4241" s="18">
        <v>4</v>
      </c>
      <c r="F4241" s="18" t="s">
        <v>328</v>
      </c>
      <c r="G4241" s="18" t="s">
        <v>22</v>
      </c>
      <c r="H4241" s="18" t="s">
        <v>53</v>
      </c>
      <c r="I4241" s="19">
        <v>50.38</v>
      </c>
      <c r="J4241" s="20">
        <f t="shared" si="132"/>
        <v>201.52</v>
      </c>
      <c r="K4241" s="106"/>
      <c r="L4241" s="114"/>
      <c r="M4241" s="114">
        <f>tblAquisições[[#This Row],[VALOR UNITARIO COMPRADO]]*tblAquisições[[#This Row],[QUANTIDADE COMPRADA]]</f>
        <v>0</v>
      </c>
      <c r="N4241" s="110">
        <f>K4241-tblAquisições[[#This Row],[QUANTIDADE PLANEJADA]]</f>
        <v>-4</v>
      </c>
      <c r="O4241" s="106" t="str">
        <f t="shared" si="133"/>
        <v>Faltando Comprar</v>
      </c>
    </row>
    <row r="4242" spans="1:15" ht="31.5">
      <c r="A4242" s="16" t="s">
        <v>17</v>
      </c>
      <c r="B4242" s="16" t="s">
        <v>24</v>
      </c>
      <c r="C4242" s="17" t="s">
        <v>19</v>
      </c>
      <c r="D4242" s="18" t="s">
        <v>2384</v>
      </c>
      <c r="E4242" s="18">
        <v>4</v>
      </c>
      <c r="F4242" s="18" t="s">
        <v>328</v>
      </c>
      <c r="G4242" s="18" t="s">
        <v>22</v>
      </c>
      <c r="H4242" s="18" t="s">
        <v>53</v>
      </c>
      <c r="I4242" s="19">
        <v>50.38</v>
      </c>
      <c r="J4242" s="20">
        <f t="shared" si="132"/>
        <v>201.52</v>
      </c>
      <c r="K4242" s="106"/>
      <c r="L4242" s="114"/>
      <c r="M4242" s="114">
        <f>tblAquisições[[#This Row],[VALOR UNITARIO COMPRADO]]*tblAquisições[[#This Row],[QUANTIDADE COMPRADA]]</f>
        <v>0</v>
      </c>
      <c r="N4242" s="110">
        <f>K4242-tblAquisições[[#This Row],[QUANTIDADE PLANEJADA]]</f>
        <v>-4</v>
      </c>
      <c r="O4242" s="106" t="str">
        <f t="shared" si="133"/>
        <v>Faltando Comprar</v>
      </c>
    </row>
    <row r="4243" spans="1:15" ht="31.5">
      <c r="A4243" s="16" t="s">
        <v>17</v>
      </c>
      <c r="B4243" s="16" t="s">
        <v>25</v>
      </c>
      <c r="C4243" s="17" t="s">
        <v>19</v>
      </c>
      <c r="D4243" s="18" t="s">
        <v>2384</v>
      </c>
      <c r="E4243" s="18">
        <v>4</v>
      </c>
      <c r="F4243" s="18" t="s">
        <v>328</v>
      </c>
      <c r="G4243" s="18" t="s">
        <v>22</v>
      </c>
      <c r="H4243" s="18" t="s">
        <v>53</v>
      </c>
      <c r="I4243" s="19">
        <v>50.38</v>
      </c>
      <c r="J4243" s="20">
        <f t="shared" si="132"/>
        <v>201.52</v>
      </c>
      <c r="K4243" s="106"/>
      <c r="L4243" s="114"/>
      <c r="M4243" s="114">
        <f>tblAquisições[[#This Row],[VALOR UNITARIO COMPRADO]]*tblAquisições[[#This Row],[QUANTIDADE COMPRADA]]</f>
        <v>0</v>
      </c>
      <c r="N4243" s="110">
        <f>K4243-tblAquisições[[#This Row],[QUANTIDADE PLANEJADA]]</f>
        <v>-4</v>
      </c>
      <c r="O4243" s="106" t="str">
        <f t="shared" si="133"/>
        <v>Faltando Comprar</v>
      </c>
    </row>
    <row r="4244" spans="1:15" ht="31.5">
      <c r="A4244" s="16" t="s">
        <v>17</v>
      </c>
      <c r="B4244" s="16" t="s">
        <v>41</v>
      </c>
      <c r="C4244" s="17" t="s">
        <v>19</v>
      </c>
      <c r="D4244" s="18" t="s">
        <v>2384</v>
      </c>
      <c r="E4244" s="18">
        <v>2</v>
      </c>
      <c r="F4244" s="18" t="s">
        <v>328</v>
      </c>
      <c r="G4244" s="18" t="s">
        <v>22</v>
      </c>
      <c r="H4244" s="18" t="s">
        <v>23</v>
      </c>
      <c r="I4244" s="19">
        <v>50.38</v>
      </c>
      <c r="J4244" s="20">
        <f t="shared" si="132"/>
        <v>100.76</v>
      </c>
      <c r="K4244" s="106"/>
      <c r="L4244" s="114"/>
      <c r="M4244" s="114">
        <f>tblAquisições[[#This Row],[VALOR UNITARIO COMPRADO]]*tblAquisições[[#This Row],[QUANTIDADE COMPRADA]]</f>
        <v>0</v>
      </c>
      <c r="N4244" s="110">
        <f>K4244-tblAquisições[[#This Row],[QUANTIDADE PLANEJADA]]</f>
        <v>-2</v>
      </c>
      <c r="O4244" s="106" t="str">
        <f t="shared" si="133"/>
        <v>Faltando Comprar</v>
      </c>
    </row>
    <row r="4245" spans="1:15" ht="31.5">
      <c r="A4245" s="16" t="s">
        <v>17</v>
      </c>
      <c r="B4245" s="16" t="s">
        <v>27</v>
      </c>
      <c r="C4245" s="17" t="s">
        <v>19</v>
      </c>
      <c r="D4245" s="18" t="s">
        <v>2384</v>
      </c>
      <c r="E4245" s="18">
        <v>3</v>
      </c>
      <c r="F4245" s="18" t="s">
        <v>328</v>
      </c>
      <c r="G4245" s="18" t="s">
        <v>22</v>
      </c>
      <c r="H4245" s="18" t="s">
        <v>23</v>
      </c>
      <c r="I4245" s="19">
        <v>50.38</v>
      </c>
      <c r="J4245" s="20">
        <f t="shared" si="132"/>
        <v>151.14000000000001</v>
      </c>
      <c r="K4245" s="106"/>
      <c r="L4245" s="114"/>
      <c r="M4245" s="114">
        <f>tblAquisições[[#This Row],[VALOR UNITARIO COMPRADO]]*tblAquisições[[#This Row],[QUANTIDADE COMPRADA]]</f>
        <v>0</v>
      </c>
      <c r="N4245" s="110">
        <f>K4245-tblAquisições[[#This Row],[QUANTIDADE PLANEJADA]]</f>
        <v>-3</v>
      </c>
      <c r="O4245" s="106" t="str">
        <f t="shared" si="133"/>
        <v>Faltando Comprar</v>
      </c>
    </row>
    <row r="4246" spans="1:15" ht="31.5">
      <c r="A4246" s="16" t="s">
        <v>17</v>
      </c>
      <c r="B4246" s="16" t="s">
        <v>28</v>
      </c>
      <c r="C4246" s="17" t="s">
        <v>19</v>
      </c>
      <c r="D4246" s="18" t="s">
        <v>2384</v>
      </c>
      <c r="E4246" s="18">
        <v>3</v>
      </c>
      <c r="F4246" s="18" t="s">
        <v>328</v>
      </c>
      <c r="G4246" s="18" t="s">
        <v>22</v>
      </c>
      <c r="H4246" s="18" t="s">
        <v>23</v>
      </c>
      <c r="I4246" s="19">
        <v>50.38</v>
      </c>
      <c r="J4246" s="20">
        <f t="shared" si="132"/>
        <v>151.14000000000001</v>
      </c>
      <c r="K4246" s="106"/>
      <c r="L4246" s="114"/>
      <c r="M4246" s="114">
        <f>tblAquisições[[#This Row],[VALOR UNITARIO COMPRADO]]*tblAquisições[[#This Row],[QUANTIDADE COMPRADA]]</f>
        <v>0</v>
      </c>
      <c r="N4246" s="110">
        <f>K4246-tblAquisições[[#This Row],[QUANTIDADE PLANEJADA]]</f>
        <v>-3</v>
      </c>
      <c r="O4246" s="106" t="str">
        <f t="shared" si="133"/>
        <v>Faltando Comprar</v>
      </c>
    </row>
    <row r="4247" spans="1:15" ht="31.5">
      <c r="A4247" s="16" t="s">
        <v>17</v>
      </c>
      <c r="B4247" s="16" t="s">
        <v>18</v>
      </c>
      <c r="C4247" s="17" t="s">
        <v>19</v>
      </c>
      <c r="D4247" s="18" t="s">
        <v>2385</v>
      </c>
      <c r="E4247" s="18">
        <v>10</v>
      </c>
      <c r="F4247" s="18" t="s">
        <v>324</v>
      </c>
      <c r="G4247" s="18" t="s">
        <v>22</v>
      </c>
      <c r="H4247" s="18" t="s">
        <v>23</v>
      </c>
      <c r="I4247" s="19">
        <v>35.32</v>
      </c>
      <c r="J4247" s="20">
        <f t="shared" si="132"/>
        <v>353.2</v>
      </c>
      <c r="K4247" s="106"/>
      <c r="L4247" s="114"/>
      <c r="M4247" s="114">
        <f>tblAquisições[[#This Row],[VALOR UNITARIO COMPRADO]]*tblAquisições[[#This Row],[QUANTIDADE COMPRADA]]</f>
        <v>0</v>
      </c>
      <c r="N4247" s="110">
        <f>K4247-tblAquisições[[#This Row],[QUANTIDADE PLANEJADA]]</f>
        <v>-10</v>
      </c>
      <c r="O4247" s="106" t="str">
        <f t="shared" si="133"/>
        <v>Faltando Comprar</v>
      </c>
    </row>
    <row r="4248" spans="1:15" ht="31.5">
      <c r="A4248" s="16" t="s">
        <v>17</v>
      </c>
      <c r="B4248" s="16" t="s">
        <v>24</v>
      </c>
      <c r="C4248" s="17" t="s">
        <v>19</v>
      </c>
      <c r="D4248" s="18" t="s">
        <v>2385</v>
      </c>
      <c r="E4248" s="18">
        <v>10</v>
      </c>
      <c r="F4248" s="18" t="s">
        <v>324</v>
      </c>
      <c r="G4248" s="18" t="s">
        <v>22</v>
      </c>
      <c r="H4248" s="18" t="s">
        <v>23</v>
      </c>
      <c r="I4248" s="19">
        <v>35.32</v>
      </c>
      <c r="J4248" s="20">
        <f t="shared" si="132"/>
        <v>353.2</v>
      </c>
      <c r="K4248" s="106"/>
      <c r="L4248" s="114"/>
      <c r="M4248" s="114">
        <f>tblAquisições[[#This Row],[VALOR UNITARIO COMPRADO]]*tblAquisições[[#This Row],[QUANTIDADE COMPRADA]]</f>
        <v>0</v>
      </c>
      <c r="N4248" s="110">
        <f>K4248-tblAquisições[[#This Row],[QUANTIDADE PLANEJADA]]</f>
        <v>-10</v>
      </c>
      <c r="O4248" s="106" t="str">
        <f t="shared" si="133"/>
        <v>Faltando Comprar</v>
      </c>
    </row>
    <row r="4249" spans="1:15" ht="31.5">
      <c r="A4249" s="16" t="s">
        <v>17</v>
      </c>
      <c r="B4249" s="16" t="s">
        <v>25</v>
      </c>
      <c r="C4249" s="17" t="s">
        <v>19</v>
      </c>
      <c r="D4249" s="18" t="s">
        <v>2385</v>
      </c>
      <c r="E4249" s="18">
        <v>10</v>
      </c>
      <c r="F4249" s="18" t="s">
        <v>324</v>
      </c>
      <c r="G4249" s="18" t="s">
        <v>22</v>
      </c>
      <c r="H4249" s="18" t="s">
        <v>23</v>
      </c>
      <c r="I4249" s="19">
        <v>35.32</v>
      </c>
      <c r="J4249" s="20">
        <f t="shared" si="132"/>
        <v>353.2</v>
      </c>
      <c r="K4249" s="106"/>
      <c r="L4249" s="114"/>
      <c r="M4249" s="114">
        <f>tblAquisições[[#This Row],[VALOR UNITARIO COMPRADO]]*tblAquisições[[#This Row],[QUANTIDADE COMPRADA]]</f>
        <v>0</v>
      </c>
      <c r="N4249" s="110">
        <f>K4249-tblAquisições[[#This Row],[QUANTIDADE PLANEJADA]]</f>
        <v>-10</v>
      </c>
      <c r="O4249" s="106" t="str">
        <f t="shared" si="133"/>
        <v>Faltando Comprar</v>
      </c>
    </row>
    <row r="4250" spans="1:15" ht="31.5">
      <c r="A4250" s="16" t="s">
        <v>17</v>
      </c>
      <c r="B4250" s="16" t="s">
        <v>27</v>
      </c>
      <c r="C4250" s="17" t="s">
        <v>19</v>
      </c>
      <c r="D4250" s="18" t="s">
        <v>2385</v>
      </c>
      <c r="E4250" s="18">
        <v>20</v>
      </c>
      <c r="F4250" s="18" t="s">
        <v>324</v>
      </c>
      <c r="G4250" s="18" t="s">
        <v>22</v>
      </c>
      <c r="H4250" s="18" t="s">
        <v>23</v>
      </c>
      <c r="I4250" s="19">
        <v>35.32</v>
      </c>
      <c r="J4250" s="20">
        <f t="shared" si="132"/>
        <v>706.4</v>
      </c>
      <c r="K4250" s="106"/>
      <c r="L4250" s="114"/>
      <c r="M4250" s="114">
        <f>tblAquisições[[#This Row],[VALOR UNITARIO COMPRADO]]*tblAquisições[[#This Row],[QUANTIDADE COMPRADA]]</f>
        <v>0</v>
      </c>
      <c r="N4250" s="110">
        <f>K4250-tblAquisições[[#This Row],[QUANTIDADE PLANEJADA]]</f>
        <v>-20</v>
      </c>
      <c r="O4250" s="106" t="str">
        <f t="shared" si="133"/>
        <v>Faltando Comprar</v>
      </c>
    </row>
    <row r="4251" spans="1:15" ht="31.5">
      <c r="A4251" s="16" t="s">
        <v>17</v>
      </c>
      <c r="B4251" s="16" t="s">
        <v>80</v>
      </c>
      <c r="C4251" s="17" t="s">
        <v>19</v>
      </c>
      <c r="D4251" s="18" t="s">
        <v>2386</v>
      </c>
      <c r="E4251" s="18">
        <v>5</v>
      </c>
      <c r="F4251" s="18" t="s">
        <v>82</v>
      </c>
      <c r="G4251" s="18" t="s">
        <v>39</v>
      </c>
      <c r="H4251" s="21"/>
      <c r="I4251" s="19">
        <v>102.33</v>
      </c>
      <c r="J4251" s="20">
        <f t="shared" si="132"/>
        <v>511.65</v>
      </c>
      <c r="K4251" s="106"/>
      <c r="L4251" s="114"/>
      <c r="M4251" s="114">
        <f>tblAquisições[[#This Row],[VALOR UNITARIO COMPRADO]]*tblAquisições[[#This Row],[QUANTIDADE COMPRADA]]</f>
        <v>0</v>
      </c>
      <c r="N4251" s="110">
        <f>K4251-tblAquisições[[#This Row],[QUANTIDADE PLANEJADA]]</f>
        <v>-5</v>
      </c>
      <c r="O4251" s="106" t="str">
        <f t="shared" si="133"/>
        <v>Faltando Comprar</v>
      </c>
    </row>
    <row r="4252" spans="1:15" ht="31.5">
      <c r="A4252" s="16" t="s">
        <v>17</v>
      </c>
      <c r="B4252" s="16" t="s">
        <v>26</v>
      </c>
      <c r="C4252" s="17" t="s">
        <v>19</v>
      </c>
      <c r="D4252" s="18" t="s">
        <v>2387</v>
      </c>
      <c r="E4252" s="18">
        <v>20</v>
      </c>
      <c r="F4252" s="18" t="s">
        <v>30</v>
      </c>
      <c r="G4252" s="18" t="s">
        <v>22</v>
      </c>
      <c r="H4252" s="18" t="s">
        <v>23</v>
      </c>
      <c r="I4252" s="19">
        <v>102.33</v>
      </c>
      <c r="J4252" s="20">
        <f t="shared" si="132"/>
        <v>2046.6</v>
      </c>
      <c r="K4252" s="106"/>
      <c r="L4252" s="114"/>
      <c r="M4252" s="114">
        <f>tblAquisições[[#This Row],[VALOR UNITARIO COMPRADO]]*tblAquisições[[#This Row],[QUANTIDADE COMPRADA]]</f>
        <v>0</v>
      </c>
      <c r="N4252" s="110">
        <f>K4252-tblAquisições[[#This Row],[QUANTIDADE PLANEJADA]]</f>
        <v>-20</v>
      </c>
      <c r="O4252" s="106" t="str">
        <f t="shared" si="133"/>
        <v>Faltando Comprar</v>
      </c>
    </row>
    <row r="4253" spans="1:15" ht="31.5">
      <c r="A4253" s="16" t="s">
        <v>17</v>
      </c>
      <c r="B4253" s="16" t="s">
        <v>80</v>
      </c>
      <c r="C4253" s="17" t="s">
        <v>19</v>
      </c>
      <c r="D4253" s="18" t="s">
        <v>2388</v>
      </c>
      <c r="E4253" s="18">
        <v>100</v>
      </c>
      <c r="F4253" s="18" t="s">
        <v>82</v>
      </c>
      <c r="G4253" s="18" t="s">
        <v>39</v>
      </c>
      <c r="H4253" s="18" t="s">
        <v>83</v>
      </c>
      <c r="I4253" s="19">
        <v>9.52</v>
      </c>
      <c r="J4253" s="20">
        <f t="shared" si="132"/>
        <v>952</v>
      </c>
      <c r="K4253" s="106"/>
      <c r="L4253" s="114"/>
      <c r="M4253" s="114">
        <f>tblAquisições[[#This Row],[VALOR UNITARIO COMPRADO]]*tblAquisições[[#This Row],[QUANTIDADE COMPRADA]]</f>
        <v>0</v>
      </c>
      <c r="N4253" s="110">
        <f>K4253-tblAquisições[[#This Row],[QUANTIDADE PLANEJADA]]</f>
        <v>-100</v>
      </c>
      <c r="O4253" s="106" t="str">
        <f t="shared" si="133"/>
        <v>Faltando Comprar</v>
      </c>
    </row>
    <row r="4254" spans="1:15" ht="63">
      <c r="A4254" s="16" t="s">
        <v>17</v>
      </c>
      <c r="B4254" s="16" t="s">
        <v>18</v>
      </c>
      <c r="C4254" s="17" t="s">
        <v>19</v>
      </c>
      <c r="D4254" s="18" t="s">
        <v>2389</v>
      </c>
      <c r="E4254" s="18">
        <v>10</v>
      </c>
      <c r="F4254" s="18" t="s">
        <v>1371</v>
      </c>
      <c r="G4254" s="18" t="s">
        <v>127</v>
      </c>
      <c r="H4254" s="18" t="s">
        <v>23</v>
      </c>
      <c r="I4254" s="19">
        <v>3500</v>
      </c>
      <c r="J4254" s="20">
        <f t="shared" si="132"/>
        <v>35000</v>
      </c>
      <c r="K4254" s="106"/>
      <c r="L4254" s="114"/>
      <c r="M4254" s="114">
        <f>tblAquisições[[#This Row],[VALOR UNITARIO COMPRADO]]*tblAquisições[[#This Row],[QUANTIDADE COMPRADA]]</f>
        <v>0</v>
      </c>
      <c r="N4254" s="110">
        <f>K4254-tblAquisições[[#This Row],[QUANTIDADE PLANEJADA]]</f>
        <v>-10</v>
      </c>
      <c r="O4254" s="106" t="str">
        <f t="shared" si="133"/>
        <v>Faltando Comprar</v>
      </c>
    </row>
    <row r="4255" spans="1:15" ht="63">
      <c r="A4255" s="16" t="s">
        <v>17</v>
      </c>
      <c r="B4255" s="16" t="s">
        <v>24</v>
      </c>
      <c r="C4255" s="17" t="s">
        <v>19</v>
      </c>
      <c r="D4255" s="18" t="s">
        <v>2389</v>
      </c>
      <c r="E4255" s="18">
        <v>10</v>
      </c>
      <c r="F4255" s="18" t="s">
        <v>1371</v>
      </c>
      <c r="G4255" s="18" t="s">
        <v>127</v>
      </c>
      <c r="H4255" s="18" t="s">
        <v>23</v>
      </c>
      <c r="I4255" s="19">
        <v>3500</v>
      </c>
      <c r="J4255" s="20">
        <f t="shared" si="132"/>
        <v>35000</v>
      </c>
      <c r="K4255" s="106"/>
      <c r="L4255" s="114"/>
      <c r="M4255" s="114">
        <f>tblAquisições[[#This Row],[VALOR UNITARIO COMPRADO]]*tblAquisições[[#This Row],[QUANTIDADE COMPRADA]]</f>
        <v>0</v>
      </c>
      <c r="N4255" s="110">
        <f>K4255-tblAquisições[[#This Row],[QUANTIDADE PLANEJADA]]</f>
        <v>-10</v>
      </c>
      <c r="O4255" s="106" t="str">
        <f t="shared" si="133"/>
        <v>Faltando Comprar</v>
      </c>
    </row>
    <row r="4256" spans="1:15" ht="63">
      <c r="A4256" s="16" t="s">
        <v>17</v>
      </c>
      <c r="B4256" s="16" t="s">
        <v>25</v>
      </c>
      <c r="C4256" s="17" t="s">
        <v>19</v>
      </c>
      <c r="D4256" s="18" t="s">
        <v>2389</v>
      </c>
      <c r="E4256" s="18">
        <v>10</v>
      </c>
      <c r="F4256" s="18" t="s">
        <v>1371</v>
      </c>
      <c r="G4256" s="18" t="s">
        <v>127</v>
      </c>
      <c r="H4256" s="18" t="s">
        <v>23</v>
      </c>
      <c r="I4256" s="19">
        <v>3500</v>
      </c>
      <c r="J4256" s="20">
        <f t="shared" si="132"/>
        <v>35000</v>
      </c>
      <c r="K4256" s="106"/>
      <c r="L4256" s="114"/>
      <c r="M4256" s="114">
        <f>tblAquisições[[#This Row],[VALOR UNITARIO COMPRADO]]*tblAquisições[[#This Row],[QUANTIDADE COMPRADA]]</f>
        <v>0</v>
      </c>
      <c r="N4256" s="110">
        <f>K4256-tblAquisições[[#This Row],[QUANTIDADE PLANEJADA]]</f>
        <v>-10</v>
      </c>
      <c r="O4256" s="106" t="str">
        <f t="shared" si="133"/>
        <v>Faltando Comprar</v>
      </c>
    </row>
    <row r="4257" spans="1:15" ht="63">
      <c r="A4257" s="16" t="s">
        <v>17</v>
      </c>
      <c r="B4257" s="16" t="s">
        <v>41</v>
      </c>
      <c r="C4257" s="17" t="s">
        <v>19</v>
      </c>
      <c r="D4257" s="18" t="s">
        <v>2389</v>
      </c>
      <c r="E4257" s="18">
        <v>30</v>
      </c>
      <c r="F4257" s="18" t="s">
        <v>1371</v>
      </c>
      <c r="G4257" s="18" t="s">
        <v>127</v>
      </c>
      <c r="H4257" s="18" t="s">
        <v>23</v>
      </c>
      <c r="I4257" s="19">
        <v>3500</v>
      </c>
      <c r="J4257" s="20">
        <f t="shared" si="132"/>
        <v>105000</v>
      </c>
      <c r="K4257" s="106"/>
      <c r="L4257" s="114"/>
      <c r="M4257" s="114">
        <f>tblAquisições[[#This Row],[VALOR UNITARIO COMPRADO]]*tblAquisições[[#This Row],[QUANTIDADE COMPRADA]]</f>
        <v>0</v>
      </c>
      <c r="N4257" s="110">
        <f>K4257-tblAquisições[[#This Row],[QUANTIDADE PLANEJADA]]</f>
        <v>-30</v>
      </c>
      <c r="O4257" s="106" t="str">
        <f t="shared" si="133"/>
        <v>Faltando Comprar</v>
      </c>
    </row>
    <row r="4258" spans="1:15" ht="63">
      <c r="A4258" s="16" t="s">
        <v>17</v>
      </c>
      <c r="B4258" s="16" t="s">
        <v>26</v>
      </c>
      <c r="C4258" s="17" t="s">
        <v>19</v>
      </c>
      <c r="D4258" s="18" t="s">
        <v>2389</v>
      </c>
      <c r="E4258" s="18">
        <v>4</v>
      </c>
      <c r="F4258" s="18" t="s">
        <v>1371</v>
      </c>
      <c r="G4258" s="18" t="s">
        <v>127</v>
      </c>
      <c r="H4258" s="18" t="s">
        <v>23</v>
      </c>
      <c r="I4258" s="19">
        <v>3500</v>
      </c>
      <c r="J4258" s="20">
        <f t="shared" si="132"/>
        <v>14000</v>
      </c>
      <c r="K4258" s="106"/>
      <c r="L4258" s="114"/>
      <c r="M4258" s="114">
        <f>tblAquisições[[#This Row],[VALOR UNITARIO COMPRADO]]*tblAquisições[[#This Row],[QUANTIDADE COMPRADA]]</f>
        <v>0</v>
      </c>
      <c r="N4258" s="110">
        <f>K4258-tblAquisições[[#This Row],[QUANTIDADE PLANEJADA]]</f>
        <v>-4</v>
      </c>
      <c r="O4258" s="106" t="str">
        <f t="shared" si="133"/>
        <v>Faltando Comprar</v>
      </c>
    </row>
    <row r="4259" spans="1:15" ht="63">
      <c r="A4259" s="16" t="s">
        <v>17</v>
      </c>
      <c r="B4259" s="16" t="s">
        <v>28</v>
      </c>
      <c r="C4259" s="17" t="s">
        <v>19</v>
      </c>
      <c r="D4259" s="18" t="s">
        <v>2389</v>
      </c>
      <c r="E4259" s="18">
        <v>19</v>
      </c>
      <c r="F4259" s="18" t="s">
        <v>1371</v>
      </c>
      <c r="G4259" s="18" t="s">
        <v>127</v>
      </c>
      <c r="H4259" s="18" t="s">
        <v>23</v>
      </c>
      <c r="I4259" s="19">
        <v>3500</v>
      </c>
      <c r="J4259" s="20">
        <f t="shared" si="132"/>
        <v>66500</v>
      </c>
      <c r="K4259" s="106"/>
      <c r="L4259" s="114"/>
      <c r="M4259" s="114">
        <f>tblAquisições[[#This Row],[VALOR UNITARIO COMPRADO]]*tblAquisições[[#This Row],[QUANTIDADE COMPRADA]]</f>
        <v>0</v>
      </c>
      <c r="N4259" s="110">
        <f>K4259-tblAquisições[[#This Row],[QUANTIDADE PLANEJADA]]</f>
        <v>-19</v>
      </c>
      <c r="O4259" s="106" t="str">
        <f t="shared" si="133"/>
        <v>Faltando Comprar</v>
      </c>
    </row>
    <row r="4260" spans="1:15" ht="63">
      <c r="A4260" s="16" t="s">
        <v>17</v>
      </c>
      <c r="B4260" s="16" t="s">
        <v>41</v>
      </c>
      <c r="C4260" s="17" t="s">
        <v>19</v>
      </c>
      <c r="D4260" s="18" t="s">
        <v>2390</v>
      </c>
      <c r="E4260" s="18">
        <v>3</v>
      </c>
      <c r="F4260" s="18" t="s">
        <v>1371</v>
      </c>
      <c r="G4260" s="18" t="s">
        <v>127</v>
      </c>
      <c r="H4260" s="18" t="s">
        <v>23</v>
      </c>
      <c r="I4260" s="19">
        <v>4925.53</v>
      </c>
      <c r="J4260" s="20">
        <f t="shared" si="132"/>
        <v>14776.59</v>
      </c>
      <c r="K4260" s="106"/>
      <c r="L4260" s="114"/>
      <c r="M4260" s="114">
        <f>tblAquisições[[#This Row],[VALOR UNITARIO COMPRADO]]*tblAquisições[[#This Row],[QUANTIDADE COMPRADA]]</f>
        <v>0</v>
      </c>
      <c r="N4260" s="110">
        <f>K4260-tblAquisições[[#This Row],[QUANTIDADE PLANEJADA]]</f>
        <v>-3</v>
      </c>
      <c r="O4260" s="106" t="str">
        <f t="shared" si="133"/>
        <v>Faltando Comprar</v>
      </c>
    </row>
    <row r="4261" spans="1:15" ht="63">
      <c r="A4261" s="16" t="s">
        <v>17</v>
      </c>
      <c r="B4261" s="16" t="s">
        <v>28</v>
      </c>
      <c r="C4261" s="17" t="s">
        <v>19</v>
      </c>
      <c r="D4261" s="18" t="s">
        <v>2390</v>
      </c>
      <c r="E4261" s="18">
        <v>19</v>
      </c>
      <c r="F4261" s="18" t="s">
        <v>1371</v>
      </c>
      <c r="G4261" s="18" t="s">
        <v>127</v>
      </c>
      <c r="H4261" s="18" t="s">
        <v>23</v>
      </c>
      <c r="I4261" s="19">
        <v>4925.53</v>
      </c>
      <c r="J4261" s="20">
        <f t="shared" si="132"/>
        <v>93585.069999999992</v>
      </c>
      <c r="K4261" s="106"/>
      <c r="L4261" s="114"/>
      <c r="M4261" s="114">
        <f>tblAquisições[[#This Row],[VALOR UNITARIO COMPRADO]]*tblAquisições[[#This Row],[QUANTIDADE COMPRADA]]</f>
        <v>0</v>
      </c>
      <c r="N4261" s="110">
        <f>K4261-tblAquisições[[#This Row],[QUANTIDADE PLANEJADA]]</f>
        <v>-19</v>
      </c>
      <c r="O4261" s="106" t="str">
        <f t="shared" si="133"/>
        <v>Faltando Comprar</v>
      </c>
    </row>
    <row r="4262" spans="1:15" ht="63">
      <c r="A4262" s="16" t="s">
        <v>17</v>
      </c>
      <c r="B4262" s="16" t="s">
        <v>18</v>
      </c>
      <c r="C4262" s="17" t="s">
        <v>19</v>
      </c>
      <c r="D4262" s="18" t="s">
        <v>2391</v>
      </c>
      <c r="E4262" s="18">
        <v>2</v>
      </c>
      <c r="F4262" s="18" t="s">
        <v>1371</v>
      </c>
      <c r="G4262" s="18" t="s">
        <v>127</v>
      </c>
      <c r="H4262" s="18" t="s">
        <v>23</v>
      </c>
      <c r="I4262" s="19">
        <v>430</v>
      </c>
      <c r="J4262" s="20">
        <f t="shared" si="132"/>
        <v>860</v>
      </c>
      <c r="K4262" s="106"/>
      <c r="L4262" s="114"/>
      <c r="M4262" s="114">
        <f>tblAquisições[[#This Row],[VALOR UNITARIO COMPRADO]]*tblAquisições[[#This Row],[QUANTIDADE COMPRADA]]</f>
        <v>0</v>
      </c>
      <c r="N4262" s="110">
        <f>K4262-tblAquisições[[#This Row],[QUANTIDADE PLANEJADA]]</f>
        <v>-2</v>
      </c>
      <c r="O4262" s="106" t="str">
        <f t="shared" si="133"/>
        <v>Faltando Comprar</v>
      </c>
    </row>
    <row r="4263" spans="1:15" ht="63">
      <c r="A4263" s="16" t="s">
        <v>17</v>
      </c>
      <c r="B4263" s="16" t="s">
        <v>24</v>
      </c>
      <c r="C4263" s="17" t="s">
        <v>19</v>
      </c>
      <c r="D4263" s="18" t="s">
        <v>2391</v>
      </c>
      <c r="E4263" s="18">
        <v>2</v>
      </c>
      <c r="F4263" s="18" t="s">
        <v>1371</v>
      </c>
      <c r="G4263" s="18" t="s">
        <v>127</v>
      </c>
      <c r="H4263" s="18" t="s">
        <v>23</v>
      </c>
      <c r="I4263" s="19">
        <v>430</v>
      </c>
      <c r="J4263" s="20">
        <f t="shared" si="132"/>
        <v>860</v>
      </c>
      <c r="K4263" s="106"/>
      <c r="L4263" s="114"/>
      <c r="M4263" s="114">
        <f>tblAquisições[[#This Row],[VALOR UNITARIO COMPRADO]]*tblAquisições[[#This Row],[QUANTIDADE COMPRADA]]</f>
        <v>0</v>
      </c>
      <c r="N4263" s="110">
        <f>K4263-tblAquisições[[#This Row],[QUANTIDADE PLANEJADA]]</f>
        <v>-2</v>
      </c>
      <c r="O4263" s="106" t="str">
        <f t="shared" si="133"/>
        <v>Faltando Comprar</v>
      </c>
    </row>
    <row r="4264" spans="1:15" ht="63">
      <c r="A4264" s="16" t="s">
        <v>17</v>
      </c>
      <c r="B4264" s="16" t="s">
        <v>41</v>
      </c>
      <c r="C4264" s="17" t="s">
        <v>19</v>
      </c>
      <c r="D4264" s="18" t="s">
        <v>2391</v>
      </c>
      <c r="E4264" s="18">
        <v>20</v>
      </c>
      <c r="F4264" s="18" t="s">
        <v>1371</v>
      </c>
      <c r="G4264" s="18" t="s">
        <v>127</v>
      </c>
      <c r="H4264" s="18" t="s">
        <v>23</v>
      </c>
      <c r="I4264" s="19">
        <v>430</v>
      </c>
      <c r="J4264" s="20">
        <f t="shared" si="132"/>
        <v>8600</v>
      </c>
      <c r="K4264" s="106"/>
      <c r="L4264" s="114"/>
      <c r="M4264" s="114">
        <f>tblAquisições[[#This Row],[VALOR UNITARIO COMPRADO]]*tblAquisições[[#This Row],[QUANTIDADE COMPRADA]]</f>
        <v>0</v>
      </c>
      <c r="N4264" s="110">
        <f>K4264-tblAquisições[[#This Row],[QUANTIDADE PLANEJADA]]</f>
        <v>-20</v>
      </c>
      <c r="O4264" s="106" t="str">
        <f t="shared" si="133"/>
        <v>Faltando Comprar</v>
      </c>
    </row>
    <row r="4265" spans="1:15" ht="63">
      <c r="A4265" s="16" t="s">
        <v>17</v>
      </c>
      <c r="B4265" s="16" t="s">
        <v>28</v>
      </c>
      <c r="C4265" s="17" t="s">
        <v>19</v>
      </c>
      <c r="D4265" s="18" t="s">
        <v>2391</v>
      </c>
      <c r="E4265" s="18">
        <v>5</v>
      </c>
      <c r="F4265" s="18" t="s">
        <v>1371</v>
      </c>
      <c r="G4265" s="18" t="s">
        <v>127</v>
      </c>
      <c r="H4265" s="18" t="s">
        <v>23</v>
      </c>
      <c r="I4265" s="19">
        <v>430</v>
      </c>
      <c r="J4265" s="20">
        <f t="shared" si="132"/>
        <v>2150</v>
      </c>
      <c r="K4265" s="106"/>
      <c r="L4265" s="114"/>
      <c r="M4265" s="114">
        <f>tblAquisições[[#This Row],[VALOR UNITARIO COMPRADO]]*tblAquisições[[#This Row],[QUANTIDADE COMPRADA]]</f>
        <v>0</v>
      </c>
      <c r="N4265" s="110">
        <f>K4265-tblAquisições[[#This Row],[QUANTIDADE PLANEJADA]]</f>
        <v>-5</v>
      </c>
      <c r="O4265" s="106" t="str">
        <f t="shared" si="133"/>
        <v>Faltando Comprar</v>
      </c>
    </row>
    <row r="4266" spans="1:15" ht="63">
      <c r="A4266" s="16" t="s">
        <v>17</v>
      </c>
      <c r="B4266" s="16" t="s">
        <v>18</v>
      </c>
      <c r="C4266" s="17" t="s">
        <v>19</v>
      </c>
      <c r="D4266" s="18" t="s">
        <v>2392</v>
      </c>
      <c r="E4266" s="18">
        <v>2</v>
      </c>
      <c r="F4266" s="18" t="s">
        <v>1371</v>
      </c>
      <c r="G4266" s="18" t="s">
        <v>127</v>
      </c>
      <c r="H4266" s="18" t="s">
        <v>23</v>
      </c>
      <c r="I4266" s="19">
        <v>1242.6300000000001</v>
      </c>
      <c r="J4266" s="20">
        <f t="shared" si="132"/>
        <v>2485.2600000000002</v>
      </c>
      <c r="K4266" s="106"/>
      <c r="L4266" s="114"/>
      <c r="M4266" s="114">
        <f>tblAquisições[[#This Row],[VALOR UNITARIO COMPRADO]]*tblAquisições[[#This Row],[QUANTIDADE COMPRADA]]</f>
        <v>0</v>
      </c>
      <c r="N4266" s="110">
        <f>K4266-tblAquisições[[#This Row],[QUANTIDADE PLANEJADA]]</f>
        <v>-2</v>
      </c>
      <c r="O4266" s="106" t="str">
        <f t="shared" si="133"/>
        <v>Faltando Comprar</v>
      </c>
    </row>
    <row r="4267" spans="1:15" ht="63">
      <c r="A4267" s="16" t="s">
        <v>17</v>
      </c>
      <c r="B4267" s="16" t="s">
        <v>24</v>
      </c>
      <c r="C4267" s="17" t="s">
        <v>19</v>
      </c>
      <c r="D4267" s="18" t="s">
        <v>2392</v>
      </c>
      <c r="E4267" s="18">
        <v>2</v>
      </c>
      <c r="F4267" s="18" t="s">
        <v>1371</v>
      </c>
      <c r="G4267" s="18" t="s">
        <v>127</v>
      </c>
      <c r="H4267" s="18" t="s">
        <v>23</v>
      </c>
      <c r="I4267" s="19">
        <v>1242.6300000000001</v>
      </c>
      <c r="J4267" s="20">
        <f t="shared" si="132"/>
        <v>2485.2600000000002</v>
      </c>
      <c r="K4267" s="106"/>
      <c r="L4267" s="114"/>
      <c r="M4267" s="114">
        <f>tblAquisições[[#This Row],[VALOR UNITARIO COMPRADO]]*tblAquisições[[#This Row],[QUANTIDADE COMPRADA]]</f>
        <v>0</v>
      </c>
      <c r="N4267" s="110">
        <f>K4267-tblAquisições[[#This Row],[QUANTIDADE PLANEJADA]]</f>
        <v>-2</v>
      </c>
      <c r="O4267" s="106" t="str">
        <f t="shared" si="133"/>
        <v>Faltando Comprar</v>
      </c>
    </row>
    <row r="4268" spans="1:15" ht="63">
      <c r="A4268" s="16" t="s">
        <v>17</v>
      </c>
      <c r="B4268" s="16" t="s">
        <v>41</v>
      </c>
      <c r="C4268" s="17" t="s">
        <v>19</v>
      </c>
      <c r="D4268" s="18" t="s">
        <v>2392</v>
      </c>
      <c r="E4268" s="18">
        <v>4</v>
      </c>
      <c r="F4268" s="18" t="s">
        <v>1371</v>
      </c>
      <c r="G4268" s="18" t="s">
        <v>127</v>
      </c>
      <c r="H4268" s="18" t="s">
        <v>23</v>
      </c>
      <c r="I4268" s="19">
        <v>1242.6300000000001</v>
      </c>
      <c r="J4268" s="20">
        <f t="shared" si="132"/>
        <v>4970.5200000000004</v>
      </c>
      <c r="K4268" s="106"/>
      <c r="L4268" s="114"/>
      <c r="M4268" s="114">
        <f>tblAquisições[[#This Row],[VALOR UNITARIO COMPRADO]]*tblAquisições[[#This Row],[QUANTIDADE COMPRADA]]</f>
        <v>0</v>
      </c>
      <c r="N4268" s="110">
        <f>K4268-tblAquisições[[#This Row],[QUANTIDADE PLANEJADA]]</f>
        <v>-4</v>
      </c>
      <c r="O4268" s="106" t="str">
        <f t="shared" si="133"/>
        <v>Faltando Comprar</v>
      </c>
    </row>
    <row r="4269" spans="1:15" ht="63">
      <c r="A4269" s="16" t="s">
        <v>17</v>
      </c>
      <c r="B4269" s="16" t="s">
        <v>41</v>
      </c>
      <c r="C4269" s="17" t="s">
        <v>19</v>
      </c>
      <c r="D4269" s="18" t="s">
        <v>2393</v>
      </c>
      <c r="E4269" s="18">
        <v>10</v>
      </c>
      <c r="F4269" s="18" t="s">
        <v>1371</v>
      </c>
      <c r="G4269" s="18" t="s">
        <v>127</v>
      </c>
      <c r="H4269" s="18" t="s">
        <v>23</v>
      </c>
      <c r="I4269" s="19">
        <v>2300</v>
      </c>
      <c r="J4269" s="20">
        <f t="shared" si="132"/>
        <v>23000</v>
      </c>
      <c r="K4269" s="106"/>
      <c r="L4269" s="114"/>
      <c r="M4269" s="114">
        <f>tblAquisições[[#This Row],[VALOR UNITARIO COMPRADO]]*tblAquisições[[#This Row],[QUANTIDADE COMPRADA]]</f>
        <v>0</v>
      </c>
      <c r="N4269" s="110">
        <f>K4269-tblAquisições[[#This Row],[QUANTIDADE PLANEJADA]]</f>
        <v>-10</v>
      </c>
      <c r="O4269" s="106" t="str">
        <f t="shared" si="133"/>
        <v>Faltando Comprar</v>
      </c>
    </row>
    <row r="4270" spans="1:15" ht="63">
      <c r="A4270" s="16" t="s">
        <v>17</v>
      </c>
      <c r="B4270" s="16" t="s">
        <v>28</v>
      </c>
      <c r="C4270" s="17" t="s">
        <v>19</v>
      </c>
      <c r="D4270" s="18" t="s">
        <v>2393</v>
      </c>
      <c r="E4270" s="18">
        <v>5</v>
      </c>
      <c r="F4270" s="18" t="s">
        <v>1371</v>
      </c>
      <c r="G4270" s="18" t="s">
        <v>127</v>
      </c>
      <c r="H4270" s="18" t="s">
        <v>23</v>
      </c>
      <c r="I4270" s="19">
        <v>2300</v>
      </c>
      <c r="J4270" s="20">
        <f t="shared" si="132"/>
        <v>11500</v>
      </c>
      <c r="K4270" s="106"/>
      <c r="L4270" s="114"/>
      <c r="M4270" s="114">
        <f>tblAquisições[[#This Row],[VALOR UNITARIO COMPRADO]]*tblAquisições[[#This Row],[QUANTIDADE COMPRADA]]</f>
        <v>0</v>
      </c>
      <c r="N4270" s="110">
        <f>K4270-tblAquisições[[#This Row],[QUANTIDADE PLANEJADA]]</f>
        <v>-5</v>
      </c>
      <c r="O4270" s="106" t="str">
        <f t="shared" si="133"/>
        <v>Faltando Comprar</v>
      </c>
    </row>
    <row r="4271" spans="1:15" ht="63">
      <c r="A4271" s="16" t="s">
        <v>17</v>
      </c>
      <c r="B4271" s="16" t="s">
        <v>41</v>
      </c>
      <c r="C4271" s="17" t="s">
        <v>19</v>
      </c>
      <c r="D4271" s="18" t="s">
        <v>2394</v>
      </c>
      <c r="E4271" s="18">
        <v>20</v>
      </c>
      <c r="F4271" s="18" t="s">
        <v>1371</v>
      </c>
      <c r="G4271" s="18" t="s">
        <v>127</v>
      </c>
      <c r="H4271" s="18" t="s">
        <v>23</v>
      </c>
      <c r="I4271" s="19">
        <v>2750</v>
      </c>
      <c r="J4271" s="20">
        <f t="shared" si="132"/>
        <v>55000</v>
      </c>
      <c r="K4271" s="106"/>
      <c r="L4271" s="114"/>
      <c r="M4271" s="114">
        <f>tblAquisições[[#This Row],[VALOR UNITARIO COMPRADO]]*tblAquisições[[#This Row],[QUANTIDADE COMPRADA]]</f>
        <v>0</v>
      </c>
      <c r="N4271" s="110">
        <f>K4271-tblAquisições[[#This Row],[QUANTIDADE PLANEJADA]]</f>
        <v>-20</v>
      </c>
      <c r="O4271" s="106" t="str">
        <f t="shared" si="133"/>
        <v>Faltando Comprar</v>
      </c>
    </row>
    <row r="4272" spans="1:15" ht="63">
      <c r="A4272" s="16" t="s">
        <v>17</v>
      </c>
      <c r="B4272" s="16" t="s">
        <v>28</v>
      </c>
      <c r="C4272" s="17" t="s">
        <v>19</v>
      </c>
      <c r="D4272" s="18" t="s">
        <v>2395</v>
      </c>
      <c r="E4272" s="18">
        <v>10</v>
      </c>
      <c r="F4272" s="18" t="s">
        <v>1347</v>
      </c>
      <c r="G4272" s="18" t="s">
        <v>22</v>
      </c>
      <c r="H4272" s="18" t="s">
        <v>23</v>
      </c>
      <c r="I4272" s="19">
        <v>134.27000000000001</v>
      </c>
      <c r="J4272" s="20">
        <f t="shared" si="132"/>
        <v>1342.7</v>
      </c>
      <c r="K4272" s="106"/>
      <c r="L4272" s="114"/>
      <c r="M4272" s="114">
        <f>tblAquisições[[#This Row],[VALOR UNITARIO COMPRADO]]*tblAquisições[[#This Row],[QUANTIDADE COMPRADA]]</f>
        <v>0</v>
      </c>
      <c r="N4272" s="110">
        <f>K4272-tblAquisições[[#This Row],[QUANTIDADE PLANEJADA]]</f>
        <v>-10</v>
      </c>
      <c r="O4272" s="106" t="str">
        <f t="shared" si="133"/>
        <v>Faltando Comprar</v>
      </c>
    </row>
    <row r="4273" spans="1:15" ht="31.5">
      <c r="A4273" s="16" t="s">
        <v>17</v>
      </c>
      <c r="B4273" s="16" t="s">
        <v>80</v>
      </c>
      <c r="C4273" s="17" t="s">
        <v>19</v>
      </c>
      <c r="D4273" s="18" t="s">
        <v>2396</v>
      </c>
      <c r="E4273" s="18">
        <v>10</v>
      </c>
      <c r="F4273" s="18" t="s">
        <v>82</v>
      </c>
      <c r="G4273" s="18" t="s">
        <v>39</v>
      </c>
      <c r="H4273" s="21"/>
      <c r="I4273" s="19">
        <v>130</v>
      </c>
      <c r="J4273" s="20">
        <f t="shared" si="132"/>
        <v>1300</v>
      </c>
      <c r="K4273" s="106"/>
      <c r="L4273" s="114"/>
      <c r="M4273" s="114">
        <f>tblAquisições[[#This Row],[VALOR UNITARIO COMPRADO]]*tblAquisições[[#This Row],[QUANTIDADE COMPRADA]]</f>
        <v>0</v>
      </c>
      <c r="N4273" s="110">
        <f>K4273-tblAquisições[[#This Row],[QUANTIDADE PLANEJADA]]</f>
        <v>-10</v>
      </c>
      <c r="O4273" s="106" t="str">
        <f t="shared" si="133"/>
        <v>Faltando Comprar</v>
      </c>
    </row>
    <row r="4274" spans="1:15" ht="63">
      <c r="A4274" s="16" t="s">
        <v>17</v>
      </c>
      <c r="B4274" s="16" t="s">
        <v>34</v>
      </c>
      <c r="C4274" s="17" t="s">
        <v>19</v>
      </c>
      <c r="D4274" s="18" t="s">
        <v>2397</v>
      </c>
      <c r="E4274" s="18">
        <v>1</v>
      </c>
      <c r="F4274" s="18" t="s">
        <v>1347</v>
      </c>
      <c r="G4274" s="18" t="s">
        <v>22</v>
      </c>
      <c r="H4274" s="18" t="s">
        <v>23</v>
      </c>
      <c r="I4274" s="19">
        <v>276.64999999999998</v>
      </c>
      <c r="J4274" s="20">
        <f t="shared" si="132"/>
        <v>276.64999999999998</v>
      </c>
      <c r="K4274" s="106"/>
      <c r="L4274" s="114"/>
      <c r="M4274" s="114">
        <f>tblAquisições[[#This Row],[VALOR UNITARIO COMPRADO]]*tblAquisições[[#This Row],[QUANTIDADE COMPRADA]]</f>
        <v>0</v>
      </c>
      <c r="N4274" s="110">
        <f>K4274-tblAquisições[[#This Row],[QUANTIDADE PLANEJADA]]</f>
        <v>-1</v>
      </c>
      <c r="O4274" s="106" t="str">
        <f t="shared" si="133"/>
        <v>Faltando Comprar</v>
      </c>
    </row>
    <row r="4275" spans="1:15" ht="63">
      <c r="A4275" s="16" t="s">
        <v>17</v>
      </c>
      <c r="B4275" s="16" t="s">
        <v>18</v>
      </c>
      <c r="C4275" s="17" t="s">
        <v>19</v>
      </c>
      <c r="D4275" s="18" t="s">
        <v>2397</v>
      </c>
      <c r="E4275" s="18">
        <v>2</v>
      </c>
      <c r="F4275" s="18" t="s">
        <v>1347</v>
      </c>
      <c r="G4275" s="18" t="s">
        <v>22</v>
      </c>
      <c r="H4275" s="18" t="s">
        <v>23</v>
      </c>
      <c r="I4275" s="19">
        <v>276.64999999999998</v>
      </c>
      <c r="J4275" s="20">
        <f t="shared" si="132"/>
        <v>553.29999999999995</v>
      </c>
      <c r="K4275" s="106"/>
      <c r="L4275" s="114"/>
      <c r="M4275" s="114">
        <f>tblAquisições[[#This Row],[VALOR UNITARIO COMPRADO]]*tblAquisições[[#This Row],[QUANTIDADE COMPRADA]]</f>
        <v>0</v>
      </c>
      <c r="N4275" s="110">
        <f>K4275-tblAquisições[[#This Row],[QUANTIDADE PLANEJADA]]</f>
        <v>-2</v>
      </c>
      <c r="O4275" s="106" t="str">
        <f t="shared" si="133"/>
        <v>Faltando Comprar</v>
      </c>
    </row>
    <row r="4276" spans="1:15" ht="63">
      <c r="A4276" s="16" t="s">
        <v>17</v>
      </c>
      <c r="B4276" s="16" t="s">
        <v>24</v>
      </c>
      <c r="C4276" s="17" t="s">
        <v>19</v>
      </c>
      <c r="D4276" s="18" t="s">
        <v>2397</v>
      </c>
      <c r="E4276" s="18">
        <v>2</v>
      </c>
      <c r="F4276" s="18" t="s">
        <v>1347</v>
      </c>
      <c r="G4276" s="18" t="s">
        <v>22</v>
      </c>
      <c r="H4276" s="18" t="s">
        <v>23</v>
      </c>
      <c r="I4276" s="19">
        <v>276.64999999999998</v>
      </c>
      <c r="J4276" s="20">
        <f t="shared" si="132"/>
        <v>553.29999999999995</v>
      </c>
      <c r="K4276" s="106"/>
      <c r="L4276" s="114"/>
      <c r="M4276" s="114">
        <f>tblAquisições[[#This Row],[VALOR UNITARIO COMPRADO]]*tblAquisições[[#This Row],[QUANTIDADE COMPRADA]]</f>
        <v>0</v>
      </c>
      <c r="N4276" s="110">
        <f>K4276-tblAquisições[[#This Row],[QUANTIDADE PLANEJADA]]</f>
        <v>-2</v>
      </c>
      <c r="O4276" s="106" t="str">
        <f t="shared" si="133"/>
        <v>Faltando Comprar</v>
      </c>
    </row>
    <row r="4277" spans="1:15" ht="63">
      <c r="A4277" s="16" t="s">
        <v>17</v>
      </c>
      <c r="B4277" s="16" t="s">
        <v>25</v>
      </c>
      <c r="C4277" s="17" t="s">
        <v>19</v>
      </c>
      <c r="D4277" s="18" t="s">
        <v>2397</v>
      </c>
      <c r="E4277" s="18">
        <v>2</v>
      </c>
      <c r="F4277" s="18" t="s">
        <v>1347</v>
      </c>
      <c r="G4277" s="18" t="s">
        <v>22</v>
      </c>
      <c r="H4277" s="18" t="s">
        <v>23</v>
      </c>
      <c r="I4277" s="19">
        <v>276.64999999999998</v>
      </c>
      <c r="J4277" s="20">
        <f t="shared" si="132"/>
        <v>553.29999999999995</v>
      </c>
      <c r="K4277" s="106"/>
      <c r="L4277" s="114"/>
      <c r="M4277" s="114">
        <f>tblAquisições[[#This Row],[VALOR UNITARIO COMPRADO]]*tblAquisições[[#This Row],[QUANTIDADE COMPRADA]]</f>
        <v>0</v>
      </c>
      <c r="N4277" s="110">
        <f>K4277-tblAquisições[[#This Row],[QUANTIDADE PLANEJADA]]</f>
        <v>-2</v>
      </c>
      <c r="O4277" s="106" t="str">
        <f t="shared" si="133"/>
        <v>Faltando Comprar</v>
      </c>
    </row>
    <row r="4278" spans="1:15" ht="63">
      <c r="A4278" s="16" t="s">
        <v>17</v>
      </c>
      <c r="B4278" s="16" t="s">
        <v>27</v>
      </c>
      <c r="C4278" s="17" t="s">
        <v>19</v>
      </c>
      <c r="D4278" s="18" t="s">
        <v>2397</v>
      </c>
      <c r="E4278" s="18">
        <v>2</v>
      </c>
      <c r="F4278" s="18" t="s">
        <v>1347</v>
      </c>
      <c r="G4278" s="18" t="s">
        <v>22</v>
      </c>
      <c r="H4278" s="18" t="s">
        <v>23</v>
      </c>
      <c r="I4278" s="19">
        <v>276.64999999999998</v>
      </c>
      <c r="J4278" s="20">
        <f t="shared" si="132"/>
        <v>553.29999999999995</v>
      </c>
      <c r="K4278" s="106"/>
      <c r="L4278" s="114"/>
      <c r="M4278" s="114">
        <f>tblAquisições[[#This Row],[VALOR UNITARIO COMPRADO]]*tblAquisições[[#This Row],[QUANTIDADE COMPRADA]]</f>
        <v>0</v>
      </c>
      <c r="N4278" s="110">
        <f>K4278-tblAquisições[[#This Row],[QUANTIDADE PLANEJADA]]</f>
        <v>-2</v>
      </c>
      <c r="O4278" s="106" t="str">
        <f t="shared" si="133"/>
        <v>Faltando Comprar</v>
      </c>
    </row>
    <row r="4279" spans="1:15" ht="47.25">
      <c r="A4279" s="16" t="s">
        <v>17</v>
      </c>
      <c r="B4279" s="16" t="s">
        <v>27</v>
      </c>
      <c r="C4279" s="17" t="s">
        <v>19</v>
      </c>
      <c r="D4279" s="18" t="s">
        <v>2398</v>
      </c>
      <c r="E4279" s="18">
        <v>10</v>
      </c>
      <c r="F4279" s="18" t="s">
        <v>78</v>
      </c>
      <c r="G4279" s="18" t="s">
        <v>22</v>
      </c>
      <c r="H4279" s="18" t="s">
        <v>100</v>
      </c>
      <c r="I4279" s="19">
        <v>78.989999999999995</v>
      </c>
      <c r="J4279" s="20">
        <f t="shared" si="132"/>
        <v>789.9</v>
      </c>
      <c r="K4279" s="106"/>
      <c r="L4279" s="114"/>
      <c r="M4279" s="114">
        <f>tblAquisições[[#This Row],[VALOR UNITARIO COMPRADO]]*tblAquisições[[#This Row],[QUANTIDADE COMPRADA]]</f>
        <v>0</v>
      </c>
      <c r="N4279" s="110">
        <f>K4279-tblAquisições[[#This Row],[QUANTIDADE PLANEJADA]]</f>
        <v>-10</v>
      </c>
      <c r="O4279" s="106" t="str">
        <f t="shared" si="133"/>
        <v>Faltando Comprar</v>
      </c>
    </row>
    <row r="4280" spans="1:15" ht="31.5">
      <c r="A4280" s="16" t="s">
        <v>17</v>
      </c>
      <c r="B4280" s="16" t="s">
        <v>26</v>
      </c>
      <c r="C4280" s="17" t="s">
        <v>19</v>
      </c>
      <c r="D4280" s="18" t="s">
        <v>2399</v>
      </c>
      <c r="E4280" s="18">
        <v>10</v>
      </c>
      <c r="F4280" s="18" t="s">
        <v>30</v>
      </c>
      <c r="G4280" s="18" t="s">
        <v>22</v>
      </c>
      <c r="H4280" s="18" t="s">
        <v>23</v>
      </c>
      <c r="I4280" s="19">
        <v>117.06</v>
      </c>
      <c r="J4280" s="20">
        <f t="shared" si="132"/>
        <v>1170.5999999999999</v>
      </c>
      <c r="K4280" s="106"/>
      <c r="L4280" s="114"/>
      <c r="M4280" s="114">
        <f>tblAquisições[[#This Row],[VALOR UNITARIO COMPRADO]]*tblAquisições[[#This Row],[QUANTIDADE COMPRADA]]</f>
        <v>0</v>
      </c>
      <c r="N4280" s="110">
        <f>K4280-tblAquisições[[#This Row],[QUANTIDADE PLANEJADA]]</f>
        <v>-10</v>
      </c>
      <c r="O4280" s="106" t="str">
        <f t="shared" si="133"/>
        <v>Faltando Comprar</v>
      </c>
    </row>
    <row r="4281" spans="1:15" ht="47.25">
      <c r="A4281" s="16" t="s">
        <v>17</v>
      </c>
      <c r="B4281" s="16" t="s">
        <v>34</v>
      </c>
      <c r="C4281" s="17" t="s">
        <v>19</v>
      </c>
      <c r="D4281" s="18" t="s">
        <v>2400</v>
      </c>
      <c r="E4281" s="18">
        <v>1</v>
      </c>
      <c r="F4281" s="18" t="s">
        <v>78</v>
      </c>
      <c r="G4281" s="18" t="s">
        <v>22</v>
      </c>
      <c r="H4281" s="18" t="s">
        <v>23</v>
      </c>
      <c r="I4281" s="19">
        <v>93.26</v>
      </c>
      <c r="J4281" s="20">
        <f t="shared" si="132"/>
        <v>93.26</v>
      </c>
      <c r="K4281" s="106"/>
      <c r="L4281" s="114"/>
      <c r="M4281" s="114">
        <f>tblAquisições[[#This Row],[VALOR UNITARIO COMPRADO]]*tblAquisições[[#This Row],[QUANTIDADE COMPRADA]]</f>
        <v>0</v>
      </c>
      <c r="N4281" s="110">
        <f>K4281-tblAquisições[[#This Row],[QUANTIDADE PLANEJADA]]</f>
        <v>-1</v>
      </c>
      <c r="O4281" s="106" t="str">
        <f t="shared" si="133"/>
        <v>Faltando Comprar</v>
      </c>
    </row>
    <row r="4282" spans="1:15" ht="47.25">
      <c r="A4282" s="16" t="s">
        <v>17</v>
      </c>
      <c r="B4282" s="16" t="s">
        <v>28</v>
      </c>
      <c r="C4282" s="17" t="s">
        <v>19</v>
      </c>
      <c r="D4282" s="18" t="s">
        <v>2401</v>
      </c>
      <c r="E4282" s="18">
        <v>4</v>
      </c>
      <c r="F4282" s="18" t="s">
        <v>78</v>
      </c>
      <c r="G4282" s="18" t="s">
        <v>22</v>
      </c>
      <c r="H4282" s="18" t="s">
        <v>23</v>
      </c>
      <c r="I4282" s="19">
        <v>395.93</v>
      </c>
      <c r="J4282" s="20">
        <f t="shared" si="132"/>
        <v>1583.72</v>
      </c>
      <c r="K4282" s="106"/>
      <c r="L4282" s="114"/>
      <c r="M4282" s="114">
        <f>tblAquisições[[#This Row],[VALOR UNITARIO COMPRADO]]*tblAquisições[[#This Row],[QUANTIDADE COMPRADA]]</f>
        <v>0</v>
      </c>
      <c r="N4282" s="110">
        <f>K4282-tblAquisições[[#This Row],[QUANTIDADE PLANEJADA]]</f>
        <v>-4</v>
      </c>
      <c r="O4282" s="106" t="str">
        <f t="shared" si="133"/>
        <v>Faltando Comprar</v>
      </c>
    </row>
    <row r="4283" spans="1:15" ht="47.25">
      <c r="A4283" s="16" t="s">
        <v>17</v>
      </c>
      <c r="B4283" s="16" t="s">
        <v>18</v>
      </c>
      <c r="C4283" s="17" t="s">
        <v>19</v>
      </c>
      <c r="D4283" s="18" t="s">
        <v>2402</v>
      </c>
      <c r="E4283" s="18">
        <v>10</v>
      </c>
      <c r="F4283" s="18" t="s">
        <v>78</v>
      </c>
      <c r="G4283" s="18" t="s">
        <v>22</v>
      </c>
      <c r="H4283" s="18" t="s">
        <v>23</v>
      </c>
      <c r="I4283" s="19">
        <v>285.91000000000003</v>
      </c>
      <c r="J4283" s="20">
        <f t="shared" si="132"/>
        <v>2859.1000000000004</v>
      </c>
      <c r="K4283" s="106"/>
      <c r="L4283" s="114"/>
      <c r="M4283" s="114">
        <f>tblAquisições[[#This Row],[VALOR UNITARIO COMPRADO]]*tblAquisições[[#This Row],[QUANTIDADE COMPRADA]]</f>
        <v>0</v>
      </c>
      <c r="N4283" s="110">
        <f>K4283-tblAquisições[[#This Row],[QUANTIDADE PLANEJADA]]</f>
        <v>-10</v>
      </c>
      <c r="O4283" s="106" t="str">
        <f t="shared" si="133"/>
        <v>Faltando Comprar</v>
      </c>
    </row>
    <row r="4284" spans="1:15" ht="47.25">
      <c r="A4284" s="16" t="s">
        <v>17</v>
      </c>
      <c r="B4284" s="16" t="s">
        <v>24</v>
      </c>
      <c r="C4284" s="17" t="s">
        <v>19</v>
      </c>
      <c r="D4284" s="18" t="s">
        <v>2402</v>
      </c>
      <c r="E4284" s="18">
        <v>10</v>
      </c>
      <c r="F4284" s="18" t="s">
        <v>78</v>
      </c>
      <c r="G4284" s="18" t="s">
        <v>22</v>
      </c>
      <c r="H4284" s="18" t="s">
        <v>23</v>
      </c>
      <c r="I4284" s="19">
        <v>285.91000000000003</v>
      </c>
      <c r="J4284" s="20">
        <f t="shared" si="132"/>
        <v>2859.1000000000004</v>
      </c>
      <c r="K4284" s="106"/>
      <c r="L4284" s="114"/>
      <c r="M4284" s="114">
        <f>tblAquisições[[#This Row],[VALOR UNITARIO COMPRADO]]*tblAquisições[[#This Row],[QUANTIDADE COMPRADA]]</f>
        <v>0</v>
      </c>
      <c r="N4284" s="110">
        <f>K4284-tblAquisições[[#This Row],[QUANTIDADE PLANEJADA]]</f>
        <v>-10</v>
      </c>
      <c r="O4284" s="106" t="str">
        <f t="shared" si="133"/>
        <v>Faltando Comprar</v>
      </c>
    </row>
    <row r="4285" spans="1:15" ht="31.5">
      <c r="A4285" s="16" t="s">
        <v>17</v>
      </c>
      <c r="B4285" s="16" t="s">
        <v>28</v>
      </c>
      <c r="C4285" s="17" t="s">
        <v>19</v>
      </c>
      <c r="D4285" s="18" t="s">
        <v>2403</v>
      </c>
      <c r="E4285" s="18">
        <v>3</v>
      </c>
      <c r="F4285" s="18" t="s">
        <v>21</v>
      </c>
      <c r="G4285" s="18" t="s">
        <v>22</v>
      </c>
      <c r="H4285" s="18" t="s">
        <v>23</v>
      </c>
      <c r="I4285" s="19">
        <v>19.21</v>
      </c>
      <c r="J4285" s="20">
        <f t="shared" si="132"/>
        <v>57.63</v>
      </c>
      <c r="K4285" s="106"/>
      <c r="L4285" s="114"/>
      <c r="M4285" s="114">
        <f>tblAquisições[[#This Row],[VALOR UNITARIO COMPRADO]]*tblAquisições[[#This Row],[QUANTIDADE COMPRADA]]</f>
        <v>0</v>
      </c>
      <c r="N4285" s="110">
        <f>K4285-tblAquisições[[#This Row],[QUANTIDADE PLANEJADA]]</f>
        <v>-3</v>
      </c>
      <c r="O4285" s="106" t="str">
        <f t="shared" si="133"/>
        <v>Faltando Comprar</v>
      </c>
    </row>
    <row r="4286" spans="1:15" ht="63">
      <c r="A4286" s="16" t="s">
        <v>17</v>
      </c>
      <c r="B4286" s="16" t="s">
        <v>26</v>
      </c>
      <c r="C4286" s="17" t="s">
        <v>19</v>
      </c>
      <c r="D4286" s="18" t="s">
        <v>2404</v>
      </c>
      <c r="E4286" s="18">
        <v>2000</v>
      </c>
      <c r="F4286" s="18" t="s">
        <v>2405</v>
      </c>
      <c r="G4286" s="18" t="s">
        <v>127</v>
      </c>
      <c r="H4286" s="18" t="s">
        <v>23</v>
      </c>
      <c r="I4286" s="19">
        <v>127.33</v>
      </c>
      <c r="J4286" s="20">
        <f t="shared" si="132"/>
        <v>254660</v>
      </c>
      <c r="K4286" s="106"/>
      <c r="L4286" s="114"/>
      <c r="M4286" s="114">
        <f>tblAquisições[[#This Row],[VALOR UNITARIO COMPRADO]]*tblAquisições[[#This Row],[QUANTIDADE COMPRADA]]</f>
        <v>0</v>
      </c>
      <c r="N4286" s="110">
        <f>K4286-tblAquisições[[#This Row],[QUANTIDADE PLANEJADA]]</f>
        <v>-2000</v>
      </c>
      <c r="O4286" s="106" t="str">
        <f t="shared" si="133"/>
        <v>Faltando Comprar</v>
      </c>
    </row>
    <row r="4287" spans="1:15" ht="47.25">
      <c r="A4287" s="16" t="s">
        <v>17</v>
      </c>
      <c r="B4287" s="16" t="s">
        <v>18</v>
      </c>
      <c r="C4287" s="17" t="s">
        <v>19</v>
      </c>
      <c r="D4287" s="18" t="s">
        <v>2406</v>
      </c>
      <c r="E4287" s="18">
        <v>30</v>
      </c>
      <c r="F4287" s="18" t="s">
        <v>78</v>
      </c>
      <c r="G4287" s="18" t="s">
        <v>22</v>
      </c>
      <c r="H4287" s="18" t="s">
        <v>23</v>
      </c>
      <c r="I4287" s="19">
        <v>24.02</v>
      </c>
      <c r="J4287" s="20">
        <f t="shared" si="132"/>
        <v>720.6</v>
      </c>
      <c r="K4287" s="106"/>
      <c r="L4287" s="114"/>
      <c r="M4287" s="114">
        <f>tblAquisições[[#This Row],[VALOR UNITARIO COMPRADO]]*tblAquisições[[#This Row],[QUANTIDADE COMPRADA]]</f>
        <v>0</v>
      </c>
      <c r="N4287" s="110">
        <f>K4287-tblAquisições[[#This Row],[QUANTIDADE PLANEJADA]]</f>
        <v>-30</v>
      </c>
      <c r="O4287" s="106" t="str">
        <f t="shared" si="133"/>
        <v>Faltando Comprar</v>
      </c>
    </row>
    <row r="4288" spans="1:15" ht="47.25">
      <c r="A4288" s="16" t="s">
        <v>17</v>
      </c>
      <c r="B4288" s="16" t="s">
        <v>24</v>
      </c>
      <c r="C4288" s="17" t="s">
        <v>19</v>
      </c>
      <c r="D4288" s="18" t="s">
        <v>2406</v>
      </c>
      <c r="E4288" s="18">
        <v>30</v>
      </c>
      <c r="F4288" s="18" t="s">
        <v>78</v>
      </c>
      <c r="G4288" s="18" t="s">
        <v>22</v>
      </c>
      <c r="H4288" s="18" t="s">
        <v>23</v>
      </c>
      <c r="I4288" s="19">
        <v>24.02</v>
      </c>
      <c r="J4288" s="20">
        <f t="shared" si="132"/>
        <v>720.6</v>
      </c>
      <c r="K4288" s="106"/>
      <c r="L4288" s="114"/>
      <c r="M4288" s="114">
        <f>tblAquisições[[#This Row],[VALOR UNITARIO COMPRADO]]*tblAquisições[[#This Row],[QUANTIDADE COMPRADA]]</f>
        <v>0</v>
      </c>
      <c r="N4288" s="110">
        <f>K4288-tblAquisições[[#This Row],[QUANTIDADE PLANEJADA]]</f>
        <v>-30</v>
      </c>
      <c r="O4288" s="106" t="str">
        <f t="shared" si="133"/>
        <v>Faltando Comprar</v>
      </c>
    </row>
    <row r="4289" spans="1:15" ht="47.25">
      <c r="A4289" s="16" t="s">
        <v>17</v>
      </c>
      <c r="B4289" s="16" t="s">
        <v>25</v>
      </c>
      <c r="C4289" s="17" t="s">
        <v>19</v>
      </c>
      <c r="D4289" s="18" t="s">
        <v>2406</v>
      </c>
      <c r="E4289" s="18">
        <v>30</v>
      </c>
      <c r="F4289" s="18" t="s">
        <v>78</v>
      </c>
      <c r="G4289" s="18" t="s">
        <v>22</v>
      </c>
      <c r="H4289" s="18" t="s">
        <v>23</v>
      </c>
      <c r="I4289" s="19">
        <v>24.02</v>
      </c>
      <c r="J4289" s="20">
        <f t="shared" si="132"/>
        <v>720.6</v>
      </c>
      <c r="K4289" s="106"/>
      <c r="L4289" s="114"/>
      <c r="M4289" s="114">
        <f>tblAquisições[[#This Row],[VALOR UNITARIO COMPRADO]]*tblAquisições[[#This Row],[QUANTIDADE COMPRADA]]</f>
        <v>0</v>
      </c>
      <c r="N4289" s="110">
        <f>K4289-tblAquisições[[#This Row],[QUANTIDADE PLANEJADA]]</f>
        <v>-30</v>
      </c>
      <c r="O4289" s="106" t="str">
        <f t="shared" si="133"/>
        <v>Faltando Comprar</v>
      </c>
    </row>
    <row r="4290" spans="1:15" ht="31.5">
      <c r="A4290" s="16" t="s">
        <v>17</v>
      </c>
      <c r="B4290" s="16" t="s">
        <v>41</v>
      </c>
      <c r="C4290" s="17" t="s">
        <v>19</v>
      </c>
      <c r="D4290" s="18" t="s">
        <v>2407</v>
      </c>
      <c r="E4290" s="18">
        <v>10</v>
      </c>
      <c r="F4290" s="18" t="s">
        <v>324</v>
      </c>
      <c r="G4290" s="18" t="s">
        <v>22</v>
      </c>
      <c r="H4290" s="18" t="s">
        <v>23</v>
      </c>
      <c r="I4290" s="19">
        <v>2299.52</v>
      </c>
      <c r="J4290" s="20">
        <f t="shared" ref="J4290:J4353" si="134">E4290*I4290</f>
        <v>22995.200000000001</v>
      </c>
      <c r="K4290" s="106"/>
      <c r="L4290" s="114"/>
      <c r="M4290" s="114">
        <f>tblAquisições[[#This Row],[VALOR UNITARIO COMPRADO]]*tblAquisições[[#This Row],[QUANTIDADE COMPRADA]]</f>
        <v>0</v>
      </c>
      <c r="N4290" s="110">
        <f>K4290-tblAquisições[[#This Row],[QUANTIDADE PLANEJADA]]</f>
        <v>-10</v>
      </c>
      <c r="O4290" s="106" t="str">
        <f t="shared" ref="O4290:O4353" si="135">IF(K4290=E4290,"OK",IF(K4290&lt;E4290,"Faltando Comprar","Excedente"))</f>
        <v>Faltando Comprar</v>
      </c>
    </row>
    <row r="4291" spans="1:15" ht="31.5">
      <c r="A4291" s="16" t="s">
        <v>17</v>
      </c>
      <c r="B4291" s="16" t="s">
        <v>28</v>
      </c>
      <c r="C4291" s="17" t="s">
        <v>19</v>
      </c>
      <c r="D4291" s="18" t="s">
        <v>2407</v>
      </c>
      <c r="E4291" s="18">
        <v>12</v>
      </c>
      <c r="F4291" s="18" t="s">
        <v>324</v>
      </c>
      <c r="G4291" s="18" t="s">
        <v>22</v>
      </c>
      <c r="H4291" s="18" t="s">
        <v>23</v>
      </c>
      <c r="I4291" s="19">
        <v>2299.52</v>
      </c>
      <c r="J4291" s="20">
        <f t="shared" si="134"/>
        <v>27594.239999999998</v>
      </c>
      <c r="K4291" s="106"/>
      <c r="L4291" s="114"/>
      <c r="M4291" s="114">
        <f>tblAquisições[[#This Row],[VALOR UNITARIO COMPRADO]]*tblAquisições[[#This Row],[QUANTIDADE COMPRADA]]</f>
        <v>0</v>
      </c>
      <c r="N4291" s="110">
        <f>K4291-tblAquisições[[#This Row],[QUANTIDADE PLANEJADA]]</f>
        <v>-12</v>
      </c>
      <c r="O4291" s="106" t="str">
        <f t="shared" si="135"/>
        <v>Faltando Comprar</v>
      </c>
    </row>
    <row r="4292" spans="1:15" ht="31.5">
      <c r="A4292" s="16" t="s">
        <v>17</v>
      </c>
      <c r="B4292" s="16" t="s">
        <v>28</v>
      </c>
      <c r="C4292" s="17" t="s">
        <v>19</v>
      </c>
      <c r="D4292" s="18" t="s">
        <v>2408</v>
      </c>
      <c r="E4292" s="18">
        <v>19</v>
      </c>
      <c r="F4292" s="18" t="s">
        <v>1455</v>
      </c>
      <c r="G4292" s="18" t="s">
        <v>127</v>
      </c>
      <c r="H4292" s="18" t="s">
        <v>23</v>
      </c>
      <c r="I4292" s="19">
        <v>95.37</v>
      </c>
      <c r="J4292" s="20">
        <f t="shared" si="134"/>
        <v>1812.0300000000002</v>
      </c>
      <c r="K4292" s="106"/>
      <c r="L4292" s="114"/>
      <c r="M4292" s="114">
        <f>tblAquisições[[#This Row],[VALOR UNITARIO COMPRADO]]*tblAquisições[[#This Row],[QUANTIDADE COMPRADA]]</f>
        <v>0</v>
      </c>
      <c r="N4292" s="110">
        <f>K4292-tblAquisições[[#This Row],[QUANTIDADE PLANEJADA]]</f>
        <v>-19</v>
      </c>
      <c r="O4292" s="106" t="str">
        <f t="shared" si="135"/>
        <v>Faltando Comprar</v>
      </c>
    </row>
    <row r="4293" spans="1:15" ht="31.5">
      <c r="A4293" s="16" t="s">
        <v>17</v>
      </c>
      <c r="B4293" s="16" t="s">
        <v>28</v>
      </c>
      <c r="C4293" s="17" t="s">
        <v>19</v>
      </c>
      <c r="D4293" s="18" t="s">
        <v>2409</v>
      </c>
      <c r="E4293" s="18">
        <v>19</v>
      </c>
      <c r="F4293" s="18" t="s">
        <v>1455</v>
      </c>
      <c r="G4293" s="18" t="s">
        <v>127</v>
      </c>
      <c r="H4293" s="18" t="s">
        <v>23</v>
      </c>
      <c r="I4293" s="19">
        <v>46.18</v>
      </c>
      <c r="J4293" s="20">
        <f t="shared" si="134"/>
        <v>877.42</v>
      </c>
      <c r="K4293" s="106"/>
      <c r="L4293" s="114"/>
      <c r="M4293" s="114">
        <f>tblAquisições[[#This Row],[VALOR UNITARIO COMPRADO]]*tblAquisições[[#This Row],[QUANTIDADE COMPRADA]]</f>
        <v>0</v>
      </c>
      <c r="N4293" s="110">
        <f>K4293-tblAquisições[[#This Row],[QUANTIDADE PLANEJADA]]</f>
        <v>-19</v>
      </c>
      <c r="O4293" s="106" t="str">
        <f t="shared" si="135"/>
        <v>Faltando Comprar</v>
      </c>
    </row>
    <row r="4294" spans="1:15" ht="31.5">
      <c r="A4294" s="16" t="s">
        <v>17</v>
      </c>
      <c r="B4294" s="16" t="s">
        <v>28</v>
      </c>
      <c r="C4294" s="17" t="s">
        <v>19</v>
      </c>
      <c r="D4294" s="18" t="s">
        <v>2410</v>
      </c>
      <c r="E4294" s="18">
        <v>24</v>
      </c>
      <c r="F4294" s="18" t="s">
        <v>1455</v>
      </c>
      <c r="G4294" s="18" t="s">
        <v>127</v>
      </c>
      <c r="H4294" s="18" t="s">
        <v>23</v>
      </c>
      <c r="I4294" s="19">
        <v>765</v>
      </c>
      <c r="J4294" s="20">
        <f t="shared" si="134"/>
        <v>18360</v>
      </c>
      <c r="K4294" s="106"/>
      <c r="L4294" s="114"/>
      <c r="M4294" s="114">
        <f>tblAquisições[[#This Row],[VALOR UNITARIO COMPRADO]]*tblAquisições[[#This Row],[QUANTIDADE COMPRADA]]</f>
        <v>0</v>
      </c>
      <c r="N4294" s="110">
        <f>K4294-tblAquisições[[#This Row],[QUANTIDADE PLANEJADA]]</f>
        <v>-24</v>
      </c>
      <c r="O4294" s="106" t="str">
        <f t="shared" si="135"/>
        <v>Faltando Comprar</v>
      </c>
    </row>
    <row r="4295" spans="1:15" ht="31.5">
      <c r="A4295" s="16" t="s">
        <v>17</v>
      </c>
      <c r="B4295" s="16" t="s">
        <v>26</v>
      </c>
      <c r="C4295" s="17" t="s">
        <v>19</v>
      </c>
      <c r="D4295" s="18" t="s">
        <v>2411</v>
      </c>
      <c r="E4295" s="18">
        <v>15</v>
      </c>
      <c r="F4295" s="18" t="s">
        <v>1455</v>
      </c>
      <c r="G4295" s="18" t="s">
        <v>127</v>
      </c>
      <c r="H4295" s="18" t="s">
        <v>23</v>
      </c>
      <c r="I4295" s="19">
        <v>52.3</v>
      </c>
      <c r="J4295" s="20">
        <f t="shared" si="134"/>
        <v>784.5</v>
      </c>
      <c r="K4295" s="106"/>
      <c r="L4295" s="114"/>
      <c r="M4295" s="114">
        <f>tblAquisições[[#This Row],[VALOR UNITARIO COMPRADO]]*tblAquisições[[#This Row],[QUANTIDADE COMPRADA]]</f>
        <v>0</v>
      </c>
      <c r="N4295" s="110">
        <f>K4295-tblAquisições[[#This Row],[QUANTIDADE PLANEJADA]]</f>
        <v>-15</v>
      </c>
      <c r="O4295" s="106" t="str">
        <f t="shared" si="135"/>
        <v>Faltando Comprar</v>
      </c>
    </row>
    <row r="4296" spans="1:15" ht="47.25">
      <c r="A4296" s="16" t="s">
        <v>17</v>
      </c>
      <c r="B4296" s="16" t="s">
        <v>28</v>
      </c>
      <c r="C4296" s="17" t="s">
        <v>19</v>
      </c>
      <c r="D4296" s="18" t="s">
        <v>2412</v>
      </c>
      <c r="E4296" s="18">
        <v>1</v>
      </c>
      <c r="F4296" s="18" t="s">
        <v>214</v>
      </c>
      <c r="G4296" s="18" t="s">
        <v>127</v>
      </c>
      <c r="H4296" s="18" t="s">
        <v>23</v>
      </c>
      <c r="I4296" s="19">
        <v>3261.89</v>
      </c>
      <c r="J4296" s="20">
        <f t="shared" si="134"/>
        <v>3261.89</v>
      </c>
      <c r="K4296" s="106"/>
      <c r="L4296" s="114"/>
      <c r="M4296" s="114">
        <f>tblAquisições[[#This Row],[VALOR UNITARIO COMPRADO]]*tblAquisições[[#This Row],[QUANTIDADE COMPRADA]]</f>
        <v>0</v>
      </c>
      <c r="N4296" s="110">
        <f>K4296-tblAquisições[[#This Row],[QUANTIDADE PLANEJADA]]</f>
        <v>-1</v>
      </c>
      <c r="O4296" s="106" t="str">
        <f t="shared" si="135"/>
        <v>Faltando Comprar</v>
      </c>
    </row>
    <row r="4297" spans="1:15" ht="31.5">
      <c r="A4297" s="16" t="s">
        <v>17</v>
      </c>
      <c r="B4297" s="16" t="s">
        <v>26</v>
      </c>
      <c r="C4297" s="17" t="s">
        <v>19</v>
      </c>
      <c r="D4297" s="18" t="s">
        <v>2413</v>
      </c>
      <c r="E4297" s="18">
        <v>35</v>
      </c>
      <c r="F4297" s="18" t="s">
        <v>30</v>
      </c>
      <c r="G4297" s="18" t="s">
        <v>22</v>
      </c>
      <c r="H4297" s="18" t="s">
        <v>23</v>
      </c>
      <c r="I4297" s="19">
        <v>24.67</v>
      </c>
      <c r="J4297" s="20">
        <f t="shared" si="134"/>
        <v>863.45</v>
      </c>
      <c r="K4297" s="106"/>
      <c r="L4297" s="114"/>
      <c r="M4297" s="114">
        <f>tblAquisições[[#This Row],[VALOR UNITARIO COMPRADO]]*tblAquisições[[#This Row],[QUANTIDADE COMPRADA]]</f>
        <v>0</v>
      </c>
      <c r="N4297" s="110">
        <f>K4297-tblAquisições[[#This Row],[QUANTIDADE PLANEJADA]]</f>
        <v>-35</v>
      </c>
      <c r="O4297" s="106" t="str">
        <f t="shared" si="135"/>
        <v>Faltando Comprar</v>
      </c>
    </row>
    <row r="4298" spans="1:15" ht="63">
      <c r="A4298" s="16" t="s">
        <v>17</v>
      </c>
      <c r="B4298" s="16" t="s">
        <v>72</v>
      </c>
      <c r="C4298" s="17" t="s">
        <v>19</v>
      </c>
      <c r="D4298" s="18" t="s">
        <v>2414</v>
      </c>
      <c r="E4298" s="18">
        <v>1</v>
      </c>
      <c r="F4298" s="18" t="s">
        <v>1453</v>
      </c>
      <c r="G4298" s="18" t="s">
        <v>22</v>
      </c>
      <c r="H4298" s="18" t="s">
        <v>23</v>
      </c>
      <c r="I4298" s="19">
        <v>55</v>
      </c>
      <c r="J4298" s="20">
        <f t="shared" si="134"/>
        <v>55</v>
      </c>
      <c r="K4298" s="106"/>
      <c r="L4298" s="114"/>
      <c r="M4298" s="114">
        <f>tblAquisições[[#This Row],[VALOR UNITARIO COMPRADO]]*tblAquisições[[#This Row],[QUANTIDADE COMPRADA]]</f>
        <v>0</v>
      </c>
      <c r="N4298" s="110">
        <f>K4298-tblAquisições[[#This Row],[QUANTIDADE PLANEJADA]]</f>
        <v>-1</v>
      </c>
      <c r="O4298" s="106" t="str">
        <f t="shared" si="135"/>
        <v>Faltando Comprar</v>
      </c>
    </row>
    <row r="4299" spans="1:15" ht="31.5">
      <c r="A4299" s="16" t="s">
        <v>17</v>
      </c>
      <c r="B4299" s="16" t="s">
        <v>28</v>
      </c>
      <c r="C4299" s="17" t="s">
        <v>19</v>
      </c>
      <c r="D4299" s="18" t="s">
        <v>2415</v>
      </c>
      <c r="E4299" s="18">
        <v>12</v>
      </c>
      <c r="F4299" s="18" t="s">
        <v>21</v>
      </c>
      <c r="G4299" s="18" t="s">
        <v>22</v>
      </c>
      <c r="H4299" s="18" t="s">
        <v>23</v>
      </c>
      <c r="I4299" s="19">
        <v>123.6</v>
      </c>
      <c r="J4299" s="20">
        <f t="shared" si="134"/>
        <v>1483.1999999999998</v>
      </c>
      <c r="K4299" s="106"/>
      <c r="L4299" s="114"/>
      <c r="M4299" s="114">
        <f>tblAquisições[[#This Row],[VALOR UNITARIO COMPRADO]]*tblAquisições[[#This Row],[QUANTIDADE COMPRADA]]</f>
        <v>0</v>
      </c>
      <c r="N4299" s="110">
        <f>K4299-tblAquisições[[#This Row],[QUANTIDADE PLANEJADA]]</f>
        <v>-12</v>
      </c>
      <c r="O4299" s="106" t="str">
        <f t="shared" si="135"/>
        <v>Faltando Comprar</v>
      </c>
    </row>
    <row r="4300" spans="1:15" ht="31.5">
      <c r="A4300" s="16" t="s">
        <v>17</v>
      </c>
      <c r="B4300" s="16" t="s">
        <v>28</v>
      </c>
      <c r="C4300" s="17" t="s">
        <v>19</v>
      </c>
      <c r="D4300" s="18" t="s">
        <v>2416</v>
      </c>
      <c r="E4300" s="18">
        <v>12</v>
      </c>
      <c r="F4300" s="18" t="s">
        <v>21</v>
      </c>
      <c r="G4300" s="18" t="s">
        <v>22</v>
      </c>
      <c r="H4300" s="18" t="s">
        <v>23</v>
      </c>
      <c r="I4300" s="19">
        <v>43.4</v>
      </c>
      <c r="J4300" s="20">
        <f t="shared" si="134"/>
        <v>520.79999999999995</v>
      </c>
      <c r="K4300" s="106"/>
      <c r="L4300" s="114"/>
      <c r="M4300" s="114">
        <f>tblAquisições[[#This Row],[VALOR UNITARIO COMPRADO]]*tblAquisições[[#This Row],[QUANTIDADE COMPRADA]]</f>
        <v>0</v>
      </c>
      <c r="N4300" s="110">
        <f>K4300-tblAquisições[[#This Row],[QUANTIDADE PLANEJADA]]</f>
        <v>-12</v>
      </c>
      <c r="O4300" s="106" t="str">
        <f t="shared" si="135"/>
        <v>Faltando Comprar</v>
      </c>
    </row>
    <row r="4301" spans="1:15" ht="47.25">
      <c r="A4301" s="16" t="s">
        <v>17</v>
      </c>
      <c r="B4301" s="16" t="s">
        <v>26</v>
      </c>
      <c r="C4301" s="17" t="s">
        <v>19</v>
      </c>
      <c r="D4301" s="18" t="s">
        <v>2417</v>
      </c>
      <c r="E4301" s="18">
        <v>24</v>
      </c>
      <c r="F4301" s="18" t="s">
        <v>239</v>
      </c>
      <c r="G4301" s="18" t="s">
        <v>22</v>
      </c>
      <c r="H4301" s="18" t="s">
        <v>23</v>
      </c>
      <c r="I4301" s="19">
        <v>7.5</v>
      </c>
      <c r="J4301" s="20">
        <f t="shared" si="134"/>
        <v>180</v>
      </c>
      <c r="K4301" s="106"/>
      <c r="L4301" s="114"/>
      <c r="M4301" s="114">
        <f>tblAquisições[[#This Row],[VALOR UNITARIO COMPRADO]]*tblAquisições[[#This Row],[QUANTIDADE COMPRADA]]</f>
        <v>0</v>
      </c>
      <c r="N4301" s="110">
        <f>K4301-tblAquisições[[#This Row],[QUANTIDADE PLANEJADA]]</f>
        <v>-24</v>
      </c>
      <c r="O4301" s="106" t="str">
        <f t="shared" si="135"/>
        <v>Faltando Comprar</v>
      </c>
    </row>
    <row r="4302" spans="1:15" ht="47.25">
      <c r="A4302" s="16" t="s">
        <v>17</v>
      </c>
      <c r="B4302" s="16" t="s">
        <v>34</v>
      </c>
      <c r="C4302" s="17" t="s">
        <v>19</v>
      </c>
      <c r="D4302" s="18" t="s">
        <v>2418</v>
      </c>
      <c r="E4302" s="18">
        <v>2</v>
      </c>
      <c r="F4302" s="18" t="s">
        <v>21</v>
      </c>
      <c r="G4302" s="18" t="s">
        <v>22</v>
      </c>
      <c r="H4302" s="18" t="s">
        <v>23</v>
      </c>
      <c r="I4302" s="19">
        <v>4900</v>
      </c>
      <c r="J4302" s="20">
        <f t="shared" si="134"/>
        <v>9800</v>
      </c>
      <c r="K4302" s="106"/>
      <c r="L4302" s="114"/>
      <c r="M4302" s="114">
        <f>tblAquisições[[#This Row],[VALOR UNITARIO COMPRADO]]*tblAquisições[[#This Row],[QUANTIDADE COMPRADA]]</f>
        <v>0</v>
      </c>
      <c r="N4302" s="110">
        <f>K4302-tblAquisições[[#This Row],[QUANTIDADE PLANEJADA]]</f>
        <v>-2</v>
      </c>
      <c r="O4302" s="106" t="str">
        <f t="shared" si="135"/>
        <v>Faltando Comprar</v>
      </c>
    </row>
    <row r="4303" spans="1:15" ht="47.25">
      <c r="A4303" s="16" t="s">
        <v>17</v>
      </c>
      <c r="B4303" s="16" t="s">
        <v>31</v>
      </c>
      <c r="C4303" s="17" t="s">
        <v>19</v>
      </c>
      <c r="D4303" s="18" t="s">
        <v>2418</v>
      </c>
      <c r="E4303" s="18">
        <v>4</v>
      </c>
      <c r="F4303" s="18" t="s">
        <v>21</v>
      </c>
      <c r="G4303" s="18" t="s">
        <v>22</v>
      </c>
      <c r="H4303" s="18" t="s">
        <v>23</v>
      </c>
      <c r="I4303" s="19">
        <v>4900</v>
      </c>
      <c r="J4303" s="20">
        <f t="shared" si="134"/>
        <v>19600</v>
      </c>
      <c r="K4303" s="106"/>
      <c r="L4303" s="114"/>
      <c r="M4303" s="114">
        <f>tblAquisições[[#This Row],[VALOR UNITARIO COMPRADO]]*tblAquisições[[#This Row],[QUANTIDADE COMPRADA]]</f>
        <v>0</v>
      </c>
      <c r="N4303" s="110">
        <f>K4303-tblAquisições[[#This Row],[QUANTIDADE PLANEJADA]]</f>
        <v>-4</v>
      </c>
      <c r="O4303" s="106" t="str">
        <f t="shared" si="135"/>
        <v>Faltando Comprar</v>
      </c>
    </row>
    <row r="4304" spans="1:15" ht="47.25">
      <c r="A4304" s="16" t="s">
        <v>17</v>
      </c>
      <c r="B4304" s="16" t="s">
        <v>31</v>
      </c>
      <c r="C4304" s="17" t="s">
        <v>19</v>
      </c>
      <c r="D4304" s="18" t="s">
        <v>2419</v>
      </c>
      <c r="E4304" s="18">
        <v>20</v>
      </c>
      <c r="F4304" s="18" t="s">
        <v>78</v>
      </c>
      <c r="G4304" s="18" t="s">
        <v>22</v>
      </c>
      <c r="H4304" s="18" t="s">
        <v>23</v>
      </c>
      <c r="I4304" s="19">
        <v>65</v>
      </c>
      <c r="J4304" s="20">
        <f t="shared" si="134"/>
        <v>1300</v>
      </c>
      <c r="K4304" s="106"/>
      <c r="L4304" s="114"/>
      <c r="M4304" s="114">
        <f>tblAquisições[[#This Row],[VALOR UNITARIO COMPRADO]]*tblAquisições[[#This Row],[QUANTIDADE COMPRADA]]</f>
        <v>0</v>
      </c>
      <c r="N4304" s="110">
        <f>K4304-tblAquisições[[#This Row],[QUANTIDADE PLANEJADA]]</f>
        <v>-20</v>
      </c>
      <c r="O4304" s="106" t="str">
        <f t="shared" si="135"/>
        <v>Faltando Comprar</v>
      </c>
    </row>
    <row r="4305" spans="1:15" ht="63">
      <c r="A4305" s="16" t="s">
        <v>17</v>
      </c>
      <c r="B4305" s="16" t="s">
        <v>27</v>
      </c>
      <c r="C4305" s="17" t="s">
        <v>19</v>
      </c>
      <c r="D4305" s="18" t="s">
        <v>2420</v>
      </c>
      <c r="E4305" s="18">
        <v>3</v>
      </c>
      <c r="F4305" s="18" t="s">
        <v>126</v>
      </c>
      <c r="G4305" s="18" t="s">
        <v>127</v>
      </c>
      <c r="H4305" s="18" t="s">
        <v>23</v>
      </c>
      <c r="I4305" s="19">
        <v>25666</v>
      </c>
      <c r="J4305" s="20">
        <f t="shared" si="134"/>
        <v>76998</v>
      </c>
      <c r="K4305" s="106"/>
      <c r="L4305" s="114"/>
      <c r="M4305" s="114">
        <f>tblAquisições[[#This Row],[VALOR UNITARIO COMPRADO]]*tblAquisições[[#This Row],[QUANTIDADE COMPRADA]]</f>
        <v>0</v>
      </c>
      <c r="N4305" s="110">
        <f>K4305-tblAquisições[[#This Row],[QUANTIDADE PLANEJADA]]</f>
        <v>-3</v>
      </c>
      <c r="O4305" s="106" t="str">
        <f t="shared" si="135"/>
        <v>Faltando Comprar</v>
      </c>
    </row>
    <row r="4306" spans="1:15" ht="63">
      <c r="A4306" s="16" t="s">
        <v>17</v>
      </c>
      <c r="B4306" s="16" t="s">
        <v>26</v>
      </c>
      <c r="C4306" s="17" t="s">
        <v>19</v>
      </c>
      <c r="D4306" s="18" t="s">
        <v>2421</v>
      </c>
      <c r="E4306" s="18">
        <v>1</v>
      </c>
      <c r="F4306" s="18" t="s">
        <v>126</v>
      </c>
      <c r="G4306" s="18" t="s">
        <v>127</v>
      </c>
      <c r="H4306" s="18" t="s">
        <v>23</v>
      </c>
      <c r="I4306" s="19">
        <v>5444</v>
      </c>
      <c r="J4306" s="20">
        <f t="shared" si="134"/>
        <v>5444</v>
      </c>
      <c r="K4306" s="106"/>
      <c r="L4306" s="114"/>
      <c r="M4306" s="114">
        <f>tblAquisições[[#This Row],[VALOR UNITARIO COMPRADO]]*tblAquisições[[#This Row],[QUANTIDADE COMPRADA]]</f>
        <v>0</v>
      </c>
      <c r="N4306" s="110">
        <f>K4306-tblAquisições[[#This Row],[QUANTIDADE PLANEJADA]]</f>
        <v>-1</v>
      </c>
      <c r="O4306" s="106" t="str">
        <f t="shared" si="135"/>
        <v>Faltando Comprar</v>
      </c>
    </row>
    <row r="4307" spans="1:15" ht="63">
      <c r="A4307" s="16" t="s">
        <v>17</v>
      </c>
      <c r="B4307" s="16" t="s">
        <v>26</v>
      </c>
      <c r="C4307" s="17" t="s">
        <v>19</v>
      </c>
      <c r="D4307" s="18" t="s">
        <v>2422</v>
      </c>
      <c r="E4307" s="18">
        <v>1</v>
      </c>
      <c r="F4307" s="18" t="s">
        <v>126</v>
      </c>
      <c r="G4307" s="18" t="s">
        <v>127</v>
      </c>
      <c r="H4307" s="18" t="s">
        <v>23</v>
      </c>
      <c r="I4307" s="19">
        <v>28998.5</v>
      </c>
      <c r="J4307" s="20">
        <f t="shared" si="134"/>
        <v>28998.5</v>
      </c>
      <c r="K4307" s="106"/>
      <c r="L4307" s="114"/>
      <c r="M4307" s="114">
        <f>tblAquisições[[#This Row],[VALOR UNITARIO COMPRADO]]*tblAquisições[[#This Row],[QUANTIDADE COMPRADA]]</f>
        <v>0</v>
      </c>
      <c r="N4307" s="110">
        <f>K4307-tblAquisições[[#This Row],[QUANTIDADE PLANEJADA]]</f>
        <v>-1</v>
      </c>
      <c r="O4307" s="106" t="str">
        <f t="shared" si="135"/>
        <v>Faltando Comprar</v>
      </c>
    </row>
    <row r="4308" spans="1:15" ht="78.75">
      <c r="A4308" s="16" t="s">
        <v>17</v>
      </c>
      <c r="B4308" s="16" t="s">
        <v>80</v>
      </c>
      <c r="C4308" s="17" t="s">
        <v>19</v>
      </c>
      <c r="D4308" s="18" t="s">
        <v>2423</v>
      </c>
      <c r="E4308" s="18">
        <v>1</v>
      </c>
      <c r="F4308" s="18" t="s">
        <v>1158</v>
      </c>
      <c r="G4308" s="18" t="s">
        <v>775</v>
      </c>
      <c r="H4308" s="18" t="s">
        <v>23</v>
      </c>
      <c r="I4308" s="19">
        <v>13738.25</v>
      </c>
      <c r="J4308" s="20">
        <f t="shared" si="134"/>
        <v>13738.25</v>
      </c>
      <c r="K4308" s="106"/>
      <c r="L4308" s="114"/>
      <c r="M4308" s="114">
        <f>tblAquisições[[#This Row],[VALOR UNITARIO COMPRADO]]*tblAquisições[[#This Row],[QUANTIDADE COMPRADA]]</f>
        <v>0</v>
      </c>
      <c r="N4308" s="110">
        <f>K4308-tblAquisições[[#This Row],[QUANTIDADE PLANEJADA]]</f>
        <v>-1</v>
      </c>
      <c r="O4308" s="106" t="str">
        <f t="shared" si="135"/>
        <v>Faltando Comprar</v>
      </c>
    </row>
    <row r="4309" spans="1:15" ht="47.25">
      <c r="A4309" s="16" t="s">
        <v>17</v>
      </c>
      <c r="B4309" s="16" t="s">
        <v>80</v>
      </c>
      <c r="C4309" s="17" t="s">
        <v>19</v>
      </c>
      <c r="D4309" s="18" t="s">
        <v>2424</v>
      </c>
      <c r="E4309" s="18">
        <v>1</v>
      </c>
      <c r="F4309" s="18" t="s">
        <v>147</v>
      </c>
      <c r="G4309" s="18" t="s">
        <v>39</v>
      </c>
      <c r="H4309" s="21"/>
      <c r="I4309" s="19">
        <v>33.5</v>
      </c>
      <c r="J4309" s="20">
        <f t="shared" si="134"/>
        <v>33.5</v>
      </c>
      <c r="K4309" s="106"/>
      <c r="L4309" s="114"/>
      <c r="M4309" s="114">
        <f>tblAquisições[[#This Row],[VALOR UNITARIO COMPRADO]]*tblAquisições[[#This Row],[QUANTIDADE COMPRADA]]</f>
        <v>0</v>
      </c>
      <c r="N4309" s="110">
        <f>K4309-tblAquisições[[#This Row],[QUANTIDADE PLANEJADA]]</f>
        <v>-1</v>
      </c>
      <c r="O4309" s="106" t="str">
        <f t="shared" si="135"/>
        <v>Faltando Comprar</v>
      </c>
    </row>
    <row r="4310" spans="1:15" ht="47.25">
      <c r="A4310" s="16" t="s">
        <v>17</v>
      </c>
      <c r="B4310" s="16" t="s">
        <v>28</v>
      </c>
      <c r="C4310" s="17" t="s">
        <v>19</v>
      </c>
      <c r="D4310" s="33" t="s">
        <v>2425</v>
      </c>
      <c r="E4310" s="33">
        <v>3</v>
      </c>
      <c r="F4310" s="33" t="s">
        <v>78</v>
      </c>
      <c r="G4310" s="33" t="s">
        <v>22</v>
      </c>
      <c r="H4310" s="33" t="s">
        <v>23</v>
      </c>
      <c r="I4310" s="19">
        <v>33.5</v>
      </c>
      <c r="J4310" s="20">
        <f t="shared" si="134"/>
        <v>100.5</v>
      </c>
      <c r="K4310" s="106"/>
      <c r="L4310" s="114"/>
      <c r="M4310" s="114">
        <f>tblAquisições[[#This Row],[VALOR UNITARIO COMPRADO]]*tblAquisições[[#This Row],[QUANTIDADE COMPRADA]]</f>
        <v>0</v>
      </c>
      <c r="N4310" s="110">
        <f>K4310-tblAquisições[[#This Row],[QUANTIDADE PLANEJADA]]</f>
        <v>-3</v>
      </c>
      <c r="O4310" s="106" t="str">
        <f t="shared" si="135"/>
        <v>Faltando Comprar</v>
      </c>
    </row>
    <row r="4311" spans="1:15" ht="63">
      <c r="A4311" s="16" t="s">
        <v>17</v>
      </c>
      <c r="B4311" s="16" t="s">
        <v>34</v>
      </c>
      <c r="C4311" s="17" t="s">
        <v>19</v>
      </c>
      <c r="D4311" s="18" t="s">
        <v>2426</v>
      </c>
      <c r="E4311" s="18">
        <v>3</v>
      </c>
      <c r="F4311" s="18" t="s">
        <v>21</v>
      </c>
      <c r="G4311" s="18" t="s">
        <v>22</v>
      </c>
      <c r="H4311" s="18" t="s">
        <v>23</v>
      </c>
      <c r="I4311" s="19">
        <v>1750</v>
      </c>
      <c r="J4311" s="20">
        <f t="shared" si="134"/>
        <v>5250</v>
      </c>
      <c r="K4311" s="106"/>
      <c r="L4311" s="114"/>
      <c r="M4311" s="114">
        <f>tblAquisições[[#This Row],[VALOR UNITARIO COMPRADO]]*tblAquisições[[#This Row],[QUANTIDADE COMPRADA]]</f>
        <v>0</v>
      </c>
      <c r="N4311" s="110">
        <f>K4311-tblAquisições[[#This Row],[QUANTIDADE PLANEJADA]]</f>
        <v>-3</v>
      </c>
      <c r="O4311" s="106" t="str">
        <f t="shared" si="135"/>
        <v>Faltando Comprar</v>
      </c>
    </row>
    <row r="4312" spans="1:15" ht="63">
      <c r="A4312" s="16" t="s">
        <v>17</v>
      </c>
      <c r="B4312" s="16" t="s">
        <v>31</v>
      </c>
      <c r="C4312" s="17" t="s">
        <v>19</v>
      </c>
      <c r="D4312" s="18" t="s">
        <v>2427</v>
      </c>
      <c r="E4312" s="18">
        <v>7</v>
      </c>
      <c r="F4312" s="18" t="s">
        <v>21</v>
      </c>
      <c r="G4312" s="18" t="s">
        <v>22</v>
      </c>
      <c r="H4312" s="18" t="s">
        <v>23</v>
      </c>
      <c r="I4312" s="19">
        <v>2850</v>
      </c>
      <c r="J4312" s="20">
        <f t="shared" si="134"/>
        <v>19950</v>
      </c>
      <c r="K4312" s="106"/>
      <c r="L4312" s="114"/>
      <c r="M4312" s="114">
        <f>tblAquisições[[#This Row],[VALOR UNITARIO COMPRADO]]*tblAquisições[[#This Row],[QUANTIDADE COMPRADA]]</f>
        <v>0</v>
      </c>
      <c r="N4312" s="110">
        <f>K4312-tblAquisições[[#This Row],[QUANTIDADE PLANEJADA]]</f>
        <v>-7</v>
      </c>
      <c r="O4312" s="106" t="str">
        <f t="shared" si="135"/>
        <v>Faltando Comprar</v>
      </c>
    </row>
    <row r="4313" spans="1:15" ht="63">
      <c r="A4313" s="16" t="s">
        <v>17</v>
      </c>
      <c r="B4313" s="16" t="s">
        <v>41</v>
      </c>
      <c r="C4313" s="17" t="s">
        <v>19</v>
      </c>
      <c r="D4313" s="18" t="s">
        <v>2427</v>
      </c>
      <c r="E4313" s="18">
        <v>3</v>
      </c>
      <c r="F4313" s="18" t="s">
        <v>21</v>
      </c>
      <c r="G4313" s="18" t="s">
        <v>22</v>
      </c>
      <c r="H4313" s="18" t="s">
        <v>23</v>
      </c>
      <c r="I4313" s="19">
        <v>2850</v>
      </c>
      <c r="J4313" s="20">
        <f t="shared" si="134"/>
        <v>8550</v>
      </c>
      <c r="K4313" s="106"/>
      <c r="L4313" s="114"/>
      <c r="M4313" s="114">
        <f>tblAquisições[[#This Row],[VALOR UNITARIO COMPRADO]]*tblAquisições[[#This Row],[QUANTIDADE COMPRADA]]</f>
        <v>0</v>
      </c>
      <c r="N4313" s="110">
        <f>K4313-tblAquisições[[#This Row],[QUANTIDADE PLANEJADA]]</f>
        <v>-3</v>
      </c>
      <c r="O4313" s="106" t="str">
        <f t="shared" si="135"/>
        <v>Faltando Comprar</v>
      </c>
    </row>
    <row r="4314" spans="1:15" ht="63">
      <c r="A4314" s="16" t="s">
        <v>17</v>
      </c>
      <c r="B4314" s="16" t="s">
        <v>28</v>
      </c>
      <c r="C4314" s="17" t="s">
        <v>19</v>
      </c>
      <c r="D4314" s="18" t="s">
        <v>2427</v>
      </c>
      <c r="E4314" s="18">
        <v>3</v>
      </c>
      <c r="F4314" s="18" t="s">
        <v>21</v>
      </c>
      <c r="G4314" s="18" t="s">
        <v>22</v>
      </c>
      <c r="H4314" s="18" t="s">
        <v>23</v>
      </c>
      <c r="I4314" s="19">
        <v>2850</v>
      </c>
      <c r="J4314" s="20">
        <f t="shared" si="134"/>
        <v>8550</v>
      </c>
      <c r="K4314" s="106"/>
      <c r="L4314" s="114"/>
      <c r="M4314" s="114">
        <f>tblAquisições[[#This Row],[VALOR UNITARIO COMPRADO]]*tblAquisições[[#This Row],[QUANTIDADE COMPRADA]]</f>
        <v>0</v>
      </c>
      <c r="N4314" s="110">
        <f>K4314-tblAquisições[[#This Row],[QUANTIDADE PLANEJADA]]</f>
        <v>-3</v>
      </c>
      <c r="O4314" s="106" t="str">
        <f t="shared" si="135"/>
        <v>Faltando Comprar</v>
      </c>
    </row>
    <row r="4315" spans="1:15" ht="63">
      <c r="A4315" s="16" t="s">
        <v>17</v>
      </c>
      <c r="B4315" s="16" t="s">
        <v>31</v>
      </c>
      <c r="C4315" s="17" t="s">
        <v>19</v>
      </c>
      <c r="D4315" s="18" t="s">
        <v>2428</v>
      </c>
      <c r="E4315" s="18">
        <v>7</v>
      </c>
      <c r="F4315" s="18" t="s">
        <v>21</v>
      </c>
      <c r="G4315" s="18" t="s">
        <v>22</v>
      </c>
      <c r="H4315" s="18" t="s">
        <v>23</v>
      </c>
      <c r="I4315" s="19">
        <v>4000</v>
      </c>
      <c r="J4315" s="20">
        <f t="shared" si="134"/>
        <v>28000</v>
      </c>
      <c r="K4315" s="106"/>
      <c r="L4315" s="114"/>
      <c r="M4315" s="114">
        <f>tblAquisições[[#This Row],[VALOR UNITARIO COMPRADO]]*tblAquisições[[#This Row],[QUANTIDADE COMPRADA]]</f>
        <v>0</v>
      </c>
      <c r="N4315" s="110">
        <f>K4315-tblAquisições[[#This Row],[QUANTIDADE PLANEJADA]]</f>
        <v>-7</v>
      </c>
      <c r="O4315" s="106" t="str">
        <f t="shared" si="135"/>
        <v>Faltando Comprar</v>
      </c>
    </row>
    <row r="4316" spans="1:15" ht="63">
      <c r="A4316" s="16" t="s">
        <v>17</v>
      </c>
      <c r="B4316" s="16" t="s">
        <v>28</v>
      </c>
      <c r="C4316" s="17" t="s">
        <v>19</v>
      </c>
      <c r="D4316" s="18" t="s">
        <v>2428</v>
      </c>
      <c r="E4316" s="18">
        <v>3</v>
      </c>
      <c r="F4316" s="18" t="s">
        <v>21</v>
      </c>
      <c r="G4316" s="18" t="s">
        <v>22</v>
      </c>
      <c r="H4316" s="18" t="s">
        <v>23</v>
      </c>
      <c r="I4316" s="19">
        <v>4000</v>
      </c>
      <c r="J4316" s="20">
        <f t="shared" si="134"/>
        <v>12000</v>
      </c>
      <c r="K4316" s="106"/>
      <c r="L4316" s="114"/>
      <c r="M4316" s="114">
        <f>tblAquisições[[#This Row],[VALOR UNITARIO COMPRADO]]*tblAquisições[[#This Row],[QUANTIDADE COMPRADA]]</f>
        <v>0</v>
      </c>
      <c r="N4316" s="110">
        <f>K4316-tblAquisições[[#This Row],[QUANTIDADE PLANEJADA]]</f>
        <v>-3</v>
      </c>
      <c r="O4316" s="106" t="str">
        <f t="shared" si="135"/>
        <v>Faltando Comprar</v>
      </c>
    </row>
    <row r="4317" spans="1:15" ht="63">
      <c r="A4317" s="16" t="s">
        <v>17</v>
      </c>
      <c r="B4317" s="16" t="s">
        <v>34</v>
      </c>
      <c r="C4317" s="17" t="s">
        <v>19</v>
      </c>
      <c r="D4317" s="18" t="s">
        <v>2429</v>
      </c>
      <c r="E4317" s="18">
        <v>2</v>
      </c>
      <c r="F4317" s="18" t="s">
        <v>21</v>
      </c>
      <c r="G4317" s="18" t="s">
        <v>22</v>
      </c>
      <c r="H4317" s="18" t="s">
        <v>23</v>
      </c>
      <c r="I4317" s="19">
        <v>4048</v>
      </c>
      <c r="J4317" s="20">
        <f t="shared" si="134"/>
        <v>8096</v>
      </c>
      <c r="K4317" s="106"/>
      <c r="L4317" s="114"/>
      <c r="M4317" s="114">
        <f>tblAquisições[[#This Row],[VALOR UNITARIO COMPRADO]]*tblAquisições[[#This Row],[QUANTIDADE COMPRADA]]</f>
        <v>0</v>
      </c>
      <c r="N4317" s="110">
        <f>K4317-tblAquisições[[#This Row],[QUANTIDADE PLANEJADA]]</f>
        <v>-2</v>
      </c>
      <c r="O4317" s="106" t="str">
        <f t="shared" si="135"/>
        <v>Faltando Comprar</v>
      </c>
    </row>
    <row r="4318" spans="1:15" ht="63">
      <c r="A4318" s="16" t="s">
        <v>17</v>
      </c>
      <c r="B4318" s="16" t="s">
        <v>34</v>
      </c>
      <c r="C4318" s="17" t="s">
        <v>19</v>
      </c>
      <c r="D4318" s="18" t="s">
        <v>2430</v>
      </c>
      <c r="E4318" s="18">
        <v>2</v>
      </c>
      <c r="F4318" s="18" t="s">
        <v>21</v>
      </c>
      <c r="G4318" s="18" t="s">
        <v>22</v>
      </c>
      <c r="H4318" s="18" t="s">
        <v>23</v>
      </c>
      <c r="I4318" s="19">
        <v>8000</v>
      </c>
      <c r="J4318" s="20">
        <f t="shared" si="134"/>
        <v>16000</v>
      </c>
      <c r="K4318" s="106"/>
      <c r="L4318" s="114"/>
      <c r="M4318" s="114">
        <f>tblAquisições[[#This Row],[VALOR UNITARIO COMPRADO]]*tblAquisições[[#This Row],[QUANTIDADE COMPRADA]]</f>
        <v>0</v>
      </c>
      <c r="N4318" s="110">
        <f>K4318-tblAquisições[[#This Row],[QUANTIDADE PLANEJADA]]</f>
        <v>-2</v>
      </c>
      <c r="O4318" s="106" t="str">
        <f t="shared" si="135"/>
        <v>Faltando Comprar</v>
      </c>
    </row>
    <row r="4319" spans="1:15" ht="31.5">
      <c r="A4319" s="16" t="s">
        <v>17</v>
      </c>
      <c r="B4319" s="16" t="s">
        <v>80</v>
      </c>
      <c r="C4319" s="17" t="s">
        <v>19</v>
      </c>
      <c r="D4319" s="18" t="s">
        <v>2431</v>
      </c>
      <c r="E4319" s="18">
        <v>5</v>
      </c>
      <c r="F4319" s="18" t="s">
        <v>82</v>
      </c>
      <c r="G4319" s="18" t="s">
        <v>39</v>
      </c>
      <c r="H4319" s="21"/>
      <c r="I4319" s="19">
        <v>310.27999999999997</v>
      </c>
      <c r="J4319" s="20">
        <f t="shared" si="134"/>
        <v>1551.3999999999999</v>
      </c>
      <c r="K4319" s="106"/>
      <c r="L4319" s="114"/>
      <c r="M4319" s="114">
        <f>tblAquisições[[#This Row],[VALOR UNITARIO COMPRADO]]*tblAquisições[[#This Row],[QUANTIDADE COMPRADA]]</f>
        <v>0</v>
      </c>
      <c r="N4319" s="110">
        <f>K4319-tblAquisições[[#This Row],[QUANTIDADE PLANEJADA]]</f>
        <v>-5</v>
      </c>
      <c r="O4319" s="106" t="str">
        <f t="shared" si="135"/>
        <v>Faltando Comprar</v>
      </c>
    </row>
    <row r="4320" spans="1:15" ht="31.5">
      <c r="A4320" s="16" t="s">
        <v>17</v>
      </c>
      <c r="B4320" s="16" t="s">
        <v>26</v>
      </c>
      <c r="C4320" s="17" t="s">
        <v>19</v>
      </c>
      <c r="D4320" s="18" t="s">
        <v>2432</v>
      </c>
      <c r="E4320" s="18">
        <v>10</v>
      </c>
      <c r="F4320" s="18" t="s">
        <v>30</v>
      </c>
      <c r="G4320" s="18" t="s">
        <v>22</v>
      </c>
      <c r="H4320" s="18" t="s">
        <v>23</v>
      </c>
      <c r="I4320" s="19">
        <v>310.27999999999997</v>
      </c>
      <c r="J4320" s="20">
        <f t="shared" si="134"/>
        <v>3102.7999999999997</v>
      </c>
      <c r="K4320" s="106"/>
      <c r="L4320" s="114"/>
      <c r="M4320" s="114">
        <f>tblAquisições[[#This Row],[VALOR UNITARIO COMPRADO]]*tblAquisições[[#This Row],[QUANTIDADE COMPRADA]]</f>
        <v>0</v>
      </c>
      <c r="N4320" s="110">
        <f>K4320-tblAquisições[[#This Row],[QUANTIDADE PLANEJADA]]</f>
        <v>-10</v>
      </c>
      <c r="O4320" s="106" t="str">
        <f t="shared" si="135"/>
        <v>Faltando Comprar</v>
      </c>
    </row>
    <row r="4321" spans="1:15" ht="31.5">
      <c r="A4321" s="16" t="s">
        <v>17</v>
      </c>
      <c r="B4321" s="16" t="s">
        <v>80</v>
      </c>
      <c r="C4321" s="17" t="s">
        <v>19</v>
      </c>
      <c r="D4321" s="18" t="s">
        <v>2433</v>
      </c>
      <c r="E4321" s="18">
        <v>5</v>
      </c>
      <c r="F4321" s="18" t="s">
        <v>82</v>
      </c>
      <c r="G4321" s="18" t="s">
        <v>39</v>
      </c>
      <c r="H4321" s="21"/>
      <c r="I4321" s="19">
        <v>228.37</v>
      </c>
      <c r="J4321" s="20">
        <f t="shared" si="134"/>
        <v>1141.8499999999999</v>
      </c>
      <c r="K4321" s="106"/>
      <c r="L4321" s="114"/>
      <c r="M4321" s="114">
        <f>tblAquisições[[#This Row],[VALOR UNITARIO COMPRADO]]*tblAquisições[[#This Row],[QUANTIDADE COMPRADA]]</f>
        <v>0</v>
      </c>
      <c r="N4321" s="110">
        <f>K4321-tblAquisições[[#This Row],[QUANTIDADE PLANEJADA]]</f>
        <v>-5</v>
      </c>
      <c r="O4321" s="106" t="str">
        <f t="shared" si="135"/>
        <v>Faltando Comprar</v>
      </c>
    </row>
    <row r="4322" spans="1:15" ht="31.5">
      <c r="A4322" s="16" t="s">
        <v>17</v>
      </c>
      <c r="B4322" s="16" t="s">
        <v>26</v>
      </c>
      <c r="C4322" s="17" t="s">
        <v>19</v>
      </c>
      <c r="D4322" s="18" t="s">
        <v>2434</v>
      </c>
      <c r="E4322" s="18">
        <v>10</v>
      </c>
      <c r="F4322" s="18" t="s">
        <v>30</v>
      </c>
      <c r="G4322" s="18" t="s">
        <v>22</v>
      </c>
      <c r="H4322" s="18" t="s">
        <v>23</v>
      </c>
      <c r="I4322" s="19">
        <v>228.37</v>
      </c>
      <c r="J4322" s="20">
        <f t="shared" si="134"/>
        <v>2283.6999999999998</v>
      </c>
      <c r="K4322" s="106"/>
      <c r="L4322" s="114"/>
      <c r="M4322" s="114">
        <f>tblAquisições[[#This Row],[VALOR UNITARIO COMPRADO]]*tblAquisições[[#This Row],[QUANTIDADE COMPRADA]]</f>
        <v>0</v>
      </c>
      <c r="N4322" s="110">
        <f>K4322-tblAquisições[[#This Row],[QUANTIDADE PLANEJADA]]</f>
        <v>-10</v>
      </c>
      <c r="O4322" s="106" t="str">
        <f t="shared" si="135"/>
        <v>Faltando Comprar</v>
      </c>
    </row>
    <row r="4323" spans="1:15" ht="31.5">
      <c r="A4323" s="16" t="s">
        <v>17</v>
      </c>
      <c r="B4323" s="16" t="s">
        <v>18</v>
      </c>
      <c r="C4323" s="17" t="s">
        <v>19</v>
      </c>
      <c r="D4323" s="18" t="s">
        <v>2435</v>
      </c>
      <c r="E4323" s="18">
        <v>20</v>
      </c>
      <c r="F4323" s="18" t="s">
        <v>30</v>
      </c>
      <c r="G4323" s="18" t="s">
        <v>22</v>
      </c>
      <c r="H4323" s="18" t="s">
        <v>23</v>
      </c>
      <c r="I4323" s="19">
        <v>235</v>
      </c>
      <c r="J4323" s="20">
        <f t="shared" si="134"/>
        <v>4700</v>
      </c>
      <c r="K4323" s="106"/>
      <c r="L4323" s="114"/>
      <c r="M4323" s="114">
        <f>tblAquisições[[#This Row],[VALOR UNITARIO COMPRADO]]*tblAquisições[[#This Row],[QUANTIDADE COMPRADA]]</f>
        <v>0</v>
      </c>
      <c r="N4323" s="110">
        <f>K4323-tblAquisições[[#This Row],[QUANTIDADE PLANEJADA]]</f>
        <v>-20</v>
      </c>
      <c r="O4323" s="106" t="str">
        <f t="shared" si="135"/>
        <v>Faltando Comprar</v>
      </c>
    </row>
    <row r="4324" spans="1:15" ht="31.5">
      <c r="A4324" s="16" t="s">
        <v>17</v>
      </c>
      <c r="B4324" s="16" t="s">
        <v>24</v>
      </c>
      <c r="C4324" s="17" t="s">
        <v>19</v>
      </c>
      <c r="D4324" s="18" t="s">
        <v>2435</v>
      </c>
      <c r="E4324" s="18">
        <v>20</v>
      </c>
      <c r="F4324" s="18" t="s">
        <v>30</v>
      </c>
      <c r="G4324" s="18" t="s">
        <v>22</v>
      </c>
      <c r="H4324" s="18" t="s">
        <v>23</v>
      </c>
      <c r="I4324" s="19">
        <v>235</v>
      </c>
      <c r="J4324" s="20">
        <f t="shared" si="134"/>
        <v>4700</v>
      </c>
      <c r="K4324" s="106"/>
      <c r="L4324" s="114"/>
      <c r="M4324" s="114">
        <f>tblAquisições[[#This Row],[VALOR UNITARIO COMPRADO]]*tblAquisições[[#This Row],[QUANTIDADE COMPRADA]]</f>
        <v>0</v>
      </c>
      <c r="N4324" s="110">
        <f>K4324-tblAquisições[[#This Row],[QUANTIDADE PLANEJADA]]</f>
        <v>-20</v>
      </c>
      <c r="O4324" s="106" t="str">
        <f t="shared" si="135"/>
        <v>Faltando Comprar</v>
      </c>
    </row>
    <row r="4325" spans="1:15" ht="31.5">
      <c r="A4325" s="16" t="s">
        <v>17</v>
      </c>
      <c r="B4325" s="16" t="s">
        <v>25</v>
      </c>
      <c r="C4325" s="17" t="s">
        <v>19</v>
      </c>
      <c r="D4325" s="18" t="s">
        <v>2435</v>
      </c>
      <c r="E4325" s="18">
        <v>20</v>
      </c>
      <c r="F4325" s="18" t="s">
        <v>30</v>
      </c>
      <c r="G4325" s="18" t="s">
        <v>22</v>
      </c>
      <c r="H4325" s="18" t="s">
        <v>23</v>
      </c>
      <c r="I4325" s="19">
        <v>235</v>
      </c>
      <c r="J4325" s="20">
        <f t="shared" si="134"/>
        <v>4700</v>
      </c>
      <c r="K4325" s="106"/>
      <c r="L4325" s="114"/>
      <c r="M4325" s="114">
        <f>tblAquisições[[#This Row],[VALOR UNITARIO COMPRADO]]*tblAquisições[[#This Row],[QUANTIDADE COMPRADA]]</f>
        <v>0</v>
      </c>
      <c r="N4325" s="110">
        <f>K4325-tblAquisições[[#This Row],[QUANTIDADE PLANEJADA]]</f>
        <v>-20</v>
      </c>
      <c r="O4325" s="106" t="str">
        <f t="shared" si="135"/>
        <v>Faltando Comprar</v>
      </c>
    </row>
    <row r="4326" spans="1:15" ht="31.5">
      <c r="A4326" s="16" t="s">
        <v>17</v>
      </c>
      <c r="B4326" s="16" t="s">
        <v>27</v>
      </c>
      <c r="C4326" s="17" t="s">
        <v>19</v>
      </c>
      <c r="D4326" s="18" t="s">
        <v>2435</v>
      </c>
      <c r="E4326" s="18">
        <v>20</v>
      </c>
      <c r="F4326" s="18" t="s">
        <v>30</v>
      </c>
      <c r="G4326" s="18" t="s">
        <v>22</v>
      </c>
      <c r="H4326" s="18" t="s">
        <v>23</v>
      </c>
      <c r="I4326" s="19">
        <v>235</v>
      </c>
      <c r="J4326" s="20">
        <f t="shared" si="134"/>
        <v>4700</v>
      </c>
      <c r="K4326" s="106"/>
      <c r="L4326" s="114"/>
      <c r="M4326" s="114">
        <f>tblAquisições[[#This Row],[VALOR UNITARIO COMPRADO]]*tblAquisições[[#This Row],[QUANTIDADE COMPRADA]]</f>
        <v>0</v>
      </c>
      <c r="N4326" s="110">
        <f>K4326-tblAquisições[[#This Row],[QUANTIDADE PLANEJADA]]</f>
        <v>-20</v>
      </c>
      <c r="O4326" s="106" t="str">
        <f t="shared" si="135"/>
        <v>Faltando Comprar</v>
      </c>
    </row>
    <row r="4327" spans="1:15" ht="31.5">
      <c r="A4327" s="16" t="s">
        <v>17</v>
      </c>
      <c r="B4327" s="16" t="s">
        <v>28</v>
      </c>
      <c r="C4327" s="17" t="s">
        <v>19</v>
      </c>
      <c r="D4327" s="18" t="s">
        <v>2436</v>
      </c>
      <c r="E4327" s="18">
        <v>8</v>
      </c>
      <c r="F4327" s="18" t="s">
        <v>170</v>
      </c>
      <c r="G4327" s="18" t="s">
        <v>22</v>
      </c>
      <c r="H4327" s="18" t="s">
        <v>23</v>
      </c>
      <c r="I4327" s="19">
        <v>120.3</v>
      </c>
      <c r="J4327" s="20">
        <f t="shared" si="134"/>
        <v>962.4</v>
      </c>
      <c r="K4327" s="106"/>
      <c r="L4327" s="114"/>
      <c r="M4327" s="114">
        <f>tblAquisições[[#This Row],[VALOR UNITARIO COMPRADO]]*tblAquisições[[#This Row],[QUANTIDADE COMPRADA]]</f>
        <v>0</v>
      </c>
      <c r="N4327" s="110">
        <f>K4327-tblAquisições[[#This Row],[QUANTIDADE PLANEJADA]]</f>
        <v>-8</v>
      </c>
      <c r="O4327" s="106" t="str">
        <f t="shared" si="135"/>
        <v>Faltando Comprar</v>
      </c>
    </row>
    <row r="4328" spans="1:15" ht="31.5">
      <c r="A4328" s="16" t="s">
        <v>17</v>
      </c>
      <c r="B4328" s="16" t="s">
        <v>26</v>
      </c>
      <c r="C4328" s="17" t="s">
        <v>19</v>
      </c>
      <c r="D4328" s="18" t="s">
        <v>2437</v>
      </c>
      <c r="E4328" s="18">
        <v>5</v>
      </c>
      <c r="F4328" s="18" t="s">
        <v>30</v>
      </c>
      <c r="G4328" s="18" t="s">
        <v>22</v>
      </c>
      <c r="H4328" s="18" t="s">
        <v>23</v>
      </c>
      <c r="I4328" s="19">
        <v>49.56</v>
      </c>
      <c r="J4328" s="20">
        <f t="shared" si="134"/>
        <v>247.8</v>
      </c>
      <c r="K4328" s="106"/>
      <c r="L4328" s="114"/>
      <c r="M4328" s="114">
        <f>tblAquisições[[#This Row],[VALOR UNITARIO COMPRADO]]*tblAquisições[[#This Row],[QUANTIDADE COMPRADA]]</f>
        <v>0</v>
      </c>
      <c r="N4328" s="110">
        <f>K4328-tblAquisições[[#This Row],[QUANTIDADE PLANEJADA]]</f>
        <v>-5</v>
      </c>
      <c r="O4328" s="106" t="str">
        <f t="shared" si="135"/>
        <v>Faltando Comprar</v>
      </c>
    </row>
    <row r="4329" spans="1:15" ht="31.5">
      <c r="A4329" s="16" t="s">
        <v>17</v>
      </c>
      <c r="B4329" s="16" t="s">
        <v>26</v>
      </c>
      <c r="C4329" s="17" t="s">
        <v>19</v>
      </c>
      <c r="D4329" s="18" t="s">
        <v>2438</v>
      </c>
      <c r="E4329" s="18">
        <v>8</v>
      </c>
      <c r="F4329" s="18" t="s">
        <v>30</v>
      </c>
      <c r="G4329" s="18" t="s">
        <v>22</v>
      </c>
      <c r="H4329" s="18" t="s">
        <v>23</v>
      </c>
      <c r="I4329" s="19">
        <v>219.33</v>
      </c>
      <c r="J4329" s="20">
        <f t="shared" si="134"/>
        <v>1754.64</v>
      </c>
      <c r="K4329" s="106"/>
      <c r="L4329" s="114"/>
      <c r="M4329" s="114">
        <f>tblAquisições[[#This Row],[VALOR UNITARIO COMPRADO]]*tblAquisições[[#This Row],[QUANTIDADE COMPRADA]]</f>
        <v>0</v>
      </c>
      <c r="N4329" s="110">
        <f>K4329-tblAquisições[[#This Row],[QUANTIDADE PLANEJADA]]</f>
        <v>-8</v>
      </c>
      <c r="O4329" s="106" t="str">
        <f t="shared" si="135"/>
        <v>Faltando Comprar</v>
      </c>
    </row>
    <row r="4330" spans="1:15" ht="47.25">
      <c r="A4330" s="16" t="s">
        <v>17</v>
      </c>
      <c r="B4330" s="16" t="s">
        <v>28</v>
      </c>
      <c r="C4330" s="17" t="s">
        <v>19</v>
      </c>
      <c r="D4330" s="18" t="s">
        <v>2439</v>
      </c>
      <c r="E4330" s="18">
        <v>20</v>
      </c>
      <c r="F4330" s="18" t="s">
        <v>78</v>
      </c>
      <c r="G4330" s="18" t="s">
        <v>22</v>
      </c>
      <c r="H4330" s="18" t="s">
        <v>23</v>
      </c>
      <c r="I4330" s="19">
        <v>45.11</v>
      </c>
      <c r="J4330" s="20">
        <f t="shared" si="134"/>
        <v>902.2</v>
      </c>
      <c r="K4330" s="106"/>
      <c r="L4330" s="114"/>
      <c r="M4330" s="114">
        <f>tblAquisições[[#This Row],[VALOR UNITARIO COMPRADO]]*tblAquisições[[#This Row],[QUANTIDADE COMPRADA]]</f>
        <v>0</v>
      </c>
      <c r="N4330" s="110">
        <f>K4330-tblAquisições[[#This Row],[QUANTIDADE PLANEJADA]]</f>
        <v>-20</v>
      </c>
      <c r="O4330" s="106" t="str">
        <f t="shared" si="135"/>
        <v>Faltando Comprar</v>
      </c>
    </row>
    <row r="4331" spans="1:15" ht="31.5">
      <c r="A4331" s="16" t="s">
        <v>17</v>
      </c>
      <c r="B4331" s="16" t="s">
        <v>28</v>
      </c>
      <c r="C4331" s="17" t="s">
        <v>19</v>
      </c>
      <c r="D4331" s="18" t="s">
        <v>2440</v>
      </c>
      <c r="E4331" s="18">
        <v>12</v>
      </c>
      <c r="F4331" s="18" t="s">
        <v>324</v>
      </c>
      <c r="G4331" s="18" t="s">
        <v>22</v>
      </c>
      <c r="H4331" s="18" t="s">
        <v>23</v>
      </c>
      <c r="I4331" s="19">
        <v>590.33000000000004</v>
      </c>
      <c r="J4331" s="20">
        <f t="shared" si="134"/>
        <v>7083.9600000000009</v>
      </c>
      <c r="K4331" s="106"/>
      <c r="L4331" s="114"/>
      <c r="M4331" s="114">
        <f>tblAquisições[[#This Row],[VALOR UNITARIO COMPRADO]]*tblAquisições[[#This Row],[QUANTIDADE COMPRADA]]</f>
        <v>0</v>
      </c>
      <c r="N4331" s="110">
        <f>K4331-tblAquisições[[#This Row],[QUANTIDADE PLANEJADA]]</f>
        <v>-12</v>
      </c>
      <c r="O4331" s="106" t="str">
        <f t="shared" si="135"/>
        <v>Faltando Comprar</v>
      </c>
    </row>
    <row r="4332" spans="1:15" ht="47.25">
      <c r="A4332" s="16" t="s">
        <v>17</v>
      </c>
      <c r="B4332" s="16" t="s">
        <v>80</v>
      </c>
      <c r="C4332" s="17" t="s">
        <v>19</v>
      </c>
      <c r="D4332" s="18" t="s">
        <v>2441</v>
      </c>
      <c r="E4332" s="18">
        <v>2</v>
      </c>
      <c r="F4332" s="18" t="s">
        <v>147</v>
      </c>
      <c r="G4332" s="18" t="s">
        <v>39</v>
      </c>
      <c r="H4332" s="21"/>
      <c r="I4332" s="19">
        <v>45.01</v>
      </c>
      <c r="J4332" s="20">
        <f t="shared" si="134"/>
        <v>90.02</v>
      </c>
      <c r="K4332" s="106"/>
      <c r="L4332" s="114"/>
      <c r="M4332" s="114">
        <f>tblAquisições[[#This Row],[VALOR UNITARIO COMPRADO]]*tblAquisições[[#This Row],[QUANTIDADE COMPRADA]]</f>
        <v>0</v>
      </c>
      <c r="N4332" s="110">
        <f>K4332-tblAquisições[[#This Row],[QUANTIDADE PLANEJADA]]</f>
        <v>-2</v>
      </c>
      <c r="O4332" s="106" t="str">
        <f t="shared" si="135"/>
        <v>Faltando Comprar</v>
      </c>
    </row>
    <row r="4333" spans="1:15" ht="31.5">
      <c r="A4333" s="16" t="s">
        <v>17</v>
      </c>
      <c r="B4333" s="16" t="s">
        <v>80</v>
      </c>
      <c r="C4333" s="17" t="s">
        <v>19</v>
      </c>
      <c r="D4333" s="18" t="s">
        <v>2442</v>
      </c>
      <c r="E4333" s="18">
        <v>2</v>
      </c>
      <c r="F4333" s="18" t="s">
        <v>38</v>
      </c>
      <c r="G4333" s="18" t="s">
        <v>39</v>
      </c>
      <c r="H4333" s="18" t="s">
        <v>23</v>
      </c>
      <c r="I4333" s="19">
        <v>11.47</v>
      </c>
      <c r="J4333" s="20">
        <f t="shared" si="134"/>
        <v>22.94</v>
      </c>
      <c r="K4333" s="106"/>
      <c r="L4333" s="114"/>
      <c r="M4333" s="114">
        <f>tblAquisições[[#This Row],[VALOR UNITARIO COMPRADO]]*tblAquisições[[#This Row],[QUANTIDADE COMPRADA]]</f>
        <v>0</v>
      </c>
      <c r="N4333" s="110">
        <f>K4333-tblAquisições[[#This Row],[QUANTIDADE PLANEJADA]]</f>
        <v>-2</v>
      </c>
      <c r="O4333" s="106" t="str">
        <f t="shared" si="135"/>
        <v>Faltando Comprar</v>
      </c>
    </row>
    <row r="4334" spans="1:15" ht="31.5">
      <c r="A4334" s="16" t="s">
        <v>17</v>
      </c>
      <c r="B4334" s="16" t="s">
        <v>41</v>
      </c>
      <c r="C4334" s="17" t="s">
        <v>19</v>
      </c>
      <c r="D4334" s="18" t="s">
        <v>2443</v>
      </c>
      <c r="E4334" s="18">
        <v>5</v>
      </c>
      <c r="F4334" s="18" t="s">
        <v>21</v>
      </c>
      <c r="G4334" s="18" t="s">
        <v>22</v>
      </c>
      <c r="H4334" s="18" t="s">
        <v>23</v>
      </c>
      <c r="I4334" s="19">
        <v>11.47</v>
      </c>
      <c r="J4334" s="20">
        <f t="shared" si="134"/>
        <v>57.35</v>
      </c>
      <c r="K4334" s="106"/>
      <c r="L4334" s="114"/>
      <c r="M4334" s="114">
        <f>tblAquisições[[#This Row],[VALOR UNITARIO COMPRADO]]*tblAquisições[[#This Row],[QUANTIDADE COMPRADA]]</f>
        <v>0</v>
      </c>
      <c r="N4334" s="110">
        <f>K4334-tblAquisições[[#This Row],[QUANTIDADE PLANEJADA]]</f>
        <v>-5</v>
      </c>
      <c r="O4334" s="106" t="str">
        <f t="shared" si="135"/>
        <v>Faltando Comprar</v>
      </c>
    </row>
    <row r="4335" spans="1:15" ht="31.5">
      <c r="A4335" s="16" t="s">
        <v>17</v>
      </c>
      <c r="B4335" s="16" t="s">
        <v>28</v>
      </c>
      <c r="C4335" s="17" t="s">
        <v>19</v>
      </c>
      <c r="D4335" s="18" t="s">
        <v>2443</v>
      </c>
      <c r="E4335" s="18">
        <v>20</v>
      </c>
      <c r="F4335" s="18" t="s">
        <v>21</v>
      </c>
      <c r="G4335" s="18" t="s">
        <v>22</v>
      </c>
      <c r="H4335" s="18" t="s">
        <v>23</v>
      </c>
      <c r="I4335" s="19">
        <v>11.47</v>
      </c>
      <c r="J4335" s="20">
        <f t="shared" si="134"/>
        <v>229.4</v>
      </c>
      <c r="K4335" s="106"/>
      <c r="L4335" s="114"/>
      <c r="M4335" s="114">
        <f>tblAquisições[[#This Row],[VALOR UNITARIO COMPRADO]]*tblAquisições[[#This Row],[QUANTIDADE COMPRADA]]</f>
        <v>0</v>
      </c>
      <c r="N4335" s="110">
        <f>K4335-tblAquisições[[#This Row],[QUANTIDADE PLANEJADA]]</f>
        <v>-20</v>
      </c>
      <c r="O4335" s="106" t="str">
        <f t="shared" si="135"/>
        <v>Faltando Comprar</v>
      </c>
    </row>
    <row r="4336" spans="1:15" ht="31.5">
      <c r="A4336" s="16" t="s">
        <v>17</v>
      </c>
      <c r="B4336" s="16" t="s">
        <v>80</v>
      </c>
      <c r="C4336" s="17" t="s">
        <v>19</v>
      </c>
      <c r="D4336" s="18" t="s">
        <v>2444</v>
      </c>
      <c r="E4336" s="18">
        <v>2</v>
      </c>
      <c r="F4336" s="18" t="s">
        <v>468</v>
      </c>
      <c r="G4336" s="18" t="s">
        <v>39</v>
      </c>
      <c r="H4336" s="21"/>
      <c r="I4336" s="19">
        <v>12.52</v>
      </c>
      <c r="J4336" s="20">
        <f t="shared" si="134"/>
        <v>25.04</v>
      </c>
      <c r="K4336" s="106"/>
      <c r="L4336" s="114"/>
      <c r="M4336" s="114">
        <f>tblAquisições[[#This Row],[VALOR UNITARIO COMPRADO]]*tblAquisições[[#This Row],[QUANTIDADE COMPRADA]]</f>
        <v>0</v>
      </c>
      <c r="N4336" s="110">
        <f>K4336-tblAquisições[[#This Row],[QUANTIDADE PLANEJADA]]</f>
        <v>-2</v>
      </c>
      <c r="O4336" s="106" t="str">
        <f t="shared" si="135"/>
        <v>Faltando Comprar</v>
      </c>
    </row>
    <row r="4337" spans="1:15" ht="47.25">
      <c r="A4337" s="16" t="s">
        <v>17</v>
      </c>
      <c r="B4337" s="16" t="s">
        <v>18</v>
      </c>
      <c r="C4337" s="17" t="s">
        <v>19</v>
      </c>
      <c r="D4337" s="18" t="s">
        <v>2445</v>
      </c>
      <c r="E4337" s="18">
        <v>150</v>
      </c>
      <c r="F4337" s="18" t="s">
        <v>78</v>
      </c>
      <c r="G4337" s="18" t="s">
        <v>22</v>
      </c>
      <c r="H4337" s="18" t="s">
        <v>23</v>
      </c>
      <c r="I4337" s="19">
        <v>2.75</v>
      </c>
      <c r="J4337" s="20">
        <f t="shared" si="134"/>
        <v>412.5</v>
      </c>
      <c r="K4337" s="106"/>
      <c r="L4337" s="114"/>
      <c r="M4337" s="114">
        <f>tblAquisições[[#This Row],[VALOR UNITARIO COMPRADO]]*tblAquisições[[#This Row],[QUANTIDADE COMPRADA]]</f>
        <v>0</v>
      </c>
      <c r="N4337" s="110">
        <f>K4337-tblAquisições[[#This Row],[QUANTIDADE PLANEJADA]]</f>
        <v>-150</v>
      </c>
      <c r="O4337" s="106" t="str">
        <f t="shared" si="135"/>
        <v>Faltando Comprar</v>
      </c>
    </row>
    <row r="4338" spans="1:15" ht="47.25">
      <c r="A4338" s="16" t="s">
        <v>17</v>
      </c>
      <c r="B4338" s="16" t="s">
        <v>24</v>
      </c>
      <c r="C4338" s="17" t="s">
        <v>19</v>
      </c>
      <c r="D4338" s="18" t="s">
        <v>2445</v>
      </c>
      <c r="E4338" s="18">
        <v>150</v>
      </c>
      <c r="F4338" s="18" t="s">
        <v>78</v>
      </c>
      <c r="G4338" s="18" t="s">
        <v>22</v>
      </c>
      <c r="H4338" s="18" t="s">
        <v>23</v>
      </c>
      <c r="I4338" s="19">
        <v>2.75</v>
      </c>
      <c r="J4338" s="20">
        <f t="shared" si="134"/>
        <v>412.5</v>
      </c>
      <c r="K4338" s="106"/>
      <c r="L4338" s="114"/>
      <c r="M4338" s="114">
        <f>tblAquisições[[#This Row],[VALOR UNITARIO COMPRADO]]*tblAquisições[[#This Row],[QUANTIDADE COMPRADA]]</f>
        <v>0</v>
      </c>
      <c r="N4338" s="110">
        <f>K4338-tblAquisições[[#This Row],[QUANTIDADE PLANEJADA]]</f>
        <v>-150</v>
      </c>
      <c r="O4338" s="106" t="str">
        <f t="shared" si="135"/>
        <v>Faltando Comprar</v>
      </c>
    </row>
    <row r="4339" spans="1:15" ht="47.25">
      <c r="A4339" s="16" t="s">
        <v>17</v>
      </c>
      <c r="B4339" s="16" t="s">
        <v>25</v>
      </c>
      <c r="C4339" s="17" t="s">
        <v>19</v>
      </c>
      <c r="D4339" s="18" t="s">
        <v>2445</v>
      </c>
      <c r="E4339" s="18">
        <v>150</v>
      </c>
      <c r="F4339" s="18" t="s">
        <v>78</v>
      </c>
      <c r="G4339" s="18" t="s">
        <v>22</v>
      </c>
      <c r="H4339" s="18" t="s">
        <v>23</v>
      </c>
      <c r="I4339" s="19">
        <v>2.75</v>
      </c>
      <c r="J4339" s="20">
        <f t="shared" si="134"/>
        <v>412.5</v>
      </c>
      <c r="K4339" s="106"/>
      <c r="L4339" s="114"/>
      <c r="M4339" s="114">
        <f>tblAquisições[[#This Row],[VALOR UNITARIO COMPRADO]]*tblAquisições[[#This Row],[QUANTIDADE COMPRADA]]</f>
        <v>0</v>
      </c>
      <c r="N4339" s="110">
        <f>K4339-tblAquisições[[#This Row],[QUANTIDADE PLANEJADA]]</f>
        <v>-150</v>
      </c>
      <c r="O4339" s="106" t="str">
        <f t="shared" si="135"/>
        <v>Faltando Comprar</v>
      </c>
    </row>
    <row r="4340" spans="1:15" ht="47.25">
      <c r="A4340" s="16" t="s">
        <v>17</v>
      </c>
      <c r="B4340" s="16" t="s">
        <v>27</v>
      </c>
      <c r="C4340" s="17" t="s">
        <v>19</v>
      </c>
      <c r="D4340" s="18" t="s">
        <v>2445</v>
      </c>
      <c r="E4340" s="18">
        <v>150</v>
      </c>
      <c r="F4340" s="18" t="s">
        <v>78</v>
      </c>
      <c r="G4340" s="18" t="s">
        <v>22</v>
      </c>
      <c r="H4340" s="18" t="s">
        <v>23</v>
      </c>
      <c r="I4340" s="19">
        <v>2.75</v>
      </c>
      <c r="J4340" s="20">
        <f t="shared" si="134"/>
        <v>412.5</v>
      </c>
      <c r="K4340" s="106"/>
      <c r="L4340" s="114"/>
      <c r="M4340" s="114">
        <f>tblAquisições[[#This Row],[VALOR UNITARIO COMPRADO]]*tblAquisições[[#This Row],[QUANTIDADE COMPRADA]]</f>
        <v>0</v>
      </c>
      <c r="N4340" s="110">
        <f>K4340-tblAquisições[[#This Row],[QUANTIDADE PLANEJADA]]</f>
        <v>-150</v>
      </c>
      <c r="O4340" s="106" t="str">
        <f t="shared" si="135"/>
        <v>Faltando Comprar</v>
      </c>
    </row>
    <row r="4341" spans="1:15" ht="47.25">
      <c r="A4341" s="16" t="s">
        <v>17</v>
      </c>
      <c r="B4341" s="16" t="s">
        <v>28</v>
      </c>
      <c r="C4341" s="17" t="s">
        <v>19</v>
      </c>
      <c r="D4341" s="18" t="s">
        <v>2446</v>
      </c>
      <c r="E4341" s="18">
        <v>5</v>
      </c>
      <c r="F4341" s="18" t="s">
        <v>78</v>
      </c>
      <c r="G4341" s="18" t="s">
        <v>22</v>
      </c>
      <c r="H4341" s="18" t="s">
        <v>23</v>
      </c>
      <c r="I4341" s="24">
        <v>43.72</v>
      </c>
      <c r="J4341" s="20">
        <f t="shared" si="134"/>
        <v>218.6</v>
      </c>
      <c r="K4341" s="106"/>
      <c r="L4341" s="114"/>
      <c r="M4341" s="114">
        <f>tblAquisições[[#This Row],[VALOR UNITARIO COMPRADO]]*tblAquisições[[#This Row],[QUANTIDADE COMPRADA]]</f>
        <v>0</v>
      </c>
      <c r="N4341" s="110">
        <f>K4341-tblAquisições[[#This Row],[QUANTIDADE PLANEJADA]]</f>
        <v>-5</v>
      </c>
      <c r="O4341" s="106" t="str">
        <f t="shared" si="135"/>
        <v>Faltando Comprar</v>
      </c>
    </row>
    <row r="4342" spans="1:15" ht="47.25">
      <c r="A4342" s="16" t="s">
        <v>17</v>
      </c>
      <c r="B4342" s="16" t="s">
        <v>80</v>
      </c>
      <c r="C4342" s="17" t="s">
        <v>19</v>
      </c>
      <c r="D4342" s="18" t="s">
        <v>2447</v>
      </c>
      <c r="E4342" s="18">
        <v>2</v>
      </c>
      <c r="F4342" s="18" t="s">
        <v>147</v>
      </c>
      <c r="G4342" s="18" t="s">
        <v>39</v>
      </c>
      <c r="H4342" s="21"/>
      <c r="I4342" s="19">
        <v>238.18</v>
      </c>
      <c r="J4342" s="20">
        <f t="shared" si="134"/>
        <v>476.36</v>
      </c>
      <c r="K4342" s="106"/>
      <c r="L4342" s="114"/>
      <c r="M4342" s="114">
        <f>tblAquisições[[#This Row],[VALOR UNITARIO COMPRADO]]*tblAquisições[[#This Row],[QUANTIDADE COMPRADA]]</f>
        <v>0</v>
      </c>
      <c r="N4342" s="110">
        <f>K4342-tblAquisições[[#This Row],[QUANTIDADE PLANEJADA]]</f>
        <v>-2</v>
      </c>
      <c r="O4342" s="106" t="str">
        <f t="shared" si="135"/>
        <v>Faltando Comprar</v>
      </c>
    </row>
    <row r="4343" spans="1:15" ht="31.5">
      <c r="A4343" s="16" t="s">
        <v>17</v>
      </c>
      <c r="B4343" s="16" t="s">
        <v>959</v>
      </c>
      <c r="C4343" s="17" t="s">
        <v>19</v>
      </c>
      <c r="D4343" s="18" t="s">
        <v>2448</v>
      </c>
      <c r="E4343" s="18">
        <v>30</v>
      </c>
      <c r="F4343" s="18" t="s">
        <v>56</v>
      </c>
      <c r="G4343" s="18" t="s">
        <v>39</v>
      </c>
      <c r="H4343" s="18" t="s">
        <v>23</v>
      </c>
      <c r="I4343" s="19">
        <v>1.51</v>
      </c>
      <c r="J4343" s="20">
        <f t="shared" si="134"/>
        <v>45.3</v>
      </c>
      <c r="K4343" s="106"/>
      <c r="L4343" s="114"/>
      <c r="M4343" s="114">
        <f>tblAquisições[[#This Row],[VALOR UNITARIO COMPRADO]]*tblAquisições[[#This Row],[QUANTIDADE COMPRADA]]</f>
        <v>0</v>
      </c>
      <c r="N4343" s="110">
        <f>K4343-tblAquisições[[#This Row],[QUANTIDADE PLANEJADA]]</f>
        <v>-30</v>
      </c>
      <c r="O4343" s="106" t="str">
        <f t="shared" si="135"/>
        <v>Faltando Comprar</v>
      </c>
    </row>
    <row r="4344" spans="1:15" ht="31.5">
      <c r="A4344" s="16" t="s">
        <v>17</v>
      </c>
      <c r="B4344" s="16" t="s">
        <v>18</v>
      </c>
      <c r="C4344" s="17" t="s">
        <v>19</v>
      </c>
      <c r="D4344" s="18" t="s">
        <v>2449</v>
      </c>
      <c r="E4344" s="18">
        <v>30</v>
      </c>
      <c r="F4344" s="18" t="s">
        <v>30</v>
      </c>
      <c r="G4344" s="18" t="s">
        <v>22</v>
      </c>
      <c r="H4344" s="18" t="s">
        <v>23</v>
      </c>
      <c r="I4344" s="19">
        <v>12.83</v>
      </c>
      <c r="J4344" s="20">
        <f t="shared" si="134"/>
        <v>384.9</v>
      </c>
      <c r="K4344" s="106"/>
      <c r="L4344" s="114"/>
      <c r="M4344" s="114">
        <f>tblAquisições[[#This Row],[VALOR UNITARIO COMPRADO]]*tblAquisições[[#This Row],[QUANTIDADE COMPRADA]]</f>
        <v>0</v>
      </c>
      <c r="N4344" s="110">
        <f>K4344-tblAquisições[[#This Row],[QUANTIDADE PLANEJADA]]</f>
        <v>-30</v>
      </c>
      <c r="O4344" s="106" t="str">
        <f t="shared" si="135"/>
        <v>Faltando Comprar</v>
      </c>
    </row>
    <row r="4345" spans="1:15" ht="31.5">
      <c r="A4345" s="16" t="s">
        <v>17</v>
      </c>
      <c r="B4345" s="16" t="s">
        <v>24</v>
      </c>
      <c r="C4345" s="17" t="s">
        <v>19</v>
      </c>
      <c r="D4345" s="18" t="s">
        <v>2449</v>
      </c>
      <c r="E4345" s="18">
        <v>30</v>
      </c>
      <c r="F4345" s="18" t="s">
        <v>30</v>
      </c>
      <c r="G4345" s="18" t="s">
        <v>22</v>
      </c>
      <c r="H4345" s="18" t="s">
        <v>23</v>
      </c>
      <c r="I4345" s="19">
        <v>12.83</v>
      </c>
      <c r="J4345" s="20">
        <f t="shared" si="134"/>
        <v>384.9</v>
      </c>
      <c r="K4345" s="106"/>
      <c r="L4345" s="114"/>
      <c r="M4345" s="114">
        <f>tblAquisições[[#This Row],[VALOR UNITARIO COMPRADO]]*tblAquisições[[#This Row],[QUANTIDADE COMPRADA]]</f>
        <v>0</v>
      </c>
      <c r="N4345" s="110">
        <f>K4345-tblAquisições[[#This Row],[QUANTIDADE PLANEJADA]]</f>
        <v>-30</v>
      </c>
      <c r="O4345" s="106" t="str">
        <f t="shared" si="135"/>
        <v>Faltando Comprar</v>
      </c>
    </row>
    <row r="4346" spans="1:15" ht="31.5">
      <c r="A4346" s="16" t="s">
        <v>17</v>
      </c>
      <c r="B4346" s="16" t="s">
        <v>25</v>
      </c>
      <c r="C4346" s="17" t="s">
        <v>19</v>
      </c>
      <c r="D4346" s="18" t="s">
        <v>2449</v>
      </c>
      <c r="E4346" s="18">
        <v>30</v>
      </c>
      <c r="F4346" s="18" t="s">
        <v>30</v>
      </c>
      <c r="G4346" s="18" t="s">
        <v>22</v>
      </c>
      <c r="H4346" s="18" t="s">
        <v>23</v>
      </c>
      <c r="I4346" s="19">
        <v>12.83</v>
      </c>
      <c r="J4346" s="20">
        <f t="shared" si="134"/>
        <v>384.9</v>
      </c>
      <c r="K4346" s="106"/>
      <c r="L4346" s="114"/>
      <c r="M4346" s="114">
        <f>tblAquisições[[#This Row],[VALOR UNITARIO COMPRADO]]*tblAquisições[[#This Row],[QUANTIDADE COMPRADA]]</f>
        <v>0</v>
      </c>
      <c r="N4346" s="110">
        <f>K4346-tblAquisições[[#This Row],[QUANTIDADE PLANEJADA]]</f>
        <v>-30</v>
      </c>
      <c r="O4346" s="106" t="str">
        <f t="shared" si="135"/>
        <v>Faltando Comprar</v>
      </c>
    </row>
    <row r="4347" spans="1:15" ht="31.5">
      <c r="A4347" s="16" t="s">
        <v>17</v>
      </c>
      <c r="B4347" s="16" t="s">
        <v>26</v>
      </c>
      <c r="C4347" s="17" t="s">
        <v>19</v>
      </c>
      <c r="D4347" s="18" t="s">
        <v>2450</v>
      </c>
      <c r="E4347" s="18">
        <v>10</v>
      </c>
      <c r="F4347" s="18" t="s">
        <v>30</v>
      </c>
      <c r="G4347" s="18" t="s">
        <v>22</v>
      </c>
      <c r="H4347" s="18" t="s">
        <v>23</v>
      </c>
      <c r="I4347" s="19">
        <v>125.98</v>
      </c>
      <c r="J4347" s="20">
        <f t="shared" si="134"/>
        <v>1259.8</v>
      </c>
      <c r="K4347" s="106"/>
      <c r="L4347" s="114"/>
      <c r="M4347" s="114">
        <f>tblAquisições[[#This Row],[VALOR UNITARIO COMPRADO]]*tblAquisições[[#This Row],[QUANTIDADE COMPRADA]]</f>
        <v>0</v>
      </c>
      <c r="N4347" s="110">
        <f>K4347-tblAquisições[[#This Row],[QUANTIDADE PLANEJADA]]</f>
        <v>-10</v>
      </c>
      <c r="O4347" s="106" t="str">
        <f t="shared" si="135"/>
        <v>Faltando Comprar</v>
      </c>
    </row>
    <row r="4348" spans="1:15" ht="47.25">
      <c r="A4348" s="16" t="s">
        <v>17</v>
      </c>
      <c r="B4348" s="16" t="s">
        <v>28</v>
      </c>
      <c r="C4348" s="17" t="s">
        <v>19</v>
      </c>
      <c r="D4348" s="18" t="s">
        <v>2451</v>
      </c>
      <c r="E4348" s="18">
        <v>12</v>
      </c>
      <c r="F4348" s="18" t="s">
        <v>78</v>
      </c>
      <c r="G4348" s="18" t="s">
        <v>22</v>
      </c>
      <c r="H4348" s="18" t="s">
        <v>65</v>
      </c>
      <c r="I4348" s="24">
        <v>180</v>
      </c>
      <c r="J4348" s="20">
        <f t="shared" si="134"/>
        <v>2160</v>
      </c>
      <c r="K4348" s="106"/>
      <c r="L4348" s="114"/>
      <c r="M4348" s="114">
        <f>tblAquisições[[#This Row],[VALOR UNITARIO COMPRADO]]*tblAquisições[[#This Row],[QUANTIDADE COMPRADA]]</f>
        <v>0</v>
      </c>
      <c r="N4348" s="110">
        <f>K4348-tblAquisições[[#This Row],[QUANTIDADE PLANEJADA]]</f>
        <v>-12</v>
      </c>
      <c r="O4348" s="106" t="str">
        <f t="shared" si="135"/>
        <v>Faltando Comprar</v>
      </c>
    </row>
    <row r="4349" spans="1:15" ht="63">
      <c r="A4349" s="16" t="s">
        <v>17</v>
      </c>
      <c r="B4349" s="16" t="s">
        <v>26</v>
      </c>
      <c r="C4349" s="17" t="s">
        <v>19</v>
      </c>
      <c r="D4349" s="18" t="s">
        <v>2452</v>
      </c>
      <c r="E4349" s="18">
        <v>2</v>
      </c>
      <c r="F4349" s="18" t="s">
        <v>1335</v>
      </c>
      <c r="G4349" s="18" t="s">
        <v>22</v>
      </c>
      <c r="H4349" s="18" t="s">
        <v>23</v>
      </c>
      <c r="I4349" s="19">
        <v>870</v>
      </c>
      <c r="J4349" s="20">
        <f t="shared" si="134"/>
        <v>1740</v>
      </c>
      <c r="K4349" s="106"/>
      <c r="L4349" s="114"/>
      <c r="M4349" s="114">
        <f>tblAquisições[[#This Row],[VALOR UNITARIO COMPRADO]]*tblAquisições[[#This Row],[QUANTIDADE COMPRADA]]</f>
        <v>0</v>
      </c>
      <c r="N4349" s="110">
        <f>K4349-tblAquisições[[#This Row],[QUANTIDADE PLANEJADA]]</f>
        <v>-2</v>
      </c>
      <c r="O4349" s="106" t="str">
        <f t="shared" si="135"/>
        <v>Faltando Comprar</v>
      </c>
    </row>
    <row r="4350" spans="1:15" ht="47.25">
      <c r="A4350" s="16" t="s">
        <v>17</v>
      </c>
      <c r="B4350" s="16" t="s">
        <v>28</v>
      </c>
      <c r="C4350" s="17" t="s">
        <v>19</v>
      </c>
      <c r="D4350" s="18" t="s">
        <v>2453</v>
      </c>
      <c r="E4350" s="18">
        <v>4</v>
      </c>
      <c r="F4350" s="18" t="s">
        <v>78</v>
      </c>
      <c r="G4350" s="18" t="s">
        <v>22</v>
      </c>
      <c r="H4350" s="18" t="s">
        <v>65</v>
      </c>
      <c r="I4350" s="24">
        <v>54.7</v>
      </c>
      <c r="J4350" s="20">
        <f t="shared" si="134"/>
        <v>218.8</v>
      </c>
      <c r="K4350" s="106"/>
      <c r="L4350" s="114"/>
      <c r="M4350" s="114">
        <f>tblAquisições[[#This Row],[VALOR UNITARIO COMPRADO]]*tblAquisições[[#This Row],[QUANTIDADE COMPRADA]]</f>
        <v>0</v>
      </c>
      <c r="N4350" s="110">
        <f>K4350-tblAquisições[[#This Row],[QUANTIDADE PLANEJADA]]</f>
        <v>-4</v>
      </c>
      <c r="O4350" s="106" t="str">
        <f t="shared" si="135"/>
        <v>Faltando Comprar</v>
      </c>
    </row>
    <row r="4351" spans="1:15" ht="47.25">
      <c r="A4351" s="16" t="s">
        <v>17</v>
      </c>
      <c r="B4351" s="16" t="s">
        <v>28</v>
      </c>
      <c r="C4351" s="17" t="s">
        <v>19</v>
      </c>
      <c r="D4351" s="18" t="s">
        <v>2454</v>
      </c>
      <c r="E4351" s="18">
        <v>20</v>
      </c>
      <c r="F4351" s="18" t="s">
        <v>78</v>
      </c>
      <c r="G4351" s="18" t="s">
        <v>22</v>
      </c>
      <c r="H4351" s="18" t="s">
        <v>23</v>
      </c>
      <c r="I4351" s="19">
        <v>12.54</v>
      </c>
      <c r="J4351" s="20">
        <f t="shared" si="134"/>
        <v>250.79999999999998</v>
      </c>
      <c r="K4351" s="106"/>
      <c r="L4351" s="114"/>
      <c r="M4351" s="114">
        <f>tblAquisições[[#This Row],[VALOR UNITARIO COMPRADO]]*tblAquisições[[#This Row],[QUANTIDADE COMPRADA]]</f>
        <v>0</v>
      </c>
      <c r="N4351" s="110">
        <f>K4351-tblAquisições[[#This Row],[QUANTIDADE PLANEJADA]]</f>
        <v>-20</v>
      </c>
      <c r="O4351" s="106" t="str">
        <f t="shared" si="135"/>
        <v>Faltando Comprar</v>
      </c>
    </row>
    <row r="4352" spans="1:15" ht="31.5">
      <c r="A4352" s="16" t="s">
        <v>17</v>
      </c>
      <c r="B4352" s="16" t="s">
        <v>41</v>
      </c>
      <c r="C4352" s="17" t="s">
        <v>19</v>
      </c>
      <c r="D4352" s="18" t="s">
        <v>2455</v>
      </c>
      <c r="E4352" s="18">
        <v>5</v>
      </c>
      <c r="F4352" s="18" t="s">
        <v>21</v>
      </c>
      <c r="G4352" s="18" t="s">
        <v>22</v>
      </c>
      <c r="H4352" s="18" t="s">
        <v>23</v>
      </c>
      <c r="I4352" s="19">
        <v>1439.1</v>
      </c>
      <c r="J4352" s="20">
        <f t="shared" si="134"/>
        <v>7195.5</v>
      </c>
      <c r="K4352" s="106"/>
      <c r="L4352" s="114"/>
      <c r="M4352" s="114">
        <f>tblAquisições[[#This Row],[VALOR UNITARIO COMPRADO]]*tblAquisições[[#This Row],[QUANTIDADE COMPRADA]]</f>
        <v>0</v>
      </c>
      <c r="N4352" s="110">
        <f>K4352-tblAquisições[[#This Row],[QUANTIDADE PLANEJADA]]</f>
        <v>-5</v>
      </c>
      <c r="O4352" s="106" t="str">
        <f t="shared" si="135"/>
        <v>Faltando Comprar</v>
      </c>
    </row>
    <row r="4353" spans="1:15" ht="47.25">
      <c r="A4353" s="16" t="s">
        <v>17</v>
      </c>
      <c r="B4353" s="16" t="s">
        <v>34</v>
      </c>
      <c r="C4353" s="17" t="s">
        <v>19</v>
      </c>
      <c r="D4353" s="18" t="s">
        <v>2456</v>
      </c>
      <c r="E4353" s="18">
        <v>5</v>
      </c>
      <c r="F4353" s="18" t="s">
        <v>78</v>
      </c>
      <c r="G4353" s="18" t="s">
        <v>22</v>
      </c>
      <c r="H4353" s="18" t="s">
        <v>23</v>
      </c>
      <c r="I4353" s="19">
        <v>186.96</v>
      </c>
      <c r="J4353" s="20">
        <f t="shared" si="134"/>
        <v>934.80000000000007</v>
      </c>
      <c r="K4353" s="106"/>
      <c r="L4353" s="114"/>
      <c r="M4353" s="114">
        <f>tblAquisições[[#This Row],[VALOR UNITARIO COMPRADO]]*tblAquisições[[#This Row],[QUANTIDADE COMPRADA]]</f>
        <v>0</v>
      </c>
      <c r="N4353" s="110">
        <f>K4353-tblAquisições[[#This Row],[QUANTIDADE PLANEJADA]]</f>
        <v>-5</v>
      </c>
      <c r="O4353" s="106" t="str">
        <f t="shared" si="135"/>
        <v>Faltando Comprar</v>
      </c>
    </row>
    <row r="4354" spans="1:15" ht="47.25">
      <c r="A4354" s="16" t="s">
        <v>17</v>
      </c>
      <c r="B4354" s="16" t="s">
        <v>31</v>
      </c>
      <c r="C4354" s="17" t="s">
        <v>19</v>
      </c>
      <c r="D4354" s="18" t="s">
        <v>2456</v>
      </c>
      <c r="E4354" s="18">
        <v>4</v>
      </c>
      <c r="F4354" s="18" t="s">
        <v>78</v>
      </c>
      <c r="G4354" s="18" t="s">
        <v>22</v>
      </c>
      <c r="H4354" s="18" t="s">
        <v>23</v>
      </c>
      <c r="I4354" s="19">
        <v>186.96</v>
      </c>
      <c r="J4354" s="20">
        <f t="shared" ref="J4354:J4417" si="136">E4354*I4354</f>
        <v>747.84</v>
      </c>
      <c r="K4354" s="106"/>
      <c r="L4354" s="114"/>
      <c r="M4354" s="114">
        <f>tblAquisições[[#This Row],[VALOR UNITARIO COMPRADO]]*tblAquisições[[#This Row],[QUANTIDADE COMPRADA]]</f>
        <v>0</v>
      </c>
      <c r="N4354" s="110">
        <f>K4354-tblAquisições[[#This Row],[QUANTIDADE PLANEJADA]]</f>
        <v>-4</v>
      </c>
      <c r="O4354" s="106" t="str">
        <f t="shared" ref="O4354:O4417" si="137">IF(K4354=E4354,"OK",IF(K4354&lt;E4354,"Faltando Comprar","Excedente"))</f>
        <v>Faltando Comprar</v>
      </c>
    </row>
    <row r="4355" spans="1:15" ht="31.5">
      <c r="A4355" s="16" t="s">
        <v>17</v>
      </c>
      <c r="B4355" s="16" t="s">
        <v>31</v>
      </c>
      <c r="C4355" s="17" t="s">
        <v>19</v>
      </c>
      <c r="D4355" s="18" t="s">
        <v>2457</v>
      </c>
      <c r="E4355" s="18">
        <v>12</v>
      </c>
      <c r="F4355" s="18" t="s">
        <v>21</v>
      </c>
      <c r="G4355" s="18" t="s">
        <v>22</v>
      </c>
      <c r="H4355" s="18" t="s">
        <v>23</v>
      </c>
      <c r="I4355" s="19">
        <v>3.77</v>
      </c>
      <c r="J4355" s="20">
        <f t="shared" si="136"/>
        <v>45.24</v>
      </c>
      <c r="K4355" s="106"/>
      <c r="L4355" s="114"/>
      <c r="M4355" s="114">
        <f>tblAquisições[[#This Row],[VALOR UNITARIO COMPRADO]]*tblAquisições[[#This Row],[QUANTIDADE COMPRADA]]</f>
        <v>0</v>
      </c>
      <c r="N4355" s="110">
        <f>K4355-tblAquisições[[#This Row],[QUANTIDADE PLANEJADA]]</f>
        <v>-12</v>
      </c>
      <c r="O4355" s="106" t="str">
        <f t="shared" si="137"/>
        <v>Faltando Comprar</v>
      </c>
    </row>
    <row r="4356" spans="1:15" ht="31.5">
      <c r="A4356" s="16" t="s">
        <v>17</v>
      </c>
      <c r="B4356" s="16" t="s">
        <v>18</v>
      </c>
      <c r="C4356" s="17" t="s">
        <v>19</v>
      </c>
      <c r="D4356" s="18" t="s">
        <v>2457</v>
      </c>
      <c r="E4356" s="18">
        <v>150</v>
      </c>
      <c r="F4356" s="18" t="s">
        <v>21</v>
      </c>
      <c r="G4356" s="18" t="s">
        <v>22</v>
      </c>
      <c r="H4356" s="18" t="s">
        <v>23</v>
      </c>
      <c r="I4356" s="19">
        <v>3.77</v>
      </c>
      <c r="J4356" s="20">
        <f t="shared" si="136"/>
        <v>565.5</v>
      </c>
      <c r="K4356" s="106"/>
      <c r="L4356" s="114"/>
      <c r="M4356" s="114">
        <f>tblAquisições[[#This Row],[VALOR UNITARIO COMPRADO]]*tblAquisições[[#This Row],[QUANTIDADE COMPRADA]]</f>
        <v>0</v>
      </c>
      <c r="N4356" s="110">
        <f>K4356-tblAquisições[[#This Row],[QUANTIDADE PLANEJADA]]</f>
        <v>-150</v>
      </c>
      <c r="O4356" s="106" t="str">
        <f t="shared" si="137"/>
        <v>Faltando Comprar</v>
      </c>
    </row>
    <row r="4357" spans="1:15" ht="31.5">
      <c r="A4357" s="16" t="s">
        <v>17</v>
      </c>
      <c r="B4357" s="16" t="s">
        <v>24</v>
      </c>
      <c r="C4357" s="17" t="s">
        <v>19</v>
      </c>
      <c r="D4357" s="18" t="s">
        <v>2457</v>
      </c>
      <c r="E4357" s="18">
        <v>150</v>
      </c>
      <c r="F4357" s="18" t="s">
        <v>21</v>
      </c>
      <c r="G4357" s="18" t="s">
        <v>22</v>
      </c>
      <c r="H4357" s="18" t="s">
        <v>23</v>
      </c>
      <c r="I4357" s="19">
        <v>3.77</v>
      </c>
      <c r="J4357" s="20">
        <f t="shared" si="136"/>
        <v>565.5</v>
      </c>
      <c r="K4357" s="106"/>
      <c r="L4357" s="114"/>
      <c r="M4357" s="114">
        <f>tblAquisições[[#This Row],[VALOR UNITARIO COMPRADO]]*tblAquisições[[#This Row],[QUANTIDADE COMPRADA]]</f>
        <v>0</v>
      </c>
      <c r="N4357" s="110">
        <f>K4357-tblAquisições[[#This Row],[QUANTIDADE PLANEJADA]]</f>
        <v>-150</v>
      </c>
      <c r="O4357" s="106" t="str">
        <f t="shared" si="137"/>
        <v>Faltando Comprar</v>
      </c>
    </row>
    <row r="4358" spans="1:15" ht="31.5">
      <c r="A4358" s="16" t="s">
        <v>17</v>
      </c>
      <c r="B4358" s="16" t="s">
        <v>25</v>
      </c>
      <c r="C4358" s="17" t="s">
        <v>19</v>
      </c>
      <c r="D4358" s="18" t="s">
        <v>2457</v>
      </c>
      <c r="E4358" s="18">
        <v>150</v>
      </c>
      <c r="F4358" s="18" t="s">
        <v>21</v>
      </c>
      <c r="G4358" s="18" t="s">
        <v>22</v>
      </c>
      <c r="H4358" s="18" t="s">
        <v>23</v>
      </c>
      <c r="I4358" s="19">
        <v>3.77</v>
      </c>
      <c r="J4358" s="20">
        <f t="shared" si="136"/>
        <v>565.5</v>
      </c>
      <c r="K4358" s="106"/>
      <c r="L4358" s="114"/>
      <c r="M4358" s="114">
        <f>tblAquisições[[#This Row],[VALOR UNITARIO COMPRADO]]*tblAquisições[[#This Row],[QUANTIDADE COMPRADA]]</f>
        <v>0</v>
      </c>
      <c r="N4358" s="110">
        <f>K4358-tblAquisições[[#This Row],[QUANTIDADE PLANEJADA]]</f>
        <v>-150</v>
      </c>
      <c r="O4358" s="106" t="str">
        <f t="shared" si="137"/>
        <v>Faltando Comprar</v>
      </c>
    </row>
    <row r="4359" spans="1:15" ht="31.5">
      <c r="A4359" s="16" t="s">
        <v>17</v>
      </c>
      <c r="B4359" s="16" t="s">
        <v>41</v>
      </c>
      <c r="C4359" s="17" t="s">
        <v>19</v>
      </c>
      <c r="D4359" s="18" t="s">
        <v>2457</v>
      </c>
      <c r="E4359" s="18">
        <v>10</v>
      </c>
      <c r="F4359" s="18" t="s">
        <v>21</v>
      </c>
      <c r="G4359" s="18" t="s">
        <v>22</v>
      </c>
      <c r="H4359" s="18" t="s">
        <v>23</v>
      </c>
      <c r="I4359" s="19">
        <v>3.77</v>
      </c>
      <c r="J4359" s="20">
        <f t="shared" si="136"/>
        <v>37.700000000000003</v>
      </c>
      <c r="K4359" s="106"/>
      <c r="L4359" s="114"/>
      <c r="M4359" s="114">
        <f>tblAquisições[[#This Row],[VALOR UNITARIO COMPRADO]]*tblAquisições[[#This Row],[QUANTIDADE COMPRADA]]</f>
        <v>0</v>
      </c>
      <c r="N4359" s="110">
        <f>K4359-tblAquisições[[#This Row],[QUANTIDADE PLANEJADA]]</f>
        <v>-10</v>
      </c>
      <c r="O4359" s="106" t="str">
        <f t="shared" si="137"/>
        <v>Faltando Comprar</v>
      </c>
    </row>
    <row r="4360" spans="1:15" ht="31.5">
      <c r="A4360" s="16" t="s">
        <v>17</v>
      </c>
      <c r="B4360" s="16" t="s">
        <v>28</v>
      </c>
      <c r="C4360" s="17" t="s">
        <v>19</v>
      </c>
      <c r="D4360" s="18" t="s">
        <v>2457</v>
      </c>
      <c r="E4360" s="18">
        <v>40</v>
      </c>
      <c r="F4360" s="18" t="s">
        <v>21</v>
      </c>
      <c r="G4360" s="18" t="s">
        <v>22</v>
      </c>
      <c r="H4360" s="18" t="s">
        <v>23</v>
      </c>
      <c r="I4360" s="19">
        <v>3.77</v>
      </c>
      <c r="J4360" s="20">
        <f t="shared" si="136"/>
        <v>150.80000000000001</v>
      </c>
      <c r="K4360" s="106"/>
      <c r="L4360" s="114"/>
      <c r="M4360" s="114">
        <f>tblAquisições[[#This Row],[VALOR UNITARIO COMPRADO]]*tblAquisições[[#This Row],[QUANTIDADE COMPRADA]]</f>
        <v>0</v>
      </c>
      <c r="N4360" s="110">
        <f>K4360-tblAquisições[[#This Row],[QUANTIDADE PLANEJADA]]</f>
        <v>-40</v>
      </c>
      <c r="O4360" s="106" t="str">
        <f t="shared" si="137"/>
        <v>Faltando Comprar</v>
      </c>
    </row>
    <row r="4361" spans="1:15" ht="47.25">
      <c r="A4361" s="16" t="s">
        <v>17</v>
      </c>
      <c r="B4361" s="16" t="s">
        <v>18</v>
      </c>
      <c r="C4361" s="17" t="s">
        <v>19</v>
      </c>
      <c r="D4361" s="18" t="s">
        <v>2458</v>
      </c>
      <c r="E4361" s="18">
        <v>100</v>
      </c>
      <c r="F4361" s="18" t="s">
        <v>78</v>
      </c>
      <c r="G4361" s="18" t="s">
        <v>22</v>
      </c>
      <c r="H4361" s="18" t="s">
        <v>23</v>
      </c>
      <c r="I4361" s="19">
        <v>49.25</v>
      </c>
      <c r="J4361" s="20">
        <f t="shared" si="136"/>
        <v>4925</v>
      </c>
      <c r="K4361" s="106"/>
      <c r="L4361" s="114"/>
      <c r="M4361" s="114">
        <f>tblAquisições[[#This Row],[VALOR UNITARIO COMPRADO]]*tblAquisições[[#This Row],[QUANTIDADE COMPRADA]]</f>
        <v>0</v>
      </c>
      <c r="N4361" s="110">
        <f>K4361-tblAquisições[[#This Row],[QUANTIDADE PLANEJADA]]</f>
        <v>-100</v>
      </c>
      <c r="O4361" s="106" t="str">
        <f t="shared" si="137"/>
        <v>Faltando Comprar</v>
      </c>
    </row>
    <row r="4362" spans="1:15" ht="47.25">
      <c r="A4362" s="16" t="s">
        <v>17</v>
      </c>
      <c r="B4362" s="16" t="s">
        <v>24</v>
      </c>
      <c r="C4362" s="17" t="s">
        <v>19</v>
      </c>
      <c r="D4362" s="18" t="s">
        <v>2458</v>
      </c>
      <c r="E4362" s="18">
        <v>100</v>
      </c>
      <c r="F4362" s="18" t="s">
        <v>78</v>
      </c>
      <c r="G4362" s="18" t="s">
        <v>22</v>
      </c>
      <c r="H4362" s="18" t="s">
        <v>23</v>
      </c>
      <c r="I4362" s="19">
        <v>49.25</v>
      </c>
      <c r="J4362" s="20">
        <f t="shared" si="136"/>
        <v>4925</v>
      </c>
      <c r="K4362" s="106"/>
      <c r="L4362" s="114"/>
      <c r="M4362" s="114">
        <f>tblAquisições[[#This Row],[VALOR UNITARIO COMPRADO]]*tblAquisições[[#This Row],[QUANTIDADE COMPRADA]]</f>
        <v>0</v>
      </c>
      <c r="N4362" s="110">
        <f>K4362-tblAquisições[[#This Row],[QUANTIDADE PLANEJADA]]</f>
        <v>-100</v>
      </c>
      <c r="O4362" s="106" t="str">
        <f t="shared" si="137"/>
        <v>Faltando Comprar</v>
      </c>
    </row>
    <row r="4363" spans="1:15" ht="47.25">
      <c r="A4363" s="16" t="s">
        <v>17</v>
      </c>
      <c r="B4363" s="16" t="s">
        <v>25</v>
      </c>
      <c r="C4363" s="17" t="s">
        <v>19</v>
      </c>
      <c r="D4363" s="18" t="s">
        <v>2458</v>
      </c>
      <c r="E4363" s="18">
        <v>100</v>
      </c>
      <c r="F4363" s="18" t="s">
        <v>78</v>
      </c>
      <c r="G4363" s="18" t="s">
        <v>22</v>
      </c>
      <c r="H4363" s="18" t="s">
        <v>23</v>
      </c>
      <c r="I4363" s="19">
        <v>49.25</v>
      </c>
      <c r="J4363" s="20">
        <f t="shared" si="136"/>
        <v>4925</v>
      </c>
      <c r="K4363" s="106"/>
      <c r="L4363" s="114"/>
      <c r="M4363" s="114">
        <f>tblAquisições[[#This Row],[VALOR UNITARIO COMPRADO]]*tblAquisições[[#This Row],[QUANTIDADE COMPRADA]]</f>
        <v>0</v>
      </c>
      <c r="N4363" s="110">
        <f>K4363-tblAquisições[[#This Row],[QUANTIDADE PLANEJADA]]</f>
        <v>-100</v>
      </c>
      <c r="O4363" s="106" t="str">
        <f t="shared" si="137"/>
        <v>Faltando Comprar</v>
      </c>
    </row>
    <row r="4364" spans="1:15" ht="47.25">
      <c r="A4364" s="16" t="s">
        <v>17</v>
      </c>
      <c r="B4364" s="16" t="s">
        <v>27</v>
      </c>
      <c r="C4364" s="17" t="s">
        <v>19</v>
      </c>
      <c r="D4364" s="18" t="s">
        <v>2458</v>
      </c>
      <c r="E4364" s="18">
        <v>80</v>
      </c>
      <c r="F4364" s="18" t="s">
        <v>78</v>
      </c>
      <c r="G4364" s="18" t="s">
        <v>22</v>
      </c>
      <c r="H4364" s="18" t="s">
        <v>23</v>
      </c>
      <c r="I4364" s="19">
        <v>49.25</v>
      </c>
      <c r="J4364" s="20">
        <f t="shared" si="136"/>
        <v>3940</v>
      </c>
      <c r="K4364" s="106"/>
      <c r="L4364" s="114"/>
      <c r="M4364" s="114">
        <f>tblAquisições[[#This Row],[VALOR UNITARIO COMPRADO]]*tblAquisições[[#This Row],[QUANTIDADE COMPRADA]]</f>
        <v>0</v>
      </c>
      <c r="N4364" s="110">
        <f>K4364-tblAquisições[[#This Row],[QUANTIDADE PLANEJADA]]</f>
        <v>-80</v>
      </c>
      <c r="O4364" s="106" t="str">
        <f t="shared" si="137"/>
        <v>Faltando Comprar</v>
      </c>
    </row>
    <row r="4365" spans="1:15" ht="47.25">
      <c r="A4365" s="16" t="s">
        <v>17</v>
      </c>
      <c r="B4365" s="16" t="s">
        <v>28</v>
      </c>
      <c r="C4365" s="17" t="s">
        <v>19</v>
      </c>
      <c r="D4365" s="18" t="s">
        <v>2458</v>
      </c>
      <c r="E4365" s="18">
        <v>120</v>
      </c>
      <c r="F4365" s="18" t="s">
        <v>78</v>
      </c>
      <c r="G4365" s="18" t="s">
        <v>22</v>
      </c>
      <c r="H4365" s="18" t="s">
        <v>23</v>
      </c>
      <c r="I4365" s="19">
        <v>49.25</v>
      </c>
      <c r="J4365" s="20">
        <f t="shared" si="136"/>
        <v>5910</v>
      </c>
      <c r="K4365" s="106"/>
      <c r="L4365" s="114"/>
      <c r="M4365" s="114">
        <f>tblAquisições[[#This Row],[VALOR UNITARIO COMPRADO]]*tblAquisições[[#This Row],[QUANTIDADE COMPRADA]]</f>
        <v>0</v>
      </c>
      <c r="N4365" s="110">
        <f>K4365-tblAquisições[[#This Row],[QUANTIDADE PLANEJADA]]</f>
        <v>-120</v>
      </c>
      <c r="O4365" s="106" t="str">
        <f t="shared" si="137"/>
        <v>Faltando Comprar</v>
      </c>
    </row>
    <row r="4366" spans="1:15" ht="47.25">
      <c r="A4366" s="16" t="s">
        <v>17</v>
      </c>
      <c r="B4366" s="16" t="s">
        <v>28</v>
      </c>
      <c r="C4366" s="17" t="s">
        <v>19</v>
      </c>
      <c r="D4366" s="18" t="s">
        <v>2459</v>
      </c>
      <c r="E4366" s="18">
        <v>6</v>
      </c>
      <c r="F4366" s="18" t="s">
        <v>78</v>
      </c>
      <c r="G4366" s="18" t="s">
        <v>22</v>
      </c>
      <c r="H4366" s="18" t="s">
        <v>23</v>
      </c>
      <c r="I4366" s="19">
        <v>27</v>
      </c>
      <c r="J4366" s="20">
        <f t="shared" si="136"/>
        <v>162</v>
      </c>
      <c r="K4366" s="106"/>
      <c r="L4366" s="114"/>
      <c r="M4366" s="114">
        <f>tblAquisições[[#This Row],[VALOR UNITARIO COMPRADO]]*tblAquisições[[#This Row],[QUANTIDADE COMPRADA]]</f>
        <v>0</v>
      </c>
      <c r="N4366" s="110">
        <f>K4366-tblAquisições[[#This Row],[QUANTIDADE PLANEJADA]]</f>
        <v>-6</v>
      </c>
      <c r="O4366" s="106" t="str">
        <f t="shared" si="137"/>
        <v>Faltando Comprar</v>
      </c>
    </row>
    <row r="4367" spans="1:15" ht="47.25">
      <c r="A4367" s="16" t="s">
        <v>17</v>
      </c>
      <c r="B4367" s="16" t="s">
        <v>31</v>
      </c>
      <c r="C4367" s="17" t="s">
        <v>19</v>
      </c>
      <c r="D4367" s="18" t="s">
        <v>2460</v>
      </c>
      <c r="E4367" s="18">
        <v>500</v>
      </c>
      <c r="F4367" s="18" t="s">
        <v>78</v>
      </c>
      <c r="G4367" s="18" t="s">
        <v>22</v>
      </c>
      <c r="H4367" s="18" t="s">
        <v>23</v>
      </c>
      <c r="I4367" s="19">
        <v>62.6</v>
      </c>
      <c r="J4367" s="20">
        <f t="shared" si="136"/>
        <v>31300</v>
      </c>
      <c r="K4367" s="106"/>
      <c r="L4367" s="114"/>
      <c r="M4367" s="114">
        <f>tblAquisições[[#This Row],[VALOR UNITARIO COMPRADO]]*tblAquisições[[#This Row],[QUANTIDADE COMPRADA]]</f>
        <v>0</v>
      </c>
      <c r="N4367" s="110">
        <f>K4367-tblAquisições[[#This Row],[QUANTIDADE PLANEJADA]]</f>
        <v>-500</v>
      </c>
      <c r="O4367" s="106" t="str">
        <f t="shared" si="137"/>
        <v>Faltando Comprar</v>
      </c>
    </row>
    <row r="4368" spans="1:15" ht="47.25">
      <c r="A4368" s="16" t="s">
        <v>17</v>
      </c>
      <c r="B4368" s="16" t="s">
        <v>28</v>
      </c>
      <c r="C4368" s="17" t="s">
        <v>19</v>
      </c>
      <c r="D4368" s="18" t="s">
        <v>2460</v>
      </c>
      <c r="E4368" s="18">
        <v>25</v>
      </c>
      <c r="F4368" s="18" t="s">
        <v>78</v>
      </c>
      <c r="G4368" s="18" t="s">
        <v>22</v>
      </c>
      <c r="H4368" s="18" t="s">
        <v>53</v>
      </c>
      <c r="I4368" s="19">
        <v>62.6</v>
      </c>
      <c r="J4368" s="20">
        <f t="shared" si="136"/>
        <v>1565</v>
      </c>
      <c r="K4368" s="106"/>
      <c r="L4368" s="114"/>
      <c r="M4368" s="114">
        <f>tblAquisições[[#This Row],[VALOR UNITARIO COMPRADO]]*tblAquisições[[#This Row],[QUANTIDADE COMPRADA]]</f>
        <v>0</v>
      </c>
      <c r="N4368" s="110">
        <f>K4368-tblAquisições[[#This Row],[QUANTIDADE PLANEJADA]]</f>
        <v>-25</v>
      </c>
      <c r="O4368" s="106" t="str">
        <f t="shared" si="137"/>
        <v>Faltando Comprar</v>
      </c>
    </row>
    <row r="4369" spans="1:15" ht="47.25">
      <c r="A4369" s="16" t="s">
        <v>17</v>
      </c>
      <c r="B4369" s="16" t="s">
        <v>18</v>
      </c>
      <c r="C4369" s="17" t="s">
        <v>19</v>
      </c>
      <c r="D4369" s="18" t="s">
        <v>2461</v>
      </c>
      <c r="E4369" s="18">
        <v>150</v>
      </c>
      <c r="F4369" s="18" t="s">
        <v>78</v>
      </c>
      <c r="G4369" s="18" t="s">
        <v>22</v>
      </c>
      <c r="H4369" s="18" t="s">
        <v>23</v>
      </c>
      <c r="I4369" s="19">
        <v>1.77</v>
      </c>
      <c r="J4369" s="20">
        <f t="shared" si="136"/>
        <v>265.5</v>
      </c>
      <c r="K4369" s="106"/>
      <c r="L4369" s="114"/>
      <c r="M4369" s="114">
        <f>tblAquisições[[#This Row],[VALOR UNITARIO COMPRADO]]*tblAquisições[[#This Row],[QUANTIDADE COMPRADA]]</f>
        <v>0</v>
      </c>
      <c r="N4369" s="110">
        <f>K4369-tblAquisições[[#This Row],[QUANTIDADE PLANEJADA]]</f>
        <v>-150</v>
      </c>
      <c r="O4369" s="106" t="str">
        <f t="shared" si="137"/>
        <v>Faltando Comprar</v>
      </c>
    </row>
    <row r="4370" spans="1:15" ht="47.25">
      <c r="A4370" s="16" t="s">
        <v>17</v>
      </c>
      <c r="B4370" s="16" t="s">
        <v>24</v>
      </c>
      <c r="C4370" s="17" t="s">
        <v>19</v>
      </c>
      <c r="D4370" s="18" t="s">
        <v>2461</v>
      </c>
      <c r="E4370" s="18">
        <v>150</v>
      </c>
      <c r="F4370" s="18" t="s">
        <v>78</v>
      </c>
      <c r="G4370" s="18" t="s">
        <v>22</v>
      </c>
      <c r="H4370" s="18" t="s">
        <v>23</v>
      </c>
      <c r="I4370" s="19">
        <v>1.77</v>
      </c>
      <c r="J4370" s="20">
        <f t="shared" si="136"/>
        <v>265.5</v>
      </c>
      <c r="K4370" s="106"/>
      <c r="L4370" s="114"/>
      <c r="M4370" s="114">
        <f>tblAquisições[[#This Row],[VALOR UNITARIO COMPRADO]]*tblAquisições[[#This Row],[QUANTIDADE COMPRADA]]</f>
        <v>0</v>
      </c>
      <c r="N4370" s="110">
        <f>K4370-tblAquisições[[#This Row],[QUANTIDADE PLANEJADA]]</f>
        <v>-150</v>
      </c>
      <c r="O4370" s="106" t="str">
        <f t="shared" si="137"/>
        <v>Faltando Comprar</v>
      </c>
    </row>
    <row r="4371" spans="1:15" ht="47.25">
      <c r="A4371" s="16" t="s">
        <v>17</v>
      </c>
      <c r="B4371" s="16" t="s">
        <v>25</v>
      </c>
      <c r="C4371" s="17" t="s">
        <v>19</v>
      </c>
      <c r="D4371" s="18" t="s">
        <v>2461</v>
      </c>
      <c r="E4371" s="18">
        <v>150</v>
      </c>
      <c r="F4371" s="18" t="s">
        <v>78</v>
      </c>
      <c r="G4371" s="18" t="s">
        <v>22</v>
      </c>
      <c r="H4371" s="18" t="s">
        <v>23</v>
      </c>
      <c r="I4371" s="19">
        <v>1.77</v>
      </c>
      <c r="J4371" s="20">
        <f t="shared" si="136"/>
        <v>265.5</v>
      </c>
      <c r="K4371" s="106"/>
      <c r="L4371" s="114"/>
      <c r="M4371" s="114">
        <f>tblAquisições[[#This Row],[VALOR UNITARIO COMPRADO]]*tblAquisições[[#This Row],[QUANTIDADE COMPRADA]]</f>
        <v>0</v>
      </c>
      <c r="N4371" s="110">
        <f>K4371-tblAquisições[[#This Row],[QUANTIDADE PLANEJADA]]</f>
        <v>-150</v>
      </c>
      <c r="O4371" s="106" t="str">
        <f t="shared" si="137"/>
        <v>Faltando Comprar</v>
      </c>
    </row>
    <row r="4372" spans="1:15" ht="47.25">
      <c r="A4372" s="16" t="s">
        <v>17</v>
      </c>
      <c r="B4372" s="16" t="s">
        <v>27</v>
      </c>
      <c r="C4372" s="17" t="s">
        <v>19</v>
      </c>
      <c r="D4372" s="18" t="s">
        <v>2461</v>
      </c>
      <c r="E4372" s="18">
        <v>300</v>
      </c>
      <c r="F4372" s="18" t="s">
        <v>78</v>
      </c>
      <c r="G4372" s="18" t="s">
        <v>22</v>
      </c>
      <c r="H4372" s="18" t="s">
        <v>23</v>
      </c>
      <c r="I4372" s="19">
        <v>1.77</v>
      </c>
      <c r="J4372" s="20">
        <f t="shared" si="136"/>
        <v>531</v>
      </c>
      <c r="K4372" s="106"/>
      <c r="L4372" s="114"/>
      <c r="M4372" s="114">
        <f>tblAquisições[[#This Row],[VALOR UNITARIO COMPRADO]]*tblAquisições[[#This Row],[QUANTIDADE COMPRADA]]</f>
        <v>0</v>
      </c>
      <c r="N4372" s="110">
        <f>K4372-tblAquisições[[#This Row],[QUANTIDADE PLANEJADA]]</f>
        <v>-300</v>
      </c>
      <c r="O4372" s="106" t="str">
        <f t="shared" si="137"/>
        <v>Faltando Comprar</v>
      </c>
    </row>
    <row r="4373" spans="1:15" ht="47.25">
      <c r="A4373" s="16" t="s">
        <v>17</v>
      </c>
      <c r="B4373" s="16" t="s">
        <v>28</v>
      </c>
      <c r="C4373" s="17" t="s">
        <v>19</v>
      </c>
      <c r="D4373" s="18" t="s">
        <v>2462</v>
      </c>
      <c r="E4373" s="18">
        <v>30</v>
      </c>
      <c r="F4373" s="18" t="s">
        <v>78</v>
      </c>
      <c r="G4373" s="18" t="s">
        <v>22</v>
      </c>
      <c r="H4373" s="18" t="s">
        <v>23</v>
      </c>
      <c r="I4373" s="19">
        <v>36.01</v>
      </c>
      <c r="J4373" s="20">
        <f t="shared" si="136"/>
        <v>1080.3</v>
      </c>
      <c r="K4373" s="106"/>
      <c r="L4373" s="114"/>
      <c r="M4373" s="114">
        <f>tblAquisições[[#This Row],[VALOR UNITARIO COMPRADO]]*tblAquisições[[#This Row],[QUANTIDADE COMPRADA]]</f>
        <v>0</v>
      </c>
      <c r="N4373" s="110">
        <f>K4373-tblAquisições[[#This Row],[QUANTIDADE PLANEJADA]]</f>
        <v>-30</v>
      </c>
      <c r="O4373" s="106" t="str">
        <f t="shared" si="137"/>
        <v>Faltando Comprar</v>
      </c>
    </row>
    <row r="4374" spans="1:15" ht="31.5">
      <c r="A4374" s="16" t="s">
        <v>17</v>
      </c>
      <c r="B4374" s="16" t="s">
        <v>28</v>
      </c>
      <c r="C4374" s="17" t="s">
        <v>19</v>
      </c>
      <c r="D4374" s="18" t="s">
        <v>2463</v>
      </c>
      <c r="E4374" s="18">
        <v>30</v>
      </c>
      <c r="F4374" s="18" t="s">
        <v>21</v>
      </c>
      <c r="G4374" s="18" t="s">
        <v>22</v>
      </c>
      <c r="H4374" s="18" t="s">
        <v>23</v>
      </c>
      <c r="I4374" s="19">
        <v>685.94</v>
      </c>
      <c r="J4374" s="20">
        <f t="shared" si="136"/>
        <v>20578.2</v>
      </c>
      <c r="K4374" s="106"/>
      <c r="L4374" s="114"/>
      <c r="M4374" s="114">
        <f>tblAquisições[[#This Row],[VALOR UNITARIO COMPRADO]]*tblAquisições[[#This Row],[QUANTIDADE COMPRADA]]</f>
        <v>0</v>
      </c>
      <c r="N4374" s="110">
        <f>K4374-tblAquisições[[#This Row],[QUANTIDADE PLANEJADA]]</f>
        <v>-30</v>
      </c>
      <c r="O4374" s="106" t="str">
        <f t="shared" si="137"/>
        <v>Faltando Comprar</v>
      </c>
    </row>
    <row r="4375" spans="1:15" ht="47.25">
      <c r="A4375" s="16" t="s">
        <v>17</v>
      </c>
      <c r="B4375" s="16" t="s">
        <v>26</v>
      </c>
      <c r="C4375" s="17" t="s">
        <v>19</v>
      </c>
      <c r="D4375" s="18" t="s">
        <v>2464</v>
      </c>
      <c r="E4375" s="18">
        <v>2</v>
      </c>
      <c r="F4375" s="18" t="s">
        <v>239</v>
      </c>
      <c r="G4375" s="18" t="s">
        <v>22</v>
      </c>
      <c r="H4375" s="18" t="s">
        <v>23</v>
      </c>
      <c r="I4375" s="19">
        <v>58.5</v>
      </c>
      <c r="J4375" s="20">
        <f t="shared" si="136"/>
        <v>117</v>
      </c>
      <c r="K4375" s="106"/>
      <c r="L4375" s="114"/>
      <c r="M4375" s="114">
        <f>tblAquisições[[#This Row],[VALOR UNITARIO COMPRADO]]*tblAquisições[[#This Row],[QUANTIDADE COMPRADA]]</f>
        <v>0</v>
      </c>
      <c r="N4375" s="110">
        <f>K4375-tblAquisições[[#This Row],[QUANTIDADE PLANEJADA]]</f>
        <v>-2</v>
      </c>
      <c r="O4375" s="106" t="str">
        <f t="shared" si="137"/>
        <v>Faltando Comprar</v>
      </c>
    </row>
    <row r="4376" spans="1:15" ht="31.5">
      <c r="A4376" s="16" t="s">
        <v>17</v>
      </c>
      <c r="B4376" s="16" t="s">
        <v>28</v>
      </c>
      <c r="C4376" s="17" t="s">
        <v>19</v>
      </c>
      <c r="D4376" s="18" t="s">
        <v>2465</v>
      </c>
      <c r="E4376" s="18">
        <v>4</v>
      </c>
      <c r="F4376" s="18" t="s">
        <v>21</v>
      </c>
      <c r="G4376" s="18" t="s">
        <v>22</v>
      </c>
      <c r="H4376" s="18" t="s">
        <v>23</v>
      </c>
      <c r="I4376" s="19">
        <v>49.69</v>
      </c>
      <c r="J4376" s="20">
        <f t="shared" si="136"/>
        <v>198.76</v>
      </c>
      <c r="K4376" s="106"/>
      <c r="L4376" s="114"/>
      <c r="M4376" s="114">
        <f>tblAquisições[[#This Row],[VALOR UNITARIO COMPRADO]]*tblAquisições[[#This Row],[QUANTIDADE COMPRADA]]</f>
        <v>0</v>
      </c>
      <c r="N4376" s="110">
        <f>K4376-tblAquisições[[#This Row],[QUANTIDADE PLANEJADA]]</f>
        <v>-4</v>
      </c>
      <c r="O4376" s="106" t="str">
        <f t="shared" si="137"/>
        <v>Faltando Comprar</v>
      </c>
    </row>
    <row r="4377" spans="1:15" ht="47.25">
      <c r="A4377" s="16" t="s">
        <v>17</v>
      </c>
      <c r="B4377" s="16" t="s">
        <v>28</v>
      </c>
      <c r="C4377" s="17" t="s">
        <v>19</v>
      </c>
      <c r="D4377" s="18" t="s">
        <v>2466</v>
      </c>
      <c r="E4377" s="18">
        <v>48</v>
      </c>
      <c r="F4377" s="18" t="s">
        <v>78</v>
      </c>
      <c r="G4377" s="18" t="s">
        <v>22</v>
      </c>
      <c r="H4377" s="18" t="s">
        <v>23</v>
      </c>
      <c r="I4377" s="19">
        <v>46.45</v>
      </c>
      <c r="J4377" s="20">
        <f t="shared" si="136"/>
        <v>2229.6000000000004</v>
      </c>
      <c r="K4377" s="106"/>
      <c r="L4377" s="114"/>
      <c r="M4377" s="114">
        <f>tblAquisições[[#This Row],[VALOR UNITARIO COMPRADO]]*tblAquisições[[#This Row],[QUANTIDADE COMPRADA]]</f>
        <v>0</v>
      </c>
      <c r="N4377" s="110">
        <f>K4377-tblAquisições[[#This Row],[QUANTIDADE PLANEJADA]]</f>
        <v>-48</v>
      </c>
      <c r="O4377" s="106" t="str">
        <f t="shared" si="137"/>
        <v>Faltando Comprar</v>
      </c>
    </row>
    <row r="4378" spans="1:15" ht="31.5">
      <c r="A4378" s="16" t="s">
        <v>17</v>
      </c>
      <c r="B4378" s="16" t="s">
        <v>26</v>
      </c>
      <c r="C4378" s="17" t="s">
        <v>19</v>
      </c>
      <c r="D4378" s="18" t="s">
        <v>2467</v>
      </c>
      <c r="E4378" s="18">
        <v>5</v>
      </c>
      <c r="F4378" s="18" t="s">
        <v>30</v>
      </c>
      <c r="G4378" s="18" t="s">
        <v>22</v>
      </c>
      <c r="H4378" s="18" t="s">
        <v>23</v>
      </c>
      <c r="I4378" s="19">
        <v>62.55</v>
      </c>
      <c r="J4378" s="20">
        <f t="shared" si="136"/>
        <v>312.75</v>
      </c>
      <c r="K4378" s="106"/>
      <c r="L4378" s="114"/>
      <c r="M4378" s="114">
        <f>tblAquisições[[#This Row],[VALOR UNITARIO COMPRADO]]*tblAquisições[[#This Row],[QUANTIDADE COMPRADA]]</f>
        <v>0</v>
      </c>
      <c r="N4378" s="110">
        <f>K4378-tblAquisições[[#This Row],[QUANTIDADE PLANEJADA]]</f>
        <v>-5</v>
      </c>
      <c r="O4378" s="106" t="str">
        <f t="shared" si="137"/>
        <v>Faltando Comprar</v>
      </c>
    </row>
    <row r="4379" spans="1:15" ht="31.5">
      <c r="A4379" s="16" t="s">
        <v>17</v>
      </c>
      <c r="B4379" s="16" t="s">
        <v>80</v>
      </c>
      <c r="C4379" s="17" t="s">
        <v>19</v>
      </c>
      <c r="D4379" s="18" t="s">
        <v>2468</v>
      </c>
      <c r="E4379" s="18">
        <v>100</v>
      </c>
      <c r="F4379" s="18" t="s">
        <v>82</v>
      </c>
      <c r="G4379" s="18" t="s">
        <v>39</v>
      </c>
      <c r="H4379" s="18" t="s">
        <v>23</v>
      </c>
      <c r="I4379" s="19">
        <v>16.18</v>
      </c>
      <c r="J4379" s="20">
        <f t="shared" si="136"/>
        <v>1618</v>
      </c>
      <c r="K4379" s="106"/>
      <c r="L4379" s="114"/>
      <c r="M4379" s="114">
        <f>tblAquisições[[#This Row],[VALOR UNITARIO COMPRADO]]*tblAquisições[[#This Row],[QUANTIDADE COMPRADA]]</f>
        <v>0</v>
      </c>
      <c r="N4379" s="110">
        <f>K4379-tblAquisições[[#This Row],[QUANTIDADE PLANEJADA]]</f>
        <v>-100</v>
      </c>
      <c r="O4379" s="106" t="str">
        <f t="shared" si="137"/>
        <v>Faltando Comprar</v>
      </c>
    </row>
    <row r="4380" spans="1:15" ht="31.5">
      <c r="A4380" s="16" t="s">
        <v>17</v>
      </c>
      <c r="B4380" s="16" t="s">
        <v>80</v>
      </c>
      <c r="C4380" s="17" t="s">
        <v>19</v>
      </c>
      <c r="D4380" s="18" t="s">
        <v>2469</v>
      </c>
      <c r="E4380" s="18">
        <v>20</v>
      </c>
      <c r="F4380" s="18" t="s">
        <v>82</v>
      </c>
      <c r="G4380" s="18" t="s">
        <v>39</v>
      </c>
      <c r="H4380" s="21"/>
      <c r="I4380" s="19">
        <v>25.66</v>
      </c>
      <c r="J4380" s="20">
        <f t="shared" si="136"/>
        <v>513.20000000000005</v>
      </c>
      <c r="K4380" s="106"/>
      <c r="L4380" s="114"/>
      <c r="M4380" s="114">
        <f>tblAquisições[[#This Row],[VALOR UNITARIO COMPRADO]]*tblAquisições[[#This Row],[QUANTIDADE COMPRADA]]</f>
        <v>0</v>
      </c>
      <c r="N4380" s="110">
        <f>K4380-tblAquisições[[#This Row],[QUANTIDADE PLANEJADA]]</f>
        <v>-20</v>
      </c>
      <c r="O4380" s="106" t="str">
        <f t="shared" si="137"/>
        <v>Faltando Comprar</v>
      </c>
    </row>
    <row r="4381" spans="1:15" ht="31.5">
      <c r="A4381" s="16" t="s">
        <v>17</v>
      </c>
      <c r="B4381" s="16" t="s">
        <v>41</v>
      </c>
      <c r="C4381" s="17" t="s">
        <v>19</v>
      </c>
      <c r="D4381" s="18" t="s">
        <v>2470</v>
      </c>
      <c r="E4381" s="18">
        <v>50</v>
      </c>
      <c r="F4381" s="18" t="s">
        <v>21</v>
      </c>
      <c r="G4381" s="18" t="s">
        <v>22</v>
      </c>
      <c r="H4381" s="18" t="s">
        <v>23</v>
      </c>
      <c r="I4381" s="19">
        <v>33.89</v>
      </c>
      <c r="J4381" s="20">
        <f t="shared" si="136"/>
        <v>1694.5</v>
      </c>
      <c r="K4381" s="106"/>
      <c r="L4381" s="114"/>
      <c r="M4381" s="114">
        <f>tblAquisições[[#This Row],[VALOR UNITARIO COMPRADO]]*tblAquisições[[#This Row],[QUANTIDADE COMPRADA]]</f>
        <v>0</v>
      </c>
      <c r="N4381" s="110">
        <f>K4381-tblAquisições[[#This Row],[QUANTIDADE PLANEJADA]]</f>
        <v>-50</v>
      </c>
      <c r="O4381" s="106" t="str">
        <f t="shared" si="137"/>
        <v>Faltando Comprar</v>
      </c>
    </row>
    <row r="4382" spans="1:15" ht="31.5">
      <c r="A4382" s="16" t="s">
        <v>17</v>
      </c>
      <c r="B4382" s="16" t="s">
        <v>26</v>
      </c>
      <c r="C4382" s="17" t="s">
        <v>19</v>
      </c>
      <c r="D4382" s="18" t="s">
        <v>2471</v>
      </c>
      <c r="E4382" s="18">
        <v>10</v>
      </c>
      <c r="F4382" s="18" t="s">
        <v>30</v>
      </c>
      <c r="G4382" s="18" t="s">
        <v>22</v>
      </c>
      <c r="H4382" s="18" t="s">
        <v>23</v>
      </c>
      <c r="I4382" s="19">
        <v>24.89</v>
      </c>
      <c r="J4382" s="20">
        <f t="shared" si="136"/>
        <v>248.9</v>
      </c>
      <c r="K4382" s="106"/>
      <c r="L4382" s="114"/>
      <c r="M4382" s="114">
        <f>tblAquisições[[#This Row],[VALOR UNITARIO COMPRADO]]*tblAquisições[[#This Row],[QUANTIDADE COMPRADA]]</f>
        <v>0</v>
      </c>
      <c r="N4382" s="110">
        <f>K4382-tblAquisições[[#This Row],[QUANTIDADE PLANEJADA]]</f>
        <v>-10</v>
      </c>
      <c r="O4382" s="106" t="str">
        <f t="shared" si="137"/>
        <v>Faltando Comprar</v>
      </c>
    </row>
    <row r="4383" spans="1:15" ht="31.5">
      <c r="A4383" s="16" t="s">
        <v>17</v>
      </c>
      <c r="B4383" s="16" t="s">
        <v>34</v>
      </c>
      <c r="C4383" s="17" t="s">
        <v>19</v>
      </c>
      <c r="D4383" s="18" t="s">
        <v>2472</v>
      </c>
      <c r="E4383" s="18">
        <v>1</v>
      </c>
      <c r="F4383" s="18" t="s">
        <v>328</v>
      </c>
      <c r="G4383" s="18" t="s">
        <v>22</v>
      </c>
      <c r="H4383" s="18" t="s">
        <v>23</v>
      </c>
      <c r="I4383" s="19">
        <v>105.26</v>
      </c>
      <c r="J4383" s="20">
        <f t="shared" si="136"/>
        <v>105.26</v>
      </c>
      <c r="K4383" s="106"/>
      <c r="L4383" s="114"/>
      <c r="M4383" s="114">
        <f>tblAquisições[[#This Row],[VALOR UNITARIO COMPRADO]]*tblAquisições[[#This Row],[QUANTIDADE COMPRADA]]</f>
        <v>0</v>
      </c>
      <c r="N4383" s="110">
        <f>K4383-tblAquisições[[#This Row],[QUANTIDADE PLANEJADA]]</f>
        <v>-1</v>
      </c>
      <c r="O4383" s="106" t="str">
        <f t="shared" si="137"/>
        <v>Faltando Comprar</v>
      </c>
    </row>
    <row r="4384" spans="1:15" ht="31.5">
      <c r="A4384" s="16" t="s">
        <v>17</v>
      </c>
      <c r="B4384" s="16" t="s">
        <v>28</v>
      </c>
      <c r="C4384" s="17" t="s">
        <v>19</v>
      </c>
      <c r="D4384" s="18" t="s">
        <v>2472</v>
      </c>
      <c r="E4384" s="18">
        <v>20</v>
      </c>
      <c r="F4384" s="18" t="s">
        <v>328</v>
      </c>
      <c r="G4384" s="18" t="s">
        <v>22</v>
      </c>
      <c r="H4384" s="18" t="s">
        <v>23</v>
      </c>
      <c r="I4384" s="19">
        <v>105.26</v>
      </c>
      <c r="J4384" s="20">
        <f t="shared" si="136"/>
        <v>2105.2000000000003</v>
      </c>
      <c r="K4384" s="106"/>
      <c r="L4384" s="114"/>
      <c r="M4384" s="114">
        <f>tblAquisições[[#This Row],[VALOR UNITARIO COMPRADO]]*tblAquisições[[#This Row],[QUANTIDADE COMPRADA]]</f>
        <v>0</v>
      </c>
      <c r="N4384" s="110">
        <f>K4384-tblAquisições[[#This Row],[QUANTIDADE PLANEJADA]]</f>
        <v>-20</v>
      </c>
      <c r="O4384" s="106" t="str">
        <f t="shared" si="137"/>
        <v>Faltando Comprar</v>
      </c>
    </row>
    <row r="4385" spans="1:15" ht="47.25">
      <c r="A4385" s="16" t="s">
        <v>17</v>
      </c>
      <c r="B4385" s="16" t="s">
        <v>28</v>
      </c>
      <c r="C4385" s="17" t="s">
        <v>19</v>
      </c>
      <c r="D4385" s="18" t="s">
        <v>2473</v>
      </c>
      <c r="E4385" s="18">
        <v>15</v>
      </c>
      <c r="F4385" s="18" t="s">
        <v>78</v>
      </c>
      <c r="G4385" s="18" t="s">
        <v>22</v>
      </c>
      <c r="H4385" s="18" t="s">
        <v>23</v>
      </c>
      <c r="I4385" s="19">
        <v>77.81</v>
      </c>
      <c r="J4385" s="20">
        <f t="shared" si="136"/>
        <v>1167.1500000000001</v>
      </c>
      <c r="K4385" s="106"/>
      <c r="L4385" s="114"/>
      <c r="M4385" s="114">
        <f>tblAquisições[[#This Row],[VALOR UNITARIO COMPRADO]]*tblAquisições[[#This Row],[QUANTIDADE COMPRADA]]</f>
        <v>0</v>
      </c>
      <c r="N4385" s="110">
        <f>K4385-tblAquisições[[#This Row],[QUANTIDADE PLANEJADA]]</f>
        <v>-15</v>
      </c>
      <c r="O4385" s="106" t="str">
        <f t="shared" si="137"/>
        <v>Faltando Comprar</v>
      </c>
    </row>
    <row r="4386" spans="1:15" ht="31.5">
      <c r="A4386" s="16" t="s">
        <v>17</v>
      </c>
      <c r="B4386" s="16" t="s">
        <v>80</v>
      </c>
      <c r="C4386" s="17" t="s">
        <v>19</v>
      </c>
      <c r="D4386" s="18" t="s">
        <v>2474</v>
      </c>
      <c r="E4386" s="18">
        <v>1200</v>
      </c>
      <c r="F4386" s="18" t="s">
        <v>38</v>
      </c>
      <c r="G4386" s="18" t="s">
        <v>39</v>
      </c>
      <c r="H4386" s="18" t="s">
        <v>23</v>
      </c>
      <c r="I4386" s="19">
        <v>15.02</v>
      </c>
      <c r="J4386" s="20">
        <f t="shared" si="136"/>
        <v>18024</v>
      </c>
      <c r="K4386" s="106"/>
      <c r="L4386" s="114"/>
      <c r="M4386" s="114">
        <f>tblAquisições[[#This Row],[VALOR UNITARIO COMPRADO]]*tblAquisições[[#This Row],[QUANTIDADE COMPRADA]]</f>
        <v>0</v>
      </c>
      <c r="N4386" s="110">
        <f>K4386-tblAquisições[[#This Row],[QUANTIDADE PLANEJADA]]</f>
        <v>-1200</v>
      </c>
      <c r="O4386" s="106" t="str">
        <f t="shared" si="137"/>
        <v>Faltando Comprar</v>
      </c>
    </row>
    <row r="4387" spans="1:15" ht="31.5">
      <c r="A4387" s="16" t="s">
        <v>17</v>
      </c>
      <c r="B4387" s="16" t="s">
        <v>41</v>
      </c>
      <c r="C4387" s="17" t="s">
        <v>19</v>
      </c>
      <c r="D4387" s="18" t="s">
        <v>2475</v>
      </c>
      <c r="E4387" s="18">
        <v>20</v>
      </c>
      <c r="F4387" s="18" t="s">
        <v>21</v>
      </c>
      <c r="G4387" s="18" t="s">
        <v>22</v>
      </c>
      <c r="H4387" s="18" t="s">
        <v>23</v>
      </c>
      <c r="I4387" s="19">
        <v>56.31</v>
      </c>
      <c r="J4387" s="20">
        <f t="shared" si="136"/>
        <v>1126.2</v>
      </c>
      <c r="K4387" s="106"/>
      <c r="L4387" s="114"/>
      <c r="M4387" s="114">
        <f>tblAquisições[[#This Row],[VALOR UNITARIO COMPRADO]]*tblAquisições[[#This Row],[QUANTIDADE COMPRADA]]</f>
        <v>0</v>
      </c>
      <c r="N4387" s="110">
        <f>K4387-tblAquisições[[#This Row],[QUANTIDADE PLANEJADA]]</f>
        <v>-20</v>
      </c>
      <c r="O4387" s="106" t="str">
        <f t="shared" si="137"/>
        <v>Faltando Comprar</v>
      </c>
    </row>
    <row r="4388" spans="1:15" ht="31.5">
      <c r="A4388" s="16" t="s">
        <v>17</v>
      </c>
      <c r="B4388" s="16" t="s">
        <v>28</v>
      </c>
      <c r="C4388" s="17" t="s">
        <v>19</v>
      </c>
      <c r="D4388" s="18" t="s">
        <v>2475</v>
      </c>
      <c r="E4388" s="18">
        <v>30</v>
      </c>
      <c r="F4388" s="18" t="s">
        <v>21</v>
      </c>
      <c r="G4388" s="18" t="s">
        <v>22</v>
      </c>
      <c r="H4388" s="18" t="s">
        <v>23</v>
      </c>
      <c r="I4388" s="19">
        <v>56.31</v>
      </c>
      <c r="J4388" s="20">
        <f t="shared" si="136"/>
        <v>1689.3000000000002</v>
      </c>
      <c r="K4388" s="106"/>
      <c r="L4388" s="114"/>
      <c r="M4388" s="114">
        <f>tblAquisições[[#This Row],[VALOR UNITARIO COMPRADO]]*tblAquisições[[#This Row],[QUANTIDADE COMPRADA]]</f>
        <v>0</v>
      </c>
      <c r="N4388" s="110">
        <f>K4388-tblAquisições[[#This Row],[QUANTIDADE PLANEJADA]]</f>
        <v>-30</v>
      </c>
      <c r="O4388" s="106" t="str">
        <f t="shared" si="137"/>
        <v>Faltando Comprar</v>
      </c>
    </row>
    <row r="4389" spans="1:15" ht="31.5">
      <c r="A4389" s="16" t="s">
        <v>17</v>
      </c>
      <c r="B4389" s="16" t="s">
        <v>31</v>
      </c>
      <c r="C4389" s="17" t="s">
        <v>19</v>
      </c>
      <c r="D4389" s="18" t="s">
        <v>2476</v>
      </c>
      <c r="E4389" s="18">
        <v>10</v>
      </c>
      <c r="F4389" s="18" t="s">
        <v>328</v>
      </c>
      <c r="G4389" s="18" t="s">
        <v>22</v>
      </c>
      <c r="H4389" s="18" t="s">
        <v>23</v>
      </c>
      <c r="I4389" s="19">
        <v>65</v>
      </c>
      <c r="J4389" s="20">
        <f t="shared" si="136"/>
        <v>650</v>
      </c>
      <c r="K4389" s="106"/>
      <c r="L4389" s="114"/>
      <c r="M4389" s="114">
        <f>tblAquisições[[#This Row],[VALOR UNITARIO COMPRADO]]*tblAquisições[[#This Row],[QUANTIDADE COMPRADA]]</f>
        <v>0</v>
      </c>
      <c r="N4389" s="110">
        <f>K4389-tblAquisições[[#This Row],[QUANTIDADE PLANEJADA]]</f>
        <v>-10</v>
      </c>
      <c r="O4389" s="106" t="str">
        <f t="shared" si="137"/>
        <v>Faltando Comprar</v>
      </c>
    </row>
    <row r="4390" spans="1:15" ht="31.5">
      <c r="A4390" s="16" t="s">
        <v>17</v>
      </c>
      <c r="B4390" s="16" t="s">
        <v>31</v>
      </c>
      <c r="C4390" s="17" t="s">
        <v>19</v>
      </c>
      <c r="D4390" s="18" t="s">
        <v>2477</v>
      </c>
      <c r="E4390" s="18">
        <v>10</v>
      </c>
      <c r="F4390" s="18" t="s">
        <v>328</v>
      </c>
      <c r="G4390" s="18" t="s">
        <v>22</v>
      </c>
      <c r="H4390" s="18" t="s">
        <v>23</v>
      </c>
      <c r="I4390" s="19">
        <v>60.63</v>
      </c>
      <c r="J4390" s="20">
        <f t="shared" si="136"/>
        <v>606.30000000000007</v>
      </c>
      <c r="K4390" s="106"/>
      <c r="L4390" s="114"/>
      <c r="M4390" s="114">
        <f>tblAquisições[[#This Row],[VALOR UNITARIO COMPRADO]]*tblAquisições[[#This Row],[QUANTIDADE COMPRADA]]</f>
        <v>0</v>
      </c>
      <c r="N4390" s="110">
        <f>K4390-tblAquisições[[#This Row],[QUANTIDADE PLANEJADA]]</f>
        <v>-10</v>
      </c>
      <c r="O4390" s="106" t="str">
        <f t="shared" si="137"/>
        <v>Faltando Comprar</v>
      </c>
    </row>
    <row r="4391" spans="1:15" ht="31.5">
      <c r="A4391" s="16" t="s">
        <v>17</v>
      </c>
      <c r="B4391" s="16" t="s">
        <v>28</v>
      </c>
      <c r="C4391" s="17" t="s">
        <v>19</v>
      </c>
      <c r="D4391" s="18" t="s">
        <v>2478</v>
      </c>
      <c r="E4391" s="18">
        <v>2</v>
      </c>
      <c r="F4391" s="18" t="s">
        <v>328</v>
      </c>
      <c r="G4391" s="18" t="s">
        <v>22</v>
      </c>
      <c r="H4391" s="18" t="s">
        <v>23</v>
      </c>
      <c r="I4391" s="19">
        <v>81.8</v>
      </c>
      <c r="J4391" s="20">
        <f t="shared" si="136"/>
        <v>163.6</v>
      </c>
      <c r="K4391" s="106"/>
      <c r="L4391" s="114"/>
      <c r="M4391" s="114">
        <f>tblAquisições[[#This Row],[VALOR UNITARIO COMPRADO]]*tblAquisições[[#This Row],[QUANTIDADE COMPRADA]]</f>
        <v>0</v>
      </c>
      <c r="N4391" s="110">
        <f>K4391-tblAquisições[[#This Row],[QUANTIDADE PLANEJADA]]</f>
        <v>-2</v>
      </c>
      <c r="O4391" s="106" t="str">
        <f t="shared" si="137"/>
        <v>Faltando Comprar</v>
      </c>
    </row>
    <row r="4392" spans="1:15" ht="31.5">
      <c r="A4392" s="16" t="s">
        <v>17</v>
      </c>
      <c r="B4392" s="16" t="s">
        <v>80</v>
      </c>
      <c r="C4392" s="17" t="s">
        <v>19</v>
      </c>
      <c r="D4392" s="18" t="s">
        <v>2479</v>
      </c>
      <c r="E4392" s="18">
        <v>2</v>
      </c>
      <c r="F4392" s="18" t="s">
        <v>468</v>
      </c>
      <c r="G4392" s="18" t="s">
        <v>39</v>
      </c>
      <c r="H4392" s="21"/>
      <c r="I4392" s="19">
        <v>158.12</v>
      </c>
      <c r="J4392" s="20">
        <f t="shared" si="136"/>
        <v>316.24</v>
      </c>
      <c r="K4392" s="106"/>
      <c r="L4392" s="114"/>
      <c r="M4392" s="114">
        <f>tblAquisições[[#This Row],[VALOR UNITARIO COMPRADO]]*tblAquisições[[#This Row],[QUANTIDADE COMPRADA]]</f>
        <v>0</v>
      </c>
      <c r="N4392" s="110">
        <f>K4392-tblAquisições[[#This Row],[QUANTIDADE PLANEJADA]]</f>
        <v>-2</v>
      </c>
      <c r="O4392" s="106" t="str">
        <f t="shared" si="137"/>
        <v>Faltando Comprar</v>
      </c>
    </row>
    <row r="4393" spans="1:15" ht="47.25">
      <c r="A4393" s="16" t="s">
        <v>17</v>
      </c>
      <c r="B4393" s="16" t="s">
        <v>34</v>
      </c>
      <c r="C4393" s="17" t="s">
        <v>19</v>
      </c>
      <c r="D4393" s="18" t="s">
        <v>2480</v>
      </c>
      <c r="E4393" s="18">
        <v>1</v>
      </c>
      <c r="F4393" s="18" t="s">
        <v>328</v>
      </c>
      <c r="G4393" s="18" t="s">
        <v>22</v>
      </c>
      <c r="H4393" s="18" t="s">
        <v>23</v>
      </c>
      <c r="I4393" s="19">
        <v>60</v>
      </c>
      <c r="J4393" s="20">
        <f t="shared" si="136"/>
        <v>60</v>
      </c>
      <c r="K4393" s="106"/>
      <c r="L4393" s="114"/>
      <c r="M4393" s="114">
        <f>tblAquisições[[#This Row],[VALOR UNITARIO COMPRADO]]*tblAquisições[[#This Row],[QUANTIDADE COMPRADA]]</f>
        <v>0</v>
      </c>
      <c r="N4393" s="110">
        <f>K4393-tblAquisições[[#This Row],[QUANTIDADE PLANEJADA]]</f>
        <v>-1</v>
      </c>
      <c r="O4393" s="106" t="str">
        <f t="shared" si="137"/>
        <v>Faltando Comprar</v>
      </c>
    </row>
    <row r="4394" spans="1:15" ht="47.25">
      <c r="A4394" s="16" t="s">
        <v>17</v>
      </c>
      <c r="B4394" s="16" t="s">
        <v>28</v>
      </c>
      <c r="C4394" s="17" t="s">
        <v>19</v>
      </c>
      <c r="D4394" s="18" t="s">
        <v>2480</v>
      </c>
      <c r="E4394" s="18">
        <v>2</v>
      </c>
      <c r="F4394" s="18" t="s">
        <v>328</v>
      </c>
      <c r="G4394" s="18" t="s">
        <v>22</v>
      </c>
      <c r="H4394" s="18" t="s">
        <v>23</v>
      </c>
      <c r="I4394" s="19">
        <v>60</v>
      </c>
      <c r="J4394" s="20">
        <f t="shared" si="136"/>
        <v>120</v>
      </c>
      <c r="K4394" s="106"/>
      <c r="L4394" s="114"/>
      <c r="M4394" s="114">
        <f>tblAquisições[[#This Row],[VALOR UNITARIO COMPRADO]]*tblAquisições[[#This Row],[QUANTIDADE COMPRADA]]</f>
        <v>0</v>
      </c>
      <c r="N4394" s="110">
        <f>K4394-tblAquisições[[#This Row],[QUANTIDADE PLANEJADA]]</f>
        <v>-2</v>
      </c>
      <c r="O4394" s="106" t="str">
        <f t="shared" si="137"/>
        <v>Faltando Comprar</v>
      </c>
    </row>
    <row r="4395" spans="1:15" ht="31.5">
      <c r="A4395" s="16" t="s">
        <v>17</v>
      </c>
      <c r="B4395" s="16" t="s">
        <v>80</v>
      </c>
      <c r="C4395" s="17" t="s">
        <v>19</v>
      </c>
      <c r="D4395" s="18" t="s">
        <v>2481</v>
      </c>
      <c r="E4395" s="18">
        <v>2</v>
      </c>
      <c r="F4395" s="18" t="s">
        <v>468</v>
      </c>
      <c r="G4395" s="18" t="s">
        <v>39</v>
      </c>
      <c r="H4395" s="21"/>
      <c r="I4395" s="19">
        <v>28.22</v>
      </c>
      <c r="J4395" s="20">
        <f t="shared" si="136"/>
        <v>56.44</v>
      </c>
      <c r="K4395" s="106"/>
      <c r="L4395" s="114"/>
      <c r="M4395" s="114">
        <f>tblAquisições[[#This Row],[VALOR UNITARIO COMPRADO]]*tblAquisições[[#This Row],[QUANTIDADE COMPRADA]]</f>
        <v>0</v>
      </c>
      <c r="N4395" s="110">
        <f>K4395-tblAquisições[[#This Row],[QUANTIDADE PLANEJADA]]</f>
        <v>-2</v>
      </c>
      <c r="O4395" s="106" t="str">
        <f t="shared" si="137"/>
        <v>Faltando Comprar</v>
      </c>
    </row>
    <row r="4396" spans="1:15" ht="31.5">
      <c r="A4396" s="16" t="s">
        <v>17</v>
      </c>
      <c r="B4396" s="16" t="s">
        <v>31</v>
      </c>
      <c r="C4396" s="17" t="s">
        <v>19</v>
      </c>
      <c r="D4396" s="18" t="s">
        <v>2482</v>
      </c>
      <c r="E4396" s="18">
        <v>2</v>
      </c>
      <c r="F4396" s="18" t="s">
        <v>328</v>
      </c>
      <c r="G4396" s="18" t="s">
        <v>22</v>
      </c>
      <c r="H4396" s="18" t="s">
        <v>23</v>
      </c>
      <c r="I4396" s="19">
        <v>28.22</v>
      </c>
      <c r="J4396" s="20">
        <f t="shared" si="136"/>
        <v>56.44</v>
      </c>
      <c r="K4396" s="106"/>
      <c r="L4396" s="114"/>
      <c r="M4396" s="114">
        <f>tblAquisições[[#This Row],[VALOR UNITARIO COMPRADO]]*tblAquisições[[#This Row],[QUANTIDADE COMPRADA]]</f>
        <v>0</v>
      </c>
      <c r="N4396" s="110">
        <f>K4396-tblAquisições[[#This Row],[QUANTIDADE PLANEJADA]]</f>
        <v>-2</v>
      </c>
      <c r="O4396" s="106" t="str">
        <f t="shared" si="137"/>
        <v>Faltando Comprar</v>
      </c>
    </row>
    <row r="4397" spans="1:15" ht="31.5">
      <c r="A4397" s="16" t="s">
        <v>17</v>
      </c>
      <c r="B4397" s="16" t="s">
        <v>28</v>
      </c>
      <c r="C4397" s="17" t="s">
        <v>19</v>
      </c>
      <c r="D4397" s="18" t="s">
        <v>2482</v>
      </c>
      <c r="E4397" s="18">
        <v>2</v>
      </c>
      <c r="F4397" s="18" t="s">
        <v>328</v>
      </c>
      <c r="G4397" s="18" t="s">
        <v>22</v>
      </c>
      <c r="H4397" s="18" t="s">
        <v>23</v>
      </c>
      <c r="I4397" s="19">
        <v>28.22</v>
      </c>
      <c r="J4397" s="20">
        <f t="shared" si="136"/>
        <v>56.44</v>
      </c>
      <c r="K4397" s="106"/>
      <c r="L4397" s="114"/>
      <c r="M4397" s="114">
        <f>tblAquisições[[#This Row],[VALOR UNITARIO COMPRADO]]*tblAquisições[[#This Row],[QUANTIDADE COMPRADA]]</f>
        <v>0</v>
      </c>
      <c r="N4397" s="110">
        <f>K4397-tblAquisições[[#This Row],[QUANTIDADE PLANEJADA]]</f>
        <v>-2</v>
      </c>
      <c r="O4397" s="106" t="str">
        <f t="shared" si="137"/>
        <v>Faltando Comprar</v>
      </c>
    </row>
    <row r="4398" spans="1:15" ht="31.5">
      <c r="A4398" s="16" t="s">
        <v>17</v>
      </c>
      <c r="B4398" s="16" t="s">
        <v>31</v>
      </c>
      <c r="C4398" s="17" t="s">
        <v>19</v>
      </c>
      <c r="D4398" s="18" t="s">
        <v>2483</v>
      </c>
      <c r="E4398" s="18">
        <v>5</v>
      </c>
      <c r="F4398" s="18" t="s">
        <v>328</v>
      </c>
      <c r="G4398" s="18" t="s">
        <v>22</v>
      </c>
      <c r="H4398" s="18" t="s">
        <v>23</v>
      </c>
      <c r="I4398" s="19">
        <v>53.94</v>
      </c>
      <c r="J4398" s="20">
        <f t="shared" si="136"/>
        <v>269.7</v>
      </c>
      <c r="K4398" s="106"/>
      <c r="L4398" s="114"/>
      <c r="M4398" s="114">
        <f>tblAquisições[[#This Row],[VALOR UNITARIO COMPRADO]]*tblAquisições[[#This Row],[QUANTIDADE COMPRADA]]</f>
        <v>0</v>
      </c>
      <c r="N4398" s="110">
        <f>K4398-tblAquisições[[#This Row],[QUANTIDADE PLANEJADA]]</f>
        <v>-5</v>
      </c>
      <c r="O4398" s="106" t="str">
        <f t="shared" si="137"/>
        <v>Faltando Comprar</v>
      </c>
    </row>
    <row r="4399" spans="1:15" ht="31.5">
      <c r="A4399" s="16" t="s">
        <v>17</v>
      </c>
      <c r="B4399" s="16" t="s">
        <v>31</v>
      </c>
      <c r="C4399" s="17" t="s">
        <v>19</v>
      </c>
      <c r="D4399" s="18" t="s">
        <v>2484</v>
      </c>
      <c r="E4399" s="18">
        <v>10</v>
      </c>
      <c r="F4399" s="18" t="s">
        <v>328</v>
      </c>
      <c r="G4399" s="18" t="s">
        <v>22</v>
      </c>
      <c r="H4399" s="18" t="s">
        <v>23</v>
      </c>
      <c r="I4399" s="19">
        <v>46.27</v>
      </c>
      <c r="J4399" s="20">
        <f t="shared" si="136"/>
        <v>462.70000000000005</v>
      </c>
      <c r="K4399" s="106"/>
      <c r="L4399" s="114"/>
      <c r="M4399" s="114">
        <f>tblAquisições[[#This Row],[VALOR UNITARIO COMPRADO]]*tblAquisições[[#This Row],[QUANTIDADE COMPRADA]]</f>
        <v>0</v>
      </c>
      <c r="N4399" s="110">
        <f>K4399-tblAquisições[[#This Row],[QUANTIDADE PLANEJADA]]</f>
        <v>-10</v>
      </c>
      <c r="O4399" s="106" t="str">
        <f t="shared" si="137"/>
        <v>Faltando Comprar</v>
      </c>
    </row>
    <row r="4400" spans="1:15" ht="63">
      <c r="A4400" s="16" t="s">
        <v>17</v>
      </c>
      <c r="B4400" s="16" t="s">
        <v>34</v>
      </c>
      <c r="C4400" s="17" t="s">
        <v>19</v>
      </c>
      <c r="D4400" s="18" t="s">
        <v>2485</v>
      </c>
      <c r="E4400" s="18">
        <v>1</v>
      </c>
      <c r="F4400" s="18" t="s">
        <v>1347</v>
      </c>
      <c r="G4400" s="18" t="s">
        <v>22</v>
      </c>
      <c r="H4400" s="18" t="s">
        <v>23</v>
      </c>
      <c r="I4400" s="19">
        <v>247.97</v>
      </c>
      <c r="J4400" s="20">
        <f t="shared" si="136"/>
        <v>247.97</v>
      </c>
      <c r="K4400" s="106"/>
      <c r="L4400" s="114"/>
      <c r="M4400" s="114">
        <f>tblAquisições[[#This Row],[VALOR UNITARIO COMPRADO]]*tblAquisições[[#This Row],[QUANTIDADE COMPRADA]]</f>
        <v>0</v>
      </c>
      <c r="N4400" s="110">
        <f>K4400-tblAquisições[[#This Row],[QUANTIDADE PLANEJADA]]</f>
        <v>-1</v>
      </c>
      <c r="O4400" s="106" t="str">
        <f t="shared" si="137"/>
        <v>Faltando Comprar</v>
      </c>
    </row>
    <row r="4401" spans="1:15" ht="31.5">
      <c r="A4401" s="16" t="s">
        <v>17</v>
      </c>
      <c r="B4401" s="16" t="s">
        <v>26</v>
      </c>
      <c r="C4401" s="17" t="s">
        <v>19</v>
      </c>
      <c r="D4401" s="18" t="s">
        <v>2486</v>
      </c>
      <c r="E4401" s="18">
        <v>8</v>
      </c>
      <c r="F4401" s="18" t="s">
        <v>30</v>
      </c>
      <c r="G4401" s="18" t="s">
        <v>22</v>
      </c>
      <c r="H4401" s="18" t="s">
        <v>23</v>
      </c>
      <c r="I4401" s="19">
        <v>160</v>
      </c>
      <c r="J4401" s="20">
        <f t="shared" si="136"/>
        <v>1280</v>
      </c>
      <c r="K4401" s="106"/>
      <c r="L4401" s="114"/>
      <c r="M4401" s="114">
        <f>tblAquisições[[#This Row],[VALOR UNITARIO COMPRADO]]*tblAquisições[[#This Row],[QUANTIDADE COMPRADA]]</f>
        <v>0</v>
      </c>
      <c r="N4401" s="110">
        <f>K4401-tblAquisições[[#This Row],[QUANTIDADE PLANEJADA]]</f>
        <v>-8</v>
      </c>
      <c r="O4401" s="106" t="str">
        <f t="shared" si="137"/>
        <v>Faltando Comprar</v>
      </c>
    </row>
    <row r="4402" spans="1:15" ht="63">
      <c r="A4402" s="16" t="s">
        <v>17</v>
      </c>
      <c r="B4402" s="16" t="s">
        <v>31</v>
      </c>
      <c r="C4402" s="17" t="s">
        <v>19</v>
      </c>
      <c r="D4402" s="18" t="s">
        <v>2487</v>
      </c>
      <c r="E4402" s="18">
        <v>480</v>
      </c>
      <c r="F4402" s="18" t="s">
        <v>21</v>
      </c>
      <c r="G4402" s="18" t="s">
        <v>22</v>
      </c>
      <c r="H4402" s="18" t="s">
        <v>83</v>
      </c>
      <c r="I4402" s="19">
        <v>156.66999999999999</v>
      </c>
      <c r="J4402" s="20">
        <f t="shared" si="136"/>
        <v>75201.599999999991</v>
      </c>
      <c r="K4402" s="106"/>
      <c r="L4402" s="114"/>
      <c r="M4402" s="114">
        <f>tblAquisições[[#This Row],[VALOR UNITARIO COMPRADO]]*tblAquisições[[#This Row],[QUANTIDADE COMPRADA]]</f>
        <v>0</v>
      </c>
      <c r="N4402" s="110">
        <f>K4402-tblAquisições[[#This Row],[QUANTIDADE PLANEJADA]]</f>
        <v>-480</v>
      </c>
      <c r="O4402" s="106" t="str">
        <f t="shared" si="137"/>
        <v>Faltando Comprar</v>
      </c>
    </row>
    <row r="4403" spans="1:15" ht="63">
      <c r="A4403" s="16" t="s">
        <v>17</v>
      </c>
      <c r="B4403" s="16" t="s">
        <v>18</v>
      </c>
      <c r="C4403" s="17" t="s">
        <v>19</v>
      </c>
      <c r="D4403" s="18" t="s">
        <v>2487</v>
      </c>
      <c r="E4403" s="18">
        <v>30</v>
      </c>
      <c r="F4403" s="18" t="s">
        <v>21</v>
      </c>
      <c r="G4403" s="18" t="s">
        <v>22</v>
      </c>
      <c r="H4403" s="18" t="s">
        <v>83</v>
      </c>
      <c r="I4403" s="19">
        <v>156.66999999999999</v>
      </c>
      <c r="J4403" s="20">
        <f t="shared" si="136"/>
        <v>4700.0999999999995</v>
      </c>
      <c r="K4403" s="106"/>
      <c r="L4403" s="114"/>
      <c r="M4403" s="114">
        <f>tblAquisições[[#This Row],[VALOR UNITARIO COMPRADO]]*tblAquisições[[#This Row],[QUANTIDADE COMPRADA]]</f>
        <v>0</v>
      </c>
      <c r="N4403" s="110">
        <f>K4403-tblAquisições[[#This Row],[QUANTIDADE PLANEJADA]]</f>
        <v>-30</v>
      </c>
      <c r="O4403" s="106" t="str">
        <f t="shared" si="137"/>
        <v>Faltando Comprar</v>
      </c>
    </row>
    <row r="4404" spans="1:15" ht="63">
      <c r="A4404" s="16" t="s">
        <v>17</v>
      </c>
      <c r="B4404" s="16" t="s">
        <v>24</v>
      </c>
      <c r="C4404" s="17" t="s">
        <v>19</v>
      </c>
      <c r="D4404" s="18" t="s">
        <v>2487</v>
      </c>
      <c r="E4404" s="18">
        <v>30</v>
      </c>
      <c r="F4404" s="18" t="s">
        <v>21</v>
      </c>
      <c r="G4404" s="18" t="s">
        <v>22</v>
      </c>
      <c r="H4404" s="18" t="s">
        <v>83</v>
      </c>
      <c r="I4404" s="19">
        <v>156.66999999999999</v>
      </c>
      <c r="J4404" s="20">
        <f t="shared" si="136"/>
        <v>4700.0999999999995</v>
      </c>
      <c r="K4404" s="106"/>
      <c r="L4404" s="114"/>
      <c r="M4404" s="114">
        <f>tblAquisições[[#This Row],[VALOR UNITARIO COMPRADO]]*tblAquisições[[#This Row],[QUANTIDADE COMPRADA]]</f>
        <v>0</v>
      </c>
      <c r="N4404" s="110">
        <f>K4404-tblAquisições[[#This Row],[QUANTIDADE PLANEJADA]]</f>
        <v>-30</v>
      </c>
      <c r="O4404" s="106" t="str">
        <f t="shared" si="137"/>
        <v>Faltando Comprar</v>
      </c>
    </row>
    <row r="4405" spans="1:15" ht="63">
      <c r="A4405" s="16" t="s">
        <v>17</v>
      </c>
      <c r="B4405" s="16" t="s">
        <v>25</v>
      </c>
      <c r="C4405" s="17" t="s">
        <v>19</v>
      </c>
      <c r="D4405" s="18" t="s">
        <v>2487</v>
      </c>
      <c r="E4405" s="18">
        <v>30</v>
      </c>
      <c r="F4405" s="18" t="s">
        <v>21</v>
      </c>
      <c r="G4405" s="18" t="s">
        <v>22</v>
      </c>
      <c r="H4405" s="18" t="s">
        <v>83</v>
      </c>
      <c r="I4405" s="19">
        <v>156.66999999999999</v>
      </c>
      <c r="J4405" s="20">
        <f t="shared" si="136"/>
        <v>4700.0999999999995</v>
      </c>
      <c r="K4405" s="106"/>
      <c r="L4405" s="114"/>
      <c r="M4405" s="114">
        <f>tblAquisições[[#This Row],[VALOR UNITARIO COMPRADO]]*tblAquisições[[#This Row],[QUANTIDADE COMPRADA]]</f>
        <v>0</v>
      </c>
      <c r="N4405" s="110">
        <f>K4405-tblAquisições[[#This Row],[QUANTIDADE PLANEJADA]]</f>
        <v>-30</v>
      </c>
      <c r="O4405" s="106" t="str">
        <f t="shared" si="137"/>
        <v>Faltando Comprar</v>
      </c>
    </row>
    <row r="4406" spans="1:15" ht="63">
      <c r="A4406" s="16" t="s">
        <v>17</v>
      </c>
      <c r="B4406" s="16" t="s">
        <v>41</v>
      </c>
      <c r="C4406" s="17" t="s">
        <v>19</v>
      </c>
      <c r="D4406" s="18" t="s">
        <v>2487</v>
      </c>
      <c r="E4406" s="18">
        <v>20</v>
      </c>
      <c r="F4406" s="18" t="s">
        <v>21</v>
      </c>
      <c r="G4406" s="18" t="s">
        <v>22</v>
      </c>
      <c r="H4406" s="18" t="s">
        <v>23</v>
      </c>
      <c r="I4406" s="19">
        <v>156.66999999999999</v>
      </c>
      <c r="J4406" s="20">
        <f t="shared" si="136"/>
        <v>3133.3999999999996</v>
      </c>
      <c r="K4406" s="106"/>
      <c r="L4406" s="114"/>
      <c r="M4406" s="114">
        <f>tblAquisições[[#This Row],[VALOR UNITARIO COMPRADO]]*tblAquisições[[#This Row],[QUANTIDADE COMPRADA]]</f>
        <v>0</v>
      </c>
      <c r="N4406" s="110">
        <f>K4406-tblAquisições[[#This Row],[QUANTIDADE PLANEJADA]]</f>
        <v>-20</v>
      </c>
      <c r="O4406" s="106" t="str">
        <f t="shared" si="137"/>
        <v>Faltando Comprar</v>
      </c>
    </row>
    <row r="4407" spans="1:15" ht="63">
      <c r="A4407" s="16" t="s">
        <v>17</v>
      </c>
      <c r="B4407" s="16" t="s">
        <v>27</v>
      </c>
      <c r="C4407" s="17" t="s">
        <v>19</v>
      </c>
      <c r="D4407" s="18" t="s">
        <v>2487</v>
      </c>
      <c r="E4407" s="18">
        <v>30</v>
      </c>
      <c r="F4407" s="18" t="s">
        <v>21</v>
      </c>
      <c r="G4407" s="18" t="s">
        <v>22</v>
      </c>
      <c r="H4407" s="18" t="s">
        <v>83</v>
      </c>
      <c r="I4407" s="19">
        <v>156.66999999999999</v>
      </c>
      <c r="J4407" s="20">
        <f t="shared" si="136"/>
        <v>4700.0999999999995</v>
      </c>
      <c r="K4407" s="106"/>
      <c r="L4407" s="114"/>
      <c r="M4407" s="114">
        <f>tblAquisições[[#This Row],[VALOR UNITARIO COMPRADO]]*tblAquisições[[#This Row],[QUANTIDADE COMPRADA]]</f>
        <v>0</v>
      </c>
      <c r="N4407" s="110">
        <f>K4407-tblAquisições[[#This Row],[QUANTIDADE PLANEJADA]]</f>
        <v>-30</v>
      </c>
      <c r="O4407" s="106" t="str">
        <f t="shared" si="137"/>
        <v>Faltando Comprar</v>
      </c>
    </row>
    <row r="4408" spans="1:15" ht="47.25">
      <c r="A4408" s="16" t="s">
        <v>17</v>
      </c>
      <c r="B4408" s="16" t="s">
        <v>28</v>
      </c>
      <c r="C4408" s="17" t="s">
        <v>19</v>
      </c>
      <c r="D4408" s="18" t="s">
        <v>2488</v>
      </c>
      <c r="E4408" s="18">
        <v>4</v>
      </c>
      <c r="F4408" s="18" t="s">
        <v>78</v>
      </c>
      <c r="G4408" s="18" t="s">
        <v>22</v>
      </c>
      <c r="H4408" s="18" t="s">
        <v>23</v>
      </c>
      <c r="I4408" s="19">
        <v>8.73</v>
      </c>
      <c r="J4408" s="20">
        <f t="shared" si="136"/>
        <v>34.92</v>
      </c>
      <c r="K4408" s="106"/>
      <c r="L4408" s="114"/>
      <c r="M4408" s="114">
        <f>tblAquisições[[#This Row],[VALOR UNITARIO COMPRADO]]*tblAquisições[[#This Row],[QUANTIDADE COMPRADA]]</f>
        <v>0</v>
      </c>
      <c r="N4408" s="110">
        <f>K4408-tblAquisições[[#This Row],[QUANTIDADE PLANEJADA]]</f>
        <v>-4</v>
      </c>
      <c r="O4408" s="106" t="str">
        <f t="shared" si="137"/>
        <v>Faltando Comprar</v>
      </c>
    </row>
    <row r="4409" spans="1:15" ht="31.5">
      <c r="A4409" s="16" t="s">
        <v>17</v>
      </c>
      <c r="B4409" s="16" t="s">
        <v>80</v>
      </c>
      <c r="C4409" s="17" t="s">
        <v>19</v>
      </c>
      <c r="D4409" s="18" t="s">
        <v>2489</v>
      </c>
      <c r="E4409" s="18">
        <v>20</v>
      </c>
      <c r="F4409" s="18" t="s">
        <v>82</v>
      </c>
      <c r="G4409" s="18" t="s">
        <v>39</v>
      </c>
      <c r="H4409" s="21"/>
      <c r="I4409" s="19">
        <v>23.27</v>
      </c>
      <c r="J4409" s="20">
        <f t="shared" si="136"/>
        <v>465.4</v>
      </c>
      <c r="K4409" s="106"/>
      <c r="L4409" s="114"/>
      <c r="M4409" s="114">
        <f>tblAquisições[[#This Row],[VALOR UNITARIO COMPRADO]]*tblAquisições[[#This Row],[QUANTIDADE COMPRADA]]</f>
        <v>0</v>
      </c>
      <c r="N4409" s="110">
        <f>K4409-tblAquisições[[#This Row],[QUANTIDADE PLANEJADA]]</f>
        <v>-20</v>
      </c>
      <c r="O4409" s="106" t="str">
        <f t="shared" si="137"/>
        <v>Faltando Comprar</v>
      </c>
    </row>
    <row r="4410" spans="1:15" ht="31.5">
      <c r="A4410" s="16" t="s">
        <v>17</v>
      </c>
      <c r="B4410" s="16" t="s">
        <v>18</v>
      </c>
      <c r="C4410" s="17" t="s">
        <v>19</v>
      </c>
      <c r="D4410" s="18" t="s">
        <v>2490</v>
      </c>
      <c r="E4410" s="18">
        <v>15</v>
      </c>
      <c r="F4410" s="18" t="s">
        <v>30</v>
      </c>
      <c r="G4410" s="18" t="s">
        <v>22</v>
      </c>
      <c r="H4410" s="18" t="s">
        <v>23</v>
      </c>
      <c r="I4410" s="19">
        <v>235</v>
      </c>
      <c r="J4410" s="20">
        <f t="shared" si="136"/>
        <v>3525</v>
      </c>
      <c r="K4410" s="106"/>
      <c r="L4410" s="114"/>
      <c r="M4410" s="114">
        <f>tblAquisições[[#This Row],[VALOR UNITARIO COMPRADO]]*tblAquisições[[#This Row],[QUANTIDADE COMPRADA]]</f>
        <v>0</v>
      </c>
      <c r="N4410" s="110">
        <f>K4410-tblAquisições[[#This Row],[QUANTIDADE PLANEJADA]]</f>
        <v>-15</v>
      </c>
      <c r="O4410" s="106" t="str">
        <f t="shared" si="137"/>
        <v>Faltando Comprar</v>
      </c>
    </row>
    <row r="4411" spans="1:15" ht="31.5">
      <c r="A4411" s="16" t="s">
        <v>17</v>
      </c>
      <c r="B4411" s="16" t="s">
        <v>24</v>
      </c>
      <c r="C4411" s="17" t="s">
        <v>19</v>
      </c>
      <c r="D4411" s="18" t="s">
        <v>2490</v>
      </c>
      <c r="E4411" s="18">
        <v>15</v>
      </c>
      <c r="F4411" s="18" t="s">
        <v>30</v>
      </c>
      <c r="G4411" s="18" t="s">
        <v>22</v>
      </c>
      <c r="H4411" s="18" t="s">
        <v>23</v>
      </c>
      <c r="I4411" s="19">
        <v>235</v>
      </c>
      <c r="J4411" s="20">
        <f t="shared" si="136"/>
        <v>3525</v>
      </c>
      <c r="K4411" s="106"/>
      <c r="L4411" s="114"/>
      <c r="M4411" s="114">
        <f>tblAquisições[[#This Row],[VALOR UNITARIO COMPRADO]]*tblAquisições[[#This Row],[QUANTIDADE COMPRADA]]</f>
        <v>0</v>
      </c>
      <c r="N4411" s="110">
        <f>K4411-tblAquisições[[#This Row],[QUANTIDADE PLANEJADA]]</f>
        <v>-15</v>
      </c>
      <c r="O4411" s="106" t="str">
        <f t="shared" si="137"/>
        <v>Faltando Comprar</v>
      </c>
    </row>
    <row r="4412" spans="1:15" ht="31.5">
      <c r="A4412" s="16" t="s">
        <v>17</v>
      </c>
      <c r="B4412" s="16" t="s">
        <v>25</v>
      </c>
      <c r="C4412" s="17" t="s">
        <v>19</v>
      </c>
      <c r="D4412" s="18" t="s">
        <v>2490</v>
      </c>
      <c r="E4412" s="18">
        <v>15</v>
      </c>
      <c r="F4412" s="18" t="s">
        <v>30</v>
      </c>
      <c r="G4412" s="18" t="s">
        <v>22</v>
      </c>
      <c r="H4412" s="18" t="s">
        <v>23</v>
      </c>
      <c r="I4412" s="19">
        <v>235</v>
      </c>
      <c r="J4412" s="20">
        <f t="shared" si="136"/>
        <v>3525</v>
      </c>
      <c r="K4412" s="106"/>
      <c r="L4412" s="114"/>
      <c r="M4412" s="114">
        <f>tblAquisições[[#This Row],[VALOR UNITARIO COMPRADO]]*tblAquisições[[#This Row],[QUANTIDADE COMPRADA]]</f>
        <v>0</v>
      </c>
      <c r="N4412" s="110">
        <f>K4412-tblAquisições[[#This Row],[QUANTIDADE PLANEJADA]]</f>
        <v>-15</v>
      </c>
      <c r="O4412" s="106" t="str">
        <f t="shared" si="137"/>
        <v>Faltando Comprar</v>
      </c>
    </row>
    <row r="4413" spans="1:15" ht="31.5">
      <c r="A4413" s="16" t="s">
        <v>17</v>
      </c>
      <c r="B4413" s="16" t="s">
        <v>27</v>
      </c>
      <c r="C4413" s="17" t="s">
        <v>19</v>
      </c>
      <c r="D4413" s="18" t="s">
        <v>2490</v>
      </c>
      <c r="E4413" s="18">
        <v>30</v>
      </c>
      <c r="F4413" s="18" t="s">
        <v>30</v>
      </c>
      <c r="G4413" s="18" t="s">
        <v>22</v>
      </c>
      <c r="H4413" s="18" t="s">
        <v>23</v>
      </c>
      <c r="I4413" s="19">
        <v>235</v>
      </c>
      <c r="J4413" s="20">
        <f t="shared" si="136"/>
        <v>7050</v>
      </c>
      <c r="K4413" s="106"/>
      <c r="L4413" s="114"/>
      <c r="M4413" s="114">
        <f>tblAquisições[[#This Row],[VALOR UNITARIO COMPRADO]]*tblAquisições[[#This Row],[QUANTIDADE COMPRADA]]</f>
        <v>0</v>
      </c>
      <c r="N4413" s="110">
        <f>K4413-tblAquisições[[#This Row],[QUANTIDADE PLANEJADA]]</f>
        <v>-30</v>
      </c>
      <c r="O4413" s="106" t="str">
        <f t="shared" si="137"/>
        <v>Faltando Comprar</v>
      </c>
    </row>
    <row r="4414" spans="1:15" ht="47.25">
      <c r="A4414" s="16" t="s">
        <v>17</v>
      </c>
      <c r="B4414" s="16" t="s">
        <v>28</v>
      </c>
      <c r="C4414" s="17" t="s">
        <v>19</v>
      </c>
      <c r="D4414" s="18" t="s">
        <v>2491</v>
      </c>
      <c r="E4414" s="18">
        <v>10</v>
      </c>
      <c r="F4414" s="18" t="s">
        <v>78</v>
      </c>
      <c r="G4414" s="18" t="s">
        <v>22</v>
      </c>
      <c r="H4414" s="18" t="s">
        <v>23</v>
      </c>
      <c r="I4414" s="19">
        <v>30.53</v>
      </c>
      <c r="J4414" s="20">
        <f t="shared" si="136"/>
        <v>305.3</v>
      </c>
      <c r="K4414" s="106"/>
      <c r="L4414" s="114"/>
      <c r="M4414" s="114">
        <f>tblAquisições[[#This Row],[VALOR UNITARIO COMPRADO]]*tblAquisições[[#This Row],[QUANTIDADE COMPRADA]]</f>
        <v>0</v>
      </c>
      <c r="N4414" s="110">
        <f>K4414-tblAquisições[[#This Row],[QUANTIDADE PLANEJADA]]</f>
        <v>-10</v>
      </c>
      <c r="O4414" s="106" t="str">
        <f t="shared" si="137"/>
        <v>Faltando Comprar</v>
      </c>
    </row>
    <row r="4415" spans="1:15" ht="31.5">
      <c r="A4415" s="16" t="s">
        <v>17</v>
      </c>
      <c r="B4415" s="16" t="s">
        <v>80</v>
      </c>
      <c r="C4415" s="17" t="s">
        <v>19</v>
      </c>
      <c r="D4415" s="18" t="s">
        <v>2492</v>
      </c>
      <c r="E4415" s="18">
        <v>100</v>
      </c>
      <c r="F4415" s="18" t="s">
        <v>82</v>
      </c>
      <c r="G4415" s="18" t="s">
        <v>39</v>
      </c>
      <c r="H4415" s="21"/>
      <c r="I4415" s="19">
        <v>28.8</v>
      </c>
      <c r="J4415" s="20">
        <f t="shared" si="136"/>
        <v>2880</v>
      </c>
      <c r="K4415" s="106"/>
      <c r="L4415" s="114"/>
      <c r="M4415" s="114">
        <f>tblAquisições[[#This Row],[VALOR UNITARIO COMPRADO]]*tblAquisições[[#This Row],[QUANTIDADE COMPRADA]]</f>
        <v>0</v>
      </c>
      <c r="N4415" s="110">
        <f>K4415-tblAquisições[[#This Row],[QUANTIDADE PLANEJADA]]</f>
        <v>-100</v>
      </c>
      <c r="O4415" s="106" t="str">
        <f t="shared" si="137"/>
        <v>Faltando Comprar</v>
      </c>
    </row>
    <row r="4416" spans="1:15" ht="47.25">
      <c r="A4416" s="16" t="s">
        <v>17</v>
      </c>
      <c r="B4416" s="16" t="s">
        <v>26</v>
      </c>
      <c r="C4416" s="17" t="s">
        <v>19</v>
      </c>
      <c r="D4416" s="18" t="s">
        <v>2493</v>
      </c>
      <c r="E4416" s="18">
        <v>300</v>
      </c>
      <c r="F4416" s="18" t="s">
        <v>239</v>
      </c>
      <c r="G4416" s="18" t="s">
        <v>22</v>
      </c>
      <c r="H4416" s="18" t="s">
        <v>23</v>
      </c>
      <c r="I4416" s="19">
        <v>8.51</v>
      </c>
      <c r="J4416" s="20">
        <f t="shared" si="136"/>
        <v>2553</v>
      </c>
      <c r="K4416" s="106"/>
      <c r="L4416" s="114"/>
      <c r="M4416" s="114">
        <f>tblAquisições[[#This Row],[VALOR UNITARIO COMPRADO]]*tblAquisições[[#This Row],[QUANTIDADE COMPRADA]]</f>
        <v>0</v>
      </c>
      <c r="N4416" s="110">
        <f>K4416-tblAquisições[[#This Row],[QUANTIDADE PLANEJADA]]</f>
        <v>-300</v>
      </c>
      <c r="O4416" s="106" t="str">
        <f t="shared" si="137"/>
        <v>Faltando Comprar</v>
      </c>
    </row>
    <row r="4417" spans="1:15" ht="47.25">
      <c r="A4417" s="16" t="s">
        <v>17</v>
      </c>
      <c r="B4417" s="16" t="s">
        <v>28</v>
      </c>
      <c r="C4417" s="17" t="s">
        <v>19</v>
      </c>
      <c r="D4417" s="18" t="s">
        <v>2493</v>
      </c>
      <c r="E4417" s="18">
        <v>60</v>
      </c>
      <c r="F4417" s="18" t="s">
        <v>239</v>
      </c>
      <c r="G4417" s="18" t="s">
        <v>22</v>
      </c>
      <c r="H4417" s="18" t="s">
        <v>23</v>
      </c>
      <c r="I4417" s="19">
        <v>8.51</v>
      </c>
      <c r="J4417" s="20">
        <f t="shared" si="136"/>
        <v>510.59999999999997</v>
      </c>
      <c r="K4417" s="106"/>
      <c r="L4417" s="114"/>
      <c r="M4417" s="114">
        <f>tblAquisições[[#This Row],[VALOR UNITARIO COMPRADO]]*tblAquisições[[#This Row],[QUANTIDADE COMPRADA]]</f>
        <v>0</v>
      </c>
      <c r="N4417" s="110">
        <f>K4417-tblAquisições[[#This Row],[QUANTIDADE PLANEJADA]]</f>
        <v>-60</v>
      </c>
      <c r="O4417" s="106" t="str">
        <f t="shared" si="137"/>
        <v>Faltando Comprar</v>
      </c>
    </row>
    <row r="4418" spans="1:15" ht="47.25">
      <c r="A4418" s="16" t="s">
        <v>17</v>
      </c>
      <c r="B4418" s="16" t="s">
        <v>34</v>
      </c>
      <c r="C4418" s="17" t="s">
        <v>19</v>
      </c>
      <c r="D4418" s="18" t="s">
        <v>2494</v>
      </c>
      <c r="E4418" s="18">
        <v>500</v>
      </c>
      <c r="F4418" s="18" t="s">
        <v>78</v>
      </c>
      <c r="G4418" s="18" t="s">
        <v>22</v>
      </c>
      <c r="H4418" s="18" t="s">
        <v>23</v>
      </c>
      <c r="I4418" s="19">
        <v>28.09</v>
      </c>
      <c r="J4418" s="20">
        <f t="shared" ref="J4418:J4481" si="138">E4418*I4418</f>
        <v>14045</v>
      </c>
      <c r="K4418" s="106"/>
      <c r="L4418" s="114"/>
      <c r="M4418" s="114">
        <f>tblAquisições[[#This Row],[VALOR UNITARIO COMPRADO]]*tblAquisições[[#This Row],[QUANTIDADE COMPRADA]]</f>
        <v>0</v>
      </c>
      <c r="N4418" s="110">
        <f>K4418-tblAquisições[[#This Row],[QUANTIDADE PLANEJADA]]</f>
        <v>-500</v>
      </c>
      <c r="O4418" s="106" t="str">
        <f t="shared" ref="O4418:O4481" si="139">IF(K4418=E4418,"OK",IF(K4418&lt;E4418,"Faltando Comprar","Excedente"))</f>
        <v>Faltando Comprar</v>
      </c>
    </row>
    <row r="4419" spans="1:15" ht="47.25">
      <c r="A4419" s="16" t="s">
        <v>17</v>
      </c>
      <c r="B4419" s="16" t="s">
        <v>31</v>
      </c>
      <c r="C4419" s="17" t="s">
        <v>19</v>
      </c>
      <c r="D4419" s="18" t="s">
        <v>2494</v>
      </c>
      <c r="E4419" s="18">
        <v>12</v>
      </c>
      <c r="F4419" s="18" t="s">
        <v>78</v>
      </c>
      <c r="G4419" s="18" t="s">
        <v>22</v>
      </c>
      <c r="H4419" s="18" t="s">
        <v>65</v>
      </c>
      <c r="I4419" s="19">
        <v>28.09</v>
      </c>
      <c r="J4419" s="20">
        <f t="shared" si="138"/>
        <v>337.08</v>
      </c>
      <c r="K4419" s="106"/>
      <c r="L4419" s="114"/>
      <c r="M4419" s="114">
        <f>tblAquisições[[#This Row],[VALOR UNITARIO COMPRADO]]*tblAquisições[[#This Row],[QUANTIDADE COMPRADA]]</f>
        <v>0</v>
      </c>
      <c r="N4419" s="110">
        <f>K4419-tblAquisições[[#This Row],[QUANTIDADE PLANEJADA]]</f>
        <v>-12</v>
      </c>
      <c r="O4419" s="106" t="str">
        <f t="shared" si="139"/>
        <v>Faltando Comprar</v>
      </c>
    </row>
    <row r="4420" spans="1:15" ht="47.25">
      <c r="A4420" s="16" t="s">
        <v>17</v>
      </c>
      <c r="B4420" s="16" t="s">
        <v>18</v>
      </c>
      <c r="C4420" s="17" t="s">
        <v>19</v>
      </c>
      <c r="D4420" s="18" t="s">
        <v>2494</v>
      </c>
      <c r="E4420" s="18">
        <v>1000</v>
      </c>
      <c r="F4420" s="18" t="s">
        <v>78</v>
      </c>
      <c r="G4420" s="18" t="s">
        <v>22</v>
      </c>
      <c r="H4420" s="18" t="s">
        <v>23</v>
      </c>
      <c r="I4420" s="19">
        <v>28.09</v>
      </c>
      <c r="J4420" s="20">
        <f t="shared" si="138"/>
        <v>28090</v>
      </c>
      <c r="K4420" s="106"/>
      <c r="L4420" s="114"/>
      <c r="M4420" s="114">
        <f>tblAquisições[[#This Row],[VALOR UNITARIO COMPRADO]]*tblAquisições[[#This Row],[QUANTIDADE COMPRADA]]</f>
        <v>0</v>
      </c>
      <c r="N4420" s="110">
        <f>K4420-tblAquisições[[#This Row],[QUANTIDADE PLANEJADA]]</f>
        <v>-1000</v>
      </c>
      <c r="O4420" s="106" t="str">
        <f t="shared" si="139"/>
        <v>Faltando Comprar</v>
      </c>
    </row>
    <row r="4421" spans="1:15" ht="47.25">
      <c r="A4421" s="16" t="s">
        <v>17</v>
      </c>
      <c r="B4421" s="16" t="s">
        <v>24</v>
      </c>
      <c r="C4421" s="17" t="s">
        <v>19</v>
      </c>
      <c r="D4421" s="18" t="s">
        <v>2494</v>
      </c>
      <c r="E4421" s="18">
        <v>1000</v>
      </c>
      <c r="F4421" s="18" t="s">
        <v>78</v>
      </c>
      <c r="G4421" s="18" t="s">
        <v>22</v>
      </c>
      <c r="H4421" s="18" t="s">
        <v>23</v>
      </c>
      <c r="I4421" s="19">
        <v>28.09</v>
      </c>
      <c r="J4421" s="20">
        <f t="shared" si="138"/>
        <v>28090</v>
      </c>
      <c r="K4421" s="106"/>
      <c r="L4421" s="114"/>
      <c r="M4421" s="114">
        <f>tblAquisições[[#This Row],[VALOR UNITARIO COMPRADO]]*tblAquisições[[#This Row],[QUANTIDADE COMPRADA]]</f>
        <v>0</v>
      </c>
      <c r="N4421" s="110">
        <f>K4421-tblAquisições[[#This Row],[QUANTIDADE PLANEJADA]]</f>
        <v>-1000</v>
      </c>
      <c r="O4421" s="106" t="str">
        <f t="shared" si="139"/>
        <v>Faltando Comprar</v>
      </c>
    </row>
    <row r="4422" spans="1:15" ht="47.25">
      <c r="A4422" s="16" t="s">
        <v>17</v>
      </c>
      <c r="B4422" s="16" t="s">
        <v>25</v>
      </c>
      <c r="C4422" s="17" t="s">
        <v>19</v>
      </c>
      <c r="D4422" s="18" t="s">
        <v>2494</v>
      </c>
      <c r="E4422" s="18">
        <v>1000</v>
      </c>
      <c r="F4422" s="18" t="s">
        <v>78</v>
      </c>
      <c r="G4422" s="18" t="s">
        <v>22</v>
      </c>
      <c r="H4422" s="18" t="s">
        <v>23</v>
      </c>
      <c r="I4422" s="19">
        <v>28.09</v>
      </c>
      <c r="J4422" s="20">
        <f t="shared" si="138"/>
        <v>28090</v>
      </c>
      <c r="K4422" s="106"/>
      <c r="L4422" s="114"/>
      <c r="M4422" s="114">
        <f>tblAquisições[[#This Row],[VALOR UNITARIO COMPRADO]]*tblAquisições[[#This Row],[QUANTIDADE COMPRADA]]</f>
        <v>0</v>
      </c>
      <c r="N4422" s="110">
        <f>K4422-tblAquisições[[#This Row],[QUANTIDADE PLANEJADA]]</f>
        <v>-1000</v>
      </c>
      <c r="O4422" s="106" t="str">
        <f t="shared" si="139"/>
        <v>Faltando Comprar</v>
      </c>
    </row>
    <row r="4423" spans="1:15" ht="47.25">
      <c r="A4423" s="16" t="s">
        <v>17</v>
      </c>
      <c r="B4423" s="16" t="s">
        <v>28</v>
      </c>
      <c r="C4423" s="17" t="s">
        <v>19</v>
      </c>
      <c r="D4423" s="33" t="s">
        <v>2494</v>
      </c>
      <c r="E4423" s="33">
        <v>24</v>
      </c>
      <c r="F4423" s="33" t="s">
        <v>78</v>
      </c>
      <c r="G4423" s="33" t="s">
        <v>22</v>
      </c>
      <c r="H4423" s="33" t="s">
        <v>53</v>
      </c>
      <c r="I4423" s="19">
        <v>28.09</v>
      </c>
      <c r="J4423" s="20">
        <f t="shared" si="138"/>
        <v>674.16</v>
      </c>
      <c r="K4423" s="106"/>
      <c r="L4423" s="114"/>
      <c r="M4423" s="114">
        <f>tblAquisições[[#This Row],[VALOR UNITARIO COMPRADO]]*tblAquisições[[#This Row],[QUANTIDADE COMPRADA]]</f>
        <v>0</v>
      </c>
      <c r="N4423" s="110">
        <f>K4423-tblAquisições[[#This Row],[QUANTIDADE PLANEJADA]]</f>
        <v>-24</v>
      </c>
      <c r="O4423" s="106" t="str">
        <f t="shared" si="139"/>
        <v>Faltando Comprar</v>
      </c>
    </row>
    <row r="4424" spans="1:15" ht="31.5">
      <c r="A4424" s="16" t="s">
        <v>17</v>
      </c>
      <c r="B4424" s="16" t="s">
        <v>34</v>
      </c>
      <c r="C4424" s="17" t="s">
        <v>19</v>
      </c>
      <c r="D4424" s="18" t="s">
        <v>2495</v>
      </c>
      <c r="E4424" s="18">
        <v>100</v>
      </c>
      <c r="F4424" s="18" t="s">
        <v>21</v>
      </c>
      <c r="G4424" s="18" t="s">
        <v>22</v>
      </c>
      <c r="H4424" s="18" t="s">
        <v>23</v>
      </c>
      <c r="I4424" s="19">
        <v>62.5</v>
      </c>
      <c r="J4424" s="20">
        <f t="shared" si="138"/>
        <v>6250</v>
      </c>
      <c r="K4424" s="106"/>
      <c r="L4424" s="114"/>
      <c r="M4424" s="114">
        <f>tblAquisições[[#This Row],[VALOR UNITARIO COMPRADO]]*tblAquisições[[#This Row],[QUANTIDADE COMPRADA]]</f>
        <v>0</v>
      </c>
      <c r="N4424" s="110">
        <f>K4424-tblAquisições[[#This Row],[QUANTIDADE PLANEJADA]]</f>
        <v>-100</v>
      </c>
      <c r="O4424" s="106" t="str">
        <f t="shared" si="139"/>
        <v>Faltando Comprar</v>
      </c>
    </row>
    <row r="4425" spans="1:15" ht="31.5">
      <c r="A4425" s="16" t="s">
        <v>17</v>
      </c>
      <c r="B4425" s="16" t="s">
        <v>80</v>
      </c>
      <c r="C4425" s="17" t="s">
        <v>19</v>
      </c>
      <c r="D4425" s="18" t="s">
        <v>2496</v>
      </c>
      <c r="E4425" s="18">
        <v>5</v>
      </c>
      <c r="F4425" s="18" t="s">
        <v>82</v>
      </c>
      <c r="G4425" s="18" t="s">
        <v>39</v>
      </c>
      <c r="H4425" s="21"/>
      <c r="I4425" s="19">
        <v>71.08</v>
      </c>
      <c r="J4425" s="20">
        <f t="shared" si="138"/>
        <v>355.4</v>
      </c>
      <c r="K4425" s="106"/>
      <c r="L4425" s="114"/>
      <c r="M4425" s="114">
        <f>tblAquisições[[#This Row],[VALOR UNITARIO COMPRADO]]*tblAquisições[[#This Row],[QUANTIDADE COMPRADA]]</f>
        <v>0</v>
      </c>
      <c r="N4425" s="110">
        <f>K4425-tblAquisições[[#This Row],[QUANTIDADE PLANEJADA]]</f>
        <v>-5</v>
      </c>
      <c r="O4425" s="106" t="str">
        <f t="shared" si="139"/>
        <v>Faltando Comprar</v>
      </c>
    </row>
    <row r="4426" spans="1:15" ht="31.5">
      <c r="A4426" s="16" t="s">
        <v>17</v>
      </c>
      <c r="B4426" s="16" t="s">
        <v>80</v>
      </c>
      <c r="C4426" s="17" t="s">
        <v>19</v>
      </c>
      <c r="D4426" s="18" t="s">
        <v>2497</v>
      </c>
      <c r="E4426" s="18">
        <v>20</v>
      </c>
      <c r="F4426" s="18" t="s">
        <v>82</v>
      </c>
      <c r="G4426" s="18" t="s">
        <v>39</v>
      </c>
      <c r="H4426" s="21"/>
      <c r="I4426" s="19">
        <v>53.77</v>
      </c>
      <c r="J4426" s="20">
        <f t="shared" si="138"/>
        <v>1075.4000000000001</v>
      </c>
      <c r="K4426" s="106"/>
      <c r="L4426" s="114"/>
      <c r="M4426" s="114">
        <f>tblAquisições[[#This Row],[VALOR UNITARIO COMPRADO]]*tblAquisições[[#This Row],[QUANTIDADE COMPRADA]]</f>
        <v>0</v>
      </c>
      <c r="N4426" s="110">
        <f>K4426-tblAquisições[[#This Row],[QUANTIDADE PLANEJADA]]</f>
        <v>-20</v>
      </c>
      <c r="O4426" s="106" t="str">
        <f t="shared" si="139"/>
        <v>Faltando Comprar</v>
      </c>
    </row>
    <row r="4427" spans="1:15" ht="31.5">
      <c r="A4427" s="16" t="s">
        <v>17</v>
      </c>
      <c r="B4427" s="16" t="s">
        <v>26</v>
      </c>
      <c r="C4427" s="17" t="s">
        <v>19</v>
      </c>
      <c r="D4427" s="18" t="s">
        <v>2498</v>
      </c>
      <c r="E4427" s="18">
        <v>10</v>
      </c>
      <c r="F4427" s="18" t="s">
        <v>30</v>
      </c>
      <c r="G4427" s="18" t="s">
        <v>22</v>
      </c>
      <c r="H4427" s="18" t="s">
        <v>23</v>
      </c>
      <c r="I4427" s="19">
        <v>53.77</v>
      </c>
      <c r="J4427" s="20">
        <f t="shared" si="138"/>
        <v>537.70000000000005</v>
      </c>
      <c r="K4427" s="106"/>
      <c r="L4427" s="114"/>
      <c r="M4427" s="114">
        <f>tblAquisições[[#This Row],[VALOR UNITARIO COMPRADO]]*tblAquisições[[#This Row],[QUANTIDADE COMPRADA]]</f>
        <v>0</v>
      </c>
      <c r="N4427" s="110">
        <f>K4427-tblAquisições[[#This Row],[QUANTIDADE PLANEJADA]]</f>
        <v>-10</v>
      </c>
      <c r="O4427" s="106" t="str">
        <f t="shared" si="139"/>
        <v>Faltando Comprar</v>
      </c>
    </row>
    <row r="4428" spans="1:15" ht="31.5">
      <c r="A4428" s="16" t="s">
        <v>17</v>
      </c>
      <c r="B4428" s="16" t="s">
        <v>80</v>
      </c>
      <c r="C4428" s="17" t="s">
        <v>19</v>
      </c>
      <c r="D4428" s="18" t="s">
        <v>2499</v>
      </c>
      <c r="E4428" s="18">
        <v>5</v>
      </c>
      <c r="F4428" s="18" t="s">
        <v>82</v>
      </c>
      <c r="G4428" s="18" t="s">
        <v>39</v>
      </c>
      <c r="H4428" s="21"/>
      <c r="I4428" s="19">
        <v>73.98</v>
      </c>
      <c r="J4428" s="20">
        <f t="shared" si="138"/>
        <v>369.90000000000003</v>
      </c>
      <c r="K4428" s="106"/>
      <c r="L4428" s="114"/>
      <c r="M4428" s="114">
        <f>tblAquisições[[#This Row],[VALOR UNITARIO COMPRADO]]*tblAquisições[[#This Row],[QUANTIDADE COMPRADA]]</f>
        <v>0</v>
      </c>
      <c r="N4428" s="110">
        <f>K4428-tblAquisições[[#This Row],[QUANTIDADE PLANEJADA]]</f>
        <v>-5</v>
      </c>
      <c r="O4428" s="106" t="str">
        <f t="shared" si="139"/>
        <v>Faltando Comprar</v>
      </c>
    </row>
    <row r="4429" spans="1:15" ht="31.5">
      <c r="A4429" s="16" t="s">
        <v>17</v>
      </c>
      <c r="B4429" s="16" t="s">
        <v>26</v>
      </c>
      <c r="C4429" s="17" t="s">
        <v>19</v>
      </c>
      <c r="D4429" s="18" t="s">
        <v>2500</v>
      </c>
      <c r="E4429" s="18">
        <v>15</v>
      </c>
      <c r="F4429" s="18" t="s">
        <v>30</v>
      </c>
      <c r="G4429" s="18" t="s">
        <v>22</v>
      </c>
      <c r="H4429" s="18" t="s">
        <v>23</v>
      </c>
      <c r="I4429" s="19">
        <v>73.98</v>
      </c>
      <c r="J4429" s="20">
        <f t="shared" si="138"/>
        <v>1109.7</v>
      </c>
      <c r="K4429" s="106"/>
      <c r="L4429" s="114"/>
      <c r="M4429" s="114">
        <f>tblAquisições[[#This Row],[VALOR UNITARIO COMPRADO]]*tblAquisições[[#This Row],[QUANTIDADE COMPRADA]]</f>
        <v>0</v>
      </c>
      <c r="N4429" s="110">
        <f>K4429-tblAquisições[[#This Row],[QUANTIDADE PLANEJADA]]</f>
        <v>-15</v>
      </c>
      <c r="O4429" s="106" t="str">
        <f t="shared" si="139"/>
        <v>Faltando Comprar</v>
      </c>
    </row>
    <row r="4430" spans="1:15" ht="31.5">
      <c r="A4430" s="16" t="s">
        <v>17</v>
      </c>
      <c r="B4430" s="16" t="s">
        <v>26</v>
      </c>
      <c r="C4430" s="17" t="s">
        <v>19</v>
      </c>
      <c r="D4430" s="18" t="s">
        <v>2501</v>
      </c>
      <c r="E4430" s="18">
        <v>15</v>
      </c>
      <c r="F4430" s="18" t="s">
        <v>30</v>
      </c>
      <c r="G4430" s="18" t="s">
        <v>22</v>
      </c>
      <c r="H4430" s="18" t="s">
        <v>23</v>
      </c>
      <c r="I4430" s="19">
        <v>59.35</v>
      </c>
      <c r="J4430" s="20">
        <f t="shared" si="138"/>
        <v>890.25</v>
      </c>
      <c r="K4430" s="106"/>
      <c r="L4430" s="114"/>
      <c r="M4430" s="114">
        <f>tblAquisições[[#This Row],[VALOR UNITARIO COMPRADO]]*tblAquisições[[#This Row],[QUANTIDADE COMPRADA]]</f>
        <v>0</v>
      </c>
      <c r="N4430" s="110">
        <f>K4430-tblAquisições[[#This Row],[QUANTIDADE PLANEJADA]]</f>
        <v>-15</v>
      </c>
      <c r="O4430" s="106" t="str">
        <f t="shared" si="139"/>
        <v>Faltando Comprar</v>
      </c>
    </row>
    <row r="4431" spans="1:15" ht="47.25">
      <c r="A4431" s="16" t="s">
        <v>17</v>
      </c>
      <c r="B4431" s="16" t="s">
        <v>72</v>
      </c>
      <c r="C4431" s="17" t="s">
        <v>19</v>
      </c>
      <c r="D4431" s="18" t="s">
        <v>2502</v>
      </c>
      <c r="E4431" s="18">
        <v>1</v>
      </c>
      <c r="F4431" s="18" t="s">
        <v>239</v>
      </c>
      <c r="G4431" s="18" t="s">
        <v>22</v>
      </c>
      <c r="H4431" s="18" t="s">
        <v>23</v>
      </c>
      <c r="I4431" s="19">
        <v>541.49</v>
      </c>
      <c r="J4431" s="20">
        <f t="shared" si="138"/>
        <v>541.49</v>
      </c>
      <c r="K4431" s="106"/>
      <c r="L4431" s="114"/>
      <c r="M4431" s="114">
        <f>tblAquisições[[#This Row],[VALOR UNITARIO COMPRADO]]*tblAquisições[[#This Row],[QUANTIDADE COMPRADA]]</f>
        <v>0</v>
      </c>
      <c r="N4431" s="110">
        <f>K4431-tblAquisições[[#This Row],[QUANTIDADE PLANEJADA]]</f>
        <v>-1</v>
      </c>
      <c r="O4431" s="106" t="str">
        <f t="shared" si="139"/>
        <v>Faltando Comprar</v>
      </c>
    </row>
    <row r="4432" spans="1:15" ht="47.25">
      <c r="A4432" s="16" t="s">
        <v>17</v>
      </c>
      <c r="B4432" s="16" t="s">
        <v>34</v>
      </c>
      <c r="C4432" s="17" t="s">
        <v>19</v>
      </c>
      <c r="D4432" s="18" t="s">
        <v>2503</v>
      </c>
      <c r="E4432" s="18">
        <v>1</v>
      </c>
      <c r="F4432" s="18" t="s">
        <v>78</v>
      </c>
      <c r="G4432" s="18" t="s">
        <v>22</v>
      </c>
      <c r="H4432" s="18" t="s">
        <v>23</v>
      </c>
      <c r="I4432" s="19">
        <v>223.81</v>
      </c>
      <c r="J4432" s="20">
        <f t="shared" si="138"/>
        <v>223.81</v>
      </c>
      <c r="K4432" s="106"/>
      <c r="L4432" s="114"/>
      <c r="M4432" s="114">
        <f>tblAquisições[[#This Row],[VALOR UNITARIO COMPRADO]]*tblAquisições[[#This Row],[QUANTIDADE COMPRADA]]</f>
        <v>0</v>
      </c>
      <c r="N4432" s="110">
        <f>K4432-tblAquisições[[#This Row],[QUANTIDADE PLANEJADA]]</f>
        <v>-1</v>
      </c>
      <c r="O4432" s="106" t="str">
        <f t="shared" si="139"/>
        <v>Faltando Comprar</v>
      </c>
    </row>
    <row r="4433" spans="1:15" ht="47.25">
      <c r="A4433" s="16" t="s">
        <v>17</v>
      </c>
      <c r="B4433" s="16" t="s">
        <v>18</v>
      </c>
      <c r="C4433" s="17" t="s">
        <v>19</v>
      </c>
      <c r="D4433" s="18" t="s">
        <v>2503</v>
      </c>
      <c r="E4433" s="18">
        <v>1</v>
      </c>
      <c r="F4433" s="18" t="s">
        <v>78</v>
      </c>
      <c r="G4433" s="18" t="s">
        <v>22</v>
      </c>
      <c r="H4433" s="18" t="s">
        <v>23</v>
      </c>
      <c r="I4433" s="19">
        <v>223.81</v>
      </c>
      <c r="J4433" s="20">
        <f t="shared" si="138"/>
        <v>223.81</v>
      </c>
      <c r="K4433" s="106"/>
      <c r="L4433" s="114"/>
      <c r="M4433" s="114">
        <f>tblAquisições[[#This Row],[VALOR UNITARIO COMPRADO]]*tblAquisições[[#This Row],[QUANTIDADE COMPRADA]]</f>
        <v>0</v>
      </c>
      <c r="N4433" s="110">
        <f>K4433-tblAquisições[[#This Row],[QUANTIDADE PLANEJADA]]</f>
        <v>-1</v>
      </c>
      <c r="O4433" s="106" t="str">
        <f t="shared" si="139"/>
        <v>Faltando Comprar</v>
      </c>
    </row>
    <row r="4434" spans="1:15" ht="47.25">
      <c r="A4434" s="16" t="s">
        <v>17</v>
      </c>
      <c r="B4434" s="16" t="s">
        <v>24</v>
      </c>
      <c r="C4434" s="17" t="s">
        <v>19</v>
      </c>
      <c r="D4434" s="18" t="s">
        <v>2503</v>
      </c>
      <c r="E4434" s="18">
        <v>1</v>
      </c>
      <c r="F4434" s="18" t="s">
        <v>78</v>
      </c>
      <c r="G4434" s="18" t="s">
        <v>22</v>
      </c>
      <c r="H4434" s="18" t="s">
        <v>23</v>
      </c>
      <c r="I4434" s="19">
        <v>223.81</v>
      </c>
      <c r="J4434" s="20">
        <f t="shared" si="138"/>
        <v>223.81</v>
      </c>
      <c r="K4434" s="106"/>
      <c r="L4434" s="114"/>
      <c r="M4434" s="114">
        <f>tblAquisições[[#This Row],[VALOR UNITARIO COMPRADO]]*tblAquisições[[#This Row],[QUANTIDADE COMPRADA]]</f>
        <v>0</v>
      </c>
      <c r="N4434" s="110">
        <f>K4434-tblAquisições[[#This Row],[QUANTIDADE PLANEJADA]]</f>
        <v>-1</v>
      </c>
      <c r="O4434" s="106" t="str">
        <f t="shared" si="139"/>
        <v>Faltando Comprar</v>
      </c>
    </row>
    <row r="4435" spans="1:15" ht="47.25">
      <c r="A4435" s="16" t="s">
        <v>17</v>
      </c>
      <c r="B4435" s="16" t="s">
        <v>25</v>
      </c>
      <c r="C4435" s="17" t="s">
        <v>19</v>
      </c>
      <c r="D4435" s="18" t="s">
        <v>2503</v>
      </c>
      <c r="E4435" s="18">
        <v>1</v>
      </c>
      <c r="F4435" s="18" t="s">
        <v>78</v>
      </c>
      <c r="G4435" s="18" t="s">
        <v>22</v>
      </c>
      <c r="H4435" s="18" t="s">
        <v>23</v>
      </c>
      <c r="I4435" s="19">
        <v>223.81</v>
      </c>
      <c r="J4435" s="20">
        <f t="shared" si="138"/>
        <v>223.81</v>
      </c>
      <c r="K4435" s="106"/>
      <c r="L4435" s="114"/>
      <c r="M4435" s="114">
        <f>tblAquisições[[#This Row],[VALOR UNITARIO COMPRADO]]*tblAquisições[[#This Row],[QUANTIDADE COMPRADA]]</f>
        <v>0</v>
      </c>
      <c r="N4435" s="110">
        <f>K4435-tblAquisições[[#This Row],[QUANTIDADE PLANEJADA]]</f>
        <v>-1</v>
      </c>
      <c r="O4435" s="106" t="str">
        <f t="shared" si="139"/>
        <v>Faltando Comprar</v>
      </c>
    </row>
    <row r="4436" spans="1:15" ht="47.25">
      <c r="A4436" s="16" t="s">
        <v>17</v>
      </c>
      <c r="B4436" s="16" t="s">
        <v>27</v>
      </c>
      <c r="C4436" s="17" t="s">
        <v>19</v>
      </c>
      <c r="D4436" s="18" t="s">
        <v>2503</v>
      </c>
      <c r="E4436" s="18">
        <v>1</v>
      </c>
      <c r="F4436" s="18" t="s">
        <v>78</v>
      </c>
      <c r="G4436" s="18" t="s">
        <v>22</v>
      </c>
      <c r="H4436" s="18" t="s">
        <v>23</v>
      </c>
      <c r="I4436" s="19">
        <v>223.81</v>
      </c>
      <c r="J4436" s="20">
        <f t="shared" si="138"/>
        <v>223.81</v>
      </c>
      <c r="K4436" s="106"/>
      <c r="L4436" s="114"/>
      <c r="M4436" s="114">
        <f>tblAquisições[[#This Row],[VALOR UNITARIO COMPRADO]]*tblAquisições[[#This Row],[QUANTIDADE COMPRADA]]</f>
        <v>0</v>
      </c>
      <c r="N4436" s="110">
        <f>K4436-tblAquisições[[#This Row],[QUANTIDADE PLANEJADA]]</f>
        <v>-1</v>
      </c>
      <c r="O4436" s="106" t="str">
        <f t="shared" si="139"/>
        <v>Faltando Comprar</v>
      </c>
    </row>
    <row r="4437" spans="1:15" ht="31.5">
      <c r="A4437" s="16" t="s">
        <v>17</v>
      </c>
      <c r="B4437" s="16" t="s">
        <v>26</v>
      </c>
      <c r="C4437" s="17" t="s">
        <v>19</v>
      </c>
      <c r="D4437" s="18" t="s">
        <v>2504</v>
      </c>
      <c r="E4437" s="18">
        <v>4000</v>
      </c>
      <c r="F4437" s="18" t="s">
        <v>2405</v>
      </c>
      <c r="G4437" s="18" t="s">
        <v>127</v>
      </c>
      <c r="H4437" s="18" t="s">
        <v>23</v>
      </c>
      <c r="I4437" s="19">
        <v>0.34</v>
      </c>
      <c r="J4437" s="20">
        <f t="shared" si="138"/>
        <v>1360</v>
      </c>
      <c r="K4437" s="106"/>
      <c r="L4437" s="114"/>
      <c r="M4437" s="114">
        <f>tblAquisições[[#This Row],[VALOR UNITARIO COMPRADO]]*tblAquisições[[#This Row],[QUANTIDADE COMPRADA]]</f>
        <v>0</v>
      </c>
      <c r="N4437" s="110">
        <f>K4437-tblAquisições[[#This Row],[QUANTIDADE PLANEJADA]]</f>
        <v>-4000</v>
      </c>
      <c r="O4437" s="106" t="str">
        <f t="shared" si="139"/>
        <v>Faltando Comprar</v>
      </c>
    </row>
    <row r="4438" spans="1:15" ht="31.5">
      <c r="A4438" s="16" t="s">
        <v>17</v>
      </c>
      <c r="B4438" s="16" t="s">
        <v>26</v>
      </c>
      <c r="C4438" s="17" t="s">
        <v>19</v>
      </c>
      <c r="D4438" s="18" t="s">
        <v>2505</v>
      </c>
      <c r="E4438" s="18">
        <v>4100</v>
      </c>
      <c r="F4438" s="18" t="s">
        <v>2405</v>
      </c>
      <c r="G4438" s="18" t="s">
        <v>127</v>
      </c>
      <c r="H4438" s="18" t="s">
        <v>23</v>
      </c>
      <c r="I4438" s="19">
        <v>16.93</v>
      </c>
      <c r="J4438" s="20">
        <f t="shared" si="138"/>
        <v>69413</v>
      </c>
      <c r="K4438" s="106"/>
      <c r="L4438" s="114"/>
      <c r="M4438" s="114">
        <f>tblAquisições[[#This Row],[VALOR UNITARIO COMPRADO]]*tblAquisições[[#This Row],[QUANTIDADE COMPRADA]]</f>
        <v>0</v>
      </c>
      <c r="N4438" s="110">
        <f>K4438-tblAquisições[[#This Row],[QUANTIDADE PLANEJADA]]</f>
        <v>-4100</v>
      </c>
      <c r="O4438" s="106" t="str">
        <f t="shared" si="139"/>
        <v>Faltando Comprar</v>
      </c>
    </row>
    <row r="4439" spans="1:15" ht="47.25">
      <c r="A4439" s="16" t="s">
        <v>17</v>
      </c>
      <c r="B4439" s="16" t="s">
        <v>80</v>
      </c>
      <c r="C4439" s="17" t="s">
        <v>19</v>
      </c>
      <c r="D4439" s="18" t="s">
        <v>2506</v>
      </c>
      <c r="E4439" s="18">
        <v>2</v>
      </c>
      <c r="F4439" s="18" t="s">
        <v>147</v>
      </c>
      <c r="G4439" s="18" t="s">
        <v>39</v>
      </c>
      <c r="H4439" s="21"/>
      <c r="I4439" s="19">
        <v>20.37</v>
      </c>
      <c r="J4439" s="20">
        <f t="shared" si="138"/>
        <v>40.74</v>
      </c>
      <c r="K4439" s="106"/>
      <c r="L4439" s="114"/>
      <c r="M4439" s="114">
        <f>tblAquisições[[#This Row],[VALOR UNITARIO COMPRADO]]*tblAquisições[[#This Row],[QUANTIDADE COMPRADA]]</f>
        <v>0</v>
      </c>
      <c r="N4439" s="110">
        <f>K4439-tblAquisições[[#This Row],[QUANTIDADE PLANEJADA]]</f>
        <v>-2</v>
      </c>
      <c r="O4439" s="106" t="str">
        <f t="shared" si="139"/>
        <v>Faltando Comprar</v>
      </c>
    </row>
    <row r="4440" spans="1:15" ht="47.25">
      <c r="A4440" s="16" t="s">
        <v>17</v>
      </c>
      <c r="B4440" s="16" t="s">
        <v>28</v>
      </c>
      <c r="C4440" s="17" t="s">
        <v>19</v>
      </c>
      <c r="D4440" s="18" t="s">
        <v>2507</v>
      </c>
      <c r="E4440" s="18">
        <v>2</v>
      </c>
      <c r="F4440" s="18" t="s">
        <v>78</v>
      </c>
      <c r="G4440" s="18" t="s">
        <v>22</v>
      </c>
      <c r="H4440" s="22"/>
      <c r="I4440" s="19">
        <v>20.37</v>
      </c>
      <c r="J4440" s="20">
        <f t="shared" si="138"/>
        <v>40.74</v>
      </c>
      <c r="K4440" s="106"/>
      <c r="L4440" s="114"/>
      <c r="M4440" s="114">
        <f>tblAquisições[[#This Row],[VALOR UNITARIO COMPRADO]]*tblAquisições[[#This Row],[QUANTIDADE COMPRADA]]</f>
        <v>0</v>
      </c>
      <c r="N4440" s="110">
        <f>K4440-tblAquisições[[#This Row],[QUANTIDADE PLANEJADA]]</f>
        <v>-2</v>
      </c>
      <c r="O4440" s="106" t="str">
        <f t="shared" si="139"/>
        <v>Faltando Comprar</v>
      </c>
    </row>
    <row r="4441" spans="1:15" ht="31.5">
      <c r="A4441" s="16" t="s">
        <v>17</v>
      </c>
      <c r="B4441" s="16" t="s">
        <v>28</v>
      </c>
      <c r="C4441" s="17" t="s">
        <v>19</v>
      </c>
      <c r="D4441" s="18" t="s">
        <v>2508</v>
      </c>
      <c r="E4441" s="18">
        <v>12</v>
      </c>
      <c r="F4441" s="18" t="s">
        <v>21</v>
      </c>
      <c r="G4441" s="18" t="s">
        <v>22</v>
      </c>
      <c r="H4441" s="18" t="s">
        <v>23</v>
      </c>
      <c r="I4441" s="19">
        <v>2.21</v>
      </c>
      <c r="J4441" s="20">
        <f t="shared" si="138"/>
        <v>26.52</v>
      </c>
      <c r="K4441" s="106"/>
      <c r="L4441" s="114"/>
      <c r="M4441" s="114">
        <f>tblAquisições[[#This Row],[VALOR UNITARIO COMPRADO]]*tblAquisições[[#This Row],[QUANTIDADE COMPRADA]]</f>
        <v>0</v>
      </c>
      <c r="N4441" s="110">
        <f>K4441-tblAquisições[[#This Row],[QUANTIDADE PLANEJADA]]</f>
        <v>-12</v>
      </c>
      <c r="O4441" s="106" t="str">
        <f t="shared" si="139"/>
        <v>Faltando Comprar</v>
      </c>
    </row>
    <row r="4442" spans="1:15" ht="47.25">
      <c r="A4442" s="16" t="s">
        <v>17</v>
      </c>
      <c r="B4442" s="16" t="s">
        <v>28</v>
      </c>
      <c r="C4442" s="17" t="s">
        <v>19</v>
      </c>
      <c r="D4442" s="18" t="s">
        <v>2509</v>
      </c>
      <c r="E4442" s="18">
        <v>10</v>
      </c>
      <c r="F4442" s="18" t="s">
        <v>78</v>
      </c>
      <c r="G4442" s="18" t="s">
        <v>22</v>
      </c>
      <c r="H4442" s="18" t="s">
        <v>23</v>
      </c>
      <c r="I4442" s="19">
        <v>289.56</v>
      </c>
      <c r="J4442" s="20">
        <f t="shared" si="138"/>
        <v>2895.6</v>
      </c>
      <c r="K4442" s="106"/>
      <c r="L4442" s="114"/>
      <c r="M4442" s="114">
        <f>tblAquisições[[#This Row],[VALOR UNITARIO COMPRADO]]*tblAquisições[[#This Row],[QUANTIDADE COMPRADA]]</f>
        <v>0</v>
      </c>
      <c r="N4442" s="110">
        <f>K4442-tblAquisições[[#This Row],[QUANTIDADE PLANEJADA]]</f>
        <v>-10</v>
      </c>
      <c r="O4442" s="106" t="str">
        <f t="shared" si="139"/>
        <v>Faltando Comprar</v>
      </c>
    </row>
    <row r="4443" spans="1:15" ht="47.25">
      <c r="A4443" s="16" t="s">
        <v>17</v>
      </c>
      <c r="B4443" s="16" t="s">
        <v>28</v>
      </c>
      <c r="C4443" s="17" t="s">
        <v>19</v>
      </c>
      <c r="D4443" s="18" t="s">
        <v>2510</v>
      </c>
      <c r="E4443" s="18">
        <v>5</v>
      </c>
      <c r="F4443" s="18" t="s">
        <v>78</v>
      </c>
      <c r="G4443" s="18" t="s">
        <v>22</v>
      </c>
      <c r="H4443" s="18" t="s">
        <v>65</v>
      </c>
      <c r="I4443" s="19">
        <v>47.09</v>
      </c>
      <c r="J4443" s="20">
        <f t="shared" si="138"/>
        <v>235.45000000000002</v>
      </c>
      <c r="K4443" s="106"/>
      <c r="L4443" s="114"/>
      <c r="M4443" s="114">
        <f>tblAquisições[[#This Row],[VALOR UNITARIO COMPRADO]]*tblAquisições[[#This Row],[QUANTIDADE COMPRADA]]</f>
        <v>0</v>
      </c>
      <c r="N4443" s="110">
        <f>K4443-tblAquisições[[#This Row],[QUANTIDADE PLANEJADA]]</f>
        <v>-5</v>
      </c>
      <c r="O4443" s="106" t="str">
        <f t="shared" si="139"/>
        <v>Faltando Comprar</v>
      </c>
    </row>
    <row r="4444" spans="1:15" ht="31.5">
      <c r="A4444" s="16" t="s">
        <v>17</v>
      </c>
      <c r="B4444" s="16" t="s">
        <v>34</v>
      </c>
      <c r="C4444" s="17" t="s">
        <v>19</v>
      </c>
      <c r="D4444" s="18" t="s">
        <v>2511</v>
      </c>
      <c r="E4444" s="18">
        <v>12</v>
      </c>
      <c r="F4444" s="18" t="s">
        <v>21</v>
      </c>
      <c r="G4444" s="18" t="s">
        <v>22</v>
      </c>
      <c r="H4444" s="18" t="s">
        <v>23</v>
      </c>
      <c r="I4444" s="19">
        <v>229.1</v>
      </c>
      <c r="J4444" s="20">
        <f t="shared" si="138"/>
        <v>2749.2</v>
      </c>
      <c r="K4444" s="106"/>
      <c r="L4444" s="114"/>
      <c r="M4444" s="114">
        <f>tblAquisições[[#This Row],[VALOR UNITARIO COMPRADO]]*tblAquisições[[#This Row],[QUANTIDADE COMPRADA]]</f>
        <v>0</v>
      </c>
      <c r="N4444" s="110">
        <f>K4444-tblAquisições[[#This Row],[QUANTIDADE PLANEJADA]]</f>
        <v>-12</v>
      </c>
      <c r="O4444" s="106" t="str">
        <f t="shared" si="139"/>
        <v>Faltando Comprar</v>
      </c>
    </row>
    <row r="4445" spans="1:15" ht="31.5">
      <c r="A4445" s="16" t="s">
        <v>17</v>
      </c>
      <c r="B4445" s="16" t="s">
        <v>41</v>
      </c>
      <c r="C4445" s="17" t="s">
        <v>19</v>
      </c>
      <c r="D4445" s="18" t="s">
        <v>2511</v>
      </c>
      <c r="E4445" s="18">
        <v>30</v>
      </c>
      <c r="F4445" s="18" t="s">
        <v>21</v>
      </c>
      <c r="G4445" s="18" t="s">
        <v>22</v>
      </c>
      <c r="H4445" s="18" t="s">
        <v>23</v>
      </c>
      <c r="I4445" s="19">
        <v>229.1</v>
      </c>
      <c r="J4445" s="20">
        <f t="shared" si="138"/>
        <v>6873</v>
      </c>
      <c r="K4445" s="106"/>
      <c r="L4445" s="114"/>
      <c r="M4445" s="114">
        <f>tblAquisições[[#This Row],[VALOR UNITARIO COMPRADO]]*tblAquisições[[#This Row],[QUANTIDADE COMPRADA]]</f>
        <v>0</v>
      </c>
      <c r="N4445" s="110">
        <f>K4445-tblAquisições[[#This Row],[QUANTIDADE PLANEJADA]]</f>
        <v>-30</v>
      </c>
      <c r="O4445" s="106" t="str">
        <f t="shared" si="139"/>
        <v>Faltando Comprar</v>
      </c>
    </row>
    <row r="4446" spans="1:15" ht="31.5">
      <c r="A4446" s="16" t="s">
        <v>17</v>
      </c>
      <c r="B4446" s="16" t="s">
        <v>28</v>
      </c>
      <c r="C4446" s="17" t="s">
        <v>19</v>
      </c>
      <c r="D4446" s="18" t="s">
        <v>2511</v>
      </c>
      <c r="E4446" s="18">
        <v>90</v>
      </c>
      <c r="F4446" s="18" t="s">
        <v>21</v>
      </c>
      <c r="G4446" s="18" t="s">
        <v>22</v>
      </c>
      <c r="H4446" s="18" t="s">
        <v>23</v>
      </c>
      <c r="I4446" s="19">
        <v>229.1</v>
      </c>
      <c r="J4446" s="20">
        <f t="shared" si="138"/>
        <v>20619</v>
      </c>
      <c r="K4446" s="106"/>
      <c r="L4446" s="114"/>
      <c r="M4446" s="114">
        <f>tblAquisições[[#This Row],[VALOR UNITARIO COMPRADO]]*tblAquisições[[#This Row],[QUANTIDADE COMPRADA]]</f>
        <v>0</v>
      </c>
      <c r="N4446" s="110">
        <f>K4446-tblAquisições[[#This Row],[QUANTIDADE PLANEJADA]]</f>
        <v>-90</v>
      </c>
      <c r="O4446" s="106" t="str">
        <f t="shared" si="139"/>
        <v>Faltando Comprar</v>
      </c>
    </row>
    <row r="4447" spans="1:15" ht="31.5">
      <c r="A4447" s="16" t="s">
        <v>17</v>
      </c>
      <c r="B4447" s="16" t="s">
        <v>31</v>
      </c>
      <c r="C4447" s="17" t="s">
        <v>19</v>
      </c>
      <c r="D4447" s="18" t="s">
        <v>2512</v>
      </c>
      <c r="E4447" s="18">
        <v>30</v>
      </c>
      <c r="F4447" s="18" t="s">
        <v>30</v>
      </c>
      <c r="G4447" s="18" t="s">
        <v>22</v>
      </c>
      <c r="H4447" s="18" t="s">
        <v>23</v>
      </c>
      <c r="I4447" s="19">
        <v>160</v>
      </c>
      <c r="J4447" s="20">
        <f t="shared" si="138"/>
        <v>4800</v>
      </c>
      <c r="K4447" s="106"/>
      <c r="L4447" s="114"/>
      <c r="M4447" s="114">
        <f>tblAquisições[[#This Row],[VALOR UNITARIO COMPRADO]]*tblAquisições[[#This Row],[QUANTIDADE COMPRADA]]</f>
        <v>0</v>
      </c>
      <c r="N4447" s="110">
        <f>K4447-tblAquisições[[#This Row],[QUANTIDADE PLANEJADA]]</f>
        <v>-30</v>
      </c>
      <c r="O4447" s="106" t="str">
        <f t="shared" si="139"/>
        <v>Faltando Comprar</v>
      </c>
    </row>
    <row r="4448" spans="1:15" ht="47.25">
      <c r="A4448" s="16" t="s">
        <v>17</v>
      </c>
      <c r="B4448" s="16" t="s">
        <v>28</v>
      </c>
      <c r="C4448" s="17" t="s">
        <v>19</v>
      </c>
      <c r="D4448" s="18" t="s">
        <v>2513</v>
      </c>
      <c r="E4448" s="18">
        <v>12</v>
      </c>
      <c r="F4448" s="18" t="s">
        <v>214</v>
      </c>
      <c r="G4448" s="18" t="s">
        <v>127</v>
      </c>
      <c r="H4448" s="18" t="s">
        <v>23</v>
      </c>
      <c r="I4448" s="19">
        <v>154.61000000000001</v>
      </c>
      <c r="J4448" s="20">
        <f t="shared" si="138"/>
        <v>1855.3200000000002</v>
      </c>
      <c r="K4448" s="106"/>
      <c r="L4448" s="114"/>
      <c r="M4448" s="114">
        <f>tblAquisições[[#This Row],[VALOR UNITARIO COMPRADO]]*tblAquisições[[#This Row],[QUANTIDADE COMPRADA]]</f>
        <v>0</v>
      </c>
      <c r="N4448" s="110">
        <f>K4448-tblAquisições[[#This Row],[QUANTIDADE PLANEJADA]]</f>
        <v>-12</v>
      </c>
      <c r="O4448" s="106" t="str">
        <f t="shared" si="139"/>
        <v>Faltando Comprar</v>
      </c>
    </row>
    <row r="4449" spans="1:15" ht="47.25">
      <c r="A4449" s="16" t="s">
        <v>17</v>
      </c>
      <c r="B4449" s="16" t="s">
        <v>26</v>
      </c>
      <c r="C4449" s="17" t="s">
        <v>19</v>
      </c>
      <c r="D4449" s="18" t="s">
        <v>2514</v>
      </c>
      <c r="E4449" s="18">
        <v>12</v>
      </c>
      <c r="F4449" s="18" t="s">
        <v>239</v>
      </c>
      <c r="G4449" s="18" t="s">
        <v>22</v>
      </c>
      <c r="H4449" s="18" t="s">
        <v>23</v>
      </c>
      <c r="I4449" s="19">
        <v>59.9</v>
      </c>
      <c r="J4449" s="20">
        <f t="shared" si="138"/>
        <v>718.8</v>
      </c>
      <c r="K4449" s="106"/>
      <c r="L4449" s="114"/>
      <c r="M4449" s="114">
        <f>tblAquisições[[#This Row],[VALOR UNITARIO COMPRADO]]*tblAquisições[[#This Row],[QUANTIDADE COMPRADA]]</f>
        <v>0</v>
      </c>
      <c r="N4449" s="110">
        <f>K4449-tblAquisições[[#This Row],[QUANTIDADE PLANEJADA]]</f>
        <v>-12</v>
      </c>
      <c r="O4449" s="106" t="str">
        <f t="shared" si="139"/>
        <v>Faltando Comprar</v>
      </c>
    </row>
    <row r="4450" spans="1:15" ht="47.25">
      <c r="A4450" s="16" t="s">
        <v>17</v>
      </c>
      <c r="B4450" s="16" t="s">
        <v>28</v>
      </c>
      <c r="C4450" s="17" t="s">
        <v>19</v>
      </c>
      <c r="D4450" s="18" t="s">
        <v>2515</v>
      </c>
      <c r="E4450" s="18">
        <v>15</v>
      </c>
      <c r="F4450" s="18" t="s">
        <v>838</v>
      </c>
      <c r="G4450" s="18" t="s">
        <v>22</v>
      </c>
      <c r="H4450" s="18" t="s">
        <v>65</v>
      </c>
      <c r="I4450" s="19">
        <v>400</v>
      </c>
      <c r="J4450" s="20">
        <f t="shared" si="138"/>
        <v>6000</v>
      </c>
      <c r="K4450" s="106"/>
      <c r="L4450" s="114"/>
      <c r="M4450" s="114">
        <f>tblAquisições[[#This Row],[VALOR UNITARIO COMPRADO]]*tblAquisições[[#This Row],[QUANTIDADE COMPRADA]]</f>
        <v>0</v>
      </c>
      <c r="N4450" s="110">
        <f>K4450-tblAquisições[[#This Row],[QUANTIDADE PLANEJADA]]</f>
        <v>-15</v>
      </c>
      <c r="O4450" s="106" t="str">
        <f t="shared" si="139"/>
        <v>Faltando Comprar</v>
      </c>
    </row>
    <row r="4451" spans="1:15" ht="31.5">
      <c r="A4451" s="16" t="s">
        <v>17</v>
      </c>
      <c r="B4451" s="16" t="s">
        <v>17</v>
      </c>
      <c r="C4451" s="17" t="s">
        <v>19</v>
      </c>
      <c r="D4451" s="18" t="s">
        <v>2516</v>
      </c>
      <c r="E4451" s="18">
        <v>6</v>
      </c>
      <c r="F4451" s="18" t="s">
        <v>56</v>
      </c>
      <c r="G4451" s="18" t="s">
        <v>39</v>
      </c>
      <c r="H4451" s="18" t="s">
        <v>23</v>
      </c>
      <c r="I4451" s="19">
        <v>252</v>
      </c>
      <c r="J4451" s="20">
        <f t="shared" si="138"/>
        <v>1512</v>
      </c>
      <c r="K4451" s="106"/>
      <c r="L4451" s="114"/>
      <c r="M4451" s="114">
        <f>tblAquisições[[#This Row],[VALOR UNITARIO COMPRADO]]*tblAquisições[[#This Row],[QUANTIDADE COMPRADA]]</f>
        <v>0</v>
      </c>
      <c r="N4451" s="110">
        <f>K4451-tblAquisições[[#This Row],[QUANTIDADE PLANEJADA]]</f>
        <v>-6</v>
      </c>
      <c r="O4451" s="106" t="str">
        <f t="shared" si="139"/>
        <v>Faltando Comprar</v>
      </c>
    </row>
    <row r="4452" spans="1:15" ht="47.25">
      <c r="A4452" s="16" t="s">
        <v>17</v>
      </c>
      <c r="B4452" s="16" t="s">
        <v>28</v>
      </c>
      <c r="C4452" s="17" t="s">
        <v>19</v>
      </c>
      <c r="D4452" s="18" t="s">
        <v>2517</v>
      </c>
      <c r="E4452" s="18">
        <v>9</v>
      </c>
      <c r="F4452" s="18" t="s">
        <v>78</v>
      </c>
      <c r="G4452" s="18" t="s">
        <v>22</v>
      </c>
      <c r="H4452" s="18" t="s">
        <v>23</v>
      </c>
      <c r="I4452" s="19">
        <v>33.97</v>
      </c>
      <c r="J4452" s="20">
        <f t="shared" si="138"/>
        <v>305.73</v>
      </c>
      <c r="K4452" s="106"/>
      <c r="L4452" s="114"/>
      <c r="M4452" s="114">
        <f>tblAquisições[[#This Row],[VALOR UNITARIO COMPRADO]]*tblAquisições[[#This Row],[QUANTIDADE COMPRADA]]</f>
        <v>0</v>
      </c>
      <c r="N4452" s="110">
        <f>K4452-tblAquisições[[#This Row],[QUANTIDADE PLANEJADA]]</f>
        <v>-9</v>
      </c>
      <c r="O4452" s="106" t="str">
        <f t="shared" si="139"/>
        <v>Faltando Comprar</v>
      </c>
    </row>
    <row r="4453" spans="1:15" ht="47.25">
      <c r="A4453" s="16" t="s">
        <v>17</v>
      </c>
      <c r="B4453" s="16" t="s">
        <v>34</v>
      </c>
      <c r="C4453" s="17" t="s">
        <v>19</v>
      </c>
      <c r="D4453" s="18" t="s">
        <v>2518</v>
      </c>
      <c r="E4453" s="18">
        <v>1</v>
      </c>
      <c r="F4453" s="18" t="s">
        <v>78</v>
      </c>
      <c r="G4453" s="18" t="s">
        <v>22</v>
      </c>
      <c r="H4453" s="18" t="s">
        <v>23</v>
      </c>
      <c r="I4453" s="19">
        <v>39.19</v>
      </c>
      <c r="J4453" s="20">
        <f t="shared" si="138"/>
        <v>39.19</v>
      </c>
      <c r="K4453" s="106"/>
      <c r="L4453" s="114"/>
      <c r="M4453" s="114">
        <f>tblAquisições[[#This Row],[VALOR UNITARIO COMPRADO]]*tblAquisições[[#This Row],[QUANTIDADE COMPRADA]]</f>
        <v>0</v>
      </c>
      <c r="N4453" s="110">
        <f>K4453-tblAquisições[[#This Row],[QUANTIDADE PLANEJADA]]</f>
        <v>-1</v>
      </c>
      <c r="O4453" s="106" t="str">
        <f t="shared" si="139"/>
        <v>Faltando Comprar</v>
      </c>
    </row>
    <row r="4454" spans="1:15" ht="63">
      <c r="A4454" s="16" t="s">
        <v>17</v>
      </c>
      <c r="B4454" s="16" t="s">
        <v>34</v>
      </c>
      <c r="C4454" s="17" t="s">
        <v>19</v>
      </c>
      <c r="D4454" s="18" t="s">
        <v>2519</v>
      </c>
      <c r="E4454" s="18">
        <v>2</v>
      </c>
      <c r="F4454" s="18" t="s">
        <v>21</v>
      </c>
      <c r="G4454" s="18" t="s">
        <v>22</v>
      </c>
      <c r="H4454" s="18" t="s">
        <v>23</v>
      </c>
      <c r="I4454" s="19">
        <v>10000</v>
      </c>
      <c r="J4454" s="20">
        <f t="shared" si="138"/>
        <v>20000</v>
      </c>
      <c r="K4454" s="106"/>
      <c r="L4454" s="114"/>
      <c r="M4454" s="114">
        <f>tblAquisições[[#This Row],[VALOR UNITARIO COMPRADO]]*tblAquisições[[#This Row],[QUANTIDADE COMPRADA]]</f>
        <v>0</v>
      </c>
      <c r="N4454" s="110">
        <f>K4454-tblAquisições[[#This Row],[QUANTIDADE PLANEJADA]]</f>
        <v>-2</v>
      </c>
      <c r="O4454" s="106" t="str">
        <f t="shared" si="139"/>
        <v>Faltando Comprar</v>
      </c>
    </row>
    <row r="4455" spans="1:15" ht="63">
      <c r="A4455" s="16" t="s">
        <v>17</v>
      </c>
      <c r="B4455" s="16" t="s">
        <v>31</v>
      </c>
      <c r="C4455" s="17" t="s">
        <v>19</v>
      </c>
      <c r="D4455" s="18" t="s">
        <v>2519</v>
      </c>
      <c r="E4455" s="18">
        <v>5</v>
      </c>
      <c r="F4455" s="18" t="s">
        <v>21</v>
      </c>
      <c r="G4455" s="18" t="s">
        <v>22</v>
      </c>
      <c r="H4455" s="18" t="s">
        <v>23</v>
      </c>
      <c r="I4455" s="19">
        <v>10000</v>
      </c>
      <c r="J4455" s="20">
        <f t="shared" si="138"/>
        <v>50000</v>
      </c>
      <c r="K4455" s="106"/>
      <c r="L4455" s="114"/>
      <c r="M4455" s="114">
        <f>tblAquisições[[#This Row],[VALOR UNITARIO COMPRADO]]*tblAquisições[[#This Row],[QUANTIDADE COMPRADA]]</f>
        <v>0</v>
      </c>
      <c r="N4455" s="110">
        <f>K4455-tblAquisições[[#This Row],[QUANTIDADE PLANEJADA]]</f>
        <v>-5</v>
      </c>
      <c r="O4455" s="106" t="str">
        <f t="shared" si="139"/>
        <v>Faltando Comprar</v>
      </c>
    </row>
    <row r="4456" spans="1:15" ht="63">
      <c r="A4456" s="16" t="s">
        <v>17</v>
      </c>
      <c r="B4456" s="16" t="s">
        <v>28</v>
      </c>
      <c r="C4456" s="17" t="s">
        <v>19</v>
      </c>
      <c r="D4456" s="18" t="s">
        <v>2519</v>
      </c>
      <c r="E4456" s="18">
        <v>2</v>
      </c>
      <c r="F4456" s="18" t="s">
        <v>21</v>
      </c>
      <c r="G4456" s="18" t="s">
        <v>22</v>
      </c>
      <c r="H4456" s="18" t="s">
        <v>23</v>
      </c>
      <c r="I4456" s="19">
        <v>10000</v>
      </c>
      <c r="J4456" s="20">
        <f t="shared" si="138"/>
        <v>20000</v>
      </c>
      <c r="K4456" s="106"/>
      <c r="L4456" s="114"/>
      <c r="M4456" s="114">
        <f>tblAquisições[[#This Row],[VALOR UNITARIO COMPRADO]]*tblAquisições[[#This Row],[QUANTIDADE COMPRADA]]</f>
        <v>0</v>
      </c>
      <c r="N4456" s="110">
        <f>K4456-tblAquisições[[#This Row],[QUANTIDADE PLANEJADA]]</f>
        <v>-2</v>
      </c>
      <c r="O4456" s="106" t="str">
        <f t="shared" si="139"/>
        <v>Faltando Comprar</v>
      </c>
    </row>
    <row r="4457" spans="1:15" ht="31.5">
      <c r="A4457" s="16" t="s">
        <v>17</v>
      </c>
      <c r="B4457" s="16" t="s">
        <v>34</v>
      </c>
      <c r="C4457" s="17" t="s">
        <v>19</v>
      </c>
      <c r="D4457" s="18" t="s">
        <v>2520</v>
      </c>
      <c r="E4457" s="18">
        <v>20</v>
      </c>
      <c r="F4457" s="18" t="s">
        <v>21</v>
      </c>
      <c r="G4457" s="18" t="s">
        <v>22</v>
      </c>
      <c r="H4457" s="18" t="s">
        <v>23</v>
      </c>
      <c r="I4457" s="19">
        <v>57.07</v>
      </c>
      <c r="J4457" s="20">
        <f t="shared" si="138"/>
        <v>1141.4000000000001</v>
      </c>
      <c r="K4457" s="106"/>
      <c r="L4457" s="114"/>
      <c r="M4457" s="114">
        <f>tblAquisições[[#This Row],[VALOR UNITARIO COMPRADO]]*tblAquisições[[#This Row],[QUANTIDADE COMPRADA]]</f>
        <v>0</v>
      </c>
      <c r="N4457" s="110">
        <f>K4457-tblAquisições[[#This Row],[QUANTIDADE PLANEJADA]]</f>
        <v>-20</v>
      </c>
      <c r="O4457" s="106" t="str">
        <f t="shared" si="139"/>
        <v>Faltando Comprar</v>
      </c>
    </row>
    <row r="4458" spans="1:15" ht="31.5">
      <c r="A4458" s="16" t="s">
        <v>17</v>
      </c>
      <c r="B4458" s="16" t="s">
        <v>31</v>
      </c>
      <c r="C4458" s="17" t="s">
        <v>19</v>
      </c>
      <c r="D4458" s="18" t="s">
        <v>2520</v>
      </c>
      <c r="E4458" s="18">
        <v>15</v>
      </c>
      <c r="F4458" s="18" t="s">
        <v>21</v>
      </c>
      <c r="G4458" s="18" t="s">
        <v>22</v>
      </c>
      <c r="H4458" s="18" t="s">
        <v>23</v>
      </c>
      <c r="I4458" s="19">
        <v>57.07</v>
      </c>
      <c r="J4458" s="20">
        <f t="shared" si="138"/>
        <v>856.05</v>
      </c>
      <c r="K4458" s="106"/>
      <c r="L4458" s="114"/>
      <c r="M4458" s="114">
        <f>tblAquisições[[#This Row],[VALOR UNITARIO COMPRADO]]*tblAquisições[[#This Row],[QUANTIDADE COMPRADA]]</f>
        <v>0</v>
      </c>
      <c r="N4458" s="110">
        <f>K4458-tblAquisições[[#This Row],[QUANTIDADE PLANEJADA]]</f>
        <v>-15</v>
      </c>
      <c r="O4458" s="106" t="str">
        <f t="shared" si="139"/>
        <v>Faltando Comprar</v>
      </c>
    </row>
    <row r="4459" spans="1:15" ht="31.5">
      <c r="A4459" s="16" t="s">
        <v>17</v>
      </c>
      <c r="B4459" s="16" t="s">
        <v>18</v>
      </c>
      <c r="C4459" s="17" t="s">
        <v>19</v>
      </c>
      <c r="D4459" s="18" t="s">
        <v>2520</v>
      </c>
      <c r="E4459" s="18">
        <v>30</v>
      </c>
      <c r="F4459" s="18" t="s">
        <v>21</v>
      </c>
      <c r="G4459" s="18" t="s">
        <v>22</v>
      </c>
      <c r="H4459" s="18" t="s">
        <v>23</v>
      </c>
      <c r="I4459" s="19">
        <v>57.07</v>
      </c>
      <c r="J4459" s="20">
        <f t="shared" si="138"/>
        <v>1712.1</v>
      </c>
      <c r="K4459" s="106"/>
      <c r="L4459" s="114"/>
      <c r="M4459" s="114">
        <f>tblAquisições[[#This Row],[VALOR UNITARIO COMPRADO]]*tblAquisições[[#This Row],[QUANTIDADE COMPRADA]]</f>
        <v>0</v>
      </c>
      <c r="N4459" s="110">
        <f>K4459-tblAquisições[[#This Row],[QUANTIDADE PLANEJADA]]</f>
        <v>-30</v>
      </c>
      <c r="O4459" s="106" t="str">
        <f t="shared" si="139"/>
        <v>Faltando Comprar</v>
      </c>
    </row>
    <row r="4460" spans="1:15" ht="31.5">
      <c r="A4460" s="16" t="s">
        <v>17</v>
      </c>
      <c r="B4460" s="16" t="s">
        <v>24</v>
      </c>
      <c r="C4460" s="17" t="s">
        <v>19</v>
      </c>
      <c r="D4460" s="18" t="s">
        <v>2520</v>
      </c>
      <c r="E4460" s="18">
        <v>30</v>
      </c>
      <c r="F4460" s="18" t="s">
        <v>21</v>
      </c>
      <c r="G4460" s="18" t="s">
        <v>22</v>
      </c>
      <c r="H4460" s="18" t="s">
        <v>23</v>
      </c>
      <c r="I4460" s="19">
        <v>57.07</v>
      </c>
      <c r="J4460" s="20">
        <f t="shared" si="138"/>
        <v>1712.1</v>
      </c>
      <c r="K4460" s="106"/>
      <c r="L4460" s="114"/>
      <c r="M4460" s="114">
        <f>tblAquisições[[#This Row],[VALOR UNITARIO COMPRADO]]*tblAquisições[[#This Row],[QUANTIDADE COMPRADA]]</f>
        <v>0</v>
      </c>
      <c r="N4460" s="110">
        <f>K4460-tblAquisições[[#This Row],[QUANTIDADE PLANEJADA]]</f>
        <v>-30</v>
      </c>
      <c r="O4460" s="106" t="str">
        <f t="shared" si="139"/>
        <v>Faltando Comprar</v>
      </c>
    </row>
    <row r="4461" spans="1:15" ht="31.5">
      <c r="A4461" s="16" t="s">
        <v>17</v>
      </c>
      <c r="B4461" s="16" t="s">
        <v>25</v>
      </c>
      <c r="C4461" s="17" t="s">
        <v>19</v>
      </c>
      <c r="D4461" s="18" t="s">
        <v>2520</v>
      </c>
      <c r="E4461" s="18">
        <v>30</v>
      </c>
      <c r="F4461" s="18" t="s">
        <v>21</v>
      </c>
      <c r="G4461" s="18" t="s">
        <v>22</v>
      </c>
      <c r="H4461" s="18" t="s">
        <v>23</v>
      </c>
      <c r="I4461" s="19">
        <v>57.07</v>
      </c>
      <c r="J4461" s="20">
        <f t="shared" si="138"/>
        <v>1712.1</v>
      </c>
      <c r="K4461" s="106"/>
      <c r="L4461" s="114"/>
      <c r="M4461" s="114">
        <f>tblAquisições[[#This Row],[VALOR UNITARIO COMPRADO]]*tblAquisições[[#This Row],[QUANTIDADE COMPRADA]]</f>
        <v>0</v>
      </c>
      <c r="N4461" s="110">
        <f>K4461-tblAquisições[[#This Row],[QUANTIDADE PLANEJADA]]</f>
        <v>-30</v>
      </c>
      <c r="O4461" s="106" t="str">
        <f t="shared" si="139"/>
        <v>Faltando Comprar</v>
      </c>
    </row>
    <row r="4462" spans="1:15" ht="31.5">
      <c r="A4462" s="16" t="s">
        <v>17</v>
      </c>
      <c r="B4462" s="16" t="s">
        <v>41</v>
      </c>
      <c r="C4462" s="17" t="s">
        <v>19</v>
      </c>
      <c r="D4462" s="18" t="s">
        <v>2520</v>
      </c>
      <c r="E4462" s="18">
        <v>60</v>
      </c>
      <c r="F4462" s="18" t="s">
        <v>21</v>
      </c>
      <c r="G4462" s="18" t="s">
        <v>22</v>
      </c>
      <c r="H4462" s="18" t="s">
        <v>83</v>
      </c>
      <c r="I4462" s="19">
        <v>57.07</v>
      </c>
      <c r="J4462" s="20">
        <f t="shared" si="138"/>
        <v>3424.2</v>
      </c>
      <c r="K4462" s="106"/>
      <c r="L4462" s="114"/>
      <c r="M4462" s="114">
        <f>tblAquisições[[#This Row],[VALOR UNITARIO COMPRADO]]*tblAquisições[[#This Row],[QUANTIDADE COMPRADA]]</f>
        <v>0</v>
      </c>
      <c r="N4462" s="110">
        <f>K4462-tblAquisições[[#This Row],[QUANTIDADE PLANEJADA]]</f>
        <v>-60</v>
      </c>
      <c r="O4462" s="106" t="str">
        <f t="shared" si="139"/>
        <v>Faltando Comprar</v>
      </c>
    </row>
    <row r="4463" spans="1:15" ht="31.5">
      <c r="A4463" s="16" t="s">
        <v>17</v>
      </c>
      <c r="B4463" s="16" t="s">
        <v>28</v>
      </c>
      <c r="C4463" s="17" t="s">
        <v>19</v>
      </c>
      <c r="D4463" s="18" t="s">
        <v>2520</v>
      </c>
      <c r="E4463" s="18">
        <v>24</v>
      </c>
      <c r="F4463" s="18" t="s">
        <v>21</v>
      </c>
      <c r="G4463" s="18" t="s">
        <v>22</v>
      </c>
      <c r="H4463" s="18" t="s">
        <v>23</v>
      </c>
      <c r="I4463" s="19">
        <v>57.07</v>
      </c>
      <c r="J4463" s="20">
        <f t="shared" si="138"/>
        <v>1369.68</v>
      </c>
      <c r="K4463" s="106"/>
      <c r="L4463" s="114"/>
      <c r="M4463" s="114">
        <f>tblAquisições[[#This Row],[VALOR UNITARIO COMPRADO]]*tblAquisições[[#This Row],[QUANTIDADE COMPRADA]]</f>
        <v>0</v>
      </c>
      <c r="N4463" s="110">
        <f>K4463-tblAquisições[[#This Row],[QUANTIDADE PLANEJADA]]</f>
        <v>-24</v>
      </c>
      <c r="O4463" s="106" t="str">
        <f t="shared" si="139"/>
        <v>Faltando Comprar</v>
      </c>
    </row>
    <row r="4464" spans="1:15" ht="31.5">
      <c r="A4464" s="16" t="s">
        <v>17</v>
      </c>
      <c r="B4464" s="16" t="s">
        <v>28</v>
      </c>
      <c r="C4464" s="17" t="s">
        <v>19</v>
      </c>
      <c r="D4464" s="18" t="s">
        <v>2521</v>
      </c>
      <c r="E4464" s="18">
        <v>2</v>
      </c>
      <c r="F4464" s="18" t="s">
        <v>328</v>
      </c>
      <c r="G4464" s="18" t="s">
        <v>22</v>
      </c>
      <c r="H4464" s="22"/>
      <c r="I4464" s="19">
        <v>75.42</v>
      </c>
      <c r="J4464" s="20">
        <f t="shared" si="138"/>
        <v>150.84</v>
      </c>
      <c r="K4464" s="106"/>
      <c r="L4464" s="114"/>
      <c r="M4464" s="114">
        <f>tblAquisições[[#This Row],[VALOR UNITARIO COMPRADO]]*tblAquisições[[#This Row],[QUANTIDADE COMPRADA]]</f>
        <v>0</v>
      </c>
      <c r="N4464" s="110">
        <f>K4464-tblAquisições[[#This Row],[QUANTIDADE PLANEJADA]]</f>
        <v>-2</v>
      </c>
      <c r="O4464" s="106" t="str">
        <f t="shared" si="139"/>
        <v>Faltando Comprar</v>
      </c>
    </row>
    <row r="4465" spans="1:15" ht="47.25">
      <c r="A4465" s="16" t="s">
        <v>17</v>
      </c>
      <c r="B4465" s="16" t="s">
        <v>28</v>
      </c>
      <c r="C4465" s="17" t="s">
        <v>19</v>
      </c>
      <c r="D4465" s="18" t="s">
        <v>2522</v>
      </c>
      <c r="E4465" s="18">
        <v>5</v>
      </c>
      <c r="F4465" s="18" t="s">
        <v>78</v>
      </c>
      <c r="G4465" s="18" t="s">
        <v>22</v>
      </c>
      <c r="H4465" s="18" t="s">
        <v>23</v>
      </c>
      <c r="I4465" s="19">
        <v>40.79</v>
      </c>
      <c r="J4465" s="20">
        <f t="shared" si="138"/>
        <v>203.95</v>
      </c>
      <c r="K4465" s="106"/>
      <c r="L4465" s="114"/>
      <c r="M4465" s="114">
        <f>tblAquisições[[#This Row],[VALOR UNITARIO COMPRADO]]*tblAquisições[[#This Row],[QUANTIDADE COMPRADA]]</f>
        <v>0</v>
      </c>
      <c r="N4465" s="110">
        <f>K4465-tblAquisições[[#This Row],[QUANTIDADE PLANEJADA]]</f>
        <v>-5</v>
      </c>
      <c r="O4465" s="106" t="str">
        <f t="shared" si="139"/>
        <v>Faltando Comprar</v>
      </c>
    </row>
    <row r="4466" spans="1:15" ht="31.5">
      <c r="A4466" s="16" t="s">
        <v>17</v>
      </c>
      <c r="B4466" s="16" t="s">
        <v>26</v>
      </c>
      <c r="C4466" s="17" t="s">
        <v>19</v>
      </c>
      <c r="D4466" s="18" t="s">
        <v>2523</v>
      </c>
      <c r="E4466" s="18">
        <v>5</v>
      </c>
      <c r="F4466" s="18" t="s">
        <v>170</v>
      </c>
      <c r="G4466" s="18" t="s">
        <v>22</v>
      </c>
      <c r="H4466" s="18" t="s">
        <v>23</v>
      </c>
      <c r="I4466" s="19">
        <v>151.33000000000001</v>
      </c>
      <c r="J4466" s="20">
        <f t="shared" si="138"/>
        <v>756.65000000000009</v>
      </c>
      <c r="K4466" s="106"/>
      <c r="L4466" s="114"/>
      <c r="M4466" s="114">
        <f>tblAquisições[[#This Row],[VALOR UNITARIO COMPRADO]]*tblAquisições[[#This Row],[QUANTIDADE COMPRADA]]</f>
        <v>0</v>
      </c>
      <c r="N4466" s="110">
        <f>K4466-tblAquisições[[#This Row],[QUANTIDADE PLANEJADA]]</f>
        <v>-5</v>
      </c>
      <c r="O4466" s="106" t="str">
        <f t="shared" si="139"/>
        <v>Faltando Comprar</v>
      </c>
    </row>
    <row r="4467" spans="1:15" ht="47.25">
      <c r="A4467" s="16" t="s">
        <v>17</v>
      </c>
      <c r="B4467" s="16" t="s">
        <v>18</v>
      </c>
      <c r="C4467" s="17" t="s">
        <v>19</v>
      </c>
      <c r="D4467" s="18" t="s">
        <v>2524</v>
      </c>
      <c r="E4467" s="18">
        <v>200</v>
      </c>
      <c r="F4467" s="18" t="s">
        <v>78</v>
      </c>
      <c r="G4467" s="18" t="s">
        <v>22</v>
      </c>
      <c r="H4467" s="18" t="s">
        <v>23</v>
      </c>
      <c r="I4467" s="19">
        <v>0.6</v>
      </c>
      <c r="J4467" s="20">
        <f t="shared" si="138"/>
        <v>120</v>
      </c>
      <c r="K4467" s="106"/>
      <c r="L4467" s="114"/>
      <c r="M4467" s="114">
        <f>tblAquisições[[#This Row],[VALOR UNITARIO COMPRADO]]*tblAquisições[[#This Row],[QUANTIDADE COMPRADA]]</f>
        <v>0</v>
      </c>
      <c r="N4467" s="110">
        <f>K4467-tblAquisições[[#This Row],[QUANTIDADE PLANEJADA]]</f>
        <v>-200</v>
      </c>
      <c r="O4467" s="106" t="str">
        <f t="shared" si="139"/>
        <v>Faltando Comprar</v>
      </c>
    </row>
    <row r="4468" spans="1:15" ht="47.25">
      <c r="A4468" s="16" t="s">
        <v>17</v>
      </c>
      <c r="B4468" s="16" t="s">
        <v>24</v>
      </c>
      <c r="C4468" s="17" t="s">
        <v>19</v>
      </c>
      <c r="D4468" s="18" t="s">
        <v>2524</v>
      </c>
      <c r="E4468" s="18">
        <v>200</v>
      </c>
      <c r="F4468" s="18" t="s">
        <v>78</v>
      </c>
      <c r="G4468" s="18" t="s">
        <v>22</v>
      </c>
      <c r="H4468" s="18" t="s">
        <v>23</v>
      </c>
      <c r="I4468" s="19">
        <v>0.6</v>
      </c>
      <c r="J4468" s="20">
        <f t="shared" si="138"/>
        <v>120</v>
      </c>
      <c r="K4468" s="106"/>
      <c r="L4468" s="114"/>
      <c r="M4468" s="114">
        <f>tblAquisições[[#This Row],[VALOR UNITARIO COMPRADO]]*tblAquisições[[#This Row],[QUANTIDADE COMPRADA]]</f>
        <v>0</v>
      </c>
      <c r="N4468" s="110">
        <f>K4468-tblAquisições[[#This Row],[QUANTIDADE PLANEJADA]]</f>
        <v>-200</v>
      </c>
      <c r="O4468" s="106" t="str">
        <f t="shared" si="139"/>
        <v>Faltando Comprar</v>
      </c>
    </row>
    <row r="4469" spans="1:15" ht="47.25">
      <c r="A4469" s="16" t="s">
        <v>17</v>
      </c>
      <c r="B4469" s="16" t="s">
        <v>25</v>
      </c>
      <c r="C4469" s="17" t="s">
        <v>19</v>
      </c>
      <c r="D4469" s="18" t="s">
        <v>2524</v>
      </c>
      <c r="E4469" s="18">
        <v>200</v>
      </c>
      <c r="F4469" s="18" t="s">
        <v>78</v>
      </c>
      <c r="G4469" s="18" t="s">
        <v>22</v>
      </c>
      <c r="H4469" s="18" t="s">
        <v>23</v>
      </c>
      <c r="I4469" s="19">
        <v>0.6</v>
      </c>
      <c r="J4469" s="20">
        <f t="shared" si="138"/>
        <v>120</v>
      </c>
      <c r="K4469" s="106"/>
      <c r="L4469" s="114"/>
      <c r="M4469" s="114">
        <f>tblAquisições[[#This Row],[VALOR UNITARIO COMPRADO]]*tblAquisições[[#This Row],[QUANTIDADE COMPRADA]]</f>
        <v>0</v>
      </c>
      <c r="N4469" s="110">
        <f>K4469-tblAquisições[[#This Row],[QUANTIDADE PLANEJADA]]</f>
        <v>-200</v>
      </c>
      <c r="O4469" s="106" t="str">
        <f t="shared" si="139"/>
        <v>Faltando Comprar</v>
      </c>
    </row>
    <row r="4470" spans="1:15" ht="47.25">
      <c r="A4470" s="16" t="s">
        <v>17</v>
      </c>
      <c r="B4470" s="16" t="s">
        <v>27</v>
      </c>
      <c r="C4470" s="17" t="s">
        <v>19</v>
      </c>
      <c r="D4470" s="18" t="s">
        <v>2524</v>
      </c>
      <c r="E4470" s="18">
        <v>200</v>
      </c>
      <c r="F4470" s="18" t="s">
        <v>78</v>
      </c>
      <c r="G4470" s="18" t="s">
        <v>22</v>
      </c>
      <c r="H4470" s="18" t="s">
        <v>23</v>
      </c>
      <c r="I4470" s="19">
        <v>0.6</v>
      </c>
      <c r="J4470" s="20">
        <f t="shared" si="138"/>
        <v>120</v>
      </c>
      <c r="K4470" s="106"/>
      <c r="L4470" s="114"/>
      <c r="M4470" s="114">
        <f>tblAquisições[[#This Row],[VALOR UNITARIO COMPRADO]]*tblAquisições[[#This Row],[QUANTIDADE COMPRADA]]</f>
        <v>0</v>
      </c>
      <c r="N4470" s="110">
        <f>K4470-tblAquisições[[#This Row],[QUANTIDADE PLANEJADA]]</f>
        <v>-200</v>
      </c>
      <c r="O4470" s="106" t="str">
        <f t="shared" si="139"/>
        <v>Faltando Comprar</v>
      </c>
    </row>
    <row r="4471" spans="1:15" ht="31.5">
      <c r="A4471" s="16" t="s">
        <v>17</v>
      </c>
      <c r="B4471" s="16" t="s">
        <v>80</v>
      </c>
      <c r="C4471" s="17" t="s">
        <v>19</v>
      </c>
      <c r="D4471" s="18" t="s">
        <v>2525</v>
      </c>
      <c r="E4471" s="18">
        <v>4</v>
      </c>
      <c r="F4471" s="18" t="s">
        <v>38</v>
      </c>
      <c r="G4471" s="18" t="s">
        <v>39</v>
      </c>
      <c r="H4471" s="18" t="s">
        <v>23</v>
      </c>
      <c r="I4471" s="19">
        <v>675</v>
      </c>
      <c r="J4471" s="20">
        <f t="shared" si="138"/>
        <v>2700</v>
      </c>
      <c r="K4471" s="106"/>
      <c r="L4471" s="114"/>
      <c r="M4471" s="114">
        <f>tblAquisições[[#This Row],[VALOR UNITARIO COMPRADO]]*tblAquisições[[#This Row],[QUANTIDADE COMPRADA]]</f>
        <v>0</v>
      </c>
      <c r="N4471" s="110">
        <f>K4471-tblAquisições[[#This Row],[QUANTIDADE PLANEJADA]]</f>
        <v>-4</v>
      </c>
      <c r="O4471" s="106" t="str">
        <f t="shared" si="139"/>
        <v>Faltando Comprar</v>
      </c>
    </row>
    <row r="4472" spans="1:15" ht="31.5">
      <c r="A4472" s="16" t="s">
        <v>17</v>
      </c>
      <c r="B4472" s="16" t="s">
        <v>34</v>
      </c>
      <c r="C4472" s="17" t="s">
        <v>19</v>
      </c>
      <c r="D4472" s="18" t="s">
        <v>2526</v>
      </c>
      <c r="E4472" s="18">
        <v>2</v>
      </c>
      <c r="F4472" s="18" t="s">
        <v>21</v>
      </c>
      <c r="G4472" s="18" t="s">
        <v>22</v>
      </c>
      <c r="H4472" s="18" t="s">
        <v>23</v>
      </c>
      <c r="I4472" s="19">
        <v>675</v>
      </c>
      <c r="J4472" s="20">
        <f t="shared" si="138"/>
        <v>1350</v>
      </c>
      <c r="K4472" s="106"/>
      <c r="L4472" s="114"/>
      <c r="M4472" s="114">
        <f>tblAquisições[[#This Row],[VALOR UNITARIO COMPRADO]]*tblAquisições[[#This Row],[QUANTIDADE COMPRADA]]</f>
        <v>0</v>
      </c>
      <c r="N4472" s="110">
        <f>K4472-tblAquisições[[#This Row],[QUANTIDADE PLANEJADA]]</f>
        <v>-2</v>
      </c>
      <c r="O4472" s="106" t="str">
        <f t="shared" si="139"/>
        <v>Faltando Comprar</v>
      </c>
    </row>
    <row r="4473" spans="1:15" ht="31.5">
      <c r="A4473" s="16" t="s">
        <v>17</v>
      </c>
      <c r="B4473" s="16" t="s">
        <v>31</v>
      </c>
      <c r="C4473" s="17" t="s">
        <v>19</v>
      </c>
      <c r="D4473" s="18" t="s">
        <v>2526</v>
      </c>
      <c r="E4473" s="18">
        <v>10</v>
      </c>
      <c r="F4473" s="18" t="s">
        <v>21</v>
      </c>
      <c r="G4473" s="18" t="s">
        <v>22</v>
      </c>
      <c r="H4473" s="18" t="s">
        <v>23</v>
      </c>
      <c r="I4473" s="19">
        <v>675</v>
      </c>
      <c r="J4473" s="20">
        <f t="shared" si="138"/>
        <v>6750</v>
      </c>
      <c r="K4473" s="106"/>
      <c r="L4473" s="114"/>
      <c r="M4473" s="114">
        <f>tblAquisições[[#This Row],[VALOR UNITARIO COMPRADO]]*tblAquisições[[#This Row],[QUANTIDADE COMPRADA]]</f>
        <v>0</v>
      </c>
      <c r="N4473" s="110">
        <f>K4473-tblAquisições[[#This Row],[QUANTIDADE PLANEJADA]]</f>
        <v>-10</v>
      </c>
      <c r="O4473" s="106" t="str">
        <f t="shared" si="139"/>
        <v>Faltando Comprar</v>
      </c>
    </row>
    <row r="4474" spans="1:15" ht="31.5">
      <c r="A4474" s="16" t="s">
        <v>17</v>
      </c>
      <c r="B4474" s="16" t="s">
        <v>18</v>
      </c>
      <c r="C4474" s="17" t="s">
        <v>19</v>
      </c>
      <c r="D4474" s="18" t="s">
        <v>2526</v>
      </c>
      <c r="E4474" s="18">
        <v>5</v>
      </c>
      <c r="F4474" s="18" t="s">
        <v>21</v>
      </c>
      <c r="G4474" s="18" t="s">
        <v>22</v>
      </c>
      <c r="H4474" s="18" t="s">
        <v>23</v>
      </c>
      <c r="I4474" s="19">
        <v>675</v>
      </c>
      <c r="J4474" s="20">
        <f t="shared" si="138"/>
        <v>3375</v>
      </c>
      <c r="K4474" s="106"/>
      <c r="L4474" s="114"/>
      <c r="M4474" s="114">
        <f>tblAquisições[[#This Row],[VALOR UNITARIO COMPRADO]]*tblAquisições[[#This Row],[QUANTIDADE COMPRADA]]</f>
        <v>0</v>
      </c>
      <c r="N4474" s="110">
        <f>K4474-tblAquisições[[#This Row],[QUANTIDADE PLANEJADA]]</f>
        <v>-5</v>
      </c>
      <c r="O4474" s="106" t="str">
        <f t="shared" si="139"/>
        <v>Faltando Comprar</v>
      </c>
    </row>
    <row r="4475" spans="1:15" ht="31.5">
      <c r="A4475" s="16" t="s">
        <v>17</v>
      </c>
      <c r="B4475" s="16" t="s">
        <v>24</v>
      </c>
      <c r="C4475" s="17" t="s">
        <v>19</v>
      </c>
      <c r="D4475" s="18" t="s">
        <v>2526</v>
      </c>
      <c r="E4475" s="18">
        <v>5</v>
      </c>
      <c r="F4475" s="18" t="s">
        <v>21</v>
      </c>
      <c r="G4475" s="18" t="s">
        <v>22</v>
      </c>
      <c r="H4475" s="18" t="s">
        <v>23</v>
      </c>
      <c r="I4475" s="19">
        <v>675</v>
      </c>
      <c r="J4475" s="20">
        <f t="shared" si="138"/>
        <v>3375</v>
      </c>
      <c r="K4475" s="106"/>
      <c r="L4475" s="114"/>
      <c r="M4475" s="114">
        <f>tblAquisições[[#This Row],[VALOR UNITARIO COMPRADO]]*tblAquisições[[#This Row],[QUANTIDADE COMPRADA]]</f>
        <v>0</v>
      </c>
      <c r="N4475" s="110">
        <f>K4475-tblAquisições[[#This Row],[QUANTIDADE PLANEJADA]]</f>
        <v>-5</v>
      </c>
      <c r="O4475" s="106" t="str">
        <f t="shared" si="139"/>
        <v>Faltando Comprar</v>
      </c>
    </row>
    <row r="4476" spans="1:15" ht="31.5">
      <c r="A4476" s="16" t="s">
        <v>17</v>
      </c>
      <c r="B4476" s="16" t="s">
        <v>25</v>
      </c>
      <c r="C4476" s="17" t="s">
        <v>19</v>
      </c>
      <c r="D4476" s="18" t="s">
        <v>2526</v>
      </c>
      <c r="E4476" s="18">
        <v>5</v>
      </c>
      <c r="F4476" s="18" t="s">
        <v>21</v>
      </c>
      <c r="G4476" s="18" t="s">
        <v>22</v>
      </c>
      <c r="H4476" s="18" t="s">
        <v>23</v>
      </c>
      <c r="I4476" s="19">
        <v>675</v>
      </c>
      <c r="J4476" s="20">
        <f t="shared" si="138"/>
        <v>3375</v>
      </c>
      <c r="K4476" s="106"/>
      <c r="L4476" s="114"/>
      <c r="M4476" s="114">
        <f>tblAquisições[[#This Row],[VALOR UNITARIO COMPRADO]]*tblAquisições[[#This Row],[QUANTIDADE COMPRADA]]</f>
        <v>0</v>
      </c>
      <c r="N4476" s="110">
        <f>K4476-tblAquisições[[#This Row],[QUANTIDADE PLANEJADA]]</f>
        <v>-5</v>
      </c>
      <c r="O4476" s="106" t="str">
        <f t="shared" si="139"/>
        <v>Faltando Comprar</v>
      </c>
    </row>
    <row r="4477" spans="1:15" ht="31.5">
      <c r="A4477" s="16" t="s">
        <v>17</v>
      </c>
      <c r="B4477" s="16" t="s">
        <v>28</v>
      </c>
      <c r="C4477" s="17" t="s">
        <v>19</v>
      </c>
      <c r="D4477" s="18" t="s">
        <v>2527</v>
      </c>
      <c r="E4477" s="18">
        <v>3</v>
      </c>
      <c r="F4477" s="18" t="s">
        <v>21</v>
      </c>
      <c r="G4477" s="18" t="s">
        <v>22</v>
      </c>
      <c r="H4477" s="18" t="s">
        <v>23</v>
      </c>
      <c r="I4477" s="19">
        <v>40.67</v>
      </c>
      <c r="J4477" s="20">
        <f t="shared" si="138"/>
        <v>122.01</v>
      </c>
      <c r="K4477" s="106"/>
      <c r="L4477" s="114"/>
      <c r="M4477" s="114">
        <f>tblAquisições[[#This Row],[VALOR UNITARIO COMPRADO]]*tblAquisições[[#This Row],[QUANTIDADE COMPRADA]]</f>
        <v>0</v>
      </c>
      <c r="N4477" s="110">
        <f>K4477-tblAquisições[[#This Row],[QUANTIDADE PLANEJADA]]</f>
        <v>-3</v>
      </c>
      <c r="O4477" s="106" t="str">
        <f t="shared" si="139"/>
        <v>Faltando Comprar</v>
      </c>
    </row>
    <row r="4478" spans="1:15" ht="31.5">
      <c r="A4478" s="16" t="s">
        <v>17</v>
      </c>
      <c r="B4478" s="16" t="s">
        <v>26</v>
      </c>
      <c r="C4478" s="17" t="s">
        <v>19</v>
      </c>
      <c r="D4478" s="18" t="s">
        <v>2528</v>
      </c>
      <c r="E4478" s="18">
        <v>35</v>
      </c>
      <c r="F4478" s="18" t="s">
        <v>30</v>
      </c>
      <c r="G4478" s="18" t="s">
        <v>22</v>
      </c>
      <c r="H4478" s="18" t="s">
        <v>23</v>
      </c>
      <c r="I4478" s="19">
        <v>4.46</v>
      </c>
      <c r="J4478" s="20">
        <f t="shared" si="138"/>
        <v>156.1</v>
      </c>
      <c r="K4478" s="106"/>
      <c r="L4478" s="114"/>
      <c r="M4478" s="114">
        <f>tblAquisições[[#This Row],[VALOR UNITARIO COMPRADO]]*tblAquisições[[#This Row],[QUANTIDADE COMPRADA]]</f>
        <v>0</v>
      </c>
      <c r="N4478" s="110">
        <f>K4478-tblAquisições[[#This Row],[QUANTIDADE PLANEJADA]]</f>
        <v>-35</v>
      </c>
      <c r="O4478" s="106" t="str">
        <f t="shared" si="139"/>
        <v>Faltando Comprar</v>
      </c>
    </row>
    <row r="4479" spans="1:15" ht="31.5">
      <c r="A4479" s="16" t="s">
        <v>17</v>
      </c>
      <c r="B4479" s="16" t="s">
        <v>17</v>
      </c>
      <c r="C4479" s="17" t="s">
        <v>19</v>
      </c>
      <c r="D4479" s="18" t="s">
        <v>2529</v>
      </c>
      <c r="E4479" s="18">
        <v>300</v>
      </c>
      <c r="F4479" s="18" t="s">
        <v>38</v>
      </c>
      <c r="G4479" s="18" t="s">
        <v>39</v>
      </c>
      <c r="H4479" s="18" t="s">
        <v>23</v>
      </c>
      <c r="I4479" s="19">
        <v>1.4</v>
      </c>
      <c r="J4479" s="20">
        <f t="shared" si="138"/>
        <v>420</v>
      </c>
      <c r="K4479" s="106"/>
      <c r="L4479" s="114"/>
      <c r="M4479" s="114">
        <f>tblAquisições[[#This Row],[VALOR UNITARIO COMPRADO]]*tblAquisições[[#This Row],[QUANTIDADE COMPRADA]]</f>
        <v>0</v>
      </c>
      <c r="N4479" s="110">
        <f>K4479-tblAquisições[[#This Row],[QUANTIDADE PLANEJADA]]</f>
        <v>-300</v>
      </c>
      <c r="O4479" s="106" t="str">
        <f t="shared" si="139"/>
        <v>Faltando Comprar</v>
      </c>
    </row>
    <row r="4480" spans="1:15" ht="31.5">
      <c r="A4480" s="16" t="s">
        <v>17</v>
      </c>
      <c r="B4480" s="16" t="s">
        <v>34</v>
      </c>
      <c r="C4480" s="17" t="s">
        <v>19</v>
      </c>
      <c r="D4480" s="18" t="s">
        <v>2530</v>
      </c>
      <c r="E4480" s="18">
        <v>20</v>
      </c>
      <c r="F4480" s="18" t="s">
        <v>21</v>
      </c>
      <c r="G4480" s="18" t="s">
        <v>22</v>
      </c>
      <c r="H4480" s="18" t="s">
        <v>23</v>
      </c>
      <c r="I4480" s="19">
        <v>1.4</v>
      </c>
      <c r="J4480" s="20">
        <f t="shared" si="138"/>
        <v>28</v>
      </c>
      <c r="K4480" s="106"/>
      <c r="L4480" s="114"/>
      <c r="M4480" s="114">
        <f>tblAquisições[[#This Row],[VALOR UNITARIO COMPRADO]]*tblAquisições[[#This Row],[QUANTIDADE COMPRADA]]</f>
        <v>0</v>
      </c>
      <c r="N4480" s="110">
        <f>K4480-tblAquisições[[#This Row],[QUANTIDADE PLANEJADA]]</f>
        <v>-20</v>
      </c>
      <c r="O4480" s="106" t="str">
        <f t="shared" si="139"/>
        <v>Faltando Comprar</v>
      </c>
    </row>
    <row r="4481" spans="1:15" ht="31.5">
      <c r="A4481" s="16" t="s">
        <v>17</v>
      </c>
      <c r="B4481" s="16" t="s">
        <v>31</v>
      </c>
      <c r="C4481" s="17" t="s">
        <v>19</v>
      </c>
      <c r="D4481" s="18" t="s">
        <v>2530</v>
      </c>
      <c r="E4481" s="18">
        <v>50</v>
      </c>
      <c r="F4481" s="18" t="s">
        <v>21</v>
      </c>
      <c r="G4481" s="18" t="s">
        <v>22</v>
      </c>
      <c r="H4481" s="18" t="s">
        <v>23</v>
      </c>
      <c r="I4481" s="19">
        <v>1.4</v>
      </c>
      <c r="J4481" s="20">
        <f t="shared" si="138"/>
        <v>70</v>
      </c>
      <c r="K4481" s="106"/>
      <c r="L4481" s="114"/>
      <c r="M4481" s="114">
        <f>tblAquisições[[#This Row],[VALOR UNITARIO COMPRADO]]*tblAquisições[[#This Row],[QUANTIDADE COMPRADA]]</f>
        <v>0</v>
      </c>
      <c r="N4481" s="110">
        <f>K4481-tblAquisições[[#This Row],[QUANTIDADE PLANEJADA]]</f>
        <v>-50</v>
      </c>
      <c r="O4481" s="106" t="str">
        <f t="shared" si="139"/>
        <v>Faltando Comprar</v>
      </c>
    </row>
    <row r="4482" spans="1:15" ht="31.5">
      <c r="A4482" s="16" t="s">
        <v>17</v>
      </c>
      <c r="B4482" s="16" t="s">
        <v>18</v>
      </c>
      <c r="C4482" s="17" t="s">
        <v>19</v>
      </c>
      <c r="D4482" s="18" t="s">
        <v>2530</v>
      </c>
      <c r="E4482" s="18">
        <v>200</v>
      </c>
      <c r="F4482" s="18" t="s">
        <v>21</v>
      </c>
      <c r="G4482" s="18" t="s">
        <v>22</v>
      </c>
      <c r="H4482" s="18" t="s">
        <v>23</v>
      </c>
      <c r="I4482" s="19">
        <v>1.4</v>
      </c>
      <c r="J4482" s="20">
        <f t="shared" ref="J4482:J4545" si="140">E4482*I4482</f>
        <v>280</v>
      </c>
      <c r="K4482" s="106"/>
      <c r="L4482" s="114"/>
      <c r="M4482" s="114">
        <f>tblAquisições[[#This Row],[VALOR UNITARIO COMPRADO]]*tblAquisições[[#This Row],[QUANTIDADE COMPRADA]]</f>
        <v>0</v>
      </c>
      <c r="N4482" s="110">
        <f>K4482-tblAquisições[[#This Row],[QUANTIDADE PLANEJADA]]</f>
        <v>-200</v>
      </c>
      <c r="O4482" s="106" t="str">
        <f t="shared" ref="O4482:O4545" si="141">IF(K4482=E4482,"OK",IF(K4482&lt;E4482,"Faltando Comprar","Excedente"))</f>
        <v>Faltando Comprar</v>
      </c>
    </row>
    <row r="4483" spans="1:15" ht="31.5">
      <c r="A4483" s="16" t="s">
        <v>17</v>
      </c>
      <c r="B4483" s="16" t="s">
        <v>24</v>
      </c>
      <c r="C4483" s="17" t="s">
        <v>19</v>
      </c>
      <c r="D4483" s="18" t="s">
        <v>2530</v>
      </c>
      <c r="E4483" s="18">
        <v>200</v>
      </c>
      <c r="F4483" s="18" t="s">
        <v>21</v>
      </c>
      <c r="G4483" s="18" t="s">
        <v>22</v>
      </c>
      <c r="H4483" s="18" t="s">
        <v>23</v>
      </c>
      <c r="I4483" s="19">
        <v>1.4</v>
      </c>
      <c r="J4483" s="20">
        <f t="shared" si="140"/>
        <v>280</v>
      </c>
      <c r="K4483" s="106"/>
      <c r="L4483" s="114"/>
      <c r="M4483" s="114">
        <f>tblAquisições[[#This Row],[VALOR UNITARIO COMPRADO]]*tblAquisições[[#This Row],[QUANTIDADE COMPRADA]]</f>
        <v>0</v>
      </c>
      <c r="N4483" s="110">
        <f>K4483-tblAquisições[[#This Row],[QUANTIDADE PLANEJADA]]</f>
        <v>-200</v>
      </c>
      <c r="O4483" s="106" t="str">
        <f t="shared" si="141"/>
        <v>Faltando Comprar</v>
      </c>
    </row>
    <row r="4484" spans="1:15" ht="31.5">
      <c r="A4484" s="16" t="s">
        <v>17</v>
      </c>
      <c r="B4484" s="16" t="s">
        <v>25</v>
      </c>
      <c r="C4484" s="17" t="s">
        <v>19</v>
      </c>
      <c r="D4484" s="18" t="s">
        <v>2530</v>
      </c>
      <c r="E4484" s="18">
        <v>200</v>
      </c>
      <c r="F4484" s="18" t="s">
        <v>21</v>
      </c>
      <c r="G4484" s="18" t="s">
        <v>22</v>
      </c>
      <c r="H4484" s="18" t="s">
        <v>23</v>
      </c>
      <c r="I4484" s="19">
        <v>1.4</v>
      </c>
      <c r="J4484" s="20">
        <f t="shared" si="140"/>
        <v>280</v>
      </c>
      <c r="K4484" s="106"/>
      <c r="L4484" s="114"/>
      <c r="M4484" s="114">
        <f>tblAquisições[[#This Row],[VALOR UNITARIO COMPRADO]]*tblAquisições[[#This Row],[QUANTIDADE COMPRADA]]</f>
        <v>0</v>
      </c>
      <c r="N4484" s="110">
        <f>K4484-tblAquisições[[#This Row],[QUANTIDADE PLANEJADA]]</f>
        <v>-200</v>
      </c>
      <c r="O4484" s="106" t="str">
        <f t="shared" si="141"/>
        <v>Faltando Comprar</v>
      </c>
    </row>
    <row r="4485" spans="1:15" ht="31.5">
      <c r="A4485" s="16" t="s">
        <v>17</v>
      </c>
      <c r="B4485" s="16" t="s">
        <v>41</v>
      </c>
      <c r="C4485" s="17" t="s">
        <v>19</v>
      </c>
      <c r="D4485" s="18" t="s">
        <v>2530</v>
      </c>
      <c r="E4485" s="18">
        <v>100</v>
      </c>
      <c r="F4485" s="18" t="s">
        <v>21</v>
      </c>
      <c r="G4485" s="18" t="s">
        <v>22</v>
      </c>
      <c r="H4485" s="18" t="s">
        <v>23</v>
      </c>
      <c r="I4485" s="19">
        <v>1.4</v>
      </c>
      <c r="J4485" s="20">
        <f t="shared" si="140"/>
        <v>140</v>
      </c>
      <c r="K4485" s="106"/>
      <c r="L4485" s="114"/>
      <c r="M4485" s="114">
        <f>tblAquisições[[#This Row],[VALOR UNITARIO COMPRADO]]*tblAquisições[[#This Row],[QUANTIDADE COMPRADA]]</f>
        <v>0</v>
      </c>
      <c r="N4485" s="110">
        <f>K4485-tblAquisições[[#This Row],[QUANTIDADE PLANEJADA]]</f>
        <v>-100</v>
      </c>
      <c r="O4485" s="106" t="str">
        <f t="shared" si="141"/>
        <v>Faltando Comprar</v>
      </c>
    </row>
    <row r="4486" spans="1:15" ht="31.5">
      <c r="A4486" s="16" t="s">
        <v>17</v>
      </c>
      <c r="B4486" s="16" t="s">
        <v>26</v>
      </c>
      <c r="C4486" s="17" t="s">
        <v>19</v>
      </c>
      <c r="D4486" s="18" t="s">
        <v>2530</v>
      </c>
      <c r="E4486" s="18">
        <v>20</v>
      </c>
      <c r="F4486" s="18" t="s">
        <v>21</v>
      </c>
      <c r="G4486" s="18" t="s">
        <v>22</v>
      </c>
      <c r="H4486" s="18" t="s">
        <v>23</v>
      </c>
      <c r="I4486" s="19">
        <v>1.4</v>
      </c>
      <c r="J4486" s="20">
        <f t="shared" si="140"/>
        <v>28</v>
      </c>
      <c r="K4486" s="106"/>
      <c r="L4486" s="114"/>
      <c r="M4486" s="114">
        <f>tblAquisições[[#This Row],[VALOR UNITARIO COMPRADO]]*tblAquisições[[#This Row],[QUANTIDADE COMPRADA]]</f>
        <v>0</v>
      </c>
      <c r="N4486" s="110">
        <f>K4486-tblAquisições[[#This Row],[QUANTIDADE PLANEJADA]]</f>
        <v>-20</v>
      </c>
      <c r="O4486" s="106" t="str">
        <f t="shared" si="141"/>
        <v>Faltando Comprar</v>
      </c>
    </row>
    <row r="4487" spans="1:15" ht="31.5">
      <c r="A4487" s="16" t="s">
        <v>17</v>
      </c>
      <c r="B4487" s="16" t="s">
        <v>27</v>
      </c>
      <c r="C4487" s="17" t="s">
        <v>19</v>
      </c>
      <c r="D4487" s="18" t="s">
        <v>2530</v>
      </c>
      <c r="E4487" s="18">
        <v>200</v>
      </c>
      <c r="F4487" s="18" t="s">
        <v>21</v>
      </c>
      <c r="G4487" s="18" t="s">
        <v>22</v>
      </c>
      <c r="H4487" s="18" t="s">
        <v>23</v>
      </c>
      <c r="I4487" s="19">
        <v>1.4</v>
      </c>
      <c r="J4487" s="20">
        <f t="shared" si="140"/>
        <v>280</v>
      </c>
      <c r="K4487" s="106"/>
      <c r="L4487" s="114"/>
      <c r="M4487" s="114">
        <f>tblAquisições[[#This Row],[VALOR UNITARIO COMPRADO]]*tblAquisições[[#This Row],[QUANTIDADE COMPRADA]]</f>
        <v>0</v>
      </c>
      <c r="N4487" s="110">
        <f>K4487-tblAquisições[[#This Row],[QUANTIDADE PLANEJADA]]</f>
        <v>-200</v>
      </c>
      <c r="O4487" s="106" t="str">
        <f t="shared" si="141"/>
        <v>Faltando Comprar</v>
      </c>
    </row>
    <row r="4488" spans="1:15" ht="31.5">
      <c r="A4488" s="16" t="s">
        <v>17</v>
      </c>
      <c r="B4488" s="16" t="s">
        <v>28</v>
      </c>
      <c r="C4488" s="17" t="s">
        <v>19</v>
      </c>
      <c r="D4488" s="18" t="s">
        <v>2530</v>
      </c>
      <c r="E4488" s="18">
        <v>300</v>
      </c>
      <c r="F4488" s="18" t="s">
        <v>21</v>
      </c>
      <c r="G4488" s="18" t="s">
        <v>22</v>
      </c>
      <c r="H4488" s="18" t="s">
        <v>23</v>
      </c>
      <c r="I4488" s="19">
        <v>1.4</v>
      </c>
      <c r="J4488" s="20">
        <f t="shared" si="140"/>
        <v>420</v>
      </c>
      <c r="K4488" s="106"/>
      <c r="L4488" s="114"/>
      <c r="M4488" s="114">
        <f>tblAquisições[[#This Row],[VALOR UNITARIO COMPRADO]]*tblAquisições[[#This Row],[QUANTIDADE COMPRADA]]</f>
        <v>0</v>
      </c>
      <c r="N4488" s="110">
        <f>K4488-tblAquisições[[#This Row],[QUANTIDADE PLANEJADA]]</f>
        <v>-300</v>
      </c>
      <c r="O4488" s="106" t="str">
        <f t="shared" si="141"/>
        <v>Faltando Comprar</v>
      </c>
    </row>
    <row r="4489" spans="1:15" ht="47.25">
      <c r="A4489" s="16" t="s">
        <v>17</v>
      </c>
      <c r="B4489" s="16" t="s">
        <v>28</v>
      </c>
      <c r="C4489" s="17" t="s">
        <v>19</v>
      </c>
      <c r="D4489" s="18" t="s">
        <v>2531</v>
      </c>
      <c r="E4489" s="18">
        <v>4</v>
      </c>
      <c r="F4489" s="18" t="s">
        <v>78</v>
      </c>
      <c r="G4489" s="18" t="s">
        <v>22</v>
      </c>
      <c r="H4489" s="18" t="s">
        <v>23</v>
      </c>
      <c r="I4489" s="19">
        <v>749</v>
      </c>
      <c r="J4489" s="20">
        <f t="shared" si="140"/>
        <v>2996</v>
      </c>
      <c r="K4489" s="106"/>
      <c r="L4489" s="114"/>
      <c r="M4489" s="114">
        <f>tblAquisições[[#This Row],[VALOR UNITARIO COMPRADO]]*tblAquisições[[#This Row],[QUANTIDADE COMPRADA]]</f>
        <v>0</v>
      </c>
      <c r="N4489" s="110">
        <f>K4489-tblAquisições[[#This Row],[QUANTIDADE PLANEJADA]]</f>
        <v>-4</v>
      </c>
      <c r="O4489" s="106" t="str">
        <f t="shared" si="141"/>
        <v>Faltando Comprar</v>
      </c>
    </row>
    <row r="4490" spans="1:15" ht="31.5">
      <c r="A4490" s="16" t="s">
        <v>17</v>
      </c>
      <c r="B4490" s="16" t="s">
        <v>72</v>
      </c>
      <c r="C4490" s="17" t="s">
        <v>19</v>
      </c>
      <c r="D4490" s="18" t="s">
        <v>2532</v>
      </c>
      <c r="E4490" s="18">
        <v>2</v>
      </c>
      <c r="F4490" s="18" t="s">
        <v>170</v>
      </c>
      <c r="G4490" s="18" t="s">
        <v>22</v>
      </c>
      <c r="H4490" s="18" t="s">
        <v>23</v>
      </c>
      <c r="I4490" s="19">
        <v>185.53</v>
      </c>
      <c r="J4490" s="20">
        <f t="shared" si="140"/>
        <v>371.06</v>
      </c>
      <c r="K4490" s="106"/>
      <c r="L4490" s="114"/>
      <c r="M4490" s="114">
        <f>tblAquisições[[#This Row],[VALOR UNITARIO COMPRADO]]*tblAquisições[[#This Row],[QUANTIDADE COMPRADA]]</f>
        <v>0</v>
      </c>
      <c r="N4490" s="110">
        <f>K4490-tblAquisições[[#This Row],[QUANTIDADE PLANEJADA]]</f>
        <v>-2</v>
      </c>
      <c r="O4490" s="106" t="str">
        <f t="shared" si="141"/>
        <v>Faltando Comprar</v>
      </c>
    </row>
    <row r="4491" spans="1:15" ht="47.25">
      <c r="A4491" s="16" t="s">
        <v>17</v>
      </c>
      <c r="B4491" s="16" t="s">
        <v>41</v>
      </c>
      <c r="C4491" s="17" t="s">
        <v>19</v>
      </c>
      <c r="D4491" s="18" t="s">
        <v>2533</v>
      </c>
      <c r="E4491" s="18">
        <v>10</v>
      </c>
      <c r="F4491" s="18" t="s">
        <v>214</v>
      </c>
      <c r="G4491" s="18" t="s">
        <v>127</v>
      </c>
      <c r="H4491" s="18" t="s">
        <v>23</v>
      </c>
      <c r="I4491" s="19">
        <v>3076.17</v>
      </c>
      <c r="J4491" s="20">
        <f t="shared" si="140"/>
        <v>30761.7</v>
      </c>
      <c r="K4491" s="106"/>
      <c r="L4491" s="114"/>
      <c r="M4491" s="114">
        <f>tblAquisições[[#This Row],[VALOR UNITARIO COMPRADO]]*tblAquisições[[#This Row],[QUANTIDADE COMPRADA]]</f>
        <v>0</v>
      </c>
      <c r="N4491" s="110">
        <f>K4491-tblAquisições[[#This Row],[QUANTIDADE PLANEJADA]]</f>
        <v>-10</v>
      </c>
      <c r="O4491" s="106" t="str">
        <f t="shared" si="141"/>
        <v>Faltando Comprar</v>
      </c>
    </row>
    <row r="4492" spans="1:15" ht="47.25">
      <c r="A4492" s="16" t="s">
        <v>17</v>
      </c>
      <c r="B4492" s="16" t="s">
        <v>28</v>
      </c>
      <c r="C4492" s="17" t="s">
        <v>19</v>
      </c>
      <c r="D4492" s="18" t="s">
        <v>2533</v>
      </c>
      <c r="E4492" s="18">
        <v>5</v>
      </c>
      <c r="F4492" s="18" t="s">
        <v>214</v>
      </c>
      <c r="G4492" s="18" t="s">
        <v>127</v>
      </c>
      <c r="H4492" s="18" t="s">
        <v>23</v>
      </c>
      <c r="I4492" s="19">
        <v>3076.17</v>
      </c>
      <c r="J4492" s="20">
        <f t="shared" si="140"/>
        <v>15380.85</v>
      </c>
      <c r="K4492" s="106"/>
      <c r="L4492" s="114"/>
      <c r="M4492" s="114">
        <f>tblAquisições[[#This Row],[VALOR UNITARIO COMPRADO]]*tblAquisições[[#This Row],[QUANTIDADE COMPRADA]]</f>
        <v>0</v>
      </c>
      <c r="N4492" s="110">
        <f>K4492-tblAquisições[[#This Row],[QUANTIDADE PLANEJADA]]</f>
        <v>-5</v>
      </c>
      <c r="O4492" s="106" t="str">
        <f t="shared" si="141"/>
        <v>Faltando Comprar</v>
      </c>
    </row>
    <row r="4493" spans="1:15" ht="47.25">
      <c r="A4493" s="16" t="s">
        <v>17</v>
      </c>
      <c r="B4493" s="16" t="s">
        <v>28</v>
      </c>
      <c r="C4493" s="17" t="s">
        <v>19</v>
      </c>
      <c r="D4493" s="18" t="s">
        <v>2534</v>
      </c>
      <c r="E4493" s="18">
        <v>20</v>
      </c>
      <c r="F4493" s="18" t="s">
        <v>214</v>
      </c>
      <c r="G4493" s="18" t="s">
        <v>127</v>
      </c>
      <c r="H4493" s="18" t="s">
        <v>23</v>
      </c>
      <c r="I4493" s="19">
        <v>3876.33</v>
      </c>
      <c r="J4493" s="20">
        <f t="shared" si="140"/>
        <v>77526.600000000006</v>
      </c>
      <c r="K4493" s="106"/>
      <c r="L4493" s="114"/>
      <c r="M4493" s="114">
        <f>tblAquisições[[#This Row],[VALOR UNITARIO COMPRADO]]*tblAquisições[[#This Row],[QUANTIDADE COMPRADA]]</f>
        <v>0</v>
      </c>
      <c r="N4493" s="110">
        <f>K4493-tblAquisições[[#This Row],[QUANTIDADE PLANEJADA]]</f>
        <v>-20</v>
      </c>
      <c r="O4493" s="106" t="str">
        <f t="shared" si="141"/>
        <v>Faltando Comprar</v>
      </c>
    </row>
    <row r="4494" spans="1:15" ht="47.25">
      <c r="A4494" s="16" t="s">
        <v>17</v>
      </c>
      <c r="B4494" s="16" t="s">
        <v>80</v>
      </c>
      <c r="C4494" s="17" t="s">
        <v>19</v>
      </c>
      <c r="D4494" s="18" t="s">
        <v>2535</v>
      </c>
      <c r="E4494" s="18">
        <v>50</v>
      </c>
      <c r="F4494" s="18" t="s">
        <v>147</v>
      </c>
      <c r="G4494" s="18" t="s">
        <v>39</v>
      </c>
      <c r="H4494" s="21"/>
      <c r="I4494" s="19">
        <v>10.86</v>
      </c>
      <c r="J4494" s="20">
        <f t="shared" si="140"/>
        <v>543</v>
      </c>
      <c r="K4494" s="106"/>
      <c r="L4494" s="114"/>
      <c r="M4494" s="114">
        <f>tblAquisições[[#This Row],[VALOR UNITARIO COMPRADO]]*tblAquisições[[#This Row],[QUANTIDADE COMPRADA]]</f>
        <v>0</v>
      </c>
      <c r="N4494" s="110">
        <f>K4494-tblAquisições[[#This Row],[QUANTIDADE PLANEJADA]]</f>
        <v>-50</v>
      </c>
      <c r="O4494" s="106" t="str">
        <f t="shared" si="141"/>
        <v>Faltando Comprar</v>
      </c>
    </row>
    <row r="4495" spans="1:15" ht="47.25">
      <c r="A4495" s="16" t="s">
        <v>17</v>
      </c>
      <c r="B4495" s="16" t="s">
        <v>28</v>
      </c>
      <c r="C4495" s="17" t="s">
        <v>19</v>
      </c>
      <c r="D4495" s="18" t="s">
        <v>2536</v>
      </c>
      <c r="E4495" s="18">
        <v>5</v>
      </c>
      <c r="F4495" s="18" t="s">
        <v>78</v>
      </c>
      <c r="G4495" s="18" t="s">
        <v>22</v>
      </c>
      <c r="H4495" s="18" t="s">
        <v>65</v>
      </c>
      <c r="I4495" s="19">
        <v>41.14</v>
      </c>
      <c r="J4495" s="20">
        <f t="shared" si="140"/>
        <v>205.7</v>
      </c>
      <c r="K4495" s="106"/>
      <c r="L4495" s="114"/>
      <c r="M4495" s="114">
        <f>tblAquisições[[#This Row],[VALOR UNITARIO COMPRADO]]*tblAquisições[[#This Row],[QUANTIDADE COMPRADA]]</f>
        <v>0</v>
      </c>
      <c r="N4495" s="110">
        <f>K4495-tblAquisições[[#This Row],[QUANTIDADE PLANEJADA]]</f>
        <v>-5</v>
      </c>
      <c r="O4495" s="106" t="str">
        <f t="shared" si="141"/>
        <v>Faltando Comprar</v>
      </c>
    </row>
    <row r="4496" spans="1:15" ht="31.5">
      <c r="A4496" s="16" t="s">
        <v>17</v>
      </c>
      <c r="B4496" s="16" t="s">
        <v>80</v>
      </c>
      <c r="C4496" s="17" t="s">
        <v>19</v>
      </c>
      <c r="D4496" s="18" t="s">
        <v>2537</v>
      </c>
      <c r="E4496" s="18">
        <v>6</v>
      </c>
      <c r="F4496" s="18" t="s">
        <v>38</v>
      </c>
      <c r="G4496" s="18" t="s">
        <v>39</v>
      </c>
      <c r="H4496" s="18" t="s">
        <v>23</v>
      </c>
      <c r="I4496" s="19">
        <v>11.12</v>
      </c>
      <c r="J4496" s="20">
        <f t="shared" si="140"/>
        <v>66.72</v>
      </c>
      <c r="K4496" s="106"/>
      <c r="L4496" s="114"/>
      <c r="M4496" s="114">
        <f>tblAquisições[[#This Row],[VALOR UNITARIO COMPRADO]]*tblAquisições[[#This Row],[QUANTIDADE COMPRADA]]</f>
        <v>0</v>
      </c>
      <c r="N4496" s="110">
        <f>K4496-tblAquisições[[#This Row],[QUANTIDADE PLANEJADA]]</f>
        <v>-6</v>
      </c>
      <c r="O4496" s="106" t="str">
        <f t="shared" si="141"/>
        <v>Faltando Comprar</v>
      </c>
    </row>
    <row r="4497" spans="1:15" ht="31.5">
      <c r="A4497" s="16" t="s">
        <v>17</v>
      </c>
      <c r="B4497" s="16" t="s">
        <v>41</v>
      </c>
      <c r="C4497" s="17" t="s">
        <v>19</v>
      </c>
      <c r="D4497" s="18" t="s">
        <v>2538</v>
      </c>
      <c r="E4497" s="18">
        <v>20</v>
      </c>
      <c r="F4497" s="18" t="s">
        <v>21</v>
      </c>
      <c r="G4497" s="18" t="s">
        <v>22</v>
      </c>
      <c r="H4497" s="18" t="s">
        <v>23</v>
      </c>
      <c r="I4497" s="19">
        <v>11.12</v>
      </c>
      <c r="J4497" s="20">
        <f t="shared" si="140"/>
        <v>222.39999999999998</v>
      </c>
      <c r="K4497" s="106"/>
      <c r="L4497" s="114"/>
      <c r="M4497" s="114">
        <f>tblAquisições[[#This Row],[VALOR UNITARIO COMPRADO]]*tblAquisições[[#This Row],[QUANTIDADE COMPRADA]]</f>
        <v>0</v>
      </c>
      <c r="N4497" s="110">
        <f>K4497-tblAquisições[[#This Row],[QUANTIDADE PLANEJADA]]</f>
        <v>-20</v>
      </c>
      <c r="O4497" s="106" t="str">
        <f t="shared" si="141"/>
        <v>Faltando Comprar</v>
      </c>
    </row>
    <row r="4498" spans="1:15" ht="63">
      <c r="A4498" s="16" t="s">
        <v>17</v>
      </c>
      <c r="B4498" s="16" t="s">
        <v>26</v>
      </c>
      <c r="C4498" s="17" t="s">
        <v>19</v>
      </c>
      <c r="D4498" s="18" t="s">
        <v>2539</v>
      </c>
      <c r="E4498" s="18">
        <v>2</v>
      </c>
      <c r="F4498" s="18" t="s">
        <v>1335</v>
      </c>
      <c r="G4498" s="18" t="s">
        <v>22</v>
      </c>
      <c r="H4498" s="18" t="s">
        <v>23</v>
      </c>
      <c r="I4498" s="19">
        <v>207.67</v>
      </c>
      <c r="J4498" s="20">
        <f t="shared" si="140"/>
        <v>415.34</v>
      </c>
      <c r="K4498" s="106"/>
      <c r="L4498" s="114"/>
      <c r="M4498" s="114">
        <f>tblAquisições[[#This Row],[VALOR UNITARIO COMPRADO]]*tblAquisições[[#This Row],[QUANTIDADE COMPRADA]]</f>
        <v>0</v>
      </c>
      <c r="N4498" s="110">
        <f>K4498-tblAquisições[[#This Row],[QUANTIDADE PLANEJADA]]</f>
        <v>-2</v>
      </c>
      <c r="O4498" s="106" t="str">
        <f t="shared" si="141"/>
        <v>Faltando Comprar</v>
      </c>
    </row>
    <row r="4499" spans="1:15" ht="31.5">
      <c r="A4499" s="16" t="s">
        <v>17</v>
      </c>
      <c r="B4499" s="16" t="s">
        <v>18</v>
      </c>
      <c r="C4499" s="17" t="s">
        <v>19</v>
      </c>
      <c r="D4499" s="18" t="s">
        <v>2540</v>
      </c>
      <c r="E4499" s="18">
        <v>15</v>
      </c>
      <c r="F4499" s="18" t="s">
        <v>324</v>
      </c>
      <c r="G4499" s="18" t="s">
        <v>22</v>
      </c>
      <c r="H4499" s="18" t="s">
        <v>23</v>
      </c>
      <c r="I4499" s="19">
        <v>20.29</v>
      </c>
      <c r="J4499" s="20">
        <f t="shared" si="140"/>
        <v>304.34999999999997</v>
      </c>
      <c r="K4499" s="106"/>
      <c r="L4499" s="114"/>
      <c r="M4499" s="114">
        <f>tblAquisições[[#This Row],[VALOR UNITARIO COMPRADO]]*tblAquisições[[#This Row],[QUANTIDADE COMPRADA]]</f>
        <v>0</v>
      </c>
      <c r="N4499" s="110">
        <f>K4499-tblAquisições[[#This Row],[QUANTIDADE PLANEJADA]]</f>
        <v>-15</v>
      </c>
      <c r="O4499" s="106" t="str">
        <f t="shared" si="141"/>
        <v>Faltando Comprar</v>
      </c>
    </row>
    <row r="4500" spans="1:15" ht="31.5">
      <c r="A4500" s="16" t="s">
        <v>17</v>
      </c>
      <c r="B4500" s="16" t="s">
        <v>24</v>
      </c>
      <c r="C4500" s="17" t="s">
        <v>19</v>
      </c>
      <c r="D4500" s="18" t="s">
        <v>2540</v>
      </c>
      <c r="E4500" s="18">
        <v>15</v>
      </c>
      <c r="F4500" s="18" t="s">
        <v>324</v>
      </c>
      <c r="G4500" s="18" t="s">
        <v>22</v>
      </c>
      <c r="H4500" s="18" t="s">
        <v>23</v>
      </c>
      <c r="I4500" s="19">
        <v>20.29</v>
      </c>
      <c r="J4500" s="20">
        <f t="shared" si="140"/>
        <v>304.34999999999997</v>
      </c>
      <c r="K4500" s="106"/>
      <c r="L4500" s="114"/>
      <c r="M4500" s="114">
        <f>tblAquisições[[#This Row],[VALOR UNITARIO COMPRADO]]*tblAquisições[[#This Row],[QUANTIDADE COMPRADA]]</f>
        <v>0</v>
      </c>
      <c r="N4500" s="110">
        <f>K4500-tblAquisições[[#This Row],[QUANTIDADE PLANEJADA]]</f>
        <v>-15</v>
      </c>
      <c r="O4500" s="106" t="str">
        <f t="shared" si="141"/>
        <v>Faltando Comprar</v>
      </c>
    </row>
    <row r="4501" spans="1:15" ht="31.5">
      <c r="A4501" s="16" t="s">
        <v>17</v>
      </c>
      <c r="B4501" s="16" t="s">
        <v>25</v>
      </c>
      <c r="C4501" s="17" t="s">
        <v>19</v>
      </c>
      <c r="D4501" s="18" t="s">
        <v>2540</v>
      </c>
      <c r="E4501" s="18">
        <v>15</v>
      </c>
      <c r="F4501" s="18" t="s">
        <v>324</v>
      </c>
      <c r="G4501" s="18" t="s">
        <v>22</v>
      </c>
      <c r="H4501" s="18" t="s">
        <v>23</v>
      </c>
      <c r="I4501" s="19">
        <v>20.29</v>
      </c>
      <c r="J4501" s="20">
        <f t="shared" si="140"/>
        <v>304.34999999999997</v>
      </c>
      <c r="K4501" s="106"/>
      <c r="L4501" s="114"/>
      <c r="M4501" s="114">
        <f>tblAquisições[[#This Row],[VALOR UNITARIO COMPRADO]]*tblAquisições[[#This Row],[QUANTIDADE COMPRADA]]</f>
        <v>0</v>
      </c>
      <c r="N4501" s="110">
        <f>K4501-tblAquisições[[#This Row],[QUANTIDADE PLANEJADA]]</f>
        <v>-15</v>
      </c>
      <c r="O4501" s="106" t="str">
        <f t="shared" si="141"/>
        <v>Faltando Comprar</v>
      </c>
    </row>
    <row r="4502" spans="1:15" ht="31.5">
      <c r="A4502" s="16" t="s">
        <v>17</v>
      </c>
      <c r="B4502" s="16" t="s">
        <v>27</v>
      </c>
      <c r="C4502" s="17" t="s">
        <v>19</v>
      </c>
      <c r="D4502" s="18" t="s">
        <v>2540</v>
      </c>
      <c r="E4502" s="18">
        <v>20</v>
      </c>
      <c r="F4502" s="18" t="s">
        <v>324</v>
      </c>
      <c r="G4502" s="18" t="s">
        <v>22</v>
      </c>
      <c r="H4502" s="18" t="s">
        <v>23</v>
      </c>
      <c r="I4502" s="19">
        <v>20.29</v>
      </c>
      <c r="J4502" s="20">
        <f t="shared" si="140"/>
        <v>405.79999999999995</v>
      </c>
      <c r="K4502" s="106"/>
      <c r="L4502" s="114"/>
      <c r="M4502" s="114">
        <f>tblAquisições[[#This Row],[VALOR UNITARIO COMPRADO]]*tblAquisições[[#This Row],[QUANTIDADE COMPRADA]]</f>
        <v>0</v>
      </c>
      <c r="N4502" s="110">
        <f>K4502-tblAquisições[[#This Row],[QUANTIDADE PLANEJADA]]</f>
        <v>-20</v>
      </c>
      <c r="O4502" s="106" t="str">
        <f t="shared" si="141"/>
        <v>Faltando Comprar</v>
      </c>
    </row>
    <row r="4503" spans="1:15" ht="31.5">
      <c r="A4503" s="16" t="s">
        <v>17</v>
      </c>
      <c r="B4503" s="16" t="s">
        <v>28</v>
      </c>
      <c r="C4503" s="17" t="s">
        <v>19</v>
      </c>
      <c r="D4503" s="18" t="s">
        <v>2540</v>
      </c>
      <c r="E4503" s="18">
        <v>24</v>
      </c>
      <c r="F4503" s="18" t="s">
        <v>324</v>
      </c>
      <c r="G4503" s="18" t="s">
        <v>22</v>
      </c>
      <c r="H4503" s="18" t="s">
        <v>23</v>
      </c>
      <c r="I4503" s="19">
        <v>20.29</v>
      </c>
      <c r="J4503" s="20">
        <f t="shared" si="140"/>
        <v>486.96</v>
      </c>
      <c r="K4503" s="106"/>
      <c r="L4503" s="114"/>
      <c r="M4503" s="114">
        <f>tblAquisições[[#This Row],[VALOR UNITARIO COMPRADO]]*tblAquisições[[#This Row],[QUANTIDADE COMPRADA]]</f>
        <v>0</v>
      </c>
      <c r="N4503" s="110">
        <f>K4503-tblAquisições[[#This Row],[QUANTIDADE PLANEJADA]]</f>
        <v>-24</v>
      </c>
      <c r="O4503" s="106" t="str">
        <f t="shared" si="141"/>
        <v>Faltando Comprar</v>
      </c>
    </row>
    <row r="4504" spans="1:15" ht="31.5">
      <c r="A4504" s="16" t="s">
        <v>17</v>
      </c>
      <c r="B4504" s="16" t="s">
        <v>27</v>
      </c>
      <c r="C4504" s="17" t="s">
        <v>19</v>
      </c>
      <c r="D4504" s="18" t="s">
        <v>2541</v>
      </c>
      <c r="E4504" s="18">
        <v>4</v>
      </c>
      <c r="F4504" s="18" t="s">
        <v>30</v>
      </c>
      <c r="G4504" s="18" t="s">
        <v>22</v>
      </c>
      <c r="H4504" s="18" t="s">
        <v>23</v>
      </c>
      <c r="I4504" s="19">
        <v>50.97</v>
      </c>
      <c r="J4504" s="20">
        <f t="shared" si="140"/>
        <v>203.88</v>
      </c>
      <c r="K4504" s="106"/>
      <c r="L4504" s="114"/>
      <c r="M4504" s="114">
        <f>tblAquisições[[#This Row],[VALOR UNITARIO COMPRADO]]*tblAquisições[[#This Row],[QUANTIDADE COMPRADA]]</f>
        <v>0</v>
      </c>
      <c r="N4504" s="110">
        <f>K4504-tblAquisições[[#This Row],[QUANTIDADE PLANEJADA]]</f>
        <v>-4</v>
      </c>
      <c r="O4504" s="106" t="str">
        <f t="shared" si="141"/>
        <v>Faltando Comprar</v>
      </c>
    </row>
    <row r="4505" spans="1:15" ht="47.25">
      <c r="A4505" s="16" t="s">
        <v>17</v>
      </c>
      <c r="B4505" s="16" t="s">
        <v>18</v>
      </c>
      <c r="C4505" s="17" t="s">
        <v>19</v>
      </c>
      <c r="D4505" s="18" t="s">
        <v>2542</v>
      </c>
      <c r="E4505" s="18">
        <v>100</v>
      </c>
      <c r="F4505" s="18" t="s">
        <v>78</v>
      </c>
      <c r="G4505" s="18" t="s">
        <v>22</v>
      </c>
      <c r="H4505" s="18" t="s">
        <v>65</v>
      </c>
      <c r="I4505" s="19">
        <v>146.94</v>
      </c>
      <c r="J4505" s="20">
        <f t="shared" si="140"/>
        <v>14694</v>
      </c>
      <c r="K4505" s="106"/>
      <c r="L4505" s="114"/>
      <c r="M4505" s="114">
        <f>tblAquisições[[#This Row],[VALOR UNITARIO COMPRADO]]*tblAquisições[[#This Row],[QUANTIDADE COMPRADA]]</f>
        <v>0</v>
      </c>
      <c r="N4505" s="110">
        <f>K4505-tblAquisições[[#This Row],[QUANTIDADE PLANEJADA]]</f>
        <v>-100</v>
      </c>
      <c r="O4505" s="106" t="str">
        <f t="shared" si="141"/>
        <v>Faltando Comprar</v>
      </c>
    </row>
    <row r="4506" spans="1:15" ht="47.25">
      <c r="A4506" s="16" t="s">
        <v>17</v>
      </c>
      <c r="B4506" s="16" t="s">
        <v>24</v>
      </c>
      <c r="C4506" s="17" t="s">
        <v>19</v>
      </c>
      <c r="D4506" s="18" t="s">
        <v>2542</v>
      </c>
      <c r="E4506" s="18">
        <v>100</v>
      </c>
      <c r="F4506" s="18" t="s">
        <v>78</v>
      </c>
      <c r="G4506" s="18" t="s">
        <v>22</v>
      </c>
      <c r="H4506" s="18" t="s">
        <v>65</v>
      </c>
      <c r="I4506" s="19">
        <v>146.94</v>
      </c>
      <c r="J4506" s="20">
        <f t="shared" si="140"/>
        <v>14694</v>
      </c>
      <c r="K4506" s="106"/>
      <c r="L4506" s="114"/>
      <c r="M4506" s="114">
        <f>tblAquisições[[#This Row],[VALOR UNITARIO COMPRADO]]*tblAquisições[[#This Row],[QUANTIDADE COMPRADA]]</f>
        <v>0</v>
      </c>
      <c r="N4506" s="110">
        <f>K4506-tblAquisições[[#This Row],[QUANTIDADE PLANEJADA]]</f>
        <v>-100</v>
      </c>
      <c r="O4506" s="106" t="str">
        <f t="shared" si="141"/>
        <v>Faltando Comprar</v>
      </c>
    </row>
    <row r="4507" spans="1:15" ht="47.25">
      <c r="A4507" s="16" t="s">
        <v>17</v>
      </c>
      <c r="B4507" s="16" t="s">
        <v>25</v>
      </c>
      <c r="C4507" s="17" t="s">
        <v>19</v>
      </c>
      <c r="D4507" s="18" t="s">
        <v>2542</v>
      </c>
      <c r="E4507" s="18">
        <v>100</v>
      </c>
      <c r="F4507" s="18" t="s">
        <v>78</v>
      </c>
      <c r="G4507" s="18" t="s">
        <v>22</v>
      </c>
      <c r="H4507" s="18" t="s">
        <v>65</v>
      </c>
      <c r="I4507" s="19">
        <v>146.94</v>
      </c>
      <c r="J4507" s="20">
        <f t="shared" si="140"/>
        <v>14694</v>
      </c>
      <c r="K4507" s="106"/>
      <c r="L4507" s="114"/>
      <c r="M4507" s="114">
        <f>tblAquisições[[#This Row],[VALOR UNITARIO COMPRADO]]*tblAquisições[[#This Row],[QUANTIDADE COMPRADA]]</f>
        <v>0</v>
      </c>
      <c r="N4507" s="110">
        <f>K4507-tblAquisições[[#This Row],[QUANTIDADE PLANEJADA]]</f>
        <v>-100</v>
      </c>
      <c r="O4507" s="106" t="str">
        <f t="shared" si="141"/>
        <v>Faltando Comprar</v>
      </c>
    </row>
    <row r="4508" spans="1:15" ht="47.25">
      <c r="A4508" s="16" t="s">
        <v>17</v>
      </c>
      <c r="B4508" s="16" t="s">
        <v>41</v>
      </c>
      <c r="C4508" s="17" t="s">
        <v>19</v>
      </c>
      <c r="D4508" s="18" t="s">
        <v>2543</v>
      </c>
      <c r="E4508" s="18">
        <v>3</v>
      </c>
      <c r="F4508" s="18" t="s">
        <v>214</v>
      </c>
      <c r="G4508" s="18" t="s">
        <v>127</v>
      </c>
      <c r="H4508" s="18" t="s">
        <v>23</v>
      </c>
      <c r="I4508" s="19">
        <v>337.63</v>
      </c>
      <c r="J4508" s="20">
        <f t="shared" si="140"/>
        <v>1012.89</v>
      </c>
      <c r="K4508" s="106"/>
      <c r="L4508" s="114"/>
      <c r="M4508" s="114">
        <f>tblAquisições[[#This Row],[VALOR UNITARIO COMPRADO]]*tblAquisições[[#This Row],[QUANTIDADE COMPRADA]]</f>
        <v>0</v>
      </c>
      <c r="N4508" s="110">
        <f>K4508-tblAquisições[[#This Row],[QUANTIDADE PLANEJADA]]</f>
        <v>-3</v>
      </c>
      <c r="O4508" s="106" t="str">
        <f t="shared" si="141"/>
        <v>Faltando Comprar</v>
      </c>
    </row>
    <row r="4509" spans="1:15" ht="47.25">
      <c r="A4509" s="16" t="s">
        <v>17</v>
      </c>
      <c r="B4509" s="16" t="s">
        <v>26</v>
      </c>
      <c r="C4509" s="17" t="s">
        <v>19</v>
      </c>
      <c r="D4509" s="18" t="s">
        <v>2544</v>
      </c>
      <c r="E4509" s="18">
        <v>30</v>
      </c>
      <c r="F4509" s="18" t="s">
        <v>58</v>
      </c>
      <c r="G4509" s="18" t="s">
        <v>22</v>
      </c>
      <c r="H4509" s="18" t="s">
        <v>65</v>
      </c>
      <c r="I4509" s="19">
        <v>301.66000000000003</v>
      </c>
      <c r="J4509" s="20">
        <f t="shared" si="140"/>
        <v>9049.8000000000011</v>
      </c>
      <c r="K4509" s="106"/>
      <c r="L4509" s="114"/>
      <c r="M4509" s="114">
        <f>tblAquisições[[#This Row],[VALOR UNITARIO COMPRADO]]*tblAquisições[[#This Row],[QUANTIDADE COMPRADA]]</f>
        <v>0</v>
      </c>
      <c r="N4509" s="110">
        <f>K4509-tblAquisições[[#This Row],[QUANTIDADE PLANEJADA]]</f>
        <v>-30</v>
      </c>
      <c r="O4509" s="106" t="str">
        <f t="shared" si="141"/>
        <v>Faltando Comprar</v>
      </c>
    </row>
    <row r="4510" spans="1:15" ht="31.5">
      <c r="A4510" s="16" t="s">
        <v>17</v>
      </c>
      <c r="B4510" s="16" t="s">
        <v>31</v>
      </c>
      <c r="C4510" s="17" t="s">
        <v>19</v>
      </c>
      <c r="D4510" s="18" t="s">
        <v>2545</v>
      </c>
      <c r="E4510" s="18">
        <v>25</v>
      </c>
      <c r="F4510" s="18" t="s">
        <v>21</v>
      </c>
      <c r="G4510" s="18" t="s">
        <v>22</v>
      </c>
      <c r="H4510" s="18" t="s">
        <v>23</v>
      </c>
      <c r="I4510" s="19">
        <v>101.91</v>
      </c>
      <c r="J4510" s="20">
        <f t="shared" si="140"/>
        <v>2547.75</v>
      </c>
      <c r="K4510" s="106"/>
      <c r="L4510" s="114"/>
      <c r="M4510" s="114">
        <f>tblAquisições[[#This Row],[VALOR UNITARIO COMPRADO]]*tblAquisições[[#This Row],[QUANTIDADE COMPRADA]]</f>
        <v>0</v>
      </c>
      <c r="N4510" s="110">
        <f>K4510-tblAquisições[[#This Row],[QUANTIDADE PLANEJADA]]</f>
        <v>-25</v>
      </c>
      <c r="O4510" s="106" t="str">
        <f t="shared" si="141"/>
        <v>Faltando Comprar</v>
      </c>
    </row>
    <row r="4511" spans="1:15" ht="31.5">
      <c r="A4511" s="16" t="s">
        <v>17</v>
      </c>
      <c r="B4511" s="16" t="s">
        <v>18</v>
      </c>
      <c r="C4511" s="17" t="s">
        <v>19</v>
      </c>
      <c r="D4511" s="18" t="s">
        <v>2545</v>
      </c>
      <c r="E4511" s="18">
        <v>20</v>
      </c>
      <c r="F4511" s="18" t="s">
        <v>21</v>
      </c>
      <c r="G4511" s="18" t="s">
        <v>22</v>
      </c>
      <c r="H4511" s="18" t="s">
        <v>23</v>
      </c>
      <c r="I4511" s="19">
        <v>101.91</v>
      </c>
      <c r="J4511" s="20">
        <f t="shared" si="140"/>
        <v>2038.1999999999998</v>
      </c>
      <c r="K4511" s="106"/>
      <c r="L4511" s="114"/>
      <c r="M4511" s="114">
        <f>tblAquisições[[#This Row],[VALOR UNITARIO COMPRADO]]*tblAquisições[[#This Row],[QUANTIDADE COMPRADA]]</f>
        <v>0</v>
      </c>
      <c r="N4511" s="110">
        <f>K4511-tblAquisições[[#This Row],[QUANTIDADE PLANEJADA]]</f>
        <v>-20</v>
      </c>
      <c r="O4511" s="106" t="str">
        <f t="shared" si="141"/>
        <v>Faltando Comprar</v>
      </c>
    </row>
    <row r="4512" spans="1:15" ht="31.5">
      <c r="A4512" s="16" t="s">
        <v>17</v>
      </c>
      <c r="B4512" s="16" t="s">
        <v>24</v>
      </c>
      <c r="C4512" s="17" t="s">
        <v>19</v>
      </c>
      <c r="D4512" s="18" t="s">
        <v>2545</v>
      </c>
      <c r="E4512" s="18">
        <v>20</v>
      </c>
      <c r="F4512" s="18" t="s">
        <v>21</v>
      </c>
      <c r="G4512" s="18" t="s">
        <v>22</v>
      </c>
      <c r="H4512" s="18" t="s">
        <v>23</v>
      </c>
      <c r="I4512" s="19">
        <v>101.91</v>
      </c>
      <c r="J4512" s="20">
        <f t="shared" si="140"/>
        <v>2038.1999999999998</v>
      </c>
      <c r="K4512" s="106"/>
      <c r="L4512" s="114"/>
      <c r="M4512" s="114">
        <f>tblAquisições[[#This Row],[VALOR UNITARIO COMPRADO]]*tblAquisições[[#This Row],[QUANTIDADE COMPRADA]]</f>
        <v>0</v>
      </c>
      <c r="N4512" s="110">
        <f>K4512-tblAquisições[[#This Row],[QUANTIDADE PLANEJADA]]</f>
        <v>-20</v>
      </c>
      <c r="O4512" s="106" t="str">
        <f t="shared" si="141"/>
        <v>Faltando Comprar</v>
      </c>
    </row>
    <row r="4513" spans="1:15" ht="31.5">
      <c r="A4513" s="16" t="s">
        <v>17</v>
      </c>
      <c r="B4513" s="16" t="s">
        <v>25</v>
      </c>
      <c r="C4513" s="17" t="s">
        <v>19</v>
      </c>
      <c r="D4513" s="18" t="s">
        <v>2545</v>
      </c>
      <c r="E4513" s="18">
        <v>20</v>
      </c>
      <c r="F4513" s="18" t="s">
        <v>21</v>
      </c>
      <c r="G4513" s="18" t="s">
        <v>22</v>
      </c>
      <c r="H4513" s="18" t="s">
        <v>23</v>
      </c>
      <c r="I4513" s="19">
        <v>101.91</v>
      </c>
      <c r="J4513" s="20">
        <f t="shared" si="140"/>
        <v>2038.1999999999998</v>
      </c>
      <c r="K4513" s="106"/>
      <c r="L4513" s="114"/>
      <c r="M4513" s="114">
        <f>tblAquisições[[#This Row],[VALOR UNITARIO COMPRADO]]*tblAquisições[[#This Row],[QUANTIDADE COMPRADA]]</f>
        <v>0</v>
      </c>
      <c r="N4513" s="110">
        <f>K4513-tblAquisições[[#This Row],[QUANTIDADE PLANEJADA]]</f>
        <v>-20</v>
      </c>
      <c r="O4513" s="106" t="str">
        <f t="shared" si="141"/>
        <v>Faltando Comprar</v>
      </c>
    </row>
    <row r="4514" spans="1:15" ht="31.5">
      <c r="A4514" s="16" t="s">
        <v>17</v>
      </c>
      <c r="B4514" s="16" t="s">
        <v>28</v>
      </c>
      <c r="C4514" s="17" t="s">
        <v>19</v>
      </c>
      <c r="D4514" s="18" t="s">
        <v>2545</v>
      </c>
      <c r="E4514" s="18">
        <v>12</v>
      </c>
      <c r="F4514" s="18" t="s">
        <v>21</v>
      </c>
      <c r="G4514" s="18" t="s">
        <v>22</v>
      </c>
      <c r="H4514" s="18" t="s">
        <v>23</v>
      </c>
      <c r="I4514" s="19">
        <v>101.91</v>
      </c>
      <c r="J4514" s="20">
        <f t="shared" si="140"/>
        <v>1222.92</v>
      </c>
      <c r="K4514" s="106"/>
      <c r="L4514" s="114"/>
      <c r="M4514" s="114">
        <f>tblAquisições[[#This Row],[VALOR UNITARIO COMPRADO]]*tblAquisições[[#This Row],[QUANTIDADE COMPRADA]]</f>
        <v>0</v>
      </c>
      <c r="N4514" s="110">
        <f>K4514-tblAquisições[[#This Row],[QUANTIDADE PLANEJADA]]</f>
        <v>-12</v>
      </c>
      <c r="O4514" s="106" t="str">
        <f t="shared" si="141"/>
        <v>Faltando Comprar</v>
      </c>
    </row>
    <row r="4515" spans="1:15" ht="31.5">
      <c r="A4515" s="16" t="s">
        <v>17</v>
      </c>
      <c r="B4515" s="16" t="s">
        <v>31</v>
      </c>
      <c r="C4515" s="17" t="s">
        <v>19</v>
      </c>
      <c r="D4515" s="18" t="s">
        <v>2546</v>
      </c>
      <c r="E4515" s="18">
        <v>20</v>
      </c>
      <c r="F4515" s="18" t="s">
        <v>21</v>
      </c>
      <c r="G4515" s="18" t="s">
        <v>22</v>
      </c>
      <c r="H4515" s="18" t="s">
        <v>23</v>
      </c>
      <c r="I4515" s="19">
        <v>7.14</v>
      </c>
      <c r="J4515" s="20">
        <f t="shared" si="140"/>
        <v>142.79999999999998</v>
      </c>
      <c r="K4515" s="106"/>
      <c r="L4515" s="114"/>
      <c r="M4515" s="114">
        <f>tblAquisições[[#This Row],[VALOR UNITARIO COMPRADO]]*tblAquisições[[#This Row],[QUANTIDADE COMPRADA]]</f>
        <v>0</v>
      </c>
      <c r="N4515" s="110">
        <f>K4515-tblAquisições[[#This Row],[QUANTIDADE PLANEJADA]]</f>
        <v>-20</v>
      </c>
      <c r="O4515" s="106" t="str">
        <f t="shared" si="141"/>
        <v>Faltando Comprar</v>
      </c>
    </row>
    <row r="4516" spans="1:15" ht="47.25">
      <c r="A4516" s="16" t="s">
        <v>17</v>
      </c>
      <c r="B4516" s="16" t="s">
        <v>34</v>
      </c>
      <c r="C4516" s="17" t="s">
        <v>19</v>
      </c>
      <c r="D4516" s="18" t="s">
        <v>2547</v>
      </c>
      <c r="E4516" s="18">
        <v>50</v>
      </c>
      <c r="F4516" s="18" t="s">
        <v>313</v>
      </c>
      <c r="G4516" s="18" t="s">
        <v>22</v>
      </c>
      <c r="H4516" s="18" t="s">
        <v>23</v>
      </c>
      <c r="I4516" s="19">
        <v>35.79</v>
      </c>
      <c r="J4516" s="20">
        <f t="shared" si="140"/>
        <v>1789.5</v>
      </c>
      <c r="K4516" s="106"/>
      <c r="L4516" s="114"/>
      <c r="M4516" s="114">
        <f>tblAquisições[[#This Row],[VALOR UNITARIO COMPRADO]]*tblAquisições[[#This Row],[QUANTIDADE COMPRADA]]</f>
        <v>0</v>
      </c>
      <c r="N4516" s="110">
        <f>K4516-tblAquisições[[#This Row],[QUANTIDADE PLANEJADA]]</f>
        <v>-50</v>
      </c>
      <c r="O4516" s="106" t="str">
        <f t="shared" si="141"/>
        <v>Faltando Comprar</v>
      </c>
    </row>
    <row r="4517" spans="1:15" ht="31.5">
      <c r="A4517" s="16" t="s">
        <v>17</v>
      </c>
      <c r="B4517" s="16" t="s">
        <v>80</v>
      </c>
      <c r="C4517" s="17" t="s">
        <v>19</v>
      </c>
      <c r="D4517" s="18" t="s">
        <v>2548</v>
      </c>
      <c r="E4517" s="18">
        <v>6</v>
      </c>
      <c r="F4517" s="18" t="s">
        <v>38</v>
      </c>
      <c r="G4517" s="18" t="s">
        <v>39</v>
      </c>
      <c r="H4517" s="18" t="s">
        <v>23</v>
      </c>
      <c r="I4517" s="19">
        <v>149.1</v>
      </c>
      <c r="J4517" s="20">
        <f t="shared" si="140"/>
        <v>894.59999999999991</v>
      </c>
      <c r="K4517" s="106"/>
      <c r="L4517" s="114"/>
      <c r="M4517" s="114">
        <f>tblAquisições[[#This Row],[VALOR UNITARIO COMPRADO]]*tblAquisições[[#This Row],[QUANTIDADE COMPRADA]]</f>
        <v>0</v>
      </c>
      <c r="N4517" s="110">
        <f>K4517-tblAquisições[[#This Row],[QUANTIDADE PLANEJADA]]</f>
        <v>-6</v>
      </c>
      <c r="O4517" s="106" t="str">
        <f t="shared" si="141"/>
        <v>Faltando Comprar</v>
      </c>
    </row>
    <row r="4518" spans="1:15" ht="31.5">
      <c r="A4518" s="16" t="s">
        <v>17</v>
      </c>
      <c r="B4518" s="16" t="s">
        <v>18</v>
      </c>
      <c r="C4518" s="17" t="s">
        <v>19</v>
      </c>
      <c r="D4518" s="18" t="s">
        <v>2549</v>
      </c>
      <c r="E4518" s="18">
        <v>100</v>
      </c>
      <c r="F4518" s="18" t="s">
        <v>21</v>
      </c>
      <c r="G4518" s="18" t="s">
        <v>22</v>
      </c>
      <c r="H4518" s="18" t="s">
        <v>23</v>
      </c>
      <c r="I4518" s="19">
        <v>149.1</v>
      </c>
      <c r="J4518" s="20">
        <f t="shared" si="140"/>
        <v>14910</v>
      </c>
      <c r="K4518" s="106"/>
      <c r="L4518" s="114"/>
      <c r="M4518" s="114">
        <f>tblAquisições[[#This Row],[VALOR UNITARIO COMPRADO]]*tblAquisições[[#This Row],[QUANTIDADE COMPRADA]]</f>
        <v>0</v>
      </c>
      <c r="N4518" s="110">
        <f>K4518-tblAquisições[[#This Row],[QUANTIDADE PLANEJADA]]</f>
        <v>-100</v>
      </c>
      <c r="O4518" s="106" t="str">
        <f t="shared" si="141"/>
        <v>Faltando Comprar</v>
      </c>
    </row>
    <row r="4519" spans="1:15" ht="31.5">
      <c r="A4519" s="16" t="s">
        <v>17</v>
      </c>
      <c r="B4519" s="16" t="s">
        <v>24</v>
      </c>
      <c r="C4519" s="17" t="s">
        <v>19</v>
      </c>
      <c r="D4519" s="18" t="s">
        <v>2549</v>
      </c>
      <c r="E4519" s="18">
        <v>100</v>
      </c>
      <c r="F4519" s="18" t="s">
        <v>21</v>
      </c>
      <c r="G4519" s="18" t="s">
        <v>22</v>
      </c>
      <c r="H4519" s="18" t="s">
        <v>23</v>
      </c>
      <c r="I4519" s="19">
        <v>149.1</v>
      </c>
      <c r="J4519" s="20">
        <f t="shared" si="140"/>
        <v>14910</v>
      </c>
      <c r="K4519" s="106"/>
      <c r="L4519" s="114"/>
      <c r="M4519" s="114">
        <f>tblAquisições[[#This Row],[VALOR UNITARIO COMPRADO]]*tblAquisições[[#This Row],[QUANTIDADE COMPRADA]]</f>
        <v>0</v>
      </c>
      <c r="N4519" s="110">
        <f>K4519-tblAquisições[[#This Row],[QUANTIDADE PLANEJADA]]</f>
        <v>-100</v>
      </c>
      <c r="O4519" s="106" t="str">
        <f t="shared" si="141"/>
        <v>Faltando Comprar</v>
      </c>
    </row>
    <row r="4520" spans="1:15" ht="31.5">
      <c r="A4520" s="16" t="s">
        <v>17</v>
      </c>
      <c r="B4520" s="16" t="s">
        <v>25</v>
      </c>
      <c r="C4520" s="17" t="s">
        <v>19</v>
      </c>
      <c r="D4520" s="18" t="s">
        <v>2549</v>
      </c>
      <c r="E4520" s="18">
        <v>100</v>
      </c>
      <c r="F4520" s="18" t="s">
        <v>21</v>
      </c>
      <c r="G4520" s="18" t="s">
        <v>22</v>
      </c>
      <c r="H4520" s="18" t="s">
        <v>23</v>
      </c>
      <c r="I4520" s="19">
        <v>149.1</v>
      </c>
      <c r="J4520" s="20">
        <f t="shared" si="140"/>
        <v>14910</v>
      </c>
      <c r="K4520" s="106"/>
      <c r="L4520" s="114"/>
      <c r="M4520" s="114">
        <f>tblAquisições[[#This Row],[VALOR UNITARIO COMPRADO]]*tblAquisições[[#This Row],[QUANTIDADE COMPRADA]]</f>
        <v>0</v>
      </c>
      <c r="N4520" s="110">
        <f>K4520-tblAquisições[[#This Row],[QUANTIDADE PLANEJADA]]</f>
        <v>-100</v>
      </c>
      <c r="O4520" s="106" t="str">
        <f t="shared" si="141"/>
        <v>Faltando Comprar</v>
      </c>
    </row>
    <row r="4521" spans="1:15" ht="31.5">
      <c r="A4521" s="16" t="s">
        <v>17</v>
      </c>
      <c r="B4521" s="16" t="s">
        <v>41</v>
      </c>
      <c r="C4521" s="17" t="s">
        <v>19</v>
      </c>
      <c r="D4521" s="18" t="s">
        <v>2549</v>
      </c>
      <c r="E4521" s="18">
        <v>20</v>
      </c>
      <c r="F4521" s="18" t="s">
        <v>21</v>
      </c>
      <c r="G4521" s="18" t="s">
        <v>22</v>
      </c>
      <c r="H4521" s="18" t="s">
        <v>23</v>
      </c>
      <c r="I4521" s="19">
        <v>149.1</v>
      </c>
      <c r="J4521" s="20">
        <f t="shared" si="140"/>
        <v>2982</v>
      </c>
      <c r="K4521" s="106"/>
      <c r="L4521" s="114"/>
      <c r="M4521" s="114">
        <f>tblAquisições[[#This Row],[VALOR UNITARIO COMPRADO]]*tblAquisições[[#This Row],[QUANTIDADE COMPRADA]]</f>
        <v>0</v>
      </c>
      <c r="N4521" s="110">
        <f>K4521-tblAquisições[[#This Row],[QUANTIDADE PLANEJADA]]</f>
        <v>-20</v>
      </c>
      <c r="O4521" s="106" t="str">
        <f t="shared" si="141"/>
        <v>Faltando Comprar</v>
      </c>
    </row>
    <row r="4522" spans="1:15" ht="31.5">
      <c r="A4522" s="16" t="s">
        <v>17</v>
      </c>
      <c r="B4522" s="16" t="s">
        <v>41</v>
      </c>
      <c r="C4522" s="17" t="s">
        <v>19</v>
      </c>
      <c r="D4522" s="18" t="s">
        <v>2550</v>
      </c>
      <c r="E4522" s="18">
        <v>10</v>
      </c>
      <c r="F4522" s="18" t="s">
        <v>21</v>
      </c>
      <c r="G4522" s="18" t="s">
        <v>22</v>
      </c>
      <c r="H4522" s="18" t="s">
        <v>23</v>
      </c>
      <c r="I4522" s="19">
        <v>8.76</v>
      </c>
      <c r="J4522" s="20">
        <f t="shared" si="140"/>
        <v>87.6</v>
      </c>
      <c r="K4522" s="106"/>
      <c r="L4522" s="114"/>
      <c r="M4522" s="114">
        <f>tblAquisições[[#This Row],[VALOR UNITARIO COMPRADO]]*tblAquisições[[#This Row],[QUANTIDADE COMPRADA]]</f>
        <v>0</v>
      </c>
      <c r="N4522" s="110">
        <f>K4522-tblAquisições[[#This Row],[QUANTIDADE PLANEJADA]]</f>
        <v>-10</v>
      </c>
      <c r="O4522" s="106" t="str">
        <f t="shared" si="141"/>
        <v>Faltando Comprar</v>
      </c>
    </row>
    <row r="4523" spans="1:15" ht="31.5">
      <c r="A4523" s="16" t="s">
        <v>17</v>
      </c>
      <c r="B4523" s="16" t="s">
        <v>28</v>
      </c>
      <c r="C4523" s="17" t="s">
        <v>19</v>
      </c>
      <c r="D4523" s="18" t="s">
        <v>2551</v>
      </c>
      <c r="E4523" s="18">
        <v>2</v>
      </c>
      <c r="F4523" s="18" t="s">
        <v>328</v>
      </c>
      <c r="G4523" s="18" t="s">
        <v>22</v>
      </c>
      <c r="H4523" s="18" t="s">
        <v>23</v>
      </c>
      <c r="I4523" s="19">
        <v>247.87</v>
      </c>
      <c r="J4523" s="20">
        <f t="shared" si="140"/>
        <v>495.74</v>
      </c>
      <c r="K4523" s="106"/>
      <c r="L4523" s="114"/>
      <c r="M4523" s="114">
        <f>tblAquisições[[#This Row],[VALOR UNITARIO COMPRADO]]*tblAquisições[[#This Row],[QUANTIDADE COMPRADA]]</f>
        <v>0</v>
      </c>
      <c r="N4523" s="110">
        <f>K4523-tblAquisições[[#This Row],[QUANTIDADE PLANEJADA]]</f>
        <v>-2</v>
      </c>
      <c r="O4523" s="106" t="str">
        <f t="shared" si="141"/>
        <v>Faltando Comprar</v>
      </c>
    </row>
    <row r="4524" spans="1:15" ht="47.25">
      <c r="A4524" s="16" t="s">
        <v>17</v>
      </c>
      <c r="B4524" s="16" t="s">
        <v>80</v>
      </c>
      <c r="C4524" s="17" t="s">
        <v>19</v>
      </c>
      <c r="D4524" s="18" t="s">
        <v>2552</v>
      </c>
      <c r="E4524" s="18">
        <v>10</v>
      </c>
      <c r="F4524" s="18" t="s">
        <v>191</v>
      </c>
      <c r="G4524" s="18" t="s">
        <v>39</v>
      </c>
      <c r="H4524" s="18" t="s">
        <v>23</v>
      </c>
      <c r="I4524" s="19">
        <v>26.6</v>
      </c>
      <c r="J4524" s="20">
        <f t="shared" si="140"/>
        <v>266</v>
      </c>
      <c r="K4524" s="106"/>
      <c r="L4524" s="114"/>
      <c r="M4524" s="114">
        <f>tblAquisições[[#This Row],[VALOR UNITARIO COMPRADO]]*tblAquisições[[#This Row],[QUANTIDADE COMPRADA]]</f>
        <v>0</v>
      </c>
      <c r="N4524" s="110">
        <f>K4524-tblAquisições[[#This Row],[QUANTIDADE PLANEJADA]]</f>
        <v>-10</v>
      </c>
      <c r="O4524" s="106" t="str">
        <f t="shared" si="141"/>
        <v>Faltando Comprar</v>
      </c>
    </row>
    <row r="4525" spans="1:15" ht="47.25">
      <c r="A4525" s="16" t="s">
        <v>17</v>
      </c>
      <c r="B4525" s="16" t="s">
        <v>18</v>
      </c>
      <c r="C4525" s="17" t="s">
        <v>19</v>
      </c>
      <c r="D4525" s="18" t="s">
        <v>2553</v>
      </c>
      <c r="E4525" s="18">
        <v>100</v>
      </c>
      <c r="F4525" s="18" t="s">
        <v>78</v>
      </c>
      <c r="G4525" s="18" t="s">
        <v>22</v>
      </c>
      <c r="H4525" s="18" t="s">
        <v>23</v>
      </c>
      <c r="I4525" s="19">
        <v>3</v>
      </c>
      <c r="J4525" s="20">
        <f t="shared" si="140"/>
        <v>300</v>
      </c>
      <c r="K4525" s="106"/>
      <c r="L4525" s="114"/>
      <c r="M4525" s="114">
        <f>tblAquisições[[#This Row],[VALOR UNITARIO COMPRADO]]*tblAquisições[[#This Row],[QUANTIDADE COMPRADA]]</f>
        <v>0</v>
      </c>
      <c r="N4525" s="110">
        <f>K4525-tblAquisições[[#This Row],[QUANTIDADE PLANEJADA]]</f>
        <v>-100</v>
      </c>
      <c r="O4525" s="106" t="str">
        <f t="shared" si="141"/>
        <v>Faltando Comprar</v>
      </c>
    </row>
    <row r="4526" spans="1:15" ht="47.25">
      <c r="A4526" s="16" t="s">
        <v>17</v>
      </c>
      <c r="B4526" s="16" t="s">
        <v>24</v>
      </c>
      <c r="C4526" s="17" t="s">
        <v>19</v>
      </c>
      <c r="D4526" s="18" t="s">
        <v>2553</v>
      </c>
      <c r="E4526" s="18">
        <v>100</v>
      </c>
      <c r="F4526" s="18" t="s">
        <v>78</v>
      </c>
      <c r="G4526" s="18" t="s">
        <v>22</v>
      </c>
      <c r="H4526" s="18" t="s">
        <v>23</v>
      </c>
      <c r="I4526" s="19">
        <v>3</v>
      </c>
      <c r="J4526" s="20">
        <f t="shared" si="140"/>
        <v>300</v>
      </c>
      <c r="K4526" s="106"/>
      <c r="L4526" s="114"/>
      <c r="M4526" s="114">
        <f>tblAquisições[[#This Row],[VALOR UNITARIO COMPRADO]]*tblAquisições[[#This Row],[QUANTIDADE COMPRADA]]</f>
        <v>0</v>
      </c>
      <c r="N4526" s="110">
        <f>K4526-tblAquisições[[#This Row],[QUANTIDADE PLANEJADA]]</f>
        <v>-100</v>
      </c>
      <c r="O4526" s="106" t="str">
        <f t="shared" si="141"/>
        <v>Faltando Comprar</v>
      </c>
    </row>
    <row r="4527" spans="1:15" ht="47.25">
      <c r="A4527" s="16" t="s">
        <v>17</v>
      </c>
      <c r="B4527" s="16" t="s">
        <v>25</v>
      </c>
      <c r="C4527" s="17" t="s">
        <v>19</v>
      </c>
      <c r="D4527" s="18" t="s">
        <v>2553</v>
      </c>
      <c r="E4527" s="18">
        <v>100</v>
      </c>
      <c r="F4527" s="18" t="s">
        <v>78</v>
      </c>
      <c r="G4527" s="18" t="s">
        <v>22</v>
      </c>
      <c r="H4527" s="18" t="s">
        <v>23</v>
      </c>
      <c r="I4527" s="19">
        <v>3</v>
      </c>
      <c r="J4527" s="20">
        <f t="shared" si="140"/>
        <v>300</v>
      </c>
      <c r="K4527" s="106"/>
      <c r="L4527" s="114"/>
      <c r="M4527" s="114">
        <f>tblAquisições[[#This Row],[VALOR UNITARIO COMPRADO]]*tblAquisições[[#This Row],[QUANTIDADE COMPRADA]]</f>
        <v>0</v>
      </c>
      <c r="N4527" s="110">
        <f>K4527-tblAquisições[[#This Row],[QUANTIDADE PLANEJADA]]</f>
        <v>-100</v>
      </c>
      <c r="O4527" s="106" t="str">
        <f t="shared" si="141"/>
        <v>Faltando Comprar</v>
      </c>
    </row>
    <row r="4528" spans="1:15" ht="47.25">
      <c r="A4528" s="16" t="s">
        <v>17</v>
      </c>
      <c r="B4528" s="16" t="s">
        <v>18</v>
      </c>
      <c r="C4528" s="17" t="s">
        <v>19</v>
      </c>
      <c r="D4528" s="18" t="s">
        <v>2554</v>
      </c>
      <c r="E4528" s="18">
        <v>200</v>
      </c>
      <c r="F4528" s="18" t="s">
        <v>78</v>
      </c>
      <c r="G4528" s="18" t="s">
        <v>22</v>
      </c>
      <c r="H4528" s="18" t="s">
        <v>23</v>
      </c>
      <c r="I4528" s="19">
        <v>0.24</v>
      </c>
      <c r="J4528" s="20">
        <f t="shared" si="140"/>
        <v>48</v>
      </c>
      <c r="K4528" s="106"/>
      <c r="L4528" s="114"/>
      <c r="M4528" s="114">
        <f>tblAquisições[[#This Row],[VALOR UNITARIO COMPRADO]]*tblAquisições[[#This Row],[QUANTIDADE COMPRADA]]</f>
        <v>0</v>
      </c>
      <c r="N4528" s="110">
        <f>K4528-tblAquisições[[#This Row],[QUANTIDADE PLANEJADA]]</f>
        <v>-200</v>
      </c>
      <c r="O4528" s="106" t="str">
        <f t="shared" si="141"/>
        <v>Faltando Comprar</v>
      </c>
    </row>
    <row r="4529" spans="1:15" ht="47.25">
      <c r="A4529" s="16" t="s">
        <v>17</v>
      </c>
      <c r="B4529" s="16" t="s">
        <v>24</v>
      </c>
      <c r="C4529" s="17" t="s">
        <v>19</v>
      </c>
      <c r="D4529" s="18" t="s">
        <v>2554</v>
      </c>
      <c r="E4529" s="18">
        <v>200</v>
      </c>
      <c r="F4529" s="18" t="s">
        <v>78</v>
      </c>
      <c r="G4529" s="18" t="s">
        <v>22</v>
      </c>
      <c r="H4529" s="18" t="s">
        <v>23</v>
      </c>
      <c r="I4529" s="19">
        <v>0.24</v>
      </c>
      <c r="J4529" s="20">
        <f t="shared" si="140"/>
        <v>48</v>
      </c>
      <c r="K4529" s="106"/>
      <c r="L4529" s="114"/>
      <c r="M4529" s="114">
        <f>tblAquisições[[#This Row],[VALOR UNITARIO COMPRADO]]*tblAquisições[[#This Row],[QUANTIDADE COMPRADA]]</f>
        <v>0</v>
      </c>
      <c r="N4529" s="110">
        <f>K4529-tblAquisições[[#This Row],[QUANTIDADE PLANEJADA]]</f>
        <v>-200</v>
      </c>
      <c r="O4529" s="106" t="str">
        <f t="shared" si="141"/>
        <v>Faltando Comprar</v>
      </c>
    </row>
    <row r="4530" spans="1:15" ht="47.25">
      <c r="A4530" s="16" t="s">
        <v>17</v>
      </c>
      <c r="B4530" s="16" t="s">
        <v>25</v>
      </c>
      <c r="C4530" s="17" t="s">
        <v>19</v>
      </c>
      <c r="D4530" s="18" t="s">
        <v>2554</v>
      </c>
      <c r="E4530" s="18">
        <v>200</v>
      </c>
      <c r="F4530" s="18" t="s">
        <v>78</v>
      </c>
      <c r="G4530" s="18" t="s">
        <v>22</v>
      </c>
      <c r="H4530" s="18" t="s">
        <v>23</v>
      </c>
      <c r="I4530" s="19">
        <v>0.24</v>
      </c>
      <c r="J4530" s="20">
        <f t="shared" si="140"/>
        <v>48</v>
      </c>
      <c r="K4530" s="106"/>
      <c r="L4530" s="114"/>
      <c r="M4530" s="114">
        <f>tblAquisições[[#This Row],[VALOR UNITARIO COMPRADO]]*tblAquisições[[#This Row],[QUANTIDADE COMPRADA]]</f>
        <v>0</v>
      </c>
      <c r="N4530" s="110">
        <f>K4530-tblAquisições[[#This Row],[QUANTIDADE PLANEJADA]]</f>
        <v>-200</v>
      </c>
      <c r="O4530" s="106" t="str">
        <f t="shared" si="141"/>
        <v>Faltando Comprar</v>
      </c>
    </row>
    <row r="4531" spans="1:15" ht="31.5">
      <c r="A4531" s="16" t="s">
        <v>17</v>
      </c>
      <c r="B4531" s="16" t="s">
        <v>34</v>
      </c>
      <c r="C4531" s="17" t="s">
        <v>19</v>
      </c>
      <c r="D4531" s="18" t="s">
        <v>2555</v>
      </c>
      <c r="E4531" s="18">
        <v>16</v>
      </c>
      <c r="F4531" s="18" t="s">
        <v>21</v>
      </c>
      <c r="G4531" s="18" t="s">
        <v>22</v>
      </c>
      <c r="H4531" s="18" t="s">
        <v>23</v>
      </c>
      <c r="I4531" s="19">
        <v>86.47</v>
      </c>
      <c r="J4531" s="20">
        <f t="shared" si="140"/>
        <v>1383.52</v>
      </c>
      <c r="K4531" s="106"/>
      <c r="L4531" s="114"/>
      <c r="M4531" s="114">
        <f>tblAquisições[[#This Row],[VALOR UNITARIO COMPRADO]]*tblAquisições[[#This Row],[QUANTIDADE COMPRADA]]</f>
        <v>0</v>
      </c>
      <c r="N4531" s="110">
        <f>K4531-tblAquisições[[#This Row],[QUANTIDADE PLANEJADA]]</f>
        <v>-16</v>
      </c>
      <c r="O4531" s="106" t="str">
        <f t="shared" si="141"/>
        <v>Faltando Comprar</v>
      </c>
    </row>
    <row r="4532" spans="1:15" ht="31.5">
      <c r="A4532" s="16" t="s">
        <v>17</v>
      </c>
      <c r="B4532" s="16" t="s">
        <v>18</v>
      </c>
      <c r="C4532" s="17" t="s">
        <v>19</v>
      </c>
      <c r="D4532" s="18" t="s">
        <v>2555</v>
      </c>
      <c r="E4532" s="18">
        <v>150</v>
      </c>
      <c r="F4532" s="18" t="s">
        <v>21</v>
      </c>
      <c r="G4532" s="18" t="s">
        <v>22</v>
      </c>
      <c r="H4532" s="18" t="s">
        <v>83</v>
      </c>
      <c r="I4532" s="19">
        <v>86.47</v>
      </c>
      <c r="J4532" s="20">
        <f t="shared" si="140"/>
        <v>12970.5</v>
      </c>
      <c r="K4532" s="106"/>
      <c r="L4532" s="114"/>
      <c r="M4532" s="114">
        <f>tblAquisições[[#This Row],[VALOR UNITARIO COMPRADO]]*tblAquisições[[#This Row],[QUANTIDADE COMPRADA]]</f>
        <v>0</v>
      </c>
      <c r="N4532" s="110">
        <f>K4532-tblAquisições[[#This Row],[QUANTIDADE PLANEJADA]]</f>
        <v>-150</v>
      </c>
      <c r="O4532" s="106" t="str">
        <f t="shared" si="141"/>
        <v>Faltando Comprar</v>
      </c>
    </row>
    <row r="4533" spans="1:15" ht="31.5">
      <c r="A4533" s="16" t="s">
        <v>17</v>
      </c>
      <c r="B4533" s="16" t="s">
        <v>24</v>
      </c>
      <c r="C4533" s="17" t="s">
        <v>19</v>
      </c>
      <c r="D4533" s="18" t="s">
        <v>2555</v>
      </c>
      <c r="E4533" s="18">
        <v>150</v>
      </c>
      <c r="F4533" s="18" t="s">
        <v>21</v>
      </c>
      <c r="G4533" s="18" t="s">
        <v>22</v>
      </c>
      <c r="H4533" s="18" t="s">
        <v>83</v>
      </c>
      <c r="I4533" s="19">
        <v>86.47</v>
      </c>
      <c r="J4533" s="20">
        <f t="shared" si="140"/>
        <v>12970.5</v>
      </c>
      <c r="K4533" s="106"/>
      <c r="L4533" s="114"/>
      <c r="M4533" s="114">
        <f>tblAquisições[[#This Row],[VALOR UNITARIO COMPRADO]]*tblAquisições[[#This Row],[QUANTIDADE COMPRADA]]</f>
        <v>0</v>
      </c>
      <c r="N4533" s="110">
        <f>K4533-tblAquisições[[#This Row],[QUANTIDADE PLANEJADA]]</f>
        <v>-150</v>
      </c>
      <c r="O4533" s="106" t="str">
        <f t="shared" si="141"/>
        <v>Faltando Comprar</v>
      </c>
    </row>
    <row r="4534" spans="1:15" ht="31.5">
      <c r="A4534" s="16" t="s">
        <v>17</v>
      </c>
      <c r="B4534" s="16" t="s">
        <v>25</v>
      </c>
      <c r="C4534" s="17" t="s">
        <v>19</v>
      </c>
      <c r="D4534" s="18" t="s">
        <v>2555</v>
      </c>
      <c r="E4534" s="18">
        <v>150</v>
      </c>
      <c r="F4534" s="18" t="s">
        <v>21</v>
      </c>
      <c r="G4534" s="18" t="s">
        <v>22</v>
      </c>
      <c r="H4534" s="18" t="s">
        <v>83</v>
      </c>
      <c r="I4534" s="19">
        <v>86.47</v>
      </c>
      <c r="J4534" s="20">
        <f t="shared" si="140"/>
        <v>12970.5</v>
      </c>
      <c r="K4534" s="106"/>
      <c r="L4534" s="114"/>
      <c r="M4534" s="114">
        <f>tblAquisições[[#This Row],[VALOR UNITARIO COMPRADO]]*tblAquisições[[#This Row],[QUANTIDADE COMPRADA]]</f>
        <v>0</v>
      </c>
      <c r="N4534" s="110">
        <f>K4534-tblAquisições[[#This Row],[QUANTIDADE PLANEJADA]]</f>
        <v>-150</v>
      </c>
      <c r="O4534" s="106" t="str">
        <f t="shared" si="141"/>
        <v>Faltando Comprar</v>
      </c>
    </row>
    <row r="4535" spans="1:15" ht="31.5">
      <c r="A4535" s="16" t="s">
        <v>17</v>
      </c>
      <c r="B4535" s="16" t="s">
        <v>27</v>
      </c>
      <c r="C4535" s="17" t="s">
        <v>19</v>
      </c>
      <c r="D4535" s="18" t="s">
        <v>2555</v>
      </c>
      <c r="E4535" s="18">
        <v>200</v>
      </c>
      <c r="F4535" s="18" t="s">
        <v>21</v>
      </c>
      <c r="G4535" s="18" t="s">
        <v>22</v>
      </c>
      <c r="H4535" s="18" t="s">
        <v>23</v>
      </c>
      <c r="I4535" s="19">
        <v>86.47</v>
      </c>
      <c r="J4535" s="20">
        <f t="shared" si="140"/>
        <v>17294</v>
      </c>
      <c r="K4535" s="106"/>
      <c r="L4535" s="114"/>
      <c r="M4535" s="114">
        <f>tblAquisições[[#This Row],[VALOR UNITARIO COMPRADO]]*tblAquisições[[#This Row],[QUANTIDADE COMPRADA]]</f>
        <v>0</v>
      </c>
      <c r="N4535" s="110">
        <f>K4535-tblAquisições[[#This Row],[QUANTIDADE PLANEJADA]]</f>
        <v>-200</v>
      </c>
      <c r="O4535" s="106" t="str">
        <f t="shared" si="141"/>
        <v>Faltando Comprar</v>
      </c>
    </row>
    <row r="4536" spans="1:15" ht="31.5">
      <c r="A4536" s="16" t="s">
        <v>17</v>
      </c>
      <c r="B4536" s="16" t="s">
        <v>28</v>
      </c>
      <c r="C4536" s="17" t="s">
        <v>19</v>
      </c>
      <c r="D4536" s="18" t="s">
        <v>2555</v>
      </c>
      <c r="E4536" s="18">
        <v>120</v>
      </c>
      <c r="F4536" s="18" t="s">
        <v>21</v>
      </c>
      <c r="G4536" s="18" t="s">
        <v>22</v>
      </c>
      <c r="H4536" s="18" t="s">
        <v>83</v>
      </c>
      <c r="I4536" s="19">
        <v>86.47</v>
      </c>
      <c r="J4536" s="20">
        <f t="shared" si="140"/>
        <v>10376.4</v>
      </c>
      <c r="K4536" s="106"/>
      <c r="L4536" s="114"/>
      <c r="M4536" s="114">
        <f>tblAquisições[[#This Row],[VALOR UNITARIO COMPRADO]]*tblAquisições[[#This Row],[QUANTIDADE COMPRADA]]</f>
        <v>0</v>
      </c>
      <c r="N4536" s="110">
        <f>K4536-tblAquisições[[#This Row],[QUANTIDADE PLANEJADA]]</f>
        <v>-120</v>
      </c>
      <c r="O4536" s="106" t="str">
        <f t="shared" si="141"/>
        <v>Faltando Comprar</v>
      </c>
    </row>
    <row r="4537" spans="1:15" ht="31.5">
      <c r="A4537" s="16" t="s">
        <v>17</v>
      </c>
      <c r="B4537" s="16" t="s">
        <v>28</v>
      </c>
      <c r="C4537" s="17" t="s">
        <v>19</v>
      </c>
      <c r="D4537" s="18" t="s">
        <v>2556</v>
      </c>
      <c r="E4537" s="18">
        <v>12</v>
      </c>
      <c r="F4537" s="18" t="s">
        <v>30</v>
      </c>
      <c r="G4537" s="18" t="s">
        <v>22</v>
      </c>
      <c r="H4537" s="18" t="s">
        <v>23</v>
      </c>
      <c r="I4537" s="19">
        <v>12.19</v>
      </c>
      <c r="J4537" s="20">
        <f t="shared" si="140"/>
        <v>146.28</v>
      </c>
      <c r="K4537" s="106"/>
      <c r="L4537" s="114"/>
      <c r="M4537" s="114">
        <f>tblAquisições[[#This Row],[VALOR UNITARIO COMPRADO]]*tblAquisições[[#This Row],[QUANTIDADE COMPRADA]]</f>
        <v>0</v>
      </c>
      <c r="N4537" s="110">
        <f>K4537-tblAquisições[[#This Row],[QUANTIDADE PLANEJADA]]</f>
        <v>-12</v>
      </c>
      <c r="O4537" s="106" t="str">
        <f t="shared" si="141"/>
        <v>Faltando Comprar</v>
      </c>
    </row>
    <row r="4538" spans="1:15" ht="47.25">
      <c r="A4538" s="16" t="s">
        <v>17</v>
      </c>
      <c r="B4538" s="16" t="s">
        <v>80</v>
      </c>
      <c r="C4538" s="17" t="s">
        <v>19</v>
      </c>
      <c r="D4538" s="18" t="s">
        <v>2557</v>
      </c>
      <c r="E4538" s="18">
        <v>40</v>
      </c>
      <c r="F4538" s="18" t="s">
        <v>191</v>
      </c>
      <c r="G4538" s="18" t="s">
        <v>39</v>
      </c>
      <c r="H4538" s="18" t="s">
        <v>23</v>
      </c>
      <c r="I4538" s="19">
        <v>13.45</v>
      </c>
      <c r="J4538" s="20">
        <f t="shared" si="140"/>
        <v>538</v>
      </c>
      <c r="K4538" s="106"/>
      <c r="L4538" s="114"/>
      <c r="M4538" s="114">
        <f>tblAquisições[[#This Row],[VALOR UNITARIO COMPRADO]]*tblAquisições[[#This Row],[QUANTIDADE COMPRADA]]</f>
        <v>0</v>
      </c>
      <c r="N4538" s="110">
        <f>K4538-tblAquisições[[#This Row],[QUANTIDADE PLANEJADA]]</f>
        <v>-40</v>
      </c>
      <c r="O4538" s="106" t="str">
        <f t="shared" si="141"/>
        <v>Faltando Comprar</v>
      </c>
    </row>
    <row r="4539" spans="1:15" ht="47.25">
      <c r="A4539" s="16" t="s">
        <v>17</v>
      </c>
      <c r="B4539" s="16" t="s">
        <v>26</v>
      </c>
      <c r="C4539" s="17" t="s">
        <v>19</v>
      </c>
      <c r="D4539" s="18" t="s">
        <v>2558</v>
      </c>
      <c r="E4539" s="18">
        <v>60</v>
      </c>
      <c r="F4539" s="18" t="s">
        <v>239</v>
      </c>
      <c r="G4539" s="18" t="s">
        <v>22</v>
      </c>
      <c r="H4539" s="18" t="s">
        <v>23</v>
      </c>
      <c r="I4539" s="19">
        <v>13.45</v>
      </c>
      <c r="J4539" s="20">
        <f t="shared" si="140"/>
        <v>807</v>
      </c>
      <c r="K4539" s="106"/>
      <c r="L4539" s="114"/>
      <c r="M4539" s="114">
        <f>tblAquisições[[#This Row],[VALOR UNITARIO COMPRADO]]*tblAquisições[[#This Row],[QUANTIDADE COMPRADA]]</f>
        <v>0</v>
      </c>
      <c r="N4539" s="110">
        <f>K4539-tblAquisições[[#This Row],[QUANTIDADE PLANEJADA]]</f>
        <v>-60</v>
      </c>
      <c r="O4539" s="106" t="str">
        <f t="shared" si="141"/>
        <v>Faltando Comprar</v>
      </c>
    </row>
    <row r="4540" spans="1:15" ht="47.25">
      <c r="A4540" s="16" t="s">
        <v>17</v>
      </c>
      <c r="B4540" s="16" t="s">
        <v>34</v>
      </c>
      <c r="C4540" s="17" t="s">
        <v>19</v>
      </c>
      <c r="D4540" s="18" t="s">
        <v>2559</v>
      </c>
      <c r="E4540" s="18">
        <v>500</v>
      </c>
      <c r="F4540" s="18" t="s">
        <v>78</v>
      </c>
      <c r="G4540" s="18" t="s">
        <v>22</v>
      </c>
      <c r="H4540" s="18" t="s">
        <v>23</v>
      </c>
      <c r="I4540" s="19">
        <v>16.510000000000002</v>
      </c>
      <c r="J4540" s="20">
        <f t="shared" si="140"/>
        <v>8255</v>
      </c>
      <c r="K4540" s="106"/>
      <c r="L4540" s="114"/>
      <c r="M4540" s="114">
        <f>tblAquisições[[#This Row],[VALOR UNITARIO COMPRADO]]*tblAquisições[[#This Row],[QUANTIDADE COMPRADA]]</f>
        <v>0</v>
      </c>
      <c r="N4540" s="110">
        <f>K4540-tblAquisições[[#This Row],[QUANTIDADE PLANEJADA]]</f>
        <v>-500</v>
      </c>
      <c r="O4540" s="106" t="str">
        <f t="shared" si="141"/>
        <v>Faltando Comprar</v>
      </c>
    </row>
    <row r="4541" spans="1:15" ht="47.25">
      <c r="A4541" s="16" t="s">
        <v>17</v>
      </c>
      <c r="B4541" s="16" t="s">
        <v>26</v>
      </c>
      <c r="C4541" s="17" t="s">
        <v>19</v>
      </c>
      <c r="D4541" s="18" t="s">
        <v>2560</v>
      </c>
      <c r="E4541" s="18">
        <v>10</v>
      </c>
      <c r="F4541" s="18" t="s">
        <v>239</v>
      </c>
      <c r="G4541" s="18" t="s">
        <v>22</v>
      </c>
      <c r="H4541" s="18" t="s">
        <v>23</v>
      </c>
      <c r="I4541" s="19">
        <v>51.07</v>
      </c>
      <c r="J4541" s="20">
        <f t="shared" si="140"/>
        <v>510.7</v>
      </c>
      <c r="K4541" s="106"/>
      <c r="L4541" s="114"/>
      <c r="M4541" s="114">
        <f>tblAquisições[[#This Row],[VALOR UNITARIO COMPRADO]]*tblAquisições[[#This Row],[QUANTIDADE COMPRADA]]</f>
        <v>0</v>
      </c>
      <c r="N4541" s="110">
        <f>K4541-tblAquisições[[#This Row],[QUANTIDADE PLANEJADA]]</f>
        <v>-10</v>
      </c>
      <c r="O4541" s="106" t="str">
        <f t="shared" si="141"/>
        <v>Faltando Comprar</v>
      </c>
    </row>
    <row r="4542" spans="1:15" ht="31.5">
      <c r="A4542" s="16" t="s">
        <v>17</v>
      </c>
      <c r="B4542" s="16" t="s">
        <v>31</v>
      </c>
      <c r="C4542" s="17" t="s">
        <v>19</v>
      </c>
      <c r="D4542" s="18" t="s">
        <v>2561</v>
      </c>
      <c r="E4542" s="18">
        <v>4</v>
      </c>
      <c r="F4542" s="18" t="s">
        <v>328</v>
      </c>
      <c r="G4542" s="18" t="s">
        <v>22</v>
      </c>
      <c r="H4542" s="18" t="s">
        <v>23</v>
      </c>
      <c r="I4542" s="19">
        <v>44.42</v>
      </c>
      <c r="J4542" s="20">
        <f t="shared" si="140"/>
        <v>177.68</v>
      </c>
      <c r="K4542" s="106"/>
      <c r="L4542" s="114"/>
      <c r="M4542" s="114">
        <f>tblAquisições[[#This Row],[VALOR UNITARIO COMPRADO]]*tblAquisições[[#This Row],[QUANTIDADE COMPRADA]]</f>
        <v>0</v>
      </c>
      <c r="N4542" s="110">
        <f>K4542-tblAquisições[[#This Row],[QUANTIDADE PLANEJADA]]</f>
        <v>-4</v>
      </c>
      <c r="O4542" s="106" t="str">
        <f t="shared" si="141"/>
        <v>Faltando Comprar</v>
      </c>
    </row>
    <row r="4543" spans="1:15" ht="31.5">
      <c r="A4543" s="16" t="s">
        <v>17</v>
      </c>
      <c r="B4543" s="16" t="s">
        <v>28</v>
      </c>
      <c r="C4543" s="17" t="s">
        <v>19</v>
      </c>
      <c r="D4543" s="18" t="s">
        <v>2561</v>
      </c>
      <c r="E4543" s="18">
        <v>2</v>
      </c>
      <c r="F4543" s="18" t="s">
        <v>328</v>
      </c>
      <c r="G4543" s="18" t="s">
        <v>22</v>
      </c>
      <c r="H4543" s="18" t="s">
        <v>23</v>
      </c>
      <c r="I4543" s="19">
        <v>44.42</v>
      </c>
      <c r="J4543" s="20">
        <f t="shared" si="140"/>
        <v>88.84</v>
      </c>
      <c r="K4543" s="106"/>
      <c r="L4543" s="114"/>
      <c r="M4543" s="114">
        <f>tblAquisições[[#This Row],[VALOR UNITARIO COMPRADO]]*tblAquisições[[#This Row],[QUANTIDADE COMPRADA]]</f>
        <v>0</v>
      </c>
      <c r="N4543" s="110">
        <f>K4543-tblAquisições[[#This Row],[QUANTIDADE PLANEJADA]]</f>
        <v>-2</v>
      </c>
      <c r="O4543" s="106" t="str">
        <f t="shared" si="141"/>
        <v>Faltando Comprar</v>
      </c>
    </row>
    <row r="4544" spans="1:15" ht="47.25">
      <c r="A4544" s="16" t="s">
        <v>17</v>
      </c>
      <c r="B4544" s="16" t="s">
        <v>28</v>
      </c>
      <c r="C4544" s="17" t="s">
        <v>19</v>
      </c>
      <c r="D4544" s="18" t="s">
        <v>2562</v>
      </c>
      <c r="E4544" s="18">
        <v>20</v>
      </c>
      <c r="F4544" s="18" t="s">
        <v>78</v>
      </c>
      <c r="G4544" s="18" t="s">
        <v>22</v>
      </c>
      <c r="H4544" s="18" t="s">
        <v>23</v>
      </c>
      <c r="I4544" s="19">
        <v>32.869999999999997</v>
      </c>
      <c r="J4544" s="20">
        <f t="shared" si="140"/>
        <v>657.4</v>
      </c>
      <c r="K4544" s="106"/>
      <c r="L4544" s="114"/>
      <c r="M4544" s="114">
        <f>tblAquisições[[#This Row],[VALOR UNITARIO COMPRADO]]*tblAquisições[[#This Row],[QUANTIDADE COMPRADA]]</f>
        <v>0</v>
      </c>
      <c r="N4544" s="110">
        <f>K4544-tblAquisições[[#This Row],[QUANTIDADE PLANEJADA]]</f>
        <v>-20</v>
      </c>
      <c r="O4544" s="106" t="str">
        <f t="shared" si="141"/>
        <v>Faltando Comprar</v>
      </c>
    </row>
    <row r="4545" spans="1:15" ht="31.5">
      <c r="A4545" s="16" t="s">
        <v>17</v>
      </c>
      <c r="B4545" s="16" t="s">
        <v>18</v>
      </c>
      <c r="C4545" s="17" t="s">
        <v>19</v>
      </c>
      <c r="D4545" s="18" t="s">
        <v>2563</v>
      </c>
      <c r="E4545" s="18">
        <v>15</v>
      </c>
      <c r="F4545" s="18" t="s">
        <v>30</v>
      </c>
      <c r="G4545" s="18" t="s">
        <v>22</v>
      </c>
      <c r="H4545" s="18" t="s">
        <v>23</v>
      </c>
      <c r="I4545" s="19">
        <v>242.57</v>
      </c>
      <c r="J4545" s="20">
        <f t="shared" si="140"/>
        <v>3638.5499999999997</v>
      </c>
      <c r="K4545" s="106"/>
      <c r="L4545" s="114"/>
      <c r="M4545" s="114">
        <f>tblAquisições[[#This Row],[VALOR UNITARIO COMPRADO]]*tblAquisições[[#This Row],[QUANTIDADE COMPRADA]]</f>
        <v>0</v>
      </c>
      <c r="N4545" s="110">
        <f>K4545-tblAquisições[[#This Row],[QUANTIDADE PLANEJADA]]</f>
        <v>-15</v>
      </c>
      <c r="O4545" s="106" t="str">
        <f t="shared" si="141"/>
        <v>Faltando Comprar</v>
      </c>
    </row>
    <row r="4546" spans="1:15" ht="31.5">
      <c r="A4546" s="16" t="s">
        <v>17</v>
      </c>
      <c r="B4546" s="16" t="s">
        <v>24</v>
      </c>
      <c r="C4546" s="17" t="s">
        <v>19</v>
      </c>
      <c r="D4546" s="18" t="s">
        <v>2563</v>
      </c>
      <c r="E4546" s="18">
        <v>15</v>
      </c>
      <c r="F4546" s="18" t="s">
        <v>30</v>
      </c>
      <c r="G4546" s="18" t="s">
        <v>22</v>
      </c>
      <c r="H4546" s="18" t="s">
        <v>23</v>
      </c>
      <c r="I4546" s="19">
        <v>242.57</v>
      </c>
      <c r="J4546" s="20">
        <f t="shared" ref="J4546:J4609" si="142">E4546*I4546</f>
        <v>3638.5499999999997</v>
      </c>
      <c r="K4546" s="106"/>
      <c r="L4546" s="114"/>
      <c r="M4546" s="114">
        <f>tblAquisições[[#This Row],[VALOR UNITARIO COMPRADO]]*tblAquisições[[#This Row],[QUANTIDADE COMPRADA]]</f>
        <v>0</v>
      </c>
      <c r="N4546" s="110">
        <f>K4546-tblAquisições[[#This Row],[QUANTIDADE PLANEJADA]]</f>
        <v>-15</v>
      </c>
      <c r="O4546" s="106" t="str">
        <f t="shared" ref="O4546:O4609" si="143">IF(K4546=E4546,"OK",IF(K4546&lt;E4546,"Faltando Comprar","Excedente"))</f>
        <v>Faltando Comprar</v>
      </c>
    </row>
    <row r="4547" spans="1:15" ht="31.5">
      <c r="A4547" s="16" t="s">
        <v>17</v>
      </c>
      <c r="B4547" s="16" t="s">
        <v>25</v>
      </c>
      <c r="C4547" s="17" t="s">
        <v>19</v>
      </c>
      <c r="D4547" s="18" t="s">
        <v>2563</v>
      </c>
      <c r="E4547" s="18">
        <v>15</v>
      </c>
      <c r="F4547" s="18" t="s">
        <v>30</v>
      </c>
      <c r="G4547" s="18" t="s">
        <v>22</v>
      </c>
      <c r="H4547" s="18" t="s">
        <v>23</v>
      </c>
      <c r="I4547" s="19">
        <v>242.57</v>
      </c>
      <c r="J4547" s="20">
        <f t="shared" si="142"/>
        <v>3638.5499999999997</v>
      </c>
      <c r="K4547" s="106"/>
      <c r="L4547" s="114"/>
      <c r="M4547" s="114">
        <f>tblAquisições[[#This Row],[VALOR UNITARIO COMPRADO]]*tblAquisições[[#This Row],[QUANTIDADE COMPRADA]]</f>
        <v>0</v>
      </c>
      <c r="N4547" s="110">
        <f>K4547-tblAquisições[[#This Row],[QUANTIDADE PLANEJADA]]</f>
        <v>-15</v>
      </c>
      <c r="O4547" s="106" t="str">
        <f t="shared" si="143"/>
        <v>Faltando Comprar</v>
      </c>
    </row>
    <row r="4548" spans="1:15" ht="31.5">
      <c r="A4548" s="16" t="s">
        <v>17</v>
      </c>
      <c r="B4548" s="16" t="s">
        <v>27</v>
      </c>
      <c r="C4548" s="17" t="s">
        <v>19</v>
      </c>
      <c r="D4548" s="18" t="s">
        <v>2563</v>
      </c>
      <c r="E4548" s="18">
        <v>30</v>
      </c>
      <c r="F4548" s="18" t="s">
        <v>30</v>
      </c>
      <c r="G4548" s="18" t="s">
        <v>22</v>
      </c>
      <c r="H4548" s="18" t="s">
        <v>23</v>
      </c>
      <c r="I4548" s="19">
        <v>242.57</v>
      </c>
      <c r="J4548" s="20">
        <f t="shared" si="142"/>
        <v>7277.0999999999995</v>
      </c>
      <c r="K4548" s="106"/>
      <c r="L4548" s="114"/>
      <c r="M4548" s="114">
        <f>tblAquisições[[#This Row],[VALOR UNITARIO COMPRADO]]*tblAquisições[[#This Row],[QUANTIDADE COMPRADA]]</f>
        <v>0</v>
      </c>
      <c r="N4548" s="110">
        <f>K4548-tblAquisições[[#This Row],[QUANTIDADE PLANEJADA]]</f>
        <v>-30</v>
      </c>
      <c r="O4548" s="106" t="str">
        <f t="shared" si="143"/>
        <v>Faltando Comprar</v>
      </c>
    </row>
    <row r="4549" spans="1:15" ht="31.5">
      <c r="A4549" s="16" t="s">
        <v>17</v>
      </c>
      <c r="B4549" s="16" t="s">
        <v>31</v>
      </c>
      <c r="C4549" s="17" t="s">
        <v>19</v>
      </c>
      <c r="D4549" s="18" t="s">
        <v>2564</v>
      </c>
      <c r="E4549" s="18">
        <v>25</v>
      </c>
      <c r="F4549" s="18" t="s">
        <v>21</v>
      </c>
      <c r="G4549" s="18" t="s">
        <v>22</v>
      </c>
      <c r="H4549" s="18" t="s">
        <v>23</v>
      </c>
      <c r="I4549" s="19">
        <v>24.4</v>
      </c>
      <c r="J4549" s="20">
        <f t="shared" si="142"/>
        <v>610</v>
      </c>
      <c r="K4549" s="106"/>
      <c r="L4549" s="114"/>
      <c r="M4549" s="114">
        <f>tblAquisições[[#This Row],[VALOR UNITARIO COMPRADO]]*tblAquisições[[#This Row],[QUANTIDADE COMPRADA]]</f>
        <v>0</v>
      </c>
      <c r="N4549" s="110">
        <f>K4549-tblAquisições[[#This Row],[QUANTIDADE PLANEJADA]]</f>
        <v>-25</v>
      </c>
      <c r="O4549" s="106" t="str">
        <f t="shared" si="143"/>
        <v>Faltando Comprar</v>
      </c>
    </row>
    <row r="4550" spans="1:15" ht="31.5">
      <c r="A4550" s="16" t="s">
        <v>17</v>
      </c>
      <c r="B4550" s="16" t="s">
        <v>27</v>
      </c>
      <c r="C4550" s="17" t="s">
        <v>19</v>
      </c>
      <c r="D4550" s="18" t="s">
        <v>2564</v>
      </c>
      <c r="E4550" s="18">
        <v>100</v>
      </c>
      <c r="F4550" s="18" t="s">
        <v>21</v>
      </c>
      <c r="G4550" s="18" t="s">
        <v>22</v>
      </c>
      <c r="H4550" s="18" t="s">
        <v>23</v>
      </c>
      <c r="I4550" s="19">
        <v>24.4</v>
      </c>
      <c r="J4550" s="20">
        <f t="shared" si="142"/>
        <v>2440</v>
      </c>
      <c r="K4550" s="106"/>
      <c r="L4550" s="114"/>
      <c r="M4550" s="114">
        <f>tblAquisições[[#This Row],[VALOR UNITARIO COMPRADO]]*tblAquisições[[#This Row],[QUANTIDADE COMPRADA]]</f>
        <v>0</v>
      </c>
      <c r="N4550" s="110">
        <f>K4550-tblAquisições[[#This Row],[QUANTIDADE PLANEJADA]]</f>
        <v>-100</v>
      </c>
      <c r="O4550" s="106" t="str">
        <f t="shared" si="143"/>
        <v>Faltando Comprar</v>
      </c>
    </row>
    <row r="4551" spans="1:15" ht="31.5">
      <c r="A4551" s="16" t="s">
        <v>17</v>
      </c>
      <c r="B4551" s="16" t="s">
        <v>28</v>
      </c>
      <c r="C4551" s="17" t="s">
        <v>19</v>
      </c>
      <c r="D4551" s="18" t="s">
        <v>2564</v>
      </c>
      <c r="E4551" s="18">
        <v>24</v>
      </c>
      <c r="F4551" s="18" t="s">
        <v>21</v>
      </c>
      <c r="G4551" s="18" t="s">
        <v>22</v>
      </c>
      <c r="H4551" s="18" t="s">
        <v>23</v>
      </c>
      <c r="I4551" s="19">
        <v>24.4</v>
      </c>
      <c r="J4551" s="20">
        <f t="shared" si="142"/>
        <v>585.59999999999991</v>
      </c>
      <c r="K4551" s="106"/>
      <c r="L4551" s="114"/>
      <c r="M4551" s="114">
        <f>tblAquisições[[#This Row],[VALOR UNITARIO COMPRADO]]*tblAquisições[[#This Row],[QUANTIDADE COMPRADA]]</f>
        <v>0</v>
      </c>
      <c r="N4551" s="110">
        <f>K4551-tblAquisições[[#This Row],[QUANTIDADE PLANEJADA]]</f>
        <v>-24</v>
      </c>
      <c r="O4551" s="106" t="str">
        <f t="shared" si="143"/>
        <v>Faltando Comprar</v>
      </c>
    </row>
    <row r="4552" spans="1:15" ht="47.25">
      <c r="A4552" s="16" t="s">
        <v>17</v>
      </c>
      <c r="B4552" s="16" t="s">
        <v>28</v>
      </c>
      <c r="C4552" s="17" t="s">
        <v>19</v>
      </c>
      <c r="D4552" s="18" t="s">
        <v>2565</v>
      </c>
      <c r="E4552" s="18">
        <v>6</v>
      </c>
      <c r="F4552" s="18" t="s">
        <v>78</v>
      </c>
      <c r="G4552" s="18" t="s">
        <v>22</v>
      </c>
      <c r="H4552" s="18" t="s">
        <v>83</v>
      </c>
      <c r="I4552" s="19">
        <v>4.32</v>
      </c>
      <c r="J4552" s="20">
        <f t="shared" si="142"/>
        <v>25.92</v>
      </c>
      <c r="K4552" s="106"/>
      <c r="L4552" s="114"/>
      <c r="M4552" s="114">
        <f>tblAquisições[[#This Row],[VALOR UNITARIO COMPRADO]]*tblAquisições[[#This Row],[QUANTIDADE COMPRADA]]</f>
        <v>0</v>
      </c>
      <c r="N4552" s="110">
        <f>K4552-tblAquisições[[#This Row],[QUANTIDADE PLANEJADA]]</f>
        <v>-6</v>
      </c>
      <c r="O4552" s="106" t="str">
        <f t="shared" si="143"/>
        <v>Faltando Comprar</v>
      </c>
    </row>
    <row r="4553" spans="1:15" ht="47.25">
      <c r="A4553" s="16" t="s">
        <v>17</v>
      </c>
      <c r="B4553" s="16" t="s">
        <v>80</v>
      </c>
      <c r="C4553" s="17" t="s">
        <v>19</v>
      </c>
      <c r="D4553" s="18" t="s">
        <v>2566</v>
      </c>
      <c r="E4553" s="18">
        <v>4</v>
      </c>
      <c r="F4553" s="18" t="s">
        <v>147</v>
      </c>
      <c r="G4553" s="18" t="s">
        <v>39</v>
      </c>
      <c r="H4553" s="21"/>
      <c r="I4553" s="19">
        <v>4.03</v>
      </c>
      <c r="J4553" s="20">
        <f t="shared" si="142"/>
        <v>16.12</v>
      </c>
      <c r="K4553" s="106"/>
      <c r="L4553" s="114"/>
      <c r="M4553" s="114">
        <f>tblAquisições[[#This Row],[VALOR UNITARIO COMPRADO]]*tblAquisições[[#This Row],[QUANTIDADE COMPRADA]]</f>
        <v>0</v>
      </c>
      <c r="N4553" s="110">
        <f>K4553-tblAquisições[[#This Row],[QUANTIDADE PLANEJADA]]</f>
        <v>-4</v>
      </c>
      <c r="O4553" s="106" t="str">
        <f t="shared" si="143"/>
        <v>Faltando Comprar</v>
      </c>
    </row>
    <row r="4554" spans="1:15" ht="31.5">
      <c r="A4554" s="16" t="s">
        <v>17</v>
      </c>
      <c r="B4554" s="16" t="s">
        <v>17</v>
      </c>
      <c r="C4554" s="17" t="s">
        <v>19</v>
      </c>
      <c r="D4554" s="18" t="s">
        <v>2567</v>
      </c>
      <c r="E4554" s="18">
        <v>1000</v>
      </c>
      <c r="F4554" s="18" t="s">
        <v>38</v>
      </c>
      <c r="G4554" s="18" t="s">
        <v>39</v>
      </c>
      <c r="H4554" s="18" t="s">
        <v>23</v>
      </c>
      <c r="I4554" s="19">
        <v>9.34</v>
      </c>
      <c r="J4554" s="20">
        <f t="shared" si="142"/>
        <v>9340</v>
      </c>
      <c r="K4554" s="106"/>
      <c r="L4554" s="114"/>
      <c r="M4554" s="114">
        <f>tblAquisições[[#This Row],[VALOR UNITARIO COMPRADO]]*tblAquisições[[#This Row],[QUANTIDADE COMPRADA]]</f>
        <v>0</v>
      </c>
      <c r="N4554" s="110">
        <f>K4554-tblAquisições[[#This Row],[QUANTIDADE PLANEJADA]]</f>
        <v>-1000</v>
      </c>
      <c r="O4554" s="106" t="str">
        <f t="shared" si="143"/>
        <v>Faltando Comprar</v>
      </c>
    </row>
    <row r="4555" spans="1:15" ht="31.5">
      <c r="A4555" s="16" t="s">
        <v>17</v>
      </c>
      <c r="B4555" s="16" t="s">
        <v>31</v>
      </c>
      <c r="C4555" s="17" t="s">
        <v>19</v>
      </c>
      <c r="D4555" s="18" t="s">
        <v>2568</v>
      </c>
      <c r="E4555" s="18">
        <v>55</v>
      </c>
      <c r="F4555" s="18" t="s">
        <v>21</v>
      </c>
      <c r="G4555" s="18" t="s">
        <v>22</v>
      </c>
      <c r="H4555" s="18" t="s">
        <v>23</v>
      </c>
      <c r="I4555" s="19">
        <v>9.34</v>
      </c>
      <c r="J4555" s="20">
        <f t="shared" si="142"/>
        <v>513.70000000000005</v>
      </c>
      <c r="K4555" s="106"/>
      <c r="L4555" s="114"/>
      <c r="M4555" s="114">
        <f>tblAquisições[[#This Row],[VALOR UNITARIO COMPRADO]]*tblAquisições[[#This Row],[QUANTIDADE COMPRADA]]</f>
        <v>0</v>
      </c>
      <c r="N4555" s="110">
        <f>K4555-tblAquisições[[#This Row],[QUANTIDADE PLANEJADA]]</f>
        <v>-55</v>
      </c>
      <c r="O4555" s="106" t="str">
        <f t="shared" si="143"/>
        <v>Faltando Comprar</v>
      </c>
    </row>
    <row r="4556" spans="1:15" ht="31.5">
      <c r="A4556" s="16" t="s">
        <v>17</v>
      </c>
      <c r="B4556" s="16" t="s">
        <v>18</v>
      </c>
      <c r="C4556" s="17" t="s">
        <v>19</v>
      </c>
      <c r="D4556" s="18" t="s">
        <v>2568</v>
      </c>
      <c r="E4556" s="18">
        <v>1000</v>
      </c>
      <c r="F4556" s="18" t="s">
        <v>21</v>
      </c>
      <c r="G4556" s="18" t="s">
        <v>22</v>
      </c>
      <c r="H4556" s="18" t="s">
        <v>23</v>
      </c>
      <c r="I4556" s="19">
        <v>9.34</v>
      </c>
      <c r="J4556" s="20">
        <f t="shared" si="142"/>
        <v>9340</v>
      </c>
      <c r="K4556" s="106"/>
      <c r="L4556" s="114"/>
      <c r="M4556" s="114">
        <f>tblAquisições[[#This Row],[VALOR UNITARIO COMPRADO]]*tblAquisições[[#This Row],[QUANTIDADE COMPRADA]]</f>
        <v>0</v>
      </c>
      <c r="N4556" s="110">
        <f>K4556-tblAquisições[[#This Row],[QUANTIDADE PLANEJADA]]</f>
        <v>-1000</v>
      </c>
      <c r="O4556" s="106" t="str">
        <f t="shared" si="143"/>
        <v>Faltando Comprar</v>
      </c>
    </row>
    <row r="4557" spans="1:15" ht="31.5">
      <c r="A4557" s="16" t="s">
        <v>17</v>
      </c>
      <c r="B4557" s="16" t="s">
        <v>24</v>
      </c>
      <c r="C4557" s="17" t="s">
        <v>19</v>
      </c>
      <c r="D4557" s="18" t="s">
        <v>2568</v>
      </c>
      <c r="E4557" s="18">
        <v>1000</v>
      </c>
      <c r="F4557" s="18" t="s">
        <v>21</v>
      </c>
      <c r="G4557" s="18" t="s">
        <v>22</v>
      </c>
      <c r="H4557" s="18" t="s">
        <v>23</v>
      </c>
      <c r="I4557" s="19">
        <v>9.34</v>
      </c>
      <c r="J4557" s="20">
        <f t="shared" si="142"/>
        <v>9340</v>
      </c>
      <c r="K4557" s="106"/>
      <c r="L4557" s="114"/>
      <c r="M4557" s="114">
        <f>tblAquisições[[#This Row],[VALOR UNITARIO COMPRADO]]*tblAquisições[[#This Row],[QUANTIDADE COMPRADA]]</f>
        <v>0</v>
      </c>
      <c r="N4557" s="110">
        <f>K4557-tblAquisições[[#This Row],[QUANTIDADE PLANEJADA]]</f>
        <v>-1000</v>
      </c>
      <c r="O4557" s="106" t="str">
        <f t="shared" si="143"/>
        <v>Faltando Comprar</v>
      </c>
    </row>
    <row r="4558" spans="1:15" ht="31.5">
      <c r="A4558" s="16" t="s">
        <v>17</v>
      </c>
      <c r="B4558" s="16" t="s">
        <v>25</v>
      </c>
      <c r="C4558" s="17" t="s">
        <v>19</v>
      </c>
      <c r="D4558" s="18" t="s">
        <v>2568</v>
      </c>
      <c r="E4558" s="18">
        <v>1000</v>
      </c>
      <c r="F4558" s="18" t="s">
        <v>21</v>
      </c>
      <c r="G4558" s="18" t="s">
        <v>22</v>
      </c>
      <c r="H4558" s="18" t="s">
        <v>23</v>
      </c>
      <c r="I4558" s="19">
        <v>9.34</v>
      </c>
      <c r="J4558" s="20">
        <f t="shared" si="142"/>
        <v>9340</v>
      </c>
      <c r="K4558" s="106"/>
      <c r="L4558" s="114"/>
      <c r="M4558" s="114">
        <f>tblAquisições[[#This Row],[VALOR UNITARIO COMPRADO]]*tblAquisições[[#This Row],[QUANTIDADE COMPRADA]]</f>
        <v>0</v>
      </c>
      <c r="N4558" s="110">
        <f>K4558-tblAquisições[[#This Row],[QUANTIDADE PLANEJADA]]</f>
        <v>-1000</v>
      </c>
      <c r="O4558" s="106" t="str">
        <f t="shared" si="143"/>
        <v>Faltando Comprar</v>
      </c>
    </row>
    <row r="4559" spans="1:15" ht="31.5">
      <c r="A4559" s="16" t="s">
        <v>17</v>
      </c>
      <c r="B4559" s="16" t="s">
        <v>41</v>
      </c>
      <c r="C4559" s="17" t="s">
        <v>19</v>
      </c>
      <c r="D4559" s="18" t="s">
        <v>2568</v>
      </c>
      <c r="E4559" s="18">
        <v>1000</v>
      </c>
      <c r="F4559" s="18" t="s">
        <v>21</v>
      </c>
      <c r="G4559" s="18" t="s">
        <v>22</v>
      </c>
      <c r="H4559" s="18" t="s">
        <v>23</v>
      </c>
      <c r="I4559" s="19">
        <v>9.34</v>
      </c>
      <c r="J4559" s="20">
        <f t="shared" si="142"/>
        <v>9340</v>
      </c>
      <c r="K4559" s="106"/>
      <c r="L4559" s="114"/>
      <c r="M4559" s="114">
        <f>tblAquisições[[#This Row],[VALOR UNITARIO COMPRADO]]*tblAquisições[[#This Row],[QUANTIDADE COMPRADA]]</f>
        <v>0</v>
      </c>
      <c r="N4559" s="110">
        <f>K4559-tblAquisições[[#This Row],[QUANTIDADE PLANEJADA]]</f>
        <v>-1000</v>
      </c>
      <c r="O4559" s="106" t="str">
        <f t="shared" si="143"/>
        <v>Faltando Comprar</v>
      </c>
    </row>
    <row r="4560" spans="1:15" ht="31.5">
      <c r="A4560" s="16" t="s">
        <v>17</v>
      </c>
      <c r="B4560" s="16" t="s">
        <v>26</v>
      </c>
      <c r="C4560" s="17" t="s">
        <v>19</v>
      </c>
      <c r="D4560" s="18" t="s">
        <v>2568</v>
      </c>
      <c r="E4560" s="18">
        <v>100</v>
      </c>
      <c r="F4560" s="18" t="s">
        <v>21</v>
      </c>
      <c r="G4560" s="18" t="s">
        <v>22</v>
      </c>
      <c r="H4560" s="18" t="s">
        <v>23</v>
      </c>
      <c r="I4560" s="19">
        <v>9.34</v>
      </c>
      <c r="J4560" s="20">
        <f t="shared" si="142"/>
        <v>934</v>
      </c>
      <c r="K4560" s="106"/>
      <c r="L4560" s="114"/>
      <c r="M4560" s="114">
        <f>tblAquisições[[#This Row],[VALOR UNITARIO COMPRADO]]*tblAquisições[[#This Row],[QUANTIDADE COMPRADA]]</f>
        <v>0</v>
      </c>
      <c r="N4560" s="110">
        <f>K4560-tblAquisições[[#This Row],[QUANTIDADE PLANEJADA]]</f>
        <v>-100</v>
      </c>
      <c r="O4560" s="106" t="str">
        <f t="shared" si="143"/>
        <v>Faltando Comprar</v>
      </c>
    </row>
    <row r="4561" spans="1:15" ht="31.5">
      <c r="A4561" s="16" t="s">
        <v>17</v>
      </c>
      <c r="B4561" s="16" t="s">
        <v>28</v>
      </c>
      <c r="C4561" s="17" t="s">
        <v>19</v>
      </c>
      <c r="D4561" s="33" t="s">
        <v>2568</v>
      </c>
      <c r="E4561" s="33">
        <v>1000</v>
      </c>
      <c r="F4561" s="33" t="s">
        <v>21</v>
      </c>
      <c r="G4561" s="33" t="s">
        <v>22</v>
      </c>
      <c r="H4561" s="33" t="s">
        <v>23</v>
      </c>
      <c r="I4561" s="19">
        <v>9.34</v>
      </c>
      <c r="J4561" s="20">
        <f t="shared" si="142"/>
        <v>9340</v>
      </c>
      <c r="K4561" s="106"/>
      <c r="L4561" s="114"/>
      <c r="M4561" s="114">
        <f>tblAquisições[[#This Row],[VALOR UNITARIO COMPRADO]]*tblAquisições[[#This Row],[QUANTIDADE COMPRADA]]</f>
        <v>0</v>
      </c>
      <c r="N4561" s="110">
        <f>K4561-tblAquisições[[#This Row],[QUANTIDADE PLANEJADA]]</f>
        <v>-1000</v>
      </c>
      <c r="O4561" s="106" t="str">
        <f t="shared" si="143"/>
        <v>Faltando Comprar</v>
      </c>
    </row>
    <row r="4562" spans="1:15" ht="47.25">
      <c r="A4562" s="16" t="s">
        <v>17</v>
      </c>
      <c r="B4562" s="16" t="s">
        <v>28</v>
      </c>
      <c r="C4562" s="17" t="s">
        <v>19</v>
      </c>
      <c r="D4562" s="18" t="s">
        <v>2569</v>
      </c>
      <c r="E4562" s="18">
        <v>30</v>
      </c>
      <c r="F4562" s="18" t="s">
        <v>58</v>
      </c>
      <c r="G4562" s="18" t="s">
        <v>22</v>
      </c>
      <c r="H4562" s="18" t="s">
        <v>23</v>
      </c>
      <c r="I4562" s="19">
        <v>8.9499999999999993</v>
      </c>
      <c r="J4562" s="20">
        <f t="shared" si="142"/>
        <v>268.5</v>
      </c>
      <c r="K4562" s="106"/>
      <c r="L4562" s="114"/>
      <c r="M4562" s="114">
        <f>tblAquisições[[#This Row],[VALOR UNITARIO COMPRADO]]*tblAquisições[[#This Row],[QUANTIDADE COMPRADA]]</f>
        <v>0</v>
      </c>
      <c r="N4562" s="110">
        <f>K4562-tblAquisições[[#This Row],[QUANTIDADE PLANEJADA]]</f>
        <v>-30</v>
      </c>
      <c r="O4562" s="106" t="str">
        <f t="shared" si="143"/>
        <v>Faltando Comprar</v>
      </c>
    </row>
    <row r="4563" spans="1:15" ht="47.25">
      <c r="A4563" s="16" t="s">
        <v>17</v>
      </c>
      <c r="B4563" s="16" t="s">
        <v>26</v>
      </c>
      <c r="C4563" s="17" t="s">
        <v>19</v>
      </c>
      <c r="D4563" s="18" t="s">
        <v>2570</v>
      </c>
      <c r="E4563" s="18">
        <v>3</v>
      </c>
      <c r="F4563" s="18" t="s">
        <v>78</v>
      </c>
      <c r="G4563" s="18" t="s">
        <v>22</v>
      </c>
      <c r="H4563" s="18" t="s">
        <v>23</v>
      </c>
      <c r="I4563" s="19">
        <v>34.619999999999997</v>
      </c>
      <c r="J4563" s="20">
        <f t="shared" si="142"/>
        <v>103.85999999999999</v>
      </c>
      <c r="K4563" s="106"/>
      <c r="L4563" s="114"/>
      <c r="M4563" s="114">
        <f>tblAquisições[[#This Row],[VALOR UNITARIO COMPRADO]]*tblAquisições[[#This Row],[QUANTIDADE COMPRADA]]</f>
        <v>0</v>
      </c>
      <c r="N4563" s="110">
        <f>K4563-tblAquisições[[#This Row],[QUANTIDADE PLANEJADA]]</f>
        <v>-3</v>
      </c>
      <c r="O4563" s="106" t="str">
        <f t="shared" si="143"/>
        <v>Faltando Comprar</v>
      </c>
    </row>
    <row r="4564" spans="1:15" ht="47.25">
      <c r="A4564" s="16" t="s">
        <v>17</v>
      </c>
      <c r="B4564" s="16" t="s">
        <v>28</v>
      </c>
      <c r="C4564" s="17" t="s">
        <v>19</v>
      </c>
      <c r="D4564" s="18" t="s">
        <v>2570</v>
      </c>
      <c r="E4564" s="18">
        <v>20</v>
      </c>
      <c r="F4564" s="18" t="s">
        <v>78</v>
      </c>
      <c r="G4564" s="18" t="s">
        <v>22</v>
      </c>
      <c r="H4564" s="18" t="s">
        <v>23</v>
      </c>
      <c r="I4564" s="19">
        <v>34.619999999999997</v>
      </c>
      <c r="J4564" s="20">
        <f t="shared" si="142"/>
        <v>692.4</v>
      </c>
      <c r="K4564" s="106"/>
      <c r="L4564" s="114"/>
      <c r="M4564" s="114">
        <f>tblAquisições[[#This Row],[VALOR UNITARIO COMPRADO]]*tblAquisições[[#This Row],[QUANTIDADE COMPRADA]]</f>
        <v>0</v>
      </c>
      <c r="N4564" s="110">
        <f>K4564-tblAquisições[[#This Row],[QUANTIDADE PLANEJADA]]</f>
        <v>-20</v>
      </c>
      <c r="O4564" s="106" t="str">
        <f t="shared" si="143"/>
        <v>Faltando Comprar</v>
      </c>
    </row>
    <row r="4565" spans="1:15" ht="47.25">
      <c r="A4565" s="16" t="s">
        <v>17</v>
      </c>
      <c r="B4565" s="16" t="s">
        <v>72</v>
      </c>
      <c r="C4565" s="17" t="s">
        <v>19</v>
      </c>
      <c r="D4565" s="18" t="s">
        <v>2570</v>
      </c>
      <c r="E4565" s="18">
        <v>5</v>
      </c>
      <c r="F4565" s="18" t="s">
        <v>78</v>
      </c>
      <c r="G4565" s="18" t="s">
        <v>22</v>
      </c>
      <c r="H4565" s="18" t="s">
        <v>23</v>
      </c>
      <c r="I4565" s="19">
        <v>34.619999999999997</v>
      </c>
      <c r="J4565" s="20">
        <f t="shared" si="142"/>
        <v>173.1</v>
      </c>
      <c r="K4565" s="106"/>
      <c r="L4565" s="114"/>
      <c r="M4565" s="114">
        <f>tblAquisições[[#This Row],[VALOR UNITARIO COMPRADO]]*tblAquisições[[#This Row],[QUANTIDADE COMPRADA]]</f>
        <v>0</v>
      </c>
      <c r="N4565" s="110">
        <f>K4565-tblAquisições[[#This Row],[QUANTIDADE PLANEJADA]]</f>
        <v>-5</v>
      </c>
      <c r="O4565" s="106" t="str">
        <f t="shared" si="143"/>
        <v>Faltando Comprar</v>
      </c>
    </row>
    <row r="4566" spans="1:15" ht="31.5">
      <c r="A4566" s="16" t="s">
        <v>17</v>
      </c>
      <c r="B4566" s="16" t="s">
        <v>72</v>
      </c>
      <c r="C4566" s="17" t="s">
        <v>19</v>
      </c>
      <c r="D4566" s="18" t="s">
        <v>2571</v>
      </c>
      <c r="E4566" s="18">
        <v>5</v>
      </c>
      <c r="F4566" s="18" t="s">
        <v>170</v>
      </c>
      <c r="G4566" s="18" t="s">
        <v>22</v>
      </c>
      <c r="H4566" s="18" t="s">
        <v>23</v>
      </c>
      <c r="I4566" s="19">
        <v>23.15</v>
      </c>
      <c r="J4566" s="20">
        <f t="shared" si="142"/>
        <v>115.75</v>
      </c>
      <c r="K4566" s="106"/>
      <c r="L4566" s="114"/>
      <c r="M4566" s="114">
        <f>tblAquisições[[#This Row],[VALOR UNITARIO COMPRADO]]*tblAquisições[[#This Row],[QUANTIDADE COMPRADA]]</f>
        <v>0</v>
      </c>
      <c r="N4566" s="110">
        <f>K4566-tblAquisições[[#This Row],[QUANTIDADE PLANEJADA]]</f>
        <v>-5</v>
      </c>
      <c r="O4566" s="106" t="str">
        <f t="shared" si="143"/>
        <v>Faltando Comprar</v>
      </c>
    </row>
    <row r="4567" spans="1:15" ht="47.25">
      <c r="A4567" s="16" t="s">
        <v>17</v>
      </c>
      <c r="B4567" s="16" t="s">
        <v>80</v>
      </c>
      <c r="C4567" s="17" t="s">
        <v>19</v>
      </c>
      <c r="D4567" s="18" t="s">
        <v>2572</v>
      </c>
      <c r="E4567" s="18">
        <v>2</v>
      </c>
      <c r="F4567" s="18" t="s">
        <v>147</v>
      </c>
      <c r="G4567" s="18" t="s">
        <v>39</v>
      </c>
      <c r="H4567" s="21"/>
      <c r="I4567" s="19">
        <v>3.53</v>
      </c>
      <c r="J4567" s="20">
        <f t="shared" si="142"/>
        <v>7.06</v>
      </c>
      <c r="K4567" s="106"/>
      <c r="L4567" s="114"/>
      <c r="M4567" s="114">
        <f>tblAquisições[[#This Row],[VALOR UNITARIO COMPRADO]]*tblAquisições[[#This Row],[QUANTIDADE COMPRADA]]</f>
        <v>0</v>
      </c>
      <c r="N4567" s="110">
        <f>K4567-tblAquisições[[#This Row],[QUANTIDADE PLANEJADA]]</f>
        <v>-2</v>
      </c>
      <c r="O4567" s="106" t="str">
        <f t="shared" si="143"/>
        <v>Faltando Comprar</v>
      </c>
    </row>
    <row r="4568" spans="1:15" ht="47.25">
      <c r="A4568" s="16" t="s">
        <v>17</v>
      </c>
      <c r="B4568" s="16" t="s">
        <v>28</v>
      </c>
      <c r="C4568" s="17" t="s">
        <v>19</v>
      </c>
      <c r="D4568" s="18" t="s">
        <v>2573</v>
      </c>
      <c r="E4568" s="18">
        <v>25</v>
      </c>
      <c r="F4568" s="18" t="s">
        <v>78</v>
      </c>
      <c r="G4568" s="18" t="s">
        <v>22</v>
      </c>
      <c r="H4568" s="18" t="s">
        <v>23</v>
      </c>
      <c r="I4568" s="19">
        <v>3.53</v>
      </c>
      <c r="J4568" s="20">
        <f t="shared" si="142"/>
        <v>88.25</v>
      </c>
      <c r="K4568" s="106"/>
      <c r="L4568" s="114"/>
      <c r="M4568" s="114">
        <f>tblAquisições[[#This Row],[VALOR UNITARIO COMPRADO]]*tblAquisições[[#This Row],[QUANTIDADE COMPRADA]]</f>
        <v>0</v>
      </c>
      <c r="N4568" s="110">
        <f>K4568-tblAquisições[[#This Row],[QUANTIDADE PLANEJADA]]</f>
        <v>-25</v>
      </c>
      <c r="O4568" s="106" t="str">
        <f t="shared" si="143"/>
        <v>Faltando Comprar</v>
      </c>
    </row>
    <row r="4569" spans="1:15" ht="47.25">
      <c r="A4569" s="16" t="s">
        <v>17</v>
      </c>
      <c r="B4569" s="16" t="s">
        <v>80</v>
      </c>
      <c r="C4569" s="17" t="s">
        <v>19</v>
      </c>
      <c r="D4569" s="18" t="s">
        <v>2574</v>
      </c>
      <c r="E4569" s="18">
        <v>2</v>
      </c>
      <c r="F4569" s="18" t="s">
        <v>147</v>
      </c>
      <c r="G4569" s="18" t="s">
        <v>39</v>
      </c>
      <c r="H4569" s="21"/>
      <c r="I4569" s="19">
        <v>6.29</v>
      </c>
      <c r="J4569" s="20">
        <f t="shared" si="142"/>
        <v>12.58</v>
      </c>
      <c r="K4569" s="106"/>
      <c r="L4569" s="114"/>
      <c r="M4569" s="114">
        <f>tblAquisições[[#This Row],[VALOR UNITARIO COMPRADO]]*tblAquisições[[#This Row],[QUANTIDADE COMPRADA]]</f>
        <v>0</v>
      </c>
      <c r="N4569" s="110">
        <f>K4569-tblAquisições[[#This Row],[QUANTIDADE PLANEJADA]]</f>
        <v>-2</v>
      </c>
      <c r="O4569" s="106" t="str">
        <f t="shared" si="143"/>
        <v>Faltando Comprar</v>
      </c>
    </row>
    <row r="4570" spans="1:15" ht="47.25">
      <c r="A4570" s="16" t="s">
        <v>17</v>
      </c>
      <c r="B4570" s="16" t="s">
        <v>28</v>
      </c>
      <c r="C4570" s="17" t="s">
        <v>19</v>
      </c>
      <c r="D4570" s="18" t="s">
        <v>2575</v>
      </c>
      <c r="E4570" s="18">
        <v>25</v>
      </c>
      <c r="F4570" s="18" t="s">
        <v>78</v>
      </c>
      <c r="G4570" s="18" t="s">
        <v>22</v>
      </c>
      <c r="H4570" s="18" t="s">
        <v>23</v>
      </c>
      <c r="I4570" s="19">
        <v>6.29</v>
      </c>
      <c r="J4570" s="20">
        <f t="shared" si="142"/>
        <v>157.25</v>
      </c>
      <c r="K4570" s="106"/>
      <c r="L4570" s="114"/>
      <c r="M4570" s="114">
        <f>tblAquisições[[#This Row],[VALOR UNITARIO COMPRADO]]*tblAquisições[[#This Row],[QUANTIDADE COMPRADA]]</f>
        <v>0</v>
      </c>
      <c r="N4570" s="110">
        <f>K4570-tblAquisições[[#This Row],[QUANTIDADE PLANEJADA]]</f>
        <v>-25</v>
      </c>
      <c r="O4570" s="106" t="str">
        <f t="shared" si="143"/>
        <v>Faltando Comprar</v>
      </c>
    </row>
    <row r="4571" spans="1:15" ht="31.5">
      <c r="A4571" s="16" t="s">
        <v>17</v>
      </c>
      <c r="B4571" s="16" t="s">
        <v>28</v>
      </c>
      <c r="C4571" s="17" t="s">
        <v>19</v>
      </c>
      <c r="D4571" s="18" t="s">
        <v>2576</v>
      </c>
      <c r="E4571" s="18">
        <v>2</v>
      </c>
      <c r="F4571" s="18" t="s">
        <v>328</v>
      </c>
      <c r="G4571" s="18" t="s">
        <v>22</v>
      </c>
      <c r="H4571" s="18" t="s">
        <v>23</v>
      </c>
      <c r="I4571" s="19">
        <v>48.54</v>
      </c>
      <c r="J4571" s="20">
        <f t="shared" si="142"/>
        <v>97.08</v>
      </c>
      <c r="K4571" s="106"/>
      <c r="L4571" s="114"/>
      <c r="M4571" s="114">
        <f>tblAquisições[[#This Row],[VALOR UNITARIO COMPRADO]]*tblAquisições[[#This Row],[QUANTIDADE COMPRADA]]</f>
        <v>0</v>
      </c>
      <c r="N4571" s="110">
        <f>K4571-tblAquisições[[#This Row],[QUANTIDADE PLANEJADA]]</f>
        <v>-2</v>
      </c>
      <c r="O4571" s="106" t="str">
        <f t="shared" si="143"/>
        <v>Faltando Comprar</v>
      </c>
    </row>
    <row r="4572" spans="1:15" ht="31.5">
      <c r="A4572" s="16" t="s">
        <v>17</v>
      </c>
      <c r="B4572" s="16" t="s">
        <v>17</v>
      </c>
      <c r="C4572" s="17" t="s">
        <v>19</v>
      </c>
      <c r="D4572" s="18" t="s">
        <v>2577</v>
      </c>
      <c r="E4572" s="18">
        <v>400</v>
      </c>
      <c r="F4572" s="18" t="s">
        <v>38</v>
      </c>
      <c r="G4572" s="18" t="s">
        <v>39</v>
      </c>
      <c r="H4572" s="18" t="s">
        <v>23</v>
      </c>
      <c r="I4572" s="19">
        <v>1.31</v>
      </c>
      <c r="J4572" s="20">
        <f t="shared" si="142"/>
        <v>524</v>
      </c>
      <c r="K4572" s="106"/>
      <c r="L4572" s="114"/>
      <c r="M4572" s="114">
        <f>tblAquisições[[#This Row],[VALOR UNITARIO COMPRADO]]*tblAquisições[[#This Row],[QUANTIDADE COMPRADA]]</f>
        <v>0</v>
      </c>
      <c r="N4572" s="110">
        <f>K4572-tblAquisições[[#This Row],[QUANTIDADE PLANEJADA]]</f>
        <v>-400</v>
      </c>
      <c r="O4572" s="106" t="str">
        <f t="shared" si="143"/>
        <v>Faltando Comprar</v>
      </c>
    </row>
    <row r="4573" spans="1:15" ht="31.5">
      <c r="A4573" s="16" t="s">
        <v>17</v>
      </c>
      <c r="B4573" s="16" t="s">
        <v>34</v>
      </c>
      <c r="C4573" s="17" t="s">
        <v>19</v>
      </c>
      <c r="D4573" s="18" t="s">
        <v>2578</v>
      </c>
      <c r="E4573" s="18">
        <v>20</v>
      </c>
      <c r="F4573" s="18" t="s">
        <v>21</v>
      </c>
      <c r="G4573" s="18" t="s">
        <v>22</v>
      </c>
      <c r="H4573" s="18" t="s">
        <v>23</v>
      </c>
      <c r="I4573" s="19">
        <v>1.31</v>
      </c>
      <c r="J4573" s="20">
        <f t="shared" si="142"/>
        <v>26.200000000000003</v>
      </c>
      <c r="K4573" s="106"/>
      <c r="L4573" s="114"/>
      <c r="M4573" s="114">
        <f>tblAquisições[[#This Row],[VALOR UNITARIO COMPRADO]]*tblAquisições[[#This Row],[QUANTIDADE COMPRADA]]</f>
        <v>0</v>
      </c>
      <c r="N4573" s="110">
        <f>K4573-tblAquisições[[#This Row],[QUANTIDADE PLANEJADA]]</f>
        <v>-20</v>
      </c>
      <c r="O4573" s="106" t="str">
        <f t="shared" si="143"/>
        <v>Faltando Comprar</v>
      </c>
    </row>
    <row r="4574" spans="1:15" ht="31.5">
      <c r="A4574" s="16" t="s">
        <v>17</v>
      </c>
      <c r="B4574" s="16" t="s">
        <v>31</v>
      </c>
      <c r="C4574" s="17" t="s">
        <v>19</v>
      </c>
      <c r="D4574" s="18" t="s">
        <v>2578</v>
      </c>
      <c r="E4574" s="18">
        <v>40</v>
      </c>
      <c r="F4574" s="18" t="s">
        <v>21</v>
      </c>
      <c r="G4574" s="18" t="s">
        <v>22</v>
      </c>
      <c r="H4574" s="18" t="s">
        <v>23</v>
      </c>
      <c r="I4574" s="19">
        <v>1.31</v>
      </c>
      <c r="J4574" s="20">
        <f t="shared" si="142"/>
        <v>52.400000000000006</v>
      </c>
      <c r="K4574" s="106"/>
      <c r="L4574" s="114"/>
      <c r="M4574" s="114">
        <f>tblAquisições[[#This Row],[VALOR UNITARIO COMPRADO]]*tblAquisições[[#This Row],[QUANTIDADE COMPRADA]]</f>
        <v>0</v>
      </c>
      <c r="N4574" s="110">
        <f>K4574-tblAquisições[[#This Row],[QUANTIDADE PLANEJADA]]</f>
        <v>-40</v>
      </c>
      <c r="O4574" s="106" t="str">
        <f t="shared" si="143"/>
        <v>Faltando Comprar</v>
      </c>
    </row>
    <row r="4575" spans="1:15" ht="31.5">
      <c r="A4575" s="16" t="s">
        <v>17</v>
      </c>
      <c r="B4575" s="16" t="s">
        <v>18</v>
      </c>
      <c r="C4575" s="17" t="s">
        <v>19</v>
      </c>
      <c r="D4575" s="18" t="s">
        <v>2578</v>
      </c>
      <c r="E4575" s="18">
        <v>200</v>
      </c>
      <c r="F4575" s="18" t="s">
        <v>21</v>
      </c>
      <c r="G4575" s="18" t="s">
        <v>22</v>
      </c>
      <c r="H4575" s="18" t="s">
        <v>23</v>
      </c>
      <c r="I4575" s="19">
        <v>1.31</v>
      </c>
      <c r="J4575" s="20">
        <f t="shared" si="142"/>
        <v>262</v>
      </c>
      <c r="K4575" s="106"/>
      <c r="L4575" s="114"/>
      <c r="M4575" s="114">
        <f>tblAquisições[[#This Row],[VALOR UNITARIO COMPRADO]]*tblAquisições[[#This Row],[QUANTIDADE COMPRADA]]</f>
        <v>0</v>
      </c>
      <c r="N4575" s="110">
        <f>K4575-tblAquisições[[#This Row],[QUANTIDADE PLANEJADA]]</f>
        <v>-200</v>
      </c>
      <c r="O4575" s="106" t="str">
        <f t="shared" si="143"/>
        <v>Faltando Comprar</v>
      </c>
    </row>
    <row r="4576" spans="1:15" ht="31.5">
      <c r="A4576" s="16" t="s">
        <v>17</v>
      </c>
      <c r="B4576" s="16" t="s">
        <v>24</v>
      </c>
      <c r="C4576" s="17" t="s">
        <v>19</v>
      </c>
      <c r="D4576" s="18" t="s">
        <v>2578</v>
      </c>
      <c r="E4576" s="18">
        <v>200</v>
      </c>
      <c r="F4576" s="18" t="s">
        <v>21</v>
      </c>
      <c r="G4576" s="18" t="s">
        <v>22</v>
      </c>
      <c r="H4576" s="18" t="s">
        <v>23</v>
      </c>
      <c r="I4576" s="19">
        <v>1.31</v>
      </c>
      <c r="J4576" s="20">
        <f t="shared" si="142"/>
        <v>262</v>
      </c>
      <c r="K4576" s="106"/>
      <c r="L4576" s="114"/>
      <c r="M4576" s="114">
        <f>tblAquisições[[#This Row],[VALOR UNITARIO COMPRADO]]*tblAquisições[[#This Row],[QUANTIDADE COMPRADA]]</f>
        <v>0</v>
      </c>
      <c r="N4576" s="110">
        <f>K4576-tblAquisições[[#This Row],[QUANTIDADE PLANEJADA]]</f>
        <v>-200</v>
      </c>
      <c r="O4576" s="106" t="str">
        <f t="shared" si="143"/>
        <v>Faltando Comprar</v>
      </c>
    </row>
    <row r="4577" spans="1:15" ht="31.5">
      <c r="A4577" s="16" t="s">
        <v>17</v>
      </c>
      <c r="B4577" s="16" t="s">
        <v>25</v>
      </c>
      <c r="C4577" s="17" t="s">
        <v>19</v>
      </c>
      <c r="D4577" s="18" t="s">
        <v>2578</v>
      </c>
      <c r="E4577" s="18">
        <v>200</v>
      </c>
      <c r="F4577" s="18" t="s">
        <v>21</v>
      </c>
      <c r="G4577" s="18" t="s">
        <v>22</v>
      </c>
      <c r="H4577" s="18" t="s">
        <v>23</v>
      </c>
      <c r="I4577" s="19">
        <v>1.31</v>
      </c>
      <c r="J4577" s="20">
        <f t="shared" si="142"/>
        <v>262</v>
      </c>
      <c r="K4577" s="106"/>
      <c r="L4577" s="114"/>
      <c r="M4577" s="114">
        <f>tblAquisições[[#This Row],[VALOR UNITARIO COMPRADO]]*tblAquisições[[#This Row],[QUANTIDADE COMPRADA]]</f>
        <v>0</v>
      </c>
      <c r="N4577" s="110">
        <f>K4577-tblAquisições[[#This Row],[QUANTIDADE PLANEJADA]]</f>
        <v>-200</v>
      </c>
      <c r="O4577" s="106" t="str">
        <f t="shared" si="143"/>
        <v>Faltando Comprar</v>
      </c>
    </row>
    <row r="4578" spans="1:15" ht="31.5">
      <c r="A4578" s="16" t="s">
        <v>17</v>
      </c>
      <c r="B4578" s="16" t="s">
        <v>41</v>
      </c>
      <c r="C4578" s="17" t="s">
        <v>19</v>
      </c>
      <c r="D4578" s="18" t="s">
        <v>2578</v>
      </c>
      <c r="E4578" s="18">
        <v>100</v>
      </c>
      <c r="F4578" s="18" t="s">
        <v>21</v>
      </c>
      <c r="G4578" s="18" t="s">
        <v>22</v>
      </c>
      <c r="H4578" s="18" t="s">
        <v>23</v>
      </c>
      <c r="I4578" s="19">
        <v>1.31</v>
      </c>
      <c r="J4578" s="20">
        <f t="shared" si="142"/>
        <v>131</v>
      </c>
      <c r="K4578" s="106"/>
      <c r="L4578" s="114"/>
      <c r="M4578" s="114">
        <f>tblAquisições[[#This Row],[VALOR UNITARIO COMPRADO]]*tblAquisições[[#This Row],[QUANTIDADE COMPRADA]]</f>
        <v>0</v>
      </c>
      <c r="N4578" s="110">
        <f>K4578-tblAquisições[[#This Row],[QUANTIDADE PLANEJADA]]</f>
        <v>-100</v>
      </c>
      <c r="O4578" s="106" t="str">
        <f t="shared" si="143"/>
        <v>Faltando Comprar</v>
      </c>
    </row>
    <row r="4579" spans="1:15" ht="31.5">
      <c r="A4579" s="16" t="s">
        <v>17</v>
      </c>
      <c r="B4579" s="16" t="s">
        <v>26</v>
      </c>
      <c r="C4579" s="17" t="s">
        <v>19</v>
      </c>
      <c r="D4579" s="18" t="s">
        <v>2578</v>
      </c>
      <c r="E4579" s="18">
        <v>50</v>
      </c>
      <c r="F4579" s="18" t="s">
        <v>21</v>
      </c>
      <c r="G4579" s="18" t="s">
        <v>22</v>
      </c>
      <c r="H4579" s="18" t="s">
        <v>23</v>
      </c>
      <c r="I4579" s="19">
        <v>1.31</v>
      </c>
      <c r="J4579" s="20">
        <f t="shared" si="142"/>
        <v>65.5</v>
      </c>
      <c r="K4579" s="106"/>
      <c r="L4579" s="114"/>
      <c r="M4579" s="114">
        <f>tblAquisições[[#This Row],[VALOR UNITARIO COMPRADO]]*tblAquisições[[#This Row],[QUANTIDADE COMPRADA]]</f>
        <v>0</v>
      </c>
      <c r="N4579" s="110">
        <f>K4579-tblAquisições[[#This Row],[QUANTIDADE PLANEJADA]]</f>
        <v>-50</v>
      </c>
      <c r="O4579" s="106" t="str">
        <f t="shared" si="143"/>
        <v>Faltando Comprar</v>
      </c>
    </row>
    <row r="4580" spans="1:15" ht="31.5">
      <c r="A4580" s="16" t="s">
        <v>17</v>
      </c>
      <c r="B4580" s="16" t="s">
        <v>27</v>
      </c>
      <c r="C4580" s="17" t="s">
        <v>19</v>
      </c>
      <c r="D4580" s="18" t="s">
        <v>2578</v>
      </c>
      <c r="E4580" s="18">
        <v>150</v>
      </c>
      <c r="F4580" s="18" t="s">
        <v>21</v>
      </c>
      <c r="G4580" s="18" t="s">
        <v>22</v>
      </c>
      <c r="H4580" s="18" t="s">
        <v>23</v>
      </c>
      <c r="I4580" s="19">
        <v>1.31</v>
      </c>
      <c r="J4580" s="20">
        <f t="shared" si="142"/>
        <v>196.5</v>
      </c>
      <c r="K4580" s="106"/>
      <c r="L4580" s="114"/>
      <c r="M4580" s="114">
        <f>tblAquisições[[#This Row],[VALOR UNITARIO COMPRADO]]*tblAquisições[[#This Row],[QUANTIDADE COMPRADA]]</f>
        <v>0</v>
      </c>
      <c r="N4580" s="110">
        <f>K4580-tblAquisições[[#This Row],[QUANTIDADE PLANEJADA]]</f>
        <v>-150</v>
      </c>
      <c r="O4580" s="106" t="str">
        <f t="shared" si="143"/>
        <v>Faltando Comprar</v>
      </c>
    </row>
    <row r="4581" spans="1:15" ht="31.5">
      <c r="A4581" s="16" t="s">
        <v>17</v>
      </c>
      <c r="B4581" s="16" t="s">
        <v>28</v>
      </c>
      <c r="C4581" s="17" t="s">
        <v>19</v>
      </c>
      <c r="D4581" s="18" t="s">
        <v>2578</v>
      </c>
      <c r="E4581" s="18">
        <v>400</v>
      </c>
      <c r="F4581" s="18" t="s">
        <v>21</v>
      </c>
      <c r="G4581" s="18" t="s">
        <v>22</v>
      </c>
      <c r="H4581" s="18" t="s">
        <v>23</v>
      </c>
      <c r="I4581" s="19">
        <v>1.31</v>
      </c>
      <c r="J4581" s="20">
        <f t="shared" si="142"/>
        <v>524</v>
      </c>
      <c r="K4581" s="106"/>
      <c r="L4581" s="114"/>
      <c r="M4581" s="114">
        <f>tblAquisições[[#This Row],[VALOR UNITARIO COMPRADO]]*tblAquisições[[#This Row],[QUANTIDADE COMPRADA]]</f>
        <v>0</v>
      </c>
      <c r="N4581" s="110">
        <f>K4581-tblAquisições[[#This Row],[QUANTIDADE PLANEJADA]]</f>
        <v>-400</v>
      </c>
      <c r="O4581" s="106" t="str">
        <f t="shared" si="143"/>
        <v>Faltando Comprar</v>
      </c>
    </row>
    <row r="4582" spans="1:15" ht="47.25">
      <c r="A4582" s="16" t="s">
        <v>17</v>
      </c>
      <c r="B4582" s="16" t="s">
        <v>25</v>
      </c>
      <c r="C4582" s="17" t="s">
        <v>19</v>
      </c>
      <c r="D4582" s="18" t="s">
        <v>2579</v>
      </c>
      <c r="E4582" s="18">
        <v>10</v>
      </c>
      <c r="F4582" s="18" t="s">
        <v>78</v>
      </c>
      <c r="G4582" s="18" t="s">
        <v>22</v>
      </c>
      <c r="H4582" s="18" t="s">
        <v>23</v>
      </c>
      <c r="I4582" s="19">
        <v>8.5299999999999994</v>
      </c>
      <c r="J4582" s="20">
        <f t="shared" si="142"/>
        <v>85.3</v>
      </c>
      <c r="K4582" s="106"/>
      <c r="L4582" s="114"/>
      <c r="M4582" s="114">
        <f>tblAquisições[[#This Row],[VALOR UNITARIO COMPRADO]]*tblAquisições[[#This Row],[QUANTIDADE COMPRADA]]</f>
        <v>0</v>
      </c>
      <c r="N4582" s="110">
        <f>K4582-tblAquisições[[#This Row],[QUANTIDADE PLANEJADA]]</f>
        <v>-10</v>
      </c>
      <c r="O4582" s="106" t="str">
        <f t="shared" si="143"/>
        <v>Faltando Comprar</v>
      </c>
    </row>
    <row r="4583" spans="1:15" ht="47.25">
      <c r="A4583" s="16" t="s">
        <v>17</v>
      </c>
      <c r="B4583" s="16" t="s">
        <v>27</v>
      </c>
      <c r="C4583" s="17" t="s">
        <v>19</v>
      </c>
      <c r="D4583" s="18" t="s">
        <v>2579</v>
      </c>
      <c r="E4583" s="18">
        <v>10</v>
      </c>
      <c r="F4583" s="18" t="s">
        <v>78</v>
      </c>
      <c r="G4583" s="18" t="s">
        <v>22</v>
      </c>
      <c r="H4583" s="18" t="s">
        <v>23</v>
      </c>
      <c r="I4583" s="19">
        <v>8.5299999999999994</v>
      </c>
      <c r="J4583" s="20">
        <f t="shared" si="142"/>
        <v>85.3</v>
      </c>
      <c r="K4583" s="106"/>
      <c r="L4583" s="114"/>
      <c r="M4583" s="114">
        <f>tblAquisições[[#This Row],[VALOR UNITARIO COMPRADO]]*tblAquisições[[#This Row],[QUANTIDADE COMPRADA]]</f>
        <v>0</v>
      </c>
      <c r="N4583" s="110">
        <f>K4583-tblAquisições[[#This Row],[QUANTIDADE PLANEJADA]]</f>
        <v>-10</v>
      </c>
      <c r="O4583" s="106" t="str">
        <f t="shared" si="143"/>
        <v>Faltando Comprar</v>
      </c>
    </row>
    <row r="4584" spans="1:15" ht="47.25">
      <c r="A4584" s="16" t="s">
        <v>17</v>
      </c>
      <c r="B4584" s="16" t="s">
        <v>28</v>
      </c>
      <c r="C4584" s="17" t="s">
        <v>19</v>
      </c>
      <c r="D4584" s="18" t="s">
        <v>2579</v>
      </c>
      <c r="E4584" s="18">
        <v>10</v>
      </c>
      <c r="F4584" s="18" t="s">
        <v>78</v>
      </c>
      <c r="G4584" s="18" t="s">
        <v>22</v>
      </c>
      <c r="H4584" s="18" t="s">
        <v>23</v>
      </c>
      <c r="I4584" s="19">
        <v>8.5299999999999994</v>
      </c>
      <c r="J4584" s="20">
        <f t="shared" si="142"/>
        <v>85.3</v>
      </c>
      <c r="K4584" s="106"/>
      <c r="L4584" s="114"/>
      <c r="M4584" s="114">
        <f>tblAquisições[[#This Row],[VALOR UNITARIO COMPRADO]]*tblAquisições[[#This Row],[QUANTIDADE COMPRADA]]</f>
        <v>0</v>
      </c>
      <c r="N4584" s="110">
        <f>K4584-tblAquisições[[#This Row],[QUANTIDADE PLANEJADA]]</f>
        <v>-10</v>
      </c>
      <c r="O4584" s="106" t="str">
        <f t="shared" si="143"/>
        <v>Faltando Comprar</v>
      </c>
    </row>
    <row r="4585" spans="1:15" ht="47.25">
      <c r="A4585" s="16" t="s">
        <v>17</v>
      </c>
      <c r="B4585" s="16" t="s">
        <v>26</v>
      </c>
      <c r="C4585" s="17" t="s">
        <v>19</v>
      </c>
      <c r="D4585" s="18" t="s">
        <v>2580</v>
      </c>
      <c r="E4585" s="18">
        <v>20</v>
      </c>
      <c r="F4585" s="18" t="s">
        <v>78</v>
      </c>
      <c r="G4585" s="18" t="s">
        <v>22</v>
      </c>
      <c r="H4585" s="18" t="s">
        <v>23</v>
      </c>
      <c r="I4585" s="19">
        <v>9.23</v>
      </c>
      <c r="J4585" s="20">
        <f t="shared" si="142"/>
        <v>184.60000000000002</v>
      </c>
      <c r="K4585" s="106"/>
      <c r="L4585" s="114"/>
      <c r="M4585" s="114">
        <f>tblAquisições[[#This Row],[VALOR UNITARIO COMPRADO]]*tblAquisições[[#This Row],[QUANTIDADE COMPRADA]]</f>
        <v>0</v>
      </c>
      <c r="N4585" s="110">
        <f>K4585-tblAquisições[[#This Row],[QUANTIDADE PLANEJADA]]</f>
        <v>-20</v>
      </c>
      <c r="O4585" s="106" t="str">
        <f t="shared" si="143"/>
        <v>Faltando Comprar</v>
      </c>
    </row>
    <row r="4586" spans="1:15" ht="47.25">
      <c r="A4586" s="16" t="s">
        <v>17</v>
      </c>
      <c r="B4586" s="16" t="s">
        <v>25</v>
      </c>
      <c r="C4586" s="17" t="s">
        <v>19</v>
      </c>
      <c r="D4586" s="18" t="s">
        <v>2581</v>
      </c>
      <c r="E4586" s="18">
        <v>10</v>
      </c>
      <c r="F4586" s="18" t="s">
        <v>78</v>
      </c>
      <c r="G4586" s="18" t="s">
        <v>22</v>
      </c>
      <c r="H4586" s="18" t="s">
        <v>23</v>
      </c>
      <c r="I4586" s="19">
        <v>6.76</v>
      </c>
      <c r="J4586" s="20">
        <f t="shared" si="142"/>
        <v>67.599999999999994</v>
      </c>
      <c r="K4586" s="106"/>
      <c r="L4586" s="114"/>
      <c r="M4586" s="114">
        <f>tblAquisições[[#This Row],[VALOR UNITARIO COMPRADO]]*tblAquisições[[#This Row],[QUANTIDADE COMPRADA]]</f>
        <v>0</v>
      </c>
      <c r="N4586" s="110">
        <f>K4586-tblAquisições[[#This Row],[QUANTIDADE PLANEJADA]]</f>
        <v>-10</v>
      </c>
      <c r="O4586" s="106" t="str">
        <f t="shared" si="143"/>
        <v>Faltando Comprar</v>
      </c>
    </row>
    <row r="4587" spans="1:15" ht="47.25">
      <c r="A4587" s="16" t="s">
        <v>17</v>
      </c>
      <c r="B4587" s="16" t="s">
        <v>27</v>
      </c>
      <c r="C4587" s="17" t="s">
        <v>19</v>
      </c>
      <c r="D4587" s="18" t="s">
        <v>2581</v>
      </c>
      <c r="E4587" s="18">
        <v>10</v>
      </c>
      <c r="F4587" s="18" t="s">
        <v>78</v>
      </c>
      <c r="G4587" s="18" t="s">
        <v>22</v>
      </c>
      <c r="H4587" s="18" t="s">
        <v>23</v>
      </c>
      <c r="I4587" s="19">
        <v>6.76</v>
      </c>
      <c r="J4587" s="20">
        <f t="shared" si="142"/>
        <v>67.599999999999994</v>
      </c>
      <c r="K4587" s="106"/>
      <c r="L4587" s="114"/>
      <c r="M4587" s="114">
        <f>tblAquisições[[#This Row],[VALOR UNITARIO COMPRADO]]*tblAquisições[[#This Row],[QUANTIDADE COMPRADA]]</f>
        <v>0</v>
      </c>
      <c r="N4587" s="110">
        <f>K4587-tblAquisições[[#This Row],[QUANTIDADE PLANEJADA]]</f>
        <v>-10</v>
      </c>
      <c r="O4587" s="106" t="str">
        <f t="shared" si="143"/>
        <v>Faltando Comprar</v>
      </c>
    </row>
    <row r="4588" spans="1:15" ht="47.25">
      <c r="A4588" s="16" t="s">
        <v>17</v>
      </c>
      <c r="B4588" s="16" t="s">
        <v>34</v>
      </c>
      <c r="C4588" s="17" t="s">
        <v>19</v>
      </c>
      <c r="D4588" s="18" t="s">
        <v>2582</v>
      </c>
      <c r="E4588" s="18">
        <v>5</v>
      </c>
      <c r="F4588" s="18" t="s">
        <v>78</v>
      </c>
      <c r="G4588" s="18" t="s">
        <v>22</v>
      </c>
      <c r="H4588" s="18" t="s">
        <v>100</v>
      </c>
      <c r="I4588" s="19">
        <v>150.07</v>
      </c>
      <c r="J4588" s="20">
        <f t="shared" si="142"/>
        <v>750.34999999999991</v>
      </c>
      <c r="K4588" s="106"/>
      <c r="L4588" s="114"/>
      <c r="M4588" s="114">
        <f>tblAquisições[[#This Row],[VALOR UNITARIO COMPRADO]]*tblAquisições[[#This Row],[QUANTIDADE COMPRADA]]</f>
        <v>0</v>
      </c>
      <c r="N4588" s="110">
        <f>K4588-tblAquisições[[#This Row],[QUANTIDADE PLANEJADA]]</f>
        <v>-5</v>
      </c>
      <c r="O4588" s="106" t="str">
        <f t="shared" si="143"/>
        <v>Faltando Comprar</v>
      </c>
    </row>
    <row r="4589" spans="1:15" ht="47.25">
      <c r="A4589" s="16" t="s">
        <v>17</v>
      </c>
      <c r="B4589" s="16" t="s">
        <v>28</v>
      </c>
      <c r="C4589" s="17" t="s">
        <v>19</v>
      </c>
      <c r="D4589" s="18" t="s">
        <v>2582</v>
      </c>
      <c r="E4589" s="18">
        <v>20</v>
      </c>
      <c r="F4589" s="18" t="s">
        <v>78</v>
      </c>
      <c r="G4589" s="18" t="s">
        <v>22</v>
      </c>
      <c r="H4589" s="18" t="s">
        <v>23</v>
      </c>
      <c r="I4589" s="19">
        <v>150.07</v>
      </c>
      <c r="J4589" s="20">
        <f t="shared" si="142"/>
        <v>3001.3999999999996</v>
      </c>
      <c r="K4589" s="106"/>
      <c r="L4589" s="114"/>
      <c r="M4589" s="114">
        <f>tblAquisições[[#This Row],[VALOR UNITARIO COMPRADO]]*tblAquisições[[#This Row],[QUANTIDADE COMPRADA]]</f>
        <v>0</v>
      </c>
      <c r="N4589" s="110">
        <f>K4589-tblAquisições[[#This Row],[QUANTIDADE PLANEJADA]]</f>
        <v>-20</v>
      </c>
      <c r="O4589" s="106" t="str">
        <f t="shared" si="143"/>
        <v>Faltando Comprar</v>
      </c>
    </row>
    <row r="4590" spans="1:15" ht="47.25">
      <c r="A4590" s="16" t="s">
        <v>17</v>
      </c>
      <c r="B4590" s="16" t="s">
        <v>31</v>
      </c>
      <c r="C4590" s="17" t="s">
        <v>19</v>
      </c>
      <c r="D4590" s="18" t="s">
        <v>2583</v>
      </c>
      <c r="E4590" s="18">
        <v>2</v>
      </c>
      <c r="F4590" s="18" t="s">
        <v>131</v>
      </c>
      <c r="G4590" s="18" t="s">
        <v>22</v>
      </c>
      <c r="H4590" s="18" t="s">
        <v>23</v>
      </c>
      <c r="I4590" s="19">
        <v>67.62</v>
      </c>
      <c r="J4590" s="20">
        <f t="shared" si="142"/>
        <v>135.24</v>
      </c>
      <c r="K4590" s="106"/>
      <c r="L4590" s="114"/>
      <c r="M4590" s="114">
        <f>tblAquisições[[#This Row],[VALOR UNITARIO COMPRADO]]*tblAquisições[[#This Row],[QUANTIDADE COMPRADA]]</f>
        <v>0</v>
      </c>
      <c r="N4590" s="110">
        <f>K4590-tblAquisições[[#This Row],[QUANTIDADE PLANEJADA]]</f>
        <v>-2</v>
      </c>
      <c r="O4590" s="106" t="str">
        <f t="shared" si="143"/>
        <v>Faltando Comprar</v>
      </c>
    </row>
    <row r="4591" spans="1:15" ht="47.25">
      <c r="A4591" s="16" t="s">
        <v>17</v>
      </c>
      <c r="B4591" s="16" t="s">
        <v>34</v>
      </c>
      <c r="C4591" s="17" t="s">
        <v>19</v>
      </c>
      <c r="D4591" s="18" t="s">
        <v>2584</v>
      </c>
      <c r="E4591" s="18">
        <v>2</v>
      </c>
      <c r="F4591" s="18" t="s">
        <v>78</v>
      </c>
      <c r="G4591" s="18" t="s">
        <v>22</v>
      </c>
      <c r="H4591" s="18" t="s">
        <v>53</v>
      </c>
      <c r="I4591" s="19">
        <v>115.97</v>
      </c>
      <c r="J4591" s="20">
        <f t="shared" si="142"/>
        <v>231.94</v>
      </c>
      <c r="K4591" s="106"/>
      <c r="L4591" s="114"/>
      <c r="M4591" s="114">
        <f>tblAquisições[[#This Row],[VALOR UNITARIO COMPRADO]]*tblAquisições[[#This Row],[QUANTIDADE COMPRADA]]</f>
        <v>0</v>
      </c>
      <c r="N4591" s="110">
        <f>K4591-tblAquisições[[#This Row],[QUANTIDADE PLANEJADA]]</f>
        <v>-2</v>
      </c>
      <c r="O4591" s="106" t="str">
        <f t="shared" si="143"/>
        <v>Faltando Comprar</v>
      </c>
    </row>
    <row r="4592" spans="1:15" ht="47.25">
      <c r="A4592" s="16" t="s">
        <v>17</v>
      </c>
      <c r="B4592" s="16" t="s">
        <v>34</v>
      </c>
      <c r="C4592" s="17" t="s">
        <v>19</v>
      </c>
      <c r="D4592" s="18" t="s">
        <v>2585</v>
      </c>
      <c r="E4592" s="18">
        <v>20</v>
      </c>
      <c r="F4592" s="18" t="s">
        <v>78</v>
      </c>
      <c r="G4592" s="18" t="s">
        <v>22</v>
      </c>
      <c r="H4592" s="18" t="s">
        <v>53</v>
      </c>
      <c r="I4592" s="19">
        <v>36.520000000000003</v>
      </c>
      <c r="J4592" s="20">
        <f t="shared" si="142"/>
        <v>730.40000000000009</v>
      </c>
      <c r="K4592" s="106"/>
      <c r="L4592" s="114"/>
      <c r="M4592" s="114">
        <f>tblAquisições[[#This Row],[VALOR UNITARIO COMPRADO]]*tblAquisições[[#This Row],[QUANTIDADE COMPRADA]]</f>
        <v>0</v>
      </c>
      <c r="N4592" s="110">
        <f>K4592-tblAquisições[[#This Row],[QUANTIDADE PLANEJADA]]</f>
        <v>-20</v>
      </c>
      <c r="O4592" s="106" t="str">
        <f t="shared" si="143"/>
        <v>Faltando Comprar</v>
      </c>
    </row>
    <row r="4593" spans="1:15" ht="47.25">
      <c r="A4593" s="16" t="s">
        <v>17</v>
      </c>
      <c r="B4593" s="16" t="s">
        <v>18</v>
      </c>
      <c r="C4593" s="17" t="s">
        <v>19</v>
      </c>
      <c r="D4593" s="18" t="s">
        <v>2585</v>
      </c>
      <c r="E4593" s="18">
        <v>5</v>
      </c>
      <c r="F4593" s="18" t="s">
        <v>78</v>
      </c>
      <c r="G4593" s="18" t="s">
        <v>22</v>
      </c>
      <c r="H4593" s="18" t="s">
        <v>23</v>
      </c>
      <c r="I4593" s="19">
        <v>36.520000000000003</v>
      </c>
      <c r="J4593" s="20">
        <f t="shared" si="142"/>
        <v>182.60000000000002</v>
      </c>
      <c r="K4593" s="106"/>
      <c r="L4593" s="114"/>
      <c r="M4593" s="114">
        <f>tblAquisições[[#This Row],[VALOR UNITARIO COMPRADO]]*tblAquisições[[#This Row],[QUANTIDADE COMPRADA]]</f>
        <v>0</v>
      </c>
      <c r="N4593" s="110">
        <f>K4593-tblAquisições[[#This Row],[QUANTIDADE PLANEJADA]]</f>
        <v>-5</v>
      </c>
      <c r="O4593" s="106" t="str">
        <f t="shared" si="143"/>
        <v>Faltando Comprar</v>
      </c>
    </row>
    <row r="4594" spans="1:15" ht="47.25">
      <c r="A4594" s="16" t="s">
        <v>17</v>
      </c>
      <c r="B4594" s="16" t="s">
        <v>24</v>
      </c>
      <c r="C4594" s="17" t="s">
        <v>19</v>
      </c>
      <c r="D4594" s="18" t="s">
        <v>2585</v>
      </c>
      <c r="E4594" s="18">
        <v>5</v>
      </c>
      <c r="F4594" s="18" t="s">
        <v>78</v>
      </c>
      <c r="G4594" s="18" t="s">
        <v>22</v>
      </c>
      <c r="H4594" s="18" t="s">
        <v>23</v>
      </c>
      <c r="I4594" s="19">
        <v>36.520000000000003</v>
      </c>
      <c r="J4594" s="20">
        <f t="shared" si="142"/>
        <v>182.60000000000002</v>
      </c>
      <c r="K4594" s="106"/>
      <c r="L4594" s="114"/>
      <c r="M4594" s="114">
        <f>tblAquisições[[#This Row],[VALOR UNITARIO COMPRADO]]*tblAquisições[[#This Row],[QUANTIDADE COMPRADA]]</f>
        <v>0</v>
      </c>
      <c r="N4594" s="110">
        <f>K4594-tblAquisições[[#This Row],[QUANTIDADE PLANEJADA]]</f>
        <v>-5</v>
      </c>
      <c r="O4594" s="106" t="str">
        <f t="shared" si="143"/>
        <v>Faltando Comprar</v>
      </c>
    </row>
    <row r="4595" spans="1:15" ht="47.25">
      <c r="A4595" s="16" t="s">
        <v>17</v>
      </c>
      <c r="B4595" s="16" t="s">
        <v>25</v>
      </c>
      <c r="C4595" s="17" t="s">
        <v>19</v>
      </c>
      <c r="D4595" s="18" t="s">
        <v>2585</v>
      </c>
      <c r="E4595" s="18">
        <v>5</v>
      </c>
      <c r="F4595" s="18" t="s">
        <v>78</v>
      </c>
      <c r="G4595" s="18" t="s">
        <v>22</v>
      </c>
      <c r="H4595" s="18" t="s">
        <v>23</v>
      </c>
      <c r="I4595" s="19">
        <v>36.520000000000003</v>
      </c>
      <c r="J4595" s="20">
        <f t="shared" si="142"/>
        <v>182.60000000000002</v>
      </c>
      <c r="K4595" s="106"/>
      <c r="L4595" s="114"/>
      <c r="M4595" s="114">
        <f>tblAquisições[[#This Row],[VALOR UNITARIO COMPRADO]]*tblAquisições[[#This Row],[QUANTIDADE COMPRADA]]</f>
        <v>0</v>
      </c>
      <c r="N4595" s="110">
        <f>K4595-tblAquisições[[#This Row],[QUANTIDADE PLANEJADA]]</f>
        <v>-5</v>
      </c>
      <c r="O4595" s="106" t="str">
        <f t="shared" si="143"/>
        <v>Faltando Comprar</v>
      </c>
    </row>
    <row r="4596" spans="1:15" ht="47.25">
      <c r="A4596" s="16" t="s">
        <v>17</v>
      </c>
      <c r="B4596" s="16" t="s">
        <v>80</v>
      </c>
      <c r="C4596" s="17" t="s">
        <v>19</v>
      </c>
      <c r="D4596" s="18" t="s">
        <v>2586</v>
      </c>
      <c r="E4596" s="18">
        <v>2</v>
      </c>
      <c r="F4596" s="18" t="s">
        <v>147</v>
      </c>
      <c r="G4596" s="18" t="s">
        <v>39</v>
      </c>
      <c r="H4596" s="18" t="s">
        <v>23</v>
      </c>
      <c r="I4596" s="19">
        <v>34.700000000000003</v>
      </c>
      <c r="J4596" s="20">
        <f t="shared" si="142"/>
        <v>69.400000000000006</v>
      </c>
      <c r="K4596" s="106"/>
      <c r="L4596" s="114"/>
      <c r="M4596" s="114">
        <f>tblAquisições[[#This Row],[VALOR UNITARIO COMPRADO]]*tblAquisições[[#This Row],[QUANTIDADE COMPRADA]]</f>
        <v>0</v>
      </c>
      <c r="N4596" s="110">
        <f>K4596-tblAquisições[[#This Row],[QUANTIDADE PLANEJADA]]</f>
        <v>-2</v>
      </c>
      <c r="O4596" s="106" t="str">
        <f t="shared" si="143"/>
        <v>Faltando Comprar</v>
      </c>
    </row>
    <row r="4597" spans="1:15" ht="47.25">
      <c r="A4597" s="16" t="s">
        <v>17</v>
      </c>
      <c r="B4597" s="16" t="s">
        <v>34</v>
      </c>
      <c r="C4597" s="17" t="s">
        <v>19</v>
      </c>
      <c r="D4597" s="18" t="s">
        <v>2587</v>
      </c>
      <c r="E4597" s="18">
        <v>2</v>
      </c>
      <c r="F4597" s="18" t="s">
        <v>78</v>
      </c>
      <c r="G4597" s="18" t="s">
        <v>22</v>
      </c>
      <c r="H4597" s="18" t="s">
        <v>23</v>
      </c>
      <c r="I4597" s="19">
        <v>34.700000000000003</v>
      </c>
      <c r="J4597" s="20">
        <f t="shared" si="142"/>
        <v>69.400000000000006</v>
      </c>
      <c r="K4597" s="106"/>
      <c r="L4597" s="114"/>
      <c r="M4597" s="114">
        <f>tblAquisições[[#This Row],[VALOR UNITARIO COMPRADO]]*tblAquisições[[#This Row],[QUANTIDADE COMPRADA]]</f>
        <v>0</v>
      </c>
      <c r="N4597" s="110">
        <f>K4597-tblAquisições[[#This Row],[QUANTIDADE PLANEJADA]]</f>
        <v>-2</v>
      </c>
      <c r="O4597" s="106" t="str">
        <f t="shared" si="143"/>
        <v>Faltando Comprar</v>
      </c>
    </row>
    <row r="4598" spans="1:15" ht="47.25">
      <c r="A4598" s="16" t="s">
        <v>17</v>
      </c>
      <c r="B4598" s="16" t="s">
        <v>28</v>
      </c>
      <c r="C4598" s="17" t="s">
        <v>19</v>
      </c>
      <c r="D4598" s="18" t="s">
        <v>2587</v>
      </c>
      <c r="E4598" s="18">
        <v>25</v>
      </c>
      <c r="F4598" s="18" t="s">
        <v>78</v>
      </c>
      <c r="G4598" s="18" t="s">
        <v>22</v>
      </c>
      <c r="H4598" s="18" t="s">
        <v>23</v>
      </c>
      <c r="I4598" s="19">
        <v>34.700000000000003</v>
      </c>
      <c r="J4598" s="20">
        <f t="shared" si="142"/>
        <v>867.50000000000011</v>
      </c>
      <c r="K4598" s="106"/>
      <c r="L4598" s="114"/>
      <c r="M4598" s="114">
        <f>tblAquisições[[#This Row],[VALOR UNITARIO COMPRADO]]*tblAquisições[[#This Row],[QUANTIDADE COMPRADA]]</f>
        <v>0</v>
      </c>
      <c r="N4598" s="110">
        <f>K4598-tblAquisições[[#This Row],[QUANTIDADE PLANEJADA]]</f>
        <v>-25</v>
      </c>
      <c r="O4598" s="106" t="str">
        <f t="shared" si="143"/>
        <v>Faltando Comprar</v>
      </c>
    </row>
    <row r="4599" spans="1:15" ht="47.25">
      <c r="A4599" s="16" t="s">
        <v>17</v>
      </c>
      <c r="B4599" s="16" t="s">
        <v>28</v>
      </c>
      <c r="C4599" s="17" t="s">
        <v>19</v>
      </c>
      <c r="D4599" s="18" t="s">
        <v>2588</v>
      </c>
      <c r="E4599" s="18">
        <v>5</v>
      </c>
      <c r="F4599" s="18" t="s">
        <v>78</v>
      </c>
      <c r="G4599" s="18" t="s">
        <v>22</v>
      </c>
      <c r="H4599" s="18" t="s">
        <v>23</v>
      </c>
      <c r="I4599" s="19">
        <v>107.78</v>
      </c>
      <c r="J4599" s="20">
        <f t="shared" si="142"/>
        <v>538.9</v>
      </c>
      <c r="K4599" s="106"/>
      <c r="L4599" s="114"/>
      <c r="M4599" s="114">
        <f>tblAquisições[[#This Row],[VALOR UNITARIO COMPRADO]]*tblAquisições[[#This Row],[QUANTIDADE COMPRADA]]</f>
        <v>0</v>
      </c>
      <c r="N4599" s="110">
        <f>K4599-tblAquisições[[#This Row],[QUANTIDADE PLANEJADA]]</f>
        <v>-5</v>
      </c>
      <c r="O4599" s="106" t="str">
        <f t="shared" si="143"/>
        <v>Faltando Comprar</v>
      </c>
    </row>
    <row r="4600" spans="1:15" ht="31.5">
      <c r="A4600" s="16" t="s">
        <v>17</v>
      </c>
      <c r="B4600" s="16" t="s">
        <v>31</v>
      </c>
      <c r="C4600" s="17" t="s">
        <v>19</v>
      </c>
      <c r="D4600" s="18" t="s">
        <v>2589</v>
      </c>
      <c r="E4600" s="18">
        <v>50</v>
      </c>
      <c r="F4600" s="18" t="s">
        <v>21</v>
      </c>
      <c r="G4600" s="18" t="s">
        <v>22</v>
      </c>
      <c r="H4600" s="18" t="s">
        <v>23</v>
      </c>
      <c r="I4600" s="19">
        <v>172.8</v>
      </c>
      <c r="J4600" s="20">
        <f t="shared" si="142"/>
        <v>8640</v>
      </c>
      <c r="K4600" s="106"/>
      <c r="L4600" s="114"/>
      <c r="M4600" s="114">
        <f>tblAquisições[[#This Row],[VALOR UNITARIO COMPRADO]]*tblAquisições[[#This Row],[QUANTIDADE COMPRADA]]</f>
        <v>0</v>
      </c>
      <c r="N4600" s="110">
        <f>K4600-tblAquisições[[#This Row],[QUANTIDADE PLANEJADA]]</f>
        <v>-50</v>
      </c>
      <c r="O4600" s="106" t="str">
        <f t="shared" si="143"/>
        <v>Faltando Comprar</v>
      </c>
    </row>
    <row r="4601" spans="1:15" ht="31.5">
      <c r="A4601" s="16" t="s">
        <v>17</v>
      </c>
      <c r="B4601" s="16" t="s">
        <v>18</v>
      </c>
      <c r="C4601" s="17" t="s">
        <v>19</v>
      </c>
      <c r="D4601" s="18" t="s">
        <v>2589</v>
      </c>
      <c r="E4601" s="18">
        <v>20</v>
      </c>
      <c r="F4601" s="18" t="s">
        <v>21</v>
      </c>
      <c r="G4601" s="18" t="s">
        <v>22</v>
      </c>
      <c r="H4601" s="18" t="s">
        <v>23</v>
      </c>
      <c r="I4601" s="19">
        <v>172.8</v>
      </c>
      <c r="J4601" s="20">
        <f t="shared" si="142"/>
        <v>3456</v>
      </c>
      <c r="K4601" s="106"/>
      <c r="L4601" s="114"/>
      <c r="M4601" s="114">
        <f>tblAquisições[[#This Row],[VALOR UNITARIO COMPRADO]]*tblAquisições[[#This Row],[QUANTIDADE COMPRADA]]</f>
        <v>0</v>
      </c>
      <c r="N4601" s="110">
        <f>K4601-tblAquisições[[#This Row],[QUANTIDADE PLANEJADA]]</f>
        <v>-20</v>
      </c>
      <c r="O4601" s="106" t="str">
        <f t="shared" si="143"/>
        <v>Faltando Comprar</v>
      </c>
    </row>
    <row r="4602" spans="1:15" ht="31.5">
      <c r="A4602" s="16" t="s">
        <v>17</v>
      </c>
      <c r="B4602" s="16" t="s">
        <v>24</v>
      </c>
      <c r="C4602" s="17" t="s">
        <v>19</v>
      </c>
      <c r="D4602" s="18" t="s">
        <v>2589</v>
      </c>
      <c r="E4602" s="18">
        <v>20</v>
      </c>
      <c r="F4602" s="18" t="s">
        <v>21</v>
      </c>
      <c r="G4602" s="18" t="s">
        <v>22</v>
      </c>
      <c r="H4602" s="18" t="s">
        <v>23</v>
      </c>
      <c r="I4602" s="19">
        <v>172.8</v>
      </c>
      <c r="J4602" s="20">
        <f t="shared" si="142"/>
        <v>3456</v>
      </c>
      <c r="K4602" s="106"/>
      <c r="L4602" s="114"/>
      <c r="M4602" s="114">
        <f>tblAquisições[[#This Row],[VALOR UNITARIO COMPRADO]]*tblAquisições[[#This Row],[QUANTIDADE COMPRADA]]</f>
        <v>0</v>
      </c>
      <c r="N4602" s="110">
        <f>K4602-tblAquisições[[#This Row],[QUANTIDADE PLANEJADA]]</f>
        <v>-20</v>
      </c>
      <c r="O4602" s="106" t="str">
        <f t="shared" si="143"/>
        <v>Faltando Comprar</v>
      </c>
    </row>
    <row r="4603" spans="1:15" ht="31.5">
      <c r="A4603" s="16" t="s">
        <v>17</v>
      </c>
      <c r="B4603" s="16" t="s">
        <v>25</v>
      </c>
      <c r="C4603" s="17" t="s">
        <v>19</v>
      </c>
      <c r="D4603" s="18" t="s">
        <v>2589</v>
      </c>
      <c r="E4603" s="18">
        <v>20</v>
      </c>
      <c r="F4603" s="18" t="s">
        <v>21</v>
      </c>
      <c r="G4603" s="18" t="s">
        <v>22</v>
      </c>
      <c r="H4603" s="18" t="s">
        <v>23</v>
      </c>
      <c r="I4603" s="19">
        <v>172.8</v>
      </c>
      <c r="J4603" s="20">
        <f t="shared" si="142"/>
        <v>3456</v>
      </c>
      <c r="K4603" s="106"/>
      <c r="L4603" s="114"/>
      <c r="M4603" s="114">
        <f>tblAquisições[[#This Row],[VALOR UNITARIO COMPRADO]]*tblAquisições[[#This Row],[QUANTIDADE COMPRADA]]</f>
        <v>0</v>
      </c>
      <c r="N4603" s="110">
        <f>K4603-tblAquisições[[#This Row],[QUANTIDADE PLANEJADA]]</f>
        <v>-20</v>
      </c>
      <c r="O4603" s="106" t="str">
        <f t="shared" si="143"/>
        <v>Faltando Comprar</v>
      </c>
    </row>
    <row r="4604" spans="1:15" ht="31.5">
      <c r="A4604" s="16" t="s">
        <v>17</v>
      </c>
      <c r="B4604" s="16" t="s">
        <v>41</v>
      </c>
      <c r="C4604" s="17" t="s">
        <v>19</v>
      </c>
      <c r="D4604" s="18" t="s">
        <v>2589</v>
      </c>
      <c r="E4604" s="18">
        <v>10</v>
      </c>
      <c r="F4604" s="18" t="s">
        <v>21</v>
      </c>
      <c r="G4604" s="18" t="s">
        <v>22</v>
      </c>
      <c r="H4604" s="18" t="s">
        <v>23</v>
      </c>
      <c r="I4604" s="19">
        <v>172.8</v>
      </c>
      <c r="J4604" s="20">
        <f t="shared" si="142"/>
        <v>1728</v>
      </c>
      <c r="K4604" s="106"/>
      <c r="L4604" s="114"/>
      <c r="M4604" s="114">
        <f>tblAquisições[[#This Row],[VALOR UNITARIO COMPRADO]]*tblAquisições[[#This Row],[QUANTIDADE COMPRADA]]</f>
        <v>0</v>
      </c>
      <c r="N4604" s="110">
        <f>K4604-tblAquisições[[#This Row],[QUANTIDADE PLANEJADA]]</f>
        <v>-10</v>
      </c>
      <c r="O4604" s="106" t="str">
        <f t="shared" si="143"/>
        <v>Faltando Comprar</v>
      </c>
    </row>
    <row r="4605" spans="1:15" ht="31.5">
      <c r="A4605" s="16" t="s">
        <v>17</v>
      </c>
      <c r="B4605" s="16" t="s">
        <v>27</v>
      </c>
      <c r="C4605" s="17" t="s">
        <v>19</v>
      </c>
      <c r="D4605" s="18" t="s">
        <v>2589</v>
      </c>
      <c r="E4605" s="18">
        <v>15</v>
      </c>
      <c r="F4605" s="18" t="s">
        <v>21</v>
      </c>
      <c r="G4605" s="18" t="s">
        <v>22</v>
      </c>
      <c r="H4605" s="18" t="s">
        <v>23</v>
      </c>
      <c r="I4605" s="19">
        <v>172.8</v>
      </c>
      <c r="J4605" s="20">
        <f t="shared" si="142"/>
        <v>2592</v>
      </c>
      <c r="K4605" s="106"/>
      <c r="L4605" s="114"/>
      <c r="M4605" s="114">
        <f>tblAquisições[[#This Row],[VALOR UNITARIO COMPRADO]]*tblAquisições[[#This Row],[QUANTIDADE COMPRADA]]</f>
        <v>0</v>
      </c>
      <c r="N4605" s="110">
        <f>K4605-tblAquisições[[#This Row],[QUANTIDADE PLANEJADA]]</f>
        <v>-15</v>
      </c>
      <c r="O4605" s="106" t="str">
        <f t="shared" si="143"/>
        <v>Faltando Comprar</v>
      </c>
    </row>
    <row r="4606" spans="1:15" ht="31.5">
      <c r="A4606" s="16" t="s">
        <v>17</v>
      </c>
      <c r="B4606" s="16" t="s">
        <v>28</v>
      </c>
      <c r="C4606" s="17" t="s">
        <v>19</v>
      </c>
      <c r="D4606" s="33" t="s">
        <v>2589</v>
      </c>
      <c r="E4606" s="33">
        <v>12</v>
      </c>
      <c r="F4606" s="33" t="s">
        <v>21</v>
      </c>
      <c r="G4606" s="33" t="s">
        <v>22</v>
      </c>
      <c r="H4606" s="33" t="s">
        <v>23</v>
      </c>
      <c r="I4606" s="19">
        <v>172.8</v>
      </c>
      <c r="J4606" s="20">
        <f t="shared" si="142"/>
        <v>2073.6000000000004</v>
      </c>
      <c r="K4606" s="106"/>
      <c r="L4606" s="114"/>
      <c r="M4606" s="114">
        <f>tblAquisições[[#This Row],[VALOR UNITARIO COMPRADO]]*tblAquisições[[#This Row],[QUANTIDADE COMPRADA]]</f>
        <v>0</v>
      </c>
      <c r="N4606" s="110">
        <f>K4606-tblAquisições[[#This Row],[QUANTIDADE PLANEJADA]]</f>
        <v>-12</v>
      </c>
      <c r="O4606" s="106" t="str">
        <f t="shared" si="143"/>
        <v>Faltando Comprar</v>
      </c>
    </row>
    <row r="4607" spans="1:15" ht="31.5">
      <c r="A4607" s="16" t="s">
        <v>17</v>
      </c>
      <c r="B4607" s="16" t="s">
        <v>31</v>
      </c>
      <c r="C4607" s="17" t="s">
        <v>19</v>
      </c>
      <c r="D4607" s="18" t="s">
        <v>2590</v>
      </c>
      <c r="E4607" s="18">
        <v>50</v>
      </c>
      <c r="F4607" s="18" t="s">
        <v>21</v>
      </c>
      <c r="G4607" s="18" t="s">
        <v>22</v>
      </c>
      <c r="H4607" s="18" t="s">
        <v>23</v>
      </c>
      <c r="I4607" s="19">
        <v>102.87</v>
      </c>
      <c r="J4607" s="20">
        <f t="shared" si="142"/>
        <v>5143.5</v>
      </c>
      <c r="K4607" s="106"/>
      <c r="L4607" s="114"/>
      <c r="M4607" s="114">
        <f>tblAquisições[[#This Row],[VALOR UNITARIO COMPRADO]]*tblAquisições[[#This Row],[QUANTIDADE COMPRADA]]</f>
        <v>0</v>
      </c>
      <c r="N4607" s="110">
        <f>K4607-tblAquisições[[#This Row],[QUANTIDADE PLANEJADA]]</f>
        <v>-50</v>
      </c>
      <c r="O4607" s="106" t="str">
        <f t="shared" si="143"/>
        <v>Faltando Comprar</v>
      </c>
    </row>
    <row r="4608" spans="1:15" ht="31.5">
      <c r="A4608" s="16" t="s">
        <v>17</v>
      </c>
      <c r="B4608" s="16" t="s">
        <v>18</v>
      </c>
      <c r="C4608" s="17" t="s">
        <v>19</v>
      </c>
      <c r="D4608" s="18" t="s">
        <v>2590</v>
      </c>
      <c r="E4608" s="18">
        <v>20</v>
      </c>
      <c r="F4608" s="18" t="s">
        <v>21</v>
      </c>
      <c r="G4608" s="18" t="s">
        <v>22</v>
      </c>
      <c r="H4608" s="18" t="s">
        <v>23</v>
      </c>
      <c r="I4608" s="19">
        <v>102.87</v>
      </c>
      <c r="J4608" s="20">
        <f t="shared" si="142"/>
        <v>2057.4</v>
      </c>
      <c r="K4608" s="106"/>
      <c r="L4608" s="114"/>
      <c r="M4608" s="114">
        <f>tblAquisições[[#This Row],[VALOR UNITARIO COMPRADO]]*tblAquisições[[#This Row],[QUANTIDADE COMPRADA]]</f>
        <v>0</v>
      </c>
      <c r="N4608" s="110">
        <f>K4608-tblAquisições[[#This Row],[QUANTIDADE PLANEJADA]]</f>
        <v>-20</v>
      </c>
      <c r="O4608" s="106" t="str">
        <f t="shared" si="143"/>
        <v>Faltando Comprar</v>
      </c>
    </row>
    <row r="4609" spans="1:15" ht="31.5">
      <c r="A4609" s="16" t="s">
        <v>17</v>
      </c>
      <c r="B4609" s="16" t="s">
        <v>24</v>
      </c>
      <c r="C4609" s="17" t="s">
        <v>19</v>
      </c>
      <c r="D4609" s="18" t="s">
        <v>2590</v>
      </c>
      <c r="E4609" s="18">
        <v>20</v>
      </c>
      <c r="F4609" s="18" t="s">
        <v>21</v>
      </c>
      <c r="G4609" s="18" t="s">
        <v>22</v>
      </c>
      <c r="H4609" s="18" t="s">
        <v>23</v>
      </c>
      <c r="I4609" s="19">
        <v>102.87</v>
      </c>
      <c r="J4609" s="20">
        <f t="shared" si="142"/>
        <v>2057.4</v>
      </c>
      <c r="K4609" s="106"/>
      <c r="L4609" s="114"/>
      <c r="M4609" s="114">
        <f>tblAquisições[[#This Row],[VALOR UNITARIO COMPRADO]]*tblAquisições[[#This Row],[QUANTIDADE COMPRADA]]</f>
        <v>0</v>
      </c>
      <c r="N4609" s="110">
        <f>K4609-tblAquisições[[#This Row],[QUANTIDADE PLANEJADA]]</f>
        <v>-20</v>
      </c>
      <c r="O4609" s="106" t="str">
        <f t="shared" si="143"/>
        <v>Faltando Comprar</v>
      </c>
    </row>
    <row r="4610" spans="1:15" ht="31.5">
      <c r="A4610" s="16" t="s">
        <v>17</v>
      </c>
      <c r="B4610" s="16" t="s">
        <v>25</v>
      </c>
      <c r="C4610" s="17" t="s">
        <v>19</v>
      </c>
      <c r="D4610" s="18" t="s">
        <v>2590</v>
      </c>
      <c r="E4610" s="18">
        <v>20</v>
      </c>
      <c r="F4610" s="18" t="s">
        <v>21</v>
      </c>
      <c r="G4610" s="18" t="s">
        <v>22</v>
      </c>
      <c r="H4610" s="18" t="s">
        <v>23</v>
      </c>
      <c r="I4610" s="19">
        <v>102.87</v>
      </c>
      <c r="J4610" s="20">
        <f t="shared" ref="J4610:J4673" si="144">E4610*I4610</f>
        <v>2057.4</v>
      </c>
      <c r="K4610" s="106"/>
      <c r="L4610" s="114"/>
      <c r="M4610" s="114">
        <f>tblAquisições[[#This Row],[VALOR UNITARIO COMPRADO]]*tblAquisições[[#This Row],[QUANTIDADE COMPRADA]]</f>
        <v>0</v>
      </c>
      <c r="N4610" s="110">
        <f>K4610-tblAquisições[[#This Row],[QUANTIDADE PLANEJADA]]</f>
        <v>-20</v>
      </c>
      <c r="O4610" s="106" t="str">
        <f t="shared" ref="O4610:O4673" si="145">IF(K4610=E4610,"OK",IF(K4610&lt;E4610,"Faltando Comprar","Excedente"))</f>
        <v>Faltando Comprar</v>
      </c>
    </row>
    <row r="4611" spans="1:15" ht="31.5">
      <c r="A4611" s="16" t="s">
        <v>17</v>
      </c>
      <c r="B4611" s="16" t="s">
        <v>41</v>
      </c>
      <c r="C4611" s="17" t="s">
        <v>19</v>
      </c>
      <c r="D4611" s="18" t="s">
        <v>2590</v>
      </c>
      <c r="E4611" s="18">
        <v>30</v>
      </c>
      <c r="F4611" s="18" t="s">
        <v>21</v>
      </c>
      <c r="G4611" s="18" t="s">
        <v>22</v>
      </c>
      <c r="H4611" s="18" t="s">
        <v>23</v>
      </c>
      <c r="I4611" s="19">
        <v>102.87</v>
      </c>
      <c r="J4611" s="20">
        <f t="shared" si="144"/>
        <v>3086.1000000000004</v>
      </c>
      <c r="K4611" s="106"/>
      <c r="L4611" s="114"/>
      <c r="M4611" s="114">
        <f>tblAquisições[[#This Row],[VALOR UNITARIO COMPRADO]]*tblAquisições[[#This Row],[QUANTIDADE COMPRADA]]</f>
        <v>0</v>
      </c>
      <c r="N4611" s="110">
        <f>K4611-tblAquisições[[#This Row],[QUANTIDADE PLANEJADA]]</f>
        <v>-30</v>
      </c>
      <c r="O4611" s="106" t="str">
        <f t="shared" si="145"/>
        <v>Faltando Comprar</v>
      </c>
    </row>
    <row r="4612" spans="1:15" ht="31.5">
      <c r="A4612" s="16" t="s">
        <v>17</v>
      </c>
      <c r="B4612" s="16" t="s">
        <v>27</v>
      </c>
      <c r="C4612" s="17" t="s">
        <v>19</v>
      </c>
      <c r="D4612" s="18" t="s">
        <v>2590</v>
      </c>
      <c r="E4612" s="18">
        <v>15</v>
      </c>
      <c r="F4612" s="18" t="s">
        <v>21</v>
      </c>
      <c r="G4612" s="18" t="s">
        <v>22</v>
      </c>
      <c r="H4612" s="18" t="s">
        <v>23</v>
      </c>
      <c r="I4612" s="19">
        <v>102.87</v>
      </c>
      <c r="J4612" s="20">
        <f t="shared" si="144"/>
        <v>1543.0500000000002</v>
      </c>
      <c r="K4612" s="106"/>
      <c r="L4612" s="114"/>
      <c r="M4612" s="114">
        <f>tblAquisições[[#This Row],[VALOR UNITARIO COMPRADO]]*tblAquisições[[#This Row],[QUANTIDADE COMPRADA]]</f>
        <v>0</v>
      </c>
      <c r="N4612" s="110">
        <f>K4612-tblAquisições[[#This Row],[QUANTIDADE PLANEJADA]]</f>
        <v>-15</v>
      </c>
      <c r="O4612" s="106" t="str">
        <f t="shared" si="145"/>
        <v>Faltando Comprar</v>
      </c>
    </row>
    <row r="4613" spans="1:15" ht="31.5">
      <c r="A4613" s="16" t="s">
        <v>17</v>
      </c>
      <c r="B4613" s="16" t="s">
        <v>28</v>
      </c>
      <c r="C4613" s="17" t="s">
        <v>19</v>
      </c>
      <c r="D4613" s="18" t="s">
        <v>2590</v>
      </c>
      <c r="E4613" s="18">
        <v>12</v>
      </c>
      <c r="F4613" s="18" t="s">
        <v>21</v>
      </c>
      <c r="G4613" s="18" t="s">
        <v>22</v>
      </c>
      <c r="H4613" s="18" t="s">
        <v>23</v>
      </c>
      <c r="I4613" s="19">
        <v>102.87</v>
      </c>
      <c r="J4613" s="20">
        <f t="shared" si="144"/>
        <v>1234.44</v>
      </c>
      <c r="K4613" s="106"/>
      <c r="L4613" s="114"/>
      <c r="M4613" s="114">
        <f>tblAquisições[[#This Row],[VALOR UNITARIO COMPRADO]]*tblAquisições[[#This Row],[QUANTIDADE COMPRADA]]</f>
        <v>0</v>
      </c>
      <c r="N4613" s="110">
        <f>K4613-tblAquisições[[#This Row],[QUANTIDADE PLANEJADA]]</f>
        <v>-12</v>
      </c>
      <c r="O4613" s="106" t="str">
        <f t="shared" si="145"/>
        <v>Faltando Comprar</v>
      </c>
    </row>
    <row r="4614" spans="1:15" ht="31.5">
      <c r="A4614" s="16" t="s">
        <v>17</v>
      </c>
      <c r="B4614" s="16" t="s">
        <v>31</v>
      </c>
      <c r="C4614" s="17" t="s">
        <v>19</v>
      </c>
      <c r="D4614" s="18" t="s">
        <v>2591</v>
      </c>
      <c r="E4614" s="18">
        <v>50</v>
      </c>
      <c r="F4614" s="18" t="s">
        <v>21</v>
      </c>
      <c r="G4614" s="18" t="s">
        <v>22</v>
      </c>
      <c r="H4614" s="18" t="s">
        <v>23</v>
      </c>
      <c r="I4614" s="19">
        <v>34.880000000000003</v>
      </c>
      <c r="J4614" s="20">
        <f t="shared" si="144"/>
        <v>1744.0000000000002</v>
      </c>
      <c r="K4614" s="106"/>
      <c r="L4614" s="114"/>
      <c r="M4614" s="114">
        <f>tblAquisições[[#This Row],[VALOR UNITARIO COMPRADO]]*tblAquisições[[#This Row],[QUANTIDADE COMPRADA]]</f>
        <v>0</v>
      </c>
      <c r="N4614" s="110">
        <f>K4614-tblAquisições[[#This Row],[QUANTIDADE PLANEJADA]]</f>
        <v>-50</v>
      </c>
      <c r="O4614" s="106" t="str">
        <f t="shared" si="145"/>
        <v>Faltando Comprar</v>
      </c>
    </row>
    <row r="4615" spans="1:15" ht="31.5">
      <c r="A4615" s="16" t="s">
        <v>17</v>
      </c>
      <c r="B4615" s="16" t="s">
        <v>28</v>
      </c>
      <c r="C4615" s="17" t="s">
        <v>19</v>
      </c>
      <c r="D4615" s="18" t="s">
        <v>2591</v>
      </c>
      <c r="E4615" s="18">
        <v>24</v>
      </c>
      <c r="F4615" s="18" t="s">
        <v>21</v>
      </c>
      <c r="G4615" s="18" t="s">
        <v>22</v>
      </c>
      <c r="H4615" s="18" t="s">
        <v>23</v>
      </c>
      <c r="I4615" s="19">
        <v>34.880000000000003</v>
      </c>
      <c r="J4615" s="20">
        <f t="shared" si="144"/>
        <v>837.12000000000012</v>
      </c>
      <c r="K4615" s="106"/>
      <c r="L4615" s="114"/>
      <c r="M4615" s="114">
        <f>tblAquisições[[#This Row],[VALOR UNITARIO COMPRADO]]*tblAquisições[[#This Row],[QUANTIDADE COMPRADA]]</f>
        <v>0</v>
      </c>
      <c r="N4615" s="110">
        <f>K4615-tblAquisições[[#This Row],[QUANTIDADE PLANEJADA]]</f>
        <v>-24</v>
      </c>
      <c r="O4615" s="106" t="str">
        <f t="shared" si="145"/>
        <v>Faltando Comprar</v>
      </c>
    </row>
    <row r="4616" spans="1:15" ht="31.5">
      <c r="A4616" s="16" t="s">
        <v>17</v>
      </c>
      <c r="B4616" s="16" t="s">
        <v>31</v>
      </c>
      <c r="C4616" s="17" t="s">
        <v>19</v>
      </c>
      <c r="D4616" s="18" t="s">
        <v>2592</v>
      </c>
      <c r="E4616" s="18">
        <v>40</v>
      </c>
      <c r="F4616" s="18" t="s">
        <v>21</v>
      </c>
      <c r="G4616" s="18" t="s">
        <v>22</v>
      </c>
      <c r="H4616" s="18" t="s">
        <v>23</v>
      </c>
      <c r="I4616" s="19">
        <v>65.790000000000006</v>
      </c>
      <c r="J4616" s="20">
        <f t="shared" si="144"/>
        <v>2631.6000000000004</v>
      </c>
      <c r="K4616" s="106"/>
      <c r="L4616" s="114"/>
      <c r="M4616" s="114">
        <f>tblAquisições[[#This Row],[VALOR UNITARIO COMPRADO]]*tblAquisições[[#This Row],[QUANTIDADE COMPRADA]]</f>
        <v>0</v>
      </c>
      <c r="N4616" s="110">
        <f>K4616-tblAquisições[[#This Row],[QUANTIDADE PLANEJADA]]</f>
        <v>-40</v>
      </c>
      <c r="O4616" s="106" t="str">
        <f t="shared" si="145"/>
        <v>Faltando Comprar</v>
      </c>
    </row>
    <row r="4617" spans="1:15" ht="31.5">
      <c r="A4617" s="16" t="s">
        <v>17</v>
      </c>
      <c r="B4617" s="16" t="s">
        <v>18</v>
      </c>
      <c r="C4617" s="17" t="s">
        <v>19</v>
      </c>
      <c r="D4617" s="18" t="s">
        <v>2592</v>
      </c>
      <c r="E4617" s="18">
        <v>20</v>
      </c>
      <c r="F4617" s="18" t="s">
        <v>21</v>
      </c>
      <c r="G4617" s="18" t="s">
        <v>22</v>
      </c>
      <c r="H4617" s="18" t="s">
        <v>23</v>
      </c>
      <c r="I4617" s="19">
        <v>65.790000000000006</v>
      </c>
      <c r="J4617" s="20">
        <f t="shared" si="144"/>
        <v>1315.8000000000002</v>
      </c>
      <c r="K4617" s="106"/>
      <c r="L4617" s="114"/>
      <c r="M4617" s="114">
        <f>tblAquisições[[#This Row],[VALOR UNITARIO COMPRADO]]*tblAquisições[[#This Row],[QUANTIDADE COMPRADA]]</f>
        <v>0</v>
      </c>
      <c r="N4617" s="110">
        <f>K4617-tblAquisições[[#This Row],[QUANTIDADE PLANEJADA]]</f>
        <v>-20</v>
      </c>
      <c r="O4617" s="106" t="str">
        <f t="shared" si="145"/>
        <v>Faltando Comprar</v>
      </c>
    </row>
    <row r="4618" spans="1:15" ht="31.5">
      <c r="A4618" s="16" t="s">
        <v>17</v>
      </c>
      <c r="B4618" s="16" t="s">
        <v>24</v>
      </c>
      <c r="C4618" s="17" t="s">
        <v>19</v>
      </c>
      <c r="D4618" s="18" t="s">
        <v>2592</v>
      </c>
      <c r="E4618" s="18">
        <v>20</v>
      </c>
      <c r="F4618" s="18" t="s">
        <v>21</v>
      </c>
      <c r="G4618" s="18" t="s">
        <v>22</v>
      </c>
      <c r="H4618" s="18" t="s">
        <v>23</v>
      </c>
      <c r="I4618" s="19">
        <v>65.790000000000006</v>
      </c>
      <c r="J4618" s="20">
        <f t="shared" si="144"/>
        <v>1315.8000000000002</v>
      </c>
      <c r="K4618" s="106"/>
      <c r="L4618" s="114"/>
      <c r="M4618" s="114">
        <f>tblAquisições[[#This Row],[VALOR UNITARIO COMPRADO]]*tblAquisições[[#This Row],[QUANTIDADE COMPRADA]]</f>
        <v>0</v>
      </c>
      <c r="N4618" s="110">
        <f>K4618-tblAquisições[[#This Row],[QUANTIDADE PLANEJADA]]</f>
        <v>-20</v>
      </c>
      <c r="O4618" s="106" t="str">
        <f t="shared" si="145"/>
        <v>Faltando Comprar</v>
      </c>
    </row>
    <row r="4619" spans="1:15" ht="31.5">
      <c r="A4619" s="16" t="s">
        <v>17</v>
      </c>
      <c r="B4619" s="16" t="s">
        <v>25</v>
      </c>
      <c r="C4619" s="17" t="s">
        <v>19</v>
      </c>
      <c r="D4619" s="18" t="s">
        <v>2592</v>
      </c>
      <c r="E4619" s="18">
        <v>20</v>
      </c>
      <c r="F4619" s="18" t="s">
        <v>21</v>
      </c>
      <c r="G4619" s="18" t="s">
        <v>22</v>
      </c>
      <c r="H4619" s="18" t="s">
        <v>23</v>
      </c>
      <c r="I4619" s="19">
        <v>65.790000000000006</v>
      </c>
      <c r="J4619" s="20">
        <f t="shared" si="144"/>
        <v>1315.8000000000002</v>
      </c>
      <c r="K4619" s="106"/>
      <c r="L4619" s="114"/>
      <c r="M4619" s="114">
        <f>tblAquisições[[#This Row],[VALOR UNITARIO COMPRADO]]*tblAquisições[[#This Row],[QUANTIDADE COMPRADA]]</f>
        <v>0</v>
      </c>
      <c r="N4619" s="110">
        <f>K4619-tblAquisições[[#This Row],[QUANTIDADE PLANEJADA]]</f>
        <v>-20</v>
      </c>
      <c r="O4619" s="106" t="str">
        <f t="shared" si="145"/>
        <v>Faltando Comprar</v>
      </c>
    </row>
    <row r="4620" spans="1:15" ht="31.5">
      <c r="A4620" s="16" t="s">
        <v>17</v>
      </c>
      <c r="B4620" s="16" t="s">
        <v>27</v>
      </c>
      <c r="C4620" s="17" t="s">
        <v>19</v>
      </c>
      <c r="D4620" s="18" t="s">
        <v>2592</v>
      </c>
      <c r="E4620" s="18">
        <v>15</v>
      </c>
      <c r="F4620" s="18" t="s">
        <v>21</v>
      </c>
      <c r="G4620" s="18" t="s">
        <v>22</v>
      </c>
      <c r="H4620" s="18" t="s">
        <v>23</v>
      </c>
      <c r="I4620" s="19">
        <v>65.790000000000006</v>
      </c>
      <c r="J4620" s="20">
        <f t="shared" si="144"/>
        <v>986.85000000000014</v>
      </c>
      <c r="K4620" s="106"/>
      <c r="L4620" s="114"/>
      <c r="M4620" s="114">
        <f>tblAquisições[[#This Row],[VALOR UNITARIO COMPRADO]]*tblAquisições[[#This Row],[QUANTIDADE COMPRADA]]</f>
        <v>0</v>
      </c>
      <c r="N4620" s="110">
        <f>K4620-tblAquisições[[#This Row],[QUANTIDADE PLANEJADA]]</f>
        <v>-15</v>
      </c>
      <c r="O4620" s="106" t="str">
        <f t="shared" si="145"/>
        <v>Faltando Comprar</v>
      </c>
    </row>
    <row r="4621" spans="1:15" ht="31.5">
      <c r="A4621" s="16" t="s">
        <v>17</v>
      </c>
      <c r="B4621" s="16" t="s">
        <v>28</v>
      </c>
      <c r="C4621" s="17" t="s">
        <v>19</v>
      </c>
      <c r="D4621" s="18" t="s">
        <v>2592</v>
      </c>
      <c r="E4621" s="18">
        <v>12</v>
      </c>
      <c r="F4621" s="18" t="s">
        <v>21</v>
      </c>
      <c r="G4621" s="18" t="s">
        <v>22</v>
      </c>
      <c r="H4621" s="18" t="s">
        <v>23</v>
      </c>
      <c r="I4621" s="19">
        <v>65.790000000000006</v>
      </c>
      <c r="J4621" s="20">
        <f t="shared" si="144"/>
        <v>789.48</v>
      </c>
      <c r="K4621" s="106"/>
      <c r="L4621" s="114"/>
      <c r="M4621" s="114">
        <f>tblAquisições[[#This Row],[VALOR UNITARIO COMPRADO]]*tblAquisições[[#This Row],[QUANTIDADE COMPRADA]]</f>
        <v>0</v>
      </c>
      <c r="N4621" s="110">
        <f>K4621-tblAquisições[[#This Row],[QUANTIDADE PLANEJADA]]</f>
        <v>-12</v>
      </c>
      <c r="O4621" s="106" t="str">
        <f t="shared" si="145"/>
        <v>Faltando Comprar</v>
      </c>
    </row>
    <row r="4622" spans="1:15" ht="47.25">
      <c r="A4622" s="16" t="s">
        <v>17</v>
      </c>
      <c r="B4622" s="16" t="s">
        <v>72</v>
      </c>
      <c r="C4622" s="17" t="s">
        <v>19</v>
      </c>
      <c r="D4622" s="18" t="s">
        <v>2593</v>
      </c>
      <c r="E4622" s="18">
        <v>6</v>
      </c>
      <c r="F4622" s="18" t="s">
        <v>239</v>
      </c>
      <c r="G4622" s="18" t="s">
        <v>22</v>
      </c>
      <c r="H4622" s="18" t="s">
        <v>23</v>
      </c>
      <c r="I4622" s="19">
        <v>5.29</v>
      </c>
      <c r="J4622" s="20">
        <f t="shared" si="144"/>
        <v>31.740000000000002</v>
      </c>
      <c r="K4622" s="106"/>
      <c r="L4622" s="114"/>
      <c r="M4622" s="114">
        <f>tblAquisições[[#This Row],[VALOR UNITARIO COMPRADO]]*tblAquisições[[#This Row],[QUANTIDADE COMPRADA]]</f>
        <v>0</v>
      </c>
      <c r="N4622" s="110">
        <f>K4622-tblAquisições[[#This Row],[QUANTIDADE PLANEJADA]]</f>
        <v>-6</v>
      </c>
      <c r="O4622" s="106" t="str">
        <f t="shared" si="145"/>
        <v>Faltando Comprar</v>
      </c>
    </row>
    <row r="4623" spans="1:15" ht="47.25">
      <c r="A4623" s="16" t="s">
        <v>17</v>
      </c>
      <c r="B4623" s="16" t="s">
        <v>34</v>
      </c>
      <c r="C4623" s="17" t="s">
        <v>19</v>
      </c>
      <c r="D4623" s="18" t="s">
        <v>2594</v>
      </c>
      <c r="E4623" s="18">
        <v>2</v>
      </c>
      <c r="F4623" s="18" t="s">
        <v>78</v>
      </c>
      <c r="G4623" s="18" t="s">
        <v>22</v>
      </c>
      <c r="H4623" s="18" t="s">
        <v>23</v>
      </c>
      <c r="I4623" s="19">
        <v>49.26</v>
      </c>
      <c r="J4623" s="20">
        <f t="shared" si="144"/>
        <v>98.52</v>
      </c>
      <c r="K4623" s="106"/>
      <c r="L4623" s="114"/>
      <c r="M4623" s="114">
        <f>tblAquisições[[#This Row],[VALOR UNITARIO COMPRADO]]*tblAquisições[[#This Row],[QUANTIDADE COMPRADA]]</f>
        <v>0</v>
      </c>
      <c r="N4623" s="110">
        <f>K4623-tblAquisições[[#This Row],[QUANTIDADE PLANEJADA]]</f>
        <v>-2</v>
      </c>
      <c r="O4623" s="106" t="str">
        <f t="shared" si="145"/>
        <v>Faltando Comprar</v>
      </c>
    </row>
    <row r="4624" spans="1:15" ht="31.5">
      <c r="A4624" s="16" t="s">
        <v>17</v>
      </c>
      <c r="B4624" s="16" t="s">
        <v>28</v>
      </c>
      <c r="C4624" s="17" t="s">
        <v>19</v>
      </c>
      <c r="D4624" s="18" t="s">
        <v>2595</v>
      </c>
      <c r="E4624" s="18">
        <v>2</v>
      </c>
      <c r="F4624" s="18" t="s">
        <v>328</v>
      </c>
      <c r="G4624" s="18" t="s">
        <v>22</v>
      </c>
      <c r="H4624" s="18" t="s">
        <v>23</v>
      </c>
      <c r="I4624" s="19">
        <v>25.92</v>
      </c>
      <c r="J4624" s="20">
        <f t="shared" si="144"/>
        <v>51.84</v>
      </c>
      <c r="K4624" s="106"/>
      <c r="L4624" s="114"/>
      <c r="M4624" s="114">
        <f>tblAquisições[[#This Row],[VALOR UNITARIO COMPRADO]]*tblAquisições[[#This Row],[QUANTIDADE COMPRADA]]</f>
        <v>0</v>
      </c>
      <c r="N4624" s="110">
        <f>K4624-tblAquisições[[#This Row],[QUANTIDADE PLANEJADA]]</f>
        <v>-2</v>
      </c>
      <c r="O4624" s="106" t="str">
        <f t="shared" si="145"/>
        <v>Faltando Comprar</v>
      </c>
    </row>
    <row r="4625" spans="1:15" ht="31.5">
      <c r="A4625" s="16" t="s">
        <v>17</v>
      </c>
      <c r="B4625" s="16" t="s">
        <v>18</v>
      </c>
      <c r="C4625" s="17" t="s">
        <v>19</v>
      </c>
      <c r="D4625" s="18" t="s">
        <v>2596</v>
      </c>
      <c r="E4625" s="18">
        <v>200</v>
      </c>
      <c r="F4625" s="18" t="s">
        <v>30</v>
      </c>
      <c r="G4625" s="18" t="s">
        <v>22</v>
      </c>
      <c r="H4625" s="18" t="s">
        <v>23</v>
      </c>
      <c r="I4625" s="19">
        <v>3.38</v>
      </c>
      <c r="J4625" s="20">
        <f t="shared" si="144"/>
        <v>676</v>
      </c>
      <c r="K4625" s="106"/>
      <c r="L4625" s="114"/>
      <c r="M4625" s="114">
        <f>tblAquisições[[#This Row],[VALOR UNITARIO COMPRADO]]*tblAquisições[[#This Row],[QUANTIDADE COMPRADA]]</f>
        <v>0</v>
      </c>
      <c r="N4625" s="110">
        <f>K4625-tblAquisições[[#This Row],[QUANTIDADE PLANEJADA]]</f>
        <v>-200</v>
      </c>
      <c r="O4625" s="106" t="str">
        <f t="shared" si="145"/>
        <v>Faltando Comprar</v>
      </c>
    </row>
    <row r="4626" spans="1:15" ht="31.5">
      <c r="A4626" s="16" t="s">
        <v>17</v>
      </c>
      <c r="B4626" s="16" t="s">
        <v>24</v>
      </c>
      <c r="C4626" s="17" t="s">
        <v>19</v>
      </c>
      <c r="D4626" s="18" t="s">
        <v>2596</v>
      </c>
      <c r="E4626" s="18">
        <v>200</v>
      </c>
      <c r="F4626" s="18" t="s">
        <v>30</v>
      </c>
      <c r="G4626" s="18" t="s">
        <v>22</v>
      </c>
      <c r="H4626" s="18" t="s">
        <v>23</v>
      </c>
      <c r="I4626" s="19">
        <v>3.38</v>
      </c>
      <c r="J4626" s="20">
        <f t="shared" si="144"/>
        <v>676</v>
      </c>
      <c r="K4626" s="106"/>
      <c r="L4626" s="114"/>
      <c r="M4626" s="114">
        <f>tblAquisições[[#This Row],[VALOR UNITARIO COMPRADO]]*tblAquisições[[#This Row],[QUANTIDADE COMPRADA]]</f>
        <v>0</v>
      </c>
      <c r="N4626" s="110">
        <f>K4626-tblAquisições[[#This Row],[QUANTIDADE PLANEJADA]]</f>
        <v>-200</v>
      </c>
      <c r="O4626" s="106" t="str">
        <f t="shared" si="145"/>
        <v>Faltando Comprar</v>
      </c>
    </row>
    <row r="4627" spans="1:15" ht="31.5">
      <c r="A4627" s="16" t="s">
        <v>17</v>
      </c>
      <c r="B4627" s="16" t="s">
        <v>25</v>
      </c>
      <c r="C4627" s="17" t="s">
        <v>19</v>
      </c>
      <c r="D4627" s="18" t="s">
        <v>2596</v>
      </c>
      <c r="E4627" s="18">
        <v>200</v>
      </c>
      <c r="F4627" s="18" t="s">
        <v>30</v>
      </c>
      <c r="G4627" s="18" t="s">
        <v>22</v>
      </c>
      <c r="H4627" s="18" t="s">
        <v>23</v>
      </c>
      <c r="I4627" s="19">
        <v>3.38</v>
      </c>
      <c r="J4627" s="20">
        <f t="shared" si="144"/>
        <v>676</v>
      </c>
      <c r="K4627" s="106"/>
      <c r="L4627" s="114"/>
      <c r="M4627" s="114">
        <f>tblAquisições[[#This Row],[VALOR UNITARIO COMPRADO]]*tblAquisições[[#This Row],[QUANTIDADE COMPRADA]]</f>
        <v>0</v>
      </c>
      <c r="N4627" s="110">
        <f>K4627-tblAquisições[[#This Row],[QUANTIDADE PLANEJADA]]</f>
        <v>-200</v>
      </c>
      <c r="O4627" s="106" t="str">
        <f t="shared" si="145"/>
        <v>Faltando Comprar</v>
      </c>
    </row>
    <row r="4628" spans="1:15" ht="31.5">
      <c r="A4628" s="16" t="s">
        <v>17</v>
      </c>
      <c r="B4628" s="16" t="s">
        <v>27</v>
      </c>
      <c r="C4628" s="17" t="s">
        <v>19</v>
      </c>
      <c r="D4628" s="18" t="s">
        <v>2596</v>
      </c>
      <c r="E4628" s="18">
        <v>200</v>
      </c>
      <c r="F4628" s="18" t="s">
        <v>30</v>
      </c>
      <c r="G4628" s="18" t="s">
        <v>22</v>
      </c>
      <c r="H4628" s="18" t="s">
        <v>23</v>
      </c>
      <c r="I4628" s="19">
        <v>3.38</v>
      </c>
      <c r="J4628" s="20">
        <f t="shared" si="144"/>
        <v>676</v>
      </c>
      <c r="K4628" s="106"/>
      <c r="L4628" s="114"/>
      <c r="M4628" s="114">
        <f>tblAquisições[[#This Row],[VALOR UNITARIO COMPRADO]]*tblAquisições[[#This Row],[QUANTIDADE COMPRADA]]</f>
        <v>0</v>
      </c>
      <c r="N4628" s="110">
        <f>K4628-tblAquisições[[#This Row],[QUANTIDADE PLANEJADA]]</f>
        <v>-200</v>
      </c>
      <c r="O4628" s="106" t="str">
        <f t="shared" si="145"/>
        <v>Faltando Comprar</v>
      </c>
    </row>
    <row r="4629" spans="1:15" ht="47.25">
      <c r="A4629" s="16" t="s">
        <v>17</v>
      </c>
      <c r="B4629" s="16" t="s">
        <v>31</v>
      </c>
      <c r="C4629" s="17" t="s">
        <v>19</v>
      </c>
      <c r="D4629" s="18" t="s">
        <v>2597</v>
      </c>
      <c r="E4629" s="18">
        <v>35</v>
      </c>
      <c r="F4629" s="18" t="s">
        <v>78</v>
      </c>
      <c r="G4629" s="18" t="s">
        <v>22</v>
      </c>
      <c r="H4629" s="18" t="s">
        <v>23</v>
      </c>
      <c r="I4629" s="19">
        <v>2.62</v>
      </c>
      <c r="J4629" s="20">
        <f t="shared" si="144"/>
        <v>91.7</v>
      </c>
      <c r="K4629" s="106"/>
      <c r="L4629" s="114"/>
      <c r="M4629" s="114">
        <f>tblAquisições[[#This Row],[VALOR UNITARIO COMPRADO]]*tblAquisições[[#This Row],[QUANTIDADE COMPRADA]]</f>
        <v>0</v>
      </c>
      <c r="N4629" s="110">
        <f>K4629-tblAquisições[[#This Row],[QUANTIDADE PLANEJADA]]</f>
        <v>-35</v>
      </c>
      <c r="O4629" s="106" t="str">
        <f t="shared" si="145"/>
        <v>Faltando Comprar</v>
      </c>
    </row>
    <row r="4630" spans="1:15" ht="47.25">
      <c r="A4630" s="16" t="s">
        <v>17</v>
      </c>
      <c r="B4630" s="16" t="s">
        <v>18</v>
      </c>
      <c r="C4630" s="17" t="s">
        <v>19</v>
      </c>
      <c r="D4630" s="18" t="s">
        <v>2597</v>
      </c>
      <c r="E4630" s="18">
        <v>200</v>
      </c>
      <c r="F4630" s="18" t="s">
        <v>78</v>
      </c>
      <c r="G4630" s="18" t="s">
        <v>22</v>
      </c>
      <c r="H4630" s="18" t="s">
        <v>23</v>
      </c>
      <c r="I4630" s="19">
        <v>2.62</v>
      </c>
      <c r="J4630" s="20">
        <f t="shared" si="144"/>
        <v>524</v>
      </c>
      <c r="K4630" s="106"/>
      <c r="L4630" s="114"/>
      <c r="M4630" s="114">
        <f>tblAquisições[[#This Row],[VALOR UNITARIO COMPRADO]]*tblAquisições[[#This Row],[QUANTIDADE COMPRADA]]</f>
        <v>0</v>
      </c>
      <c r="N4630" s="110">
        <f>K4630-tblAquisições[[#This Row],[QUANTIDADE PLANEJADA]]</f>
        <v>-200</v>
      </c>
      <c r="O4630" s="106" t="str">
        <f t="shared" si="145"/>
        <v>Faltando Comprar</v>
      </c>
    </row>
    <row r="4631" spans="1:15" ht="47.25">
      <c r="A4631" s="16" t="s">
        <v>17</v>
      </c>
      <c r="B4631" s="16" t="s">
        <v>24</v>
      </c>
      <c r="C4631" s="17" t="s">
        <v>19</v>
      </c>
      <c r="D4631" s="18" t="s">
        <v>2597</v>
      </c>
      <c r="E4631" s="18">
        <v>200</v>
      </c>
      <c r="F4631" s="18" t="s">
        <v>78</v>
      </c>
      <c r="G4631" s="18" t="s">
        <v>22</v>
      </c>
      <c r="H4631" s="18" t="s">
        <v>23</v>
      </c>
      <c r="I4631" s="19">
        <v>2.62</v>
      </c>
      <c r="J4631" s="20">
        <f t="shared" si="144"/>
        <v>524</v>
      </c>
      <c r="K4631" s="106"/>
      <c r="L4631" s="114"/>
      <c r="M4631" s="114">
        <f>tblAquisições[[#This Row],[VALOR UNITARIO COMPRADO]]*tblAquisições[[#This Row],[QUANTIDADE COMPRADA]]</f>
        <v>0</v>
      </c>
      <c r="N4631" s="110">
        <f>K4631-tblAquisições[[#This Row],[QUANTIDADE PLANEJADA]]</f>
        <v>-200</v>
      </c>
      <c r="O4631" s="106" t="str">
        <f t="shared" si="145"/>
        <v>Faltando Comprar</v>
      </c>
    </row>
    <row r="4632" spans="1:15" ht="47.25">
      <c r="A4632" s="16" t="s">
        <v>17</v>
      </c>
      <c r="B4632" s="16" t="s">
        <v>25</v>
      </c>
      <c r="C4632" s="17" t="s">
        <v>19</v>
      </c>
      <c r="D4632" s="18" t="s">
        <v>2597</v>
      </c>
      <c r="E4632" s="18">
        <v>200</v>
      </c>
      <c r="F4632" s="18" t="s">
        <v>78</v>
      </c>
      <c r="G4632" s="18" t="s">
        <v>22</v>
      </c>
      <c r="H4632" s="18" t="s">
        <v>23</v>
      </c>
      <c r="I4632" s="19">
        <v>2.62</v>
      </c>
      <c r="J4632" s="20">
        <f t="shared" si="144"/>
        <v>524</v>
      </c>
      <c r="K4632" s="106"/>
      <c r="L4632" s="114"/>
      <c r="M4632" s="114">
        <f>tblAquisições[[#This Row],[VALOR UNITARIO COMPRADO]]*tblAquisições[[#This Row],[QUANTIDADE COMPRADA]]</f>
        <v>0</v>
      </c>
      <c r="N4632" s="110">
        <f>K4632-tblAquisições[[#This Row],[QUANTIDADE PLANEJADA]]</f>
        <v>-200</v>
      </c>
      <c r="O4632" s="106" t="str">
        <f t="shared" si="145"/>
        <v>Faltando Comprar</v>
      </c>
    </row>
    <row r="4633" spans="1:15" ht="47.25">
      <c r="A4633" s="16" t="s">
        <v>17</v>
      </c>
      <c r="B4633" s="16" t="s">
        <v>28</v>
      </c>
      <c r="C4633" s="17" t="s">
        <v>19</v>
      </c>
      <c r="D4633" s="18" t="s">
        <v>2597</v>
      </c>
      <c r="E4633" s="18">
        <v>24</v>
      </c>
      <c r="F4633" s="18" t="s">
        <v>78</v>
      </c>
      <c r="G4633" s="18" t="s">
        <v>22</v>
      </c>
      <c r="H4633" s="18" t="s">
        <v>53</v>
      </c>
      <c r="I4633" s="19">
        <v>2.62</v>
      </c>
      <c r="J4633" s="20">
        <f t="shared" si="144"/>
        <v>62.88</v>
      </c>
      <c r="K4633" s="106"/>
      <c r="L4633" s="114"/>
      <c r="M4633" s="114">
        <f>tblAquisições[[#This Row],[VALOR UNITARIO COMPRADO]]*tblAquisições[[#This Row],[QUANTIDADE COMPRADA]]</f>
        <v>0</v>
      </c>
      <c r="N4633" s="110">
        <f>K4633-tblAquisições[[#This Row],[QUANTIDADE PLANEJADA]]</f>
        <v>-24</v>
      </c>
      <c r="O4633" s="106" t="str">
        <f t="shared" si="145"/>
        <v>Faltando Comprar</v>
      </c>
    </row>
    <row r="4634" spans="1:15" ht="31.5">
      <c r="A4634" s="16" t="s">
        <v>17</v>
      </c>
      <c r="B4634" s="16" t="s">
        <v>26</v>
      </c>
      <c r="C4634" s="17" t="s">
        <v>19</v>
      </c>
      <c r="D4634" s="18" t="s">
        <v>2598</v>
      </c>
      <c r="E4634" s="18">
        <v>5</v>
      </c>
      <c r="F4634" s="18" t="s">
        <v>170</v>
      </c>
      <c r="G4634" s="18" t="s">
        <v>22</v>
      </c>
      <c r="H4634" s="18" t="s">
        <v>23</v>
      </c>
      <c r="I4634" s="19">
        <v>53.92</v>
      </c>
      <c r="J4634" s="20">
        <f t="shared" si="144"/>
        <v>269.60000000000002</v>
      </c>
      <c r="K4634" s="106"/>
      <c r="L4634" s="114"/>
      <c r="M4634" s="114">
        <f>tblAquisições[[#This Row],[VALOR UNITARIO COMPRADO]]*tblAquisições[[#This Row],[QUANTIDADE COMPRADA]]</f>
        <v>0</v>
      </c>
      <c r="N4634" s="110">
        <f>K4634-tblAquisições[[#This Row],[QUANTIDADE PLANEJADA]]</f>
        <v>-5</v>
      </c>
      <c r="O4634" s="106" t="str">
        <f t="shared" si="145"/>
        <v>Faltando Comprar</v>
      </c>
    </row>
    <row r="4635" spans="1:15" ht="31.5">
      <c r="A4635" s="16" t="s">
        <v>17</v>
      </c>
      <c r="B4635" s="16" t="s">
        <v>80</v>
      </c>
      <c r="C4635" s="17" t="s">
        <v>19</v>
      </c>
      <c r="D4635" s="18" t="s">
        <v>2599</v>
      </c>
      <c r="E4635" s="18">
        <v>4</v>
      </c>
      <c r="F4635" s="18" t="s">
        <v>38</v>
      </c>
      <c r="G4635" s="18" t="s">
        <v>39</v>
      </c>
      <c r="H4635" s="18" t="s">
        <v>23</v>
      </c>
      <c r="I4635" s="19">
        <v>1300</v>
      </c>
      <c r="J4635" s="20">
        <f t="shared" si="144"/>
        <v>5200</v>
      </c>
      <c r="K4635" s="106"/>
      <c r="L4635" s="114"/>
      <c r="M4635" s="114">
        <f>tblAquisições[[#This Row],[VALOR UNITARIO COMPRADO]]*tblAquisições[[#This Row],[QUANTIDADE COMPRADA]]</f>
        <v>0</v>
      </c>
      <c r="N4635" s="110">
        <f>K4635-tblAquisições[[#This Row],[QUANTIDADE PLANEJADA]]</f>
        <v>-4</v>
      </c>
      <c r="O4635" s="106" t="str">
        <f t="shared" si="145"/>
        <v>Faltando Comprar</v>
      </c>
    </row>
    <row r="4636" spans="1:15" ht="31.5">
      <c r="A4636" s="16" t="s">
        <v>17</v>
      </c>
      <c r="B4636" s="16" t="s">
        <v>31</v>
      </c>
      <c r="C4636" s="17" t="s">
        <v>19</v>
      </c>
      <c r="D4636" s="18" t="s">
        <v>2600</v>
      </c>
      <c r="E4636" s="18">
        <v>8</v>
      </c>
      <c r="F4636" s="18" t="s">
        <v>21</v>
      </c>
      <c r="G4636" s="18" t="s">
        <v>22</v>
      </c>
      <c r="H4636" s="18" t="s">
        <v>23</v>
      </c>
      <c r="I4636" s="19">
        <v>1300</v>
      </c>
      <c r="J4636" s="20">
        <f t="shared" si="144"/>
        <v>10400</v>
      </c>
      <c r="K4636" s="106"/>
      <c r="L4636" s="114"/>
      <c r="M4636" s="114">
        <f>tblAquisições[[#This Row],[VALOR UNITARIO COMPRADO]]*tblAquisições[[#This Row],[QUANTIDADE COMPRADA]]</f>
        <v>0</v>
      </c>
      <c r="N4636" s="110">
        <f>K4636-tblAquisições[[#This Row],[QUANTIDADE PLANEJADA]]</f>
        <v>-8</v>
      </c>
      <c r="O4636" s="106" t="str">
        <f t="shared" si="145"/>
        <v>Faltando Comprar</v>
      </c>
    </row>
    <row r="4637" spans="1:15" ht="31.5">
      <c r="A4637" s="16" t="s">
        <v>17</v>
      </c>
      <c r="B4637" s="16" t="s">
        <v>41</v>
      </c>
      <c r="C4637" s="17" t="s">
        <v>19</v>
      </c>
      <c r="D4637" s="18" t="s">
        <v>2600</v>
      </c>
      <c r="E4637" s="18">
        <v>5</v>
      </c>
      <c r="F4637" s="18" t="s">
        <v>21</v>
      </c>
      <c r="G4637" s="18" t="s">
        <v>22</v>
      </c>
      <c r="H4637" s="18" t="s">
        <v>23</v>
      </c>
      <c r="I4637" s="19">
        <v>1300</v>
      </c>
      <c r="J4637" s="20">
        <f t="shared" si="144"/>
        <v>6500</v>
      </c>
      <c r="K4637" s="106"/>
      <c r="L4637" s="114"/>
      <c r="M4637" s="114">
        <f>tblAquisições[[#This Row],[VALOR UNITARIO COMPRADO]]*tblAquisições[[#This Row],[QUANTIDADE COMPRADA]]</f>
        <v>0</v>
      </c>
      <c r="N4637" s="110">
        <f>K4637-tblAquisições[[#This Row],[QUANTIDADE PLANEJADA]]</f>
        <v>-5</v>
      </c>
      <c r="O4637" s="106" t="str">
        <f t="shared" si="145"/>
        <v>Faltando Comprar</v>
      </c>
    </row>
    <row r="4638" spans="1:15" ht="31.5">
      <c r="A4638" s="16" t="s">
        <v>17</v>
      </c>
      <c r="B4638" s="16" t="s">
        <v>28</v>
      </c>
      <c r="C4638" s="17" t="s">
        <v>19</v>
      </c>
      <c r="D4638" s="18" t="s">
        <v>2600</v>
      </c>
      <c r="E4638" s="18">
        <v>3</v>
      </c>
      <c r="F4638" s="18" t="s">
        <v>21</v>
      </c>
      <c r="G4638" s="18" t="s">
        <v>22</v>
      </c>
      <c r="H4638" s="18" t="s">
        <v>23</v>
      </c>
      <c r="I4638" s="19">
        <v>1300</v>
      </c>
      <c r="J4638" s="20">
        <f t="shared" si="144"/>
        <v>3900</v>
      </c>
      <c r="K4638" s="106"/>
      <c r="L4638" s="114"/>
      <c r="M4638" s="114">
        <f>tblAquisições[[#This Row],[VALOR UNITARIO COMPRADO]]*tblAquisições[[#This Row],[QUANTIDADE COMPRADA]]</f>
        <v>0</v>
      </c>
      <c r="N4638" s="110">
        <f>K4638-tblAquisições[[#This Row],[QUANTIDADE PLANEJADA]]</f>
        <v>-3</v>
      </c>
      <c r="O4638" s="106" t="str">
        <f t="shared" si="145"/>
        <v>Faltando Comprar</v>
      </c>
    </row>
    <row r="4639" spans="1:15" ht="31.5">
      <c r="A4639" s="16" t="s">
        <v>17</v>
      </c>
      <c r="B4639" s="16" t="s">
        <v>28</v>
      </c>
      <c r="C4639" s="17" t="s">
        <v>19</v>
      </c>
      <c r="D4639" s="18" t="s">
        <v>2601</v>
      </c>
      <c r="E4639" s="18">
        <v>2</v>
      </c>
      <c r="F4639" s="18" t="s">
        <v>328</v>
      </c>
      <c r="G4639" s="18" t="s">
        <v>22</v>
      </c>
      <c r="H4639" s="18" t="s">
        <v>23</v>
      </c>
      <c r="I4639" s="19">
        <v>17.91</v>
      </c>
      <c r="J4639" s="20">
        <f t="shared" si="144"/>
        <v>35.82</v>
      </c>
      <c r="K4639" s="106"/>
      <c r="L4639" s="114"/>
      <c r="M4639" s="114">
        <f>tblAquisições[[#This Row],[VALOR UNITARIO COMPRADO]]*tblAquisições[[#This Row],[QUANTIDADE COMPRADA]]</f>
        <v>0</v>
      </c>
      <c r="N4639" s="110">
        <f>K4639-tblAquisições[[#This Row],[QUANTIDADE PLANEJADA]]</f>
        <v>-2</v>
      </c>
      <c r="O4639" s="106" t="str">
        <f t="shared" si="145"/>
        <v>Faltando Comprar</v>
      </c>
    </row>
    <row r="4640" spans="1:15" ht="31.5">
      <c r="A4640" s="16" t="s">
        <v>17</v>
      </c>
      <c r="B4640" s="16" t="s">
        <v>80</v>
      </c>
      <c r="C4640" s="17" t="s">
        <v>19</v>
      </c>
      <c r="D4640" s="18" t="s">
        <v>2602</v>
      </c>
      <c r="E4640" s="18">
        <v>20</v>
      </c>
      <c r="F4640" s="18" t="s">
        <v>82</v>
      </c>
      <c r="G4640" s="18" t="s">
        <v>39</v>
      </c>
      <c r="H4640" s="21"/>
      <c r="I4640" s="19">
        <v>9</v>
      </c>
      <c r="J4640" s="20">
        <f t="shared" si="144"/>
        <v>180</v>
      </c>
      <c r="K4640" s="106"/>
      <c r="L4640" s="114"/>
      <c r="M4640" s="114">
        <f>tblAquisições[[#This Row],[VALOR UNITARIO COMPRADO]]*tblAquisições[[#This Row],[QUANTIDADE COMPRADA]]</f>
        <v>0</v>
      </c>
      <c r="N4640" s="110">
        <f>K4640-tblAquisições[[#This Row],[QUANTIDADE PLANEJADA]]</f>
        <v>-20</v>
      </c>
      <c r="O4640" s="106" t="str">
        <f t="shared" si="145"/>
        <v>Faltando Comprar</v>
      </c>
    </row>
    <row r="4641" spans="1:15" ht="63">
      <c r="A4641" s="16" t="s">
        <v>17</v>
      </c>
      <c r="B4641" s="16" t="s">
        <v>80</v>
      </c>
      <c r="C4641" s="17" t="s">
        <v>19</v>
      </c>
      <c r="D4641" s="18" t="s">
        <v>2603</v>
      </c>
      <c r="E4641" s="18">
        <v>20</v>
      </c>
      <c r="F4641" s="18" t="s">
        <v>2604</v>
      </c>
      <c r="G4641" s="18" t="s">
        <v>39</v>
      </c>
      <c r="H4641" s="18" t="s">
        <v>23</v>
      </c>
      <c r="I4641" s="19">
        <v>2.5299999999999998</v>
      </c>
      <c r="J4641" s="20">
        <f t="shared" si="144"/>
        <v>50.599999999999994</v>
      </c>
      <c r="K4641" s="106"/>
      <c r="L4641" s="114"/>
      <c r="M4641" s="114">
        <f>tblAquisições[[#This Row],[VALOR UNITARIO COMPRADO]]*tblAquisições[[#This Row],[QUANTIDADE COMPRADA]]</f>
        <v>0</v>
      </c>
      <c r="N4641" s="110">
        <f>K4641-tblAquisições[[#This Row],[QUANTIDADE PLANEJADA]]</f>
        <v>-20</v>
      </c>
      <c r="O4641" s="106" t="str">
        <f t="shared" si="145"/>
        <v>Faltando Comprar</v>
      </c>
    </row>
    <row r="4642" spans="1:15" ht="47.25">
      <c r="A4642" s="16" t="s">
        <v>17</v>
      </c>
      <c r="B4642" s="16" t="s">
        <v>31</v>
      </c>
      <c r="C4642" s="17" t="s">
        <v>19</v>
      </c>
      <c r="D4642" s="18" t="s">
        <v>2605</v>
      </c>
      <c r="E4642" s="18">
        <v>50</v>
      </c>
      <c r="F4642" s="18" t="s">
        <v>107</v>
      </c>
      <c r="G4642" s="18" t="s">
        <v>22</v>
      </c>
      <c r="H4642" s="18" t="s">
        <v>23</v>
      </c>
      <c r="I4642" s="19">
        <v>2.5299999999999998</v>
      </c>
      <c r="J4642" s="20">
        <f t="shared" si="144"/>
        <v>126.49999999999999</v>
      </c>
      <c r="K4642" s="106"/>
      <c r="L4642" s="114"/>
      <c r="M4642" s="114">
        <f>tblAquisições[[#This Row],[VALOR UNITARIO COMPRADO]]*tblAquisições[[#This Row],[QUANTIDADE COMPRADA]]</f>
        <v>0</v>
      </c>
      <c r="N4642" s="110">
        <f>K4642-tblAquisições[[#This Row],[QUANTIDADE PLANEJADA]]</f>
        <v>-50</v>
      </c>
      <c r="O4642" s="106" t="str">
        <f t="shared" si="145"/>
        <v>Faltando Comprar</v>
      </c>
    </row>
    <row r="4643" spans="1:15" ht="47.25">
      <c r="A4643" s="16" t="s">
        <v>17</v>
      </c>
      <c r="B4643" s="16" t="s">
        <v>18</v>
      </c>
      <c r="C4643" s="17" t="s">
        <v>19</v>
      </c>
      <c r="D4643" s="18" t="s">
        <v>2605</v>
      </c>
      <c r="E4643" s="18">
        <v>50</v>
      </c>
      <c r="F4643" s="18" t="s">
        <v>107</v>
      </c>
      <c r="G4643" s="18" t="s">
        <v>22</v>
      </c>
      <c r="H4643" s="18" t="s">
        <v>23</v>
      </c>
      <c r="I4643" s="19">
        <v>2.5299999999999998</v>
      </c>
      <c r="J4643" s="20">
        <f t="shared" si="144"/>
        <v>126.49999999999999</v>
      </c>
      <c r="K4643" s="106"/>
      <c r="L4643" s="114"/>
      <c r="M4643" s="114">
        <f>tblAquisições[[#This Row],[VALOR UNITARIO COMPRADO]]*tblAquisições[[#This Row],[QUANTIDADE COMPRADA]]</f>
        <v>0</v>
      </c>
      <c r="N4643" s="110">
        <f>K4643-tblAquisições[[#This Row],[QUANTIDADE PLANEJADA]]</f>
        <v>-50</v>
      </c>
      <c r="O4643" s="106" t="str">
        <f t="shared" si="145"/>
        <v>Faltando Comprar</v>
      </c>
    </row>
    <row r="4644" spans="1:15" ht="47.25">
      <c r="A4644" s="16" t="s">
        <v>17</v>
      </c>
      <c r="B4644" s="16" t="s">
        <v>24</v>
      </c>
      <c r="C4644" s="17" t="s">
        <v>19</v>
      </c>
      <c r="D4644" s="18" t="s">
        <v>2605</v>
      </c>
      <c r="E4644" s="18">
        <v>50</v>
      </c>
      <c r="F4644" s="18" t="s">
        <v>107</v>
      </c>
      <c r="G4644" s="18" t="s">
        <v>22</v>
      </c>
      <c r="H4644" s="18" t="s">
        <v>23</v>
      </c>
      <c r="I4644" s="19">
        <v>2.5299999999999998</v>
      </c>
      <c r="J4644" s="20">
        <f t="shared" si="144"/>
        <v>126.49999999999999</v>
      </c>
      <c r="K4644" s="106"/>
      <c r="L4644" s="114"/>
      <c r="M4644" s="114">
        <f>tblAquisições[[#This Row],[VALOR UNITARIO COMPRADO]]*tblAquisições[[#This Row],[QUANTIDADE COMPRADA]]</f>
        <v>0</v>
      </c>
      <c r="N4644" s="110">
        <f>K4644-tblAquisições[[#This Row],[QUANTIDADE PLANEJADA]]</f>
        <v>-50</v>
      </c>
      <c r="O4644" s="106" t="str">
        <f t="shared" si="145"/>
        <v>Faltando Comprar</v>
      </c>
    </row>
    <row r="4645" spans="1:15" ht="47.25">
      <c r="A4645" s="16" t="s">
        <v>17</v>
      </c>
      <c r="B4645" s="16" t="s">
        <v>25</v>
      </c>
      <c r="C4645" s="17" t="s">
        <v>19</v>
      </c>
      <c r="D4645" s="18" t="s">
        <v>2605</v>
      </c>
      <c r="E4645" s="18">
        <v>50</v>
      </c>
      <c r="F4645" s="18" t="s">
        <v>107</v>
      </c>
      <c r="G4645" s="18" t="s">
        <v>22</v>
      </c>
      <c r="H4645" s="18" t="s">
        <v>23</v>
      </c>
      <c r="I4645" s="19">
        <v>2.5299999999999998</v>
      </c>
      <c r="J4645" s="20">
        <f t="shared" si="144"/>
        <v>126.49999999999999</v>
      </c>
      <c r="K4645" s="106"/>
      <c r="L4645" s="114"/>
      <c r="M4645" s="114">
        <f>tblAquisições[[#This Row],[VALOR UNITARIO COMPRADO]]*tblAquisições[[#This Row],[QUANTIDADE COMPRADA]]</f>
        <v>0</v>
      </c>
      <c r="N4645" s="110">
        <f>K4645-tblAquisições[[#This Row],[QUANTIDADE PLANEJADA]]</f>
        <v>-50</v>
      </c>
      <c r="O4645" s="106" t="str">
        <f t="shared" si="145"/>
        <v>Faltando Comprar</v>
      </c>
    </row>
    <row r="4646" spans="1:15" ht="47.25">
      <c r="A4646" s="16" t="s">
        <v>17</v>
      </c>
      <c r="B4646" s="16" t="s">
        <v>27</v>
      </c>
      <c r="C4646" s="17" t="s">
        <v>19</v>
      </c>
      <c r="D4646" s="18" t="s">
        <v>2605</v>
      </c>
      <c r="E4646" s="18">
        <v>50</v>
      </c>
      <c r="F4646" s="18" t="s">
        <v>107</v>
      </c>
      <c r="G4646" s="18" t="s">
        <v>22</v>
      </c>
      <c r="H4646" s="18" t="s">
        <v>23</v>
      </c>
      <c r="I4646" s="19">
        <v>2.5299999999999998</v>
      </c>
      <c r="J4646" s="20">
        <f t="shared" si="144"/>
        <v>126.49999999999999</v>
      </c>
      <c r="K4646" s="106"/>
      <c r="L4646" s="114"/>
      <c r="M4646" s="114">
        <f>tblAquisições[[#This Row],[VALOR UNITARIO COMPRADO]]*tblAquisições[[#This Row],[QUANTIDADE COMPRADA]]</f>
        <v>0</v>
      </c>
      <c r="N4646" s="110">
        <f>K4646-tblAquisições[[#This Row],[QUANTIDADE PLANEJADA]]</f>
        <v>-50</v>
      </c>
      <c r="O4646" s="106" t="str">
        <f t="shared" si="145"/>
        <v>Faltando Comprar</v>
      </c>
    </row>
    <row r="4647" spans="1:15" ht="47.25">
      <c r="A4647" s="16" t="s">
        <v>17</v>
      </c>
      <c r="B4647" s="16" t="s">
        <v>28</v>
      </c>
      <c r="C4647" s="17" t="s">
        <v>19</v>
      </c>
      <c r="D4647" s="18" t="s">
        <v>2605</v>
      </c>
      <c r="E4647" s="18">
        <v>100</v>
      </c>
      <c r="F4647" s="18" t="s">
        <v>107</v>
      </c>
      <c r="G4647" s="18" t="s">
        <v>22</v>
      </c>
      <c r="H4647" s="18" t="s">
        <v>23</v>
      </c>
      <c r="I4647" s="19">
        <v>2.5299999999999998</v>
      </c>
      <c r="J4647" s="20">
        <f t="shared" si="144"/>
        <v>252.99999999999997</v>
      </c>
      <c r="K4647" s="106"/>
      <c r="L4647" s="114"/>
      <c r="M4647" s="114">
        <f>tblAquisições[[#This Row],[VALOR UNITARIO COMPRADO]]*tblAquisições[[#This Row],[QUANTIDADE COMPRADA]]</f>
        <v>0</v>
      </c>
      <c r="N4647" s="110">
        <f>K4647-tblAquisições[[#This Row],[QUANTIDADE PLANEJADA]]</f>
        <v>-100</v>
      </c>
      <c r="O4647" s="106" t="str">
        <f t="shared" si="145"/>
        <v>Faltando Comprar</v>
      </c>
    </row>
    <row r="4648" spans="1:15" ht="47.25">
      <c r="A4648" s="16" t="s">
        <v>17</v>
      </c>
      <c r="B4648" s="16" t="s">
        <v>18</v>
      </c>
      <c r="C4648" s="17" t="s">
        <v>19</v>
      </c>
      <c r="D4648" s="18" t="s">
        <v>2606</v>
      </c>
      <c r="E4648" s="18">
        <v>20</v>
      </c>
      <c r="F4648" s="18" t="s">
        <v>391</v>
      </c>
      <c r="G4648" s="18" t="s">
        <v>22</v>
      </c>
      <c r="H4648" s="18" t="s">
        <v>23</v>
      </c>
      <c r="I4648" s="19">
        <v>376.81</v>
      </c>
      <c r="J4648" s="20">
        <f t="shared" si="144"/>
        <v>7536.2</v>
      </c>
      <c r="K4648" s="106"/>
      <c r="L4648" s="114"/>
      <c r="M4648" s="114">
        <f>tblAquisições[[#This Row],[VALOR UNITARIO COMPRADO]]*tblAquisições[[#This Row],[QUANTIDADE COMPRADA]]</f>
        <v>0</v>
      </c>
      <c r="N4648" s="110">
        <f>K4648-tblAquisições[[#This Row],[QUANTIDADE PLANEJADA]]</f>
        <v>-20</v>
      </c>
      <c r="O4648" s="106" t="str">
        <f t="shared" si="145"/>
        <v>Faltando Comprar</v>
      </c>
    </row>
    <row r="4649" spans="1:15" ht="47.25">
      <c r="A4649" s="16" t="s">
        <v>17</v>
      </c>
      <c r="B4649" s="16" t="s">
        <v>24</v>
      </c>
      <c r="C4649" s="17" t="s">
        <v>19</v>
      </c>
      <c r="D4649" s="18" t="s">
        <v>2606</v>
      </c>
      <c r="E4649" s="18">
        <v>20</v>
      </c>
      <c r="F4649" s="18" t="s">
        <v>391</v>
      </c>
      <c r="G4649" s="18" t="s">
        <v>22</v>
      </c>
      <c r="H4649" s="18" t="s">
        <v>23</v>
      </c>
      <c r="I4649" s="19">
        <v>376.81</v>
      </c>
      <c r="J4649" s="20">
        <f t="shared" si="144"/>
        <v>7536.2</v>
      </c>
      <c r="K4649" s="106"/>
      <c r="L4649" s="114"/>
      <c r="M4649" s="114">
        <f>tblAquisições[[#This Row],[VALOR UNITARIO COMPRADO]]*tblAquisições[[#This Row],[QUANTIDADE COMPRADA]]</f>
        <v>0</v>
      </c>
      <c r="N4649" s="110">
        <f>K4649-tblAquisições[[#This Row],[QUANTIDADE PLANEJADA]]</f>
        <v>-20</v>
      </c>
      <c r="O4649" s="106" t="str">
        <f t="shared" si="145"/>
        <v>Faltando Comprar</v>
      </c>
    </row>
    <row r="4650" spans="1:15" ht="47.25">
      <c r="A4650" s="16" t="s">
        <v>17</v>
      </c>
      <c r="B4650" s="16" t="s">
        <v>25</v>
      </c>
      <c r="C4650" s="17" t="s">
        <v>19</v>
      </c>
      <c r="D4650" s="18" t="s">
        <v>2606</v>
      </c>
      <c r="E4650" s="18">
        <v>20</v>
      </c>
      <c r="F4650" s="18" t="s">
        <v>391</v>
      </c>
      <c r="G4650" s="18" t="s">
        <v>22</v>
      </c>
      <c r="H4650" s="18" t="s">
        <v>23</v>
      </c>
      <c r="I4650" s="19">
        <v>376.81</v>
      </c>
      <c r="J4650" s="20">
        <f t="shared" si="144"/>
        <v>7536.2</v>
      </c>
      <c r="K4650" s="106"/>
      <c r="L4650" s="114"/>
      <c r="M4650" s="114">
        <f>tblAquisições[[#This Row],[VALOR UNITARIO COMPRADO]]*tblAquisições[[#This Row],[QUANTIDADE COMPRADA]]</f>
        <v>0</v>
      </c>
      <c r="N4650" s="110">
        <f>K4650-tblAquisições[[#This Row],[QUANTIDADE PLANEJADA]]</f>
        <v>-20</v>
      </c>
      <c r="O4650" s="106" t="str">
        <f t="shared" si="145"/>
        <v>Faltando Comprar</v>
      </c>
    </row>
    <row r="4651" spans="1:15" ht="47.25">
      <c r="A4651" s="16" t="s">
        <v>17</v>
      </c>
      <c r="B4651" s="16" t="s">
        <v>27</v>
      </c>
      <c r="C4651" s="17" t="s">
        <v>19</v>
      </c>
      <c r="D4651" s="18" t="s">
        <v>2606</v>
      </c>
      <c r="E4651" s="18">
        <v>10</v>
      </c>
      <c r="F4651" s="18" t="s">
        <v>391</v>
      </c>
      <c r="G4651" s="18" t="s">
        <v>22</v>
      </c>
      <c r="H4651" s="18" t="s">
        <v>23</v>
      </c>
      <c r="I4651" s="19">
        <v>376.81</v>
      </c>
      <c r="J4651" s="20">
        <f t="shared" si="144"/>
        <v>3768.1</v>
      </c>
      <c r="K4651" s="106"/>
      <c r="L4651" s="114"/>
      <c r="M4651" s="114">
        <f>tblAquisições[[#This Row],[VALOR UNITARIO COMPRADO]]*tblAquisições[[#This Row],[QUANTIDADE COMPRADA]]</f>
        <v>0</v>
      </c>
      <c r="N4651" s="110">
        <f>K4651-tblAquisições[[#This Row],[QUANTIDADE PLANEJADA]]</f>
        <v>-10</v>
      </c>
      <c r="O4651" s="106" t="str">
        <f t="shared" si="145"/>
        <v>Faltando Comprar</v>
      </c>
    </row>
    <row r="4652" spans="1:15" ht="47.25">
      <c r="A4652" s="16" t="s">
        <v>17</v>
      </c>
      <c r="B4652" s="16" t="s">
        <v>31</v>
      </c>
      <c r="C4652" s="17" t="s">
        <v>19</v>
      </c>
      <c r="D4652" s="18" t="s">
        <v>2607</v>
      </c>
      <c r="E4652" s="18">
        <v>5</v>
      </c>
      <c r="F4652" s="18" t="s">
        <v>78</v>
      </c>
      <c r="G4652" s="18" t="s">
        <v>22</v>
      </c>
      <c r="H4652" s="18" t="s">
        <v>23</v>
      </c>
      <c r="I4652" s="19">
        <v>11.99</v>
      </c>
      <c r="J4652" s="20">
        <f t="shared" si="144"/>
        <v>59.95</v>
      </c>
      <c r="K4652" s="106"/>
      <c r="L4652" s="114"/>
      <c r="M4652" s="114">
        <f>tblAquisições[[#This Row],[VALOR UNITARIO COMPRADO]]*tblAquisições[[#This Row],[QUANTIDADE COMPRADA]]</f>
        <v>0</v>
      </c>
      <c r="N4652" s="110">
        <f>K4652-tblAquisições[[#This Row],[QUANTIDADE PLANEJADA]]</f>
        <v>-5</v>
      </c>
      <c r="O4652" s="106" t="str">
        <f t="shared" si="145"/>
        <v>Faltando Comprar</v>
      </c>
    </row>
    <row r="4653" spans="1:15" ht="47.25">
      <c r="A4653" s="16" t="s">
        <v>17</v>
      </c>
      <c r="B4653" s="16" t="s">
        <v>18</v>
      </c>
      <c r="C4653" s="17" t="s">
        <v>19</v>
      </c>
      <c r="D4653" s="18" t="s">
        <v>2607</v>
      </c>
      <c r="E4653" s="18">
        <v>5</v>
      </c>
      <c r="F4653" s="18" t="s">
        <v>78</v>
      </c>
      <c r="G4653" s="18" t="s">
        <v>22</v>
      </c>
      <c r="H4653" s="18" t="s">
        <v>23</v>
      </c>
      <c r="I4653" s="19">
        <v>11.99</v>
      </c>
      <c r="J4653" s="20">
        <f t="shared" si="144"/>
        <v>59.95</v>
      </c>
      <c r="K4653" s="106"/>
      <c r="L4653" s="114"/>
      <c r="M4653" s="114">
        <f>tblAquisições[[#This Row],[VALOR UNITARIO COMPRADO]]*tblAquisições[[#This Row],[QUANTIDADE COMPRADA]]</f>
        <v>0</v>
      </c>
      <c r="N4653" s="110">
        <f>K4653-tblAquisições[[#This Row],[QUANTIDADE PLANEJADA]]</f>
        <v>-5</v>
      </c>
      <c r="O4653" s="106" t="str">
        <f t="shared" si="145"/>
        <v>Faltando Comprar</v>
      </c>
    </row>
    <row r="4654" spans="1:15" ht="47.25">
      <c r="A4654" s="16" t="s">
        <v>17</v>
      </c>
      <c r="B4654" s="16" t="s">
        <v>24</v>
      </c>
      <c r="C4654" s="17" t="s">
        <v>19</v>
      </c>
      <c r="D4654" s="18" t="s">
        <v>2607</v>
      </c>
      <c r="E4654" s="18">
        <v>5</v>
      </c>
      <c r="F4654" s="18" t="s">
        <v>78</v>
      </c>
      <c r="G4654" s="18" t="s">
        <v>22</v>
      </c>
      <c r="H4654" s="18" t="s">
        <v>23</v>
      </c>
      <c r="I4654" s="19">
        <v>11.99</v>
      </c>
      <c r="J4654" s="20">
        <f t="shared" si="144"/>
        <v>59.95</v>
      </c>
      <c r="K4654" s="106"/>
      <c r="L4654" s="114"/>
      <c r="M4654" s="114">
        <f>tblAquisições[[#This Row],[VALOR UNITARIO COMPRADO]]*tblAquisições[[#This Row],[QUANTIDADE COMPRADA]]</f>
        <v>0</v>
      </c>
      <c r="N4654" s="110">
        <f>K4654-tblAquisições[[#This Row],[QUANTIDADE PLANEJADA]]</f>
        <v>-5</v>
      </c>
      <c r="O4654" s="106" t="str">
        <f t="shared" si="145"/>
        <v>Faltando Comprar</v>
      </c>
    </row>
    <row r="4655" spans="1:15" ht="47.25">
      <c r="A4655" s="16" t="s">
        <v>17</v>
      </c>
      <c r="B4655" s="16" t="s">
        <v>25</v>
      </c>
      <c r="C4655" s="17" t="s">
        <v>19</v>
      </c>
      <c r="D4655" s="18" t="s">
        <v>2607</v>
      </c>
      <c r="E4655" s="18">
        <v>5</v>
      </c>
      <c r="F4655" s="18" t="s">
        <v>78</v>
      </c>
      <c r="G4655" s="18" t="s">
        <v>22</v>
      </c>
      <c r="H4655" s="18" t="s">
        <v>23</v>
      </c>
      <c r="I4655" s="19">
        <v>11.99</v>
      </c>
      <c r="J4655" s="20">
        <f t="shared" si="144"/>
        <v>59.95</v>
      </c>
      <c r="K4655" s="106"/>
      <c r="L4655" s="114"/>
      <c r="M4655" s="114">
        <f>tblAquisições[[#This Row],[VALOR UNITARIO COMPRADO]]*tblAquisições[[#This Row],[QUANTIDADE COMPRADA]]</f>
        <v>0</v>
      </c>
      <c r="N4655" s="110">
        <f>K4655-tblAquisições[[#This Row],[QUANTIDADE PLANEJADA]]</f>
        <v>-5</v>
      </c>
      <c r="O4655" s="106" t="str">
        <f t="shared" si="145"/>
        <v>Faltando Comprar</v>
      </c>
    </row>
    <row r="4656" spans="1:15" ht="47.25">
      <c r="A4656" s="16" t="s">
        <v>17</v>
      </c>
      <c r="B4656" s="16" t="s">
        <v>28</v>
      </c>
      <c r="C4656" s="17" t="s">
        <v>19</v>
      </c>
      <c r="D4656" s="18" t="s">
        <v>2607</v>
      </c>
      <c r="E4656" s="18">
        <v>20</v>
      </c>
      <c r="F4656" s="18" t="s">
        <v>78</v>
      </c>
      <c r="G4656" s="18" t="s">
        <v>22</v>
      </c>
      <c r="H4656" s="18" t="s">
        <v>53</v>
      </c>
      <c r="I4656" s="19">
        <v>11.99</v>
      </c>
      <c r="J4656" s="20">
        <f t="shared" si="144"/>
        <v>239.8</v>
      </c>
      <c r="K4656" s="106"/>
      <c r="L4656" s="114"/>
      <c r="M4656" s="114">
        <f>tblAquisições[[#This Row],[VALOR UNITARIO COMPRADO]]*tblAquisições[[#This Row],[QUANTIDADE COMPRADA]]</f>
        <v>0</v>
      </c>
      <c r="N4656" s="110">
        <f>K4656-tblAquisições[[#This Row],[QUANTIDADE PLANEJADA]]</f>
        <v>-20</v>
      </c>
      <c r="O4656" s="106" t="str">
        <f t="shared" si="145"/>
        <v>Faltando Comprar</v>
      </c>
    </row>
    <row r="4657" spans="1:15" ht="31.5">
      <c r="A4657" s="16" t="s">
        <v>17</v>
      </c>
      <c r="B4657" s="16" t="s">
        <v>28</v>
      </c>
      <c r="C4657" s="17" t="s">
        <v>19</v>
      </c>
      <c r="D4657" s="18" t="s">
        <v>2608</v>
      </c>
      <c r="E4657" s="18">
        <v>20</v>
      </c>
      <c r="F4657" s="18" t="s">
        <v>21</v>
      </c>
      <c r="G4657" s="18" t="s">
        <v>22</v>
      </c>
      <c r="H4657" s="18" t="s">
        <v>23</v>
      </c>
      <c r="I4657" s="19">
        <v>14.51</v>
      </c>
      <c r="J4657" s="20">
        <f t="shared" si="144"/>
        <v>290.2</v>
      </c>
      <c r="K4657" s="106"/>
      <c r="L4657" s="114"/>
      <c r="M4657" s="114">
        <f>tblAquisições[[#This Row],[VALOR UNITARIO COMPRADO]]*tblAquisições[[#This Row],[QUANTIDADE COMPRADA]]</f>
        <v>0</v>
      </c>
      <c r="N4657" s="110">
        <f>K4657-tblAquisições[[#This Row],[QUANTIDADE PLANEJADA]]</f>
        <v>-20</v>
      </c>
      <c r="O4657" s="106" t="str">
        <f t="shared" si="145"/>
        <v>Faltando Comprar</v>
      </c>
    </row>
    <row r="4658" spans="1:15" ht="31.5">
      <c r="A4658" s="16" t="s">
        <v>17</v>
      </c>
      <c r="B4658" s="16" t="s">
        <v>26</v>
      </c>
      <c r="C4658" s="17" t="s">
        <v>19</v>
      </c>
      <c r="D4658" s="18" t="s">
        <v>2609</v>
      </c>
      <c r="E4658" s="18">
        <v>5</v>
      </c>
      <c r="F4658" s="18" t="s">
        <v>30</v>
      </c>
      <c r="G4658" s="18" t="s">
        <v>22</v>
      </c>
      <c r="H4658" s="18" t="s">
        <v>23</v>
      </c>
      <c r="I4658" s="19">
        <v>56.18</v>
      </c>
      <c r="J4658" s="20">
        <f t="shared" si="144"/>
        <v>280.89999999999998</v>
      </c>
      <c r="K4658" s="106"/>
      <c r="L4658" s="114"/>
      <c r="M4658" s="114">
        <f>tblAquisições[[#This Row],[VALOR UNITARIO COMPRADO]]*tblAquisições[[#This Row],[QUANTIDADE COMPRADA]]</f>
        <v>0</v>
      </c>
      <c r="N4658" s="110">
        <f>K4658-tblAquisições[[#This Row],[QUANTIDADE PLANEJADA]]</f>
        <v>-5</v>
      </c>
      <c r="O4658" s="106" t="str">
        <f t="shared" si="145"/>
        <v>Faltando Comprar</v>
      </c>
    </row>
    <row r="4659" spans="1:15" ht="31.5">
      <c r="A4659" s="16" t="s">
        <v>17</v>
      </c>
      <c r="B4659" s="16" t="s">
        <v>28</v>
      </c>
      <c r="C4659" s="17" t="s">
        <v>19</v>
      </c>
      <c r="D4659" s="18" t="s">
        <v>2610</v>
      </c>
      <c r="E4659" s="18">
        <v>20</v>
      </c>
      <c r="F4659" s="18" t="s">
        <v>30</v>
      </c>
      <c r="G4659" s="18" t="s">
        <v>22</v>
      </c>
      <c r="H4659" s="18" t="s">
        <v>23</v>
      </c>
      <c r="I4659" s="19">
        <v>37.11</v>
      </c>
      <c r="J4659" s="20">
        <f t="shared" si="144"/>
        <v>742.2</v>
      </c>
      <c r="K4659" s="106"/>
      <c r="L4659" s="114"/>
      <c r="M4659" s="114">
        <f>tblAquisições[[#This Row],[VALOR UNITARIO COMPRADO]]*tblAquisições[[#This Row],[QUANTIDADE COMPRADA]]</f>
        <v>0</v>
      </c>
      <c r="N4659" s="110">
        <f>K4659-tblAquisições[[#This Row],[QUANTIDADE PLANEJADA]]</f>
        <v>-20</v>
      </c>
      <c r="O4659" s="106" t="str">
        <f t="shared" si="145"/>
        <v>Faltando Comprar</v>
      </c>
    </row>
    <row r="4660" spans="1:15" ht="47.25">
      <c r="A4660" s="16" t="s">
        <v>17</v>
      </c>
      <c r="B4660" s="16" t="s">
        <v>28</v>
      </c>
      <c r="C4660" s="17" t="s">
        <v>19</v>
      </c>
      <c r="D4660" s="18" t="s">
        <v>2611</v>
      </c>
      <c r="E4660" s="18">
        <v>4</v>
      </c>
      <c r="F4660" s="18" t="s">
        <v>78</v>
      </c>
      <c r="G4660" s="18" t="s">
        <v>22</v>
      </c>
      <c r="H4660" s="18" t="s">
        <v>65</v>
      </c>
      <c r="I4660" s="24">
        <v>27.1</v>
      </c>
      <c r="J4660" s="20">
        <f t="shared" si="144"/>
        <v>108.4</v>
      </c>
      <c r="K4660" s="106"/>
      <c r="L4660" s="114"/>
      <c r="M4660" s="114">
        <f>tblAquisições[[#This Row],[VALOR UNITARIO COMPRADO]]*tblAquisições[[#This Row],[QUANTIDADE COMPRADA]]</f>
        <v>0</v>
      </c>
      <c r="N4660" s="110">
        <f>K4660-tblAquisições[[#This Row],[QUANTIDADE PLANEJADA]]</f>
        <v>-4</v>
      </c>
      <c r="O4660" s="106" t="str">
        <f t="shared" si="145"/>
        <v>Faltando Comprar</v>
      </c>
    </row>
    <row r="4661" spans="1:15" ht="47.25">
      <c r="A4661" s="16" t="s">
        <v>17</v>
      </c>
      <c r="B4661" s="16" t="s">
        <v>25</v>
      </c>
      <c r="C4661" s="17" t="s">
        <v>19</v>
      </c>
      <c r="D4661" s="18" t="s">
        <v>2612</v>
      </c>
      <c r="E4661" s="18">
        <v>100</v>
      </c>
      <c r="F4661" s="18" t="s">
        <v>78</v>
      </c>
      <c r="G4661" s="18" t="s">
        <v>22</v>
      </c>
      <c r="H4661" s="18" t="s">
        <v>83</v>
      </c>
      <c r="I4661" s="19">
        <v>155.79</v>
      </c>
      <c r="J4661" s="20">
        <f t="shared" si="144"/>
        <v>15579</v>
      </c>
      <c r="K4661" s="106"/>
      <c r="L4661" s="114"/>
      <c r="M4661" s="114">
        <f>tblAquisições[[#This Row],[VALOR UNITARIO COMPRADO]]*tblAquisições[[#This Row],[QUANTIDADE COMPRADA]]</f>
        <v>0</v>
      </c>
      <c r="N4661" s="110">
        <f>K4661-tblAquisições[[#This Row],[QUANTIDADE PLANEJADA]]</f>
        <v>-100</v>
      </c>
      <c r="O4661" s="106" t="str">
        <f t="shared" si="145"/>
        <v>Faltando Comprar</v>
      </c>
    </row>
    <row r="4662" spans="1:15" ht="31.5">
      <c r="A4662" s="16" t="s">
        <v>17</v>
      </c>
      <c r="B4662" s="16" t="s">
        <v>18</v>
      </c>
      <c r="C4662" s="17" t="s">
        <v>19</v>
      </c>
      <c r="D4662" s="18" t="s">
        <v>2613</v>
      </c>
      <c r="E4662" s="18">
        <v>100</v>
      </c>
      <c r="F4662" s="18" t="s">
        <v>30</v>
      </c>
      <c r="G4662" s="18" t="s">
        <v>22</v>
      </c>
      <c r="H4662" s="18" t="s">
        <v>23</v>
      </c>
      <c r="I4662" s="19">
        <v>7.32</v>
      </c>
      <c r="J4662" s="20">
        <f t="shared" si="144"/>
        <v>732</v>
      </c>
      <c r="K4662" s="106"/>
      <c r="L4662" s="114"/>
      <c r="M4662" s="114">
        <f>tblAquisições[[#This Row],[VALOR UNITARIO COMPRADO]]*tblAquisições[[#This Row],[QUANTIDADE COMPRADA]]</f>
        <v>0</v>
      </c>
      <c r="N4662" s="110">
        <f>K4662-tblAquisições[[#This Row],[QUANTIDADE PLANEJADA]]</f>
        <v>-100</v>
      </c>
      <c r="O4662" s="106" t="str">
        <f t="shared" si="145"/>
        <v>Faltando Comprar</v>
      </c>
    </row>
    <row r="4663" spans="1:15" ht="31.5">
      <c r="A4663" s="16" t="s">
        <v>17</v>
      </c>
      <c r="B4663" s="16" t="s">
        <v>24</v>
      </c>
      <c r="C4663" s="17" t="s">
        <v>19</v>
      </c>
      <c r="D4663" s="18" t="s">
        <v>2613</v>
      </c>
      <c r="E4663" s="18">
        <v>100</v>
      </c>
      <c r="F4663" s="18" t="s">
        <v>30</v>
      </c>
      <c r="G4663" s="18" t="s">
        <v>22</v>
      </c>
      <c r="H4663" s="18" t="s">
        <v>23</v>
      </c>
      <c r="I4663" s="19">
        <v>7.32</v>
      </c>
      <c r="J4663" s="20">
        <f t="shared" si="144"/>
        <v>732</v>
      </c>
      <c r="K4663" s="106"/>
      <c r="L4663" s="114"/>
      <c r="M4663" s="114">
        <f>tblAquisições[[#This Row],[VALOR UNITARIO COMPRADO]]*tblAquisições[[#This Row],[QUANTIDADE COMPRADA]]</f>
        <v>0</v>
      </c>
      <c r="N4663" s="110">
        <f>K4663-tblAquisições[[#This Row],[QUANTIDADE PLANEJADA]]</f>
        <v>-100</v>
      </c>
      <c r="O4663" s="106" t="str">
        <f t="shared" si="145"/>
        <v>Faltando Comprar</v>
      </c>
    </row>
    <row r="4664" spans="1:15" ht="31.5">
      <c r="A4664" s="16" t="s">
        <v>17</v>
      </c>
      <c r="B4664" s="16" t="s">
        <v>25</v>
      </c>
      <c r="C4664" s="17" t="s">
        <v>19</v>
      </c>
      <c r="D4664" s="18" t="s">
        <v>2613</v>
      </c>
      <c r="E4664" s="18">
        <v>100</v>
      </c>
      <c r="F4664" s="18" t="s">
        <v>30</v>
      </c>
      <c r="G4664" s="18" t="s">
        <v>22</v>
      </c>
      <c r="H4664" s="18" t="s">
        <v>23</v>
      </c>
      <c r="I4664" s="19">
        <v>7.32</v>
      </c>
      <c r="J4664" s="20">
        <f t="shared" si="144"/>
        <v>732</v>
      </c>
      <c r="K4664" s="106"/>
      <c r="L4664" s="114"/>
      <c r="M4664" s="114">
        <f>tblAquisições[[#This Row],[VALOR UNITARIO COMPRADO]]*tblAquisições[[#This Row],[QUANTIDADE COMPRADA]]</f>
        <v>0</v>
      </c>
      <c r="N4664" s="110">
        <f>K4664-tblAquisições[[#This Row],[QUANTIDADE PLANEJADA]]</f>
        <v>-100</v>
      </c>
      <c r="O4664" s="106" t="str">
        <f t="shared" si="145"/>
        <v>Faltando Comprar</v>
      </c>
    </row>
    <row r="4665" spans="1:15" ht="31.5">
      <c r="A4665" s="16" t="s">
        <v>17</v>
      </c>
      <c r="B4665" s="16" t="s">
        <v>25</v>
      </c>
      <c r="C4665" s="17" t="s">
        <v>19</v>
      </c>
      <c r="D4665" s="18" t="s">
        <v>2614</v>
      </c>
      <c r="E4665" s="18">
        <v>150</v>
      </c>
      <c r="F4665" s="18" t="s">
        <v>30</v>
      </c>
      <c r="G4665" s="18" t="s">
        <v>22</v>
      </c>
      <c r="H4665" s="18" t="s">
        <v>83</v>
      </c>
      <c r="I4665" s="19">
        <v>6.45</v>
      </c>
      <c r="J4665" s="20">
        <f t="shared" si="144"/>
        <v>967.5</v>
      </c>
      <c r="K4665" s="106"/>
      <c r="L4665" s="114"/>
      <c r="M4665" s="114">
        <f>tblAquisições[[#This Row],[VALOR UNITARIO COMPRADO]]*tblAquisições[[#This Row],[QUANTIDADE COMPRADA]]</f>
        <v>0</v>
      </c>
      <c r="N4665" s="110">
        <f>K4665-tblAquisições[[#This Row],[QUANTIDADE PLANEJADA]]</f>
        <v>-150</v>
      </c>
      <c r="O4665" s="106" t="str">
        <f t="shared" si="145"/>
        <v>Faltando Comprar</v>
      </c>
    </row>
    <row r="4666" spans="1:15" ht="31.5">
      <c r="A4666" s="16" t="s">
        <v>17</v>
      </c>
      <c r="B4666" s="16" t="s">
        <v>28</v>
      </c>
      <c r="C4666" s="17" t="s">
        <v>19</v>
      </c>
      <c r="D4666" s="18" t="s">
        <v>2614</v>
      </c>
      <c r="E4666" s="18">
        <v>60</v>
      </c>
      <c r="F4666" s="18" t="s">
        <v>30</v>
      </c>
      <c r="G4666" s="18" t="s">
        <v>22</v>
      </c>
      <c r="H4666" s="18" t="s">
        <v>83</v>
      </c>
      <c r="I4666" s="19">
        <v>6.45</v>
      </c>
      <c r="J4666" s="20">
        <f t="shared" si="144"/>
        <v>387</v>
      </c>
      <c r="K4666" s="106"/>
      <c r="L4666" s="114"/>
      <c r="M4666" s="114">
        <f>tblAquisições[[#This Row],[VALOR UNITARIO COMPRADO]]*tblAquisições[[#This Row],[QUANTIDADE COMPRADA]]</f>
        <v>0</v>
      </c>
      <c r="N4666" s="110">
        <f>K4666-tblAquisições[[#This Row],[QUANTIDADE PLANEJADA]]</f>
        <v>-60</v>
      </c>
      <c r="O4666" s="106" t="str">
        <f t="shared" si="145"/>
        <v>Faltando Comprar</v>
      </c>
    </row>
    <row r="4667" spans="1:15" ht="31.5">
      <c r="A4667" s="16" t="s">
        <v>17</v>
      </c>
      <c r="B4667" s="16" t="s">
        <v>31</v>
      </c>
      <c r="C4667" s="17" t="s">
        <v>19</v>
      </c>
      <c r="D4667" s="18" t="s">
        <v>2615</v>
      </c>
      <c r="E4667" s="18">
        <v>25</v>
      </c>
      <c r="F4667" s="18" t="s">
        <v>21</v>
      </c>
      <c r="G4667" s="18" t="s">
        <v>22</v>
      </c>
      <c r="H4667" s="18" t="s">
        <v>23</v>
      </c>
      <c r="I4667" s="19">
        <v>9.34</v>
      </c>
      <c r="J4667" s="20">
        <f t="shared" si="144"/>
        <v>233.5</v>
      </c>
      <c r="K4667" s="106"/>
      <c r="L4667" s="114"/>
      <c r="M4667" s="114">
        <f>tblAquisições[[#This Row],[VALOR UNITARIO COMPRADO]]*tblAquisições[[#This Row],[QUANTIDADE COMPRADA]]</f>
        <v>0</v>
      </c>
      <c r="N4667" s="110">
        <f>K4667-tblAquisições[[#This Row],[QUANTIDADE PLANEJADA]]</f>
        <v>-25</v>
      </c>
      <c r="O4667" s="106" t="str">
        <f t="shared" si="145"/>
        <v>Faltando Comprar</v>
      </c>
    </row>
    <row r="4668" spans="1:15" ht="31.5">
      <c r="A4668" s="16" t="s">
        <v>17</v>
      </c>
      <c r="B4668" s="16" t="s">
        <v>31</v>
      </c>
      <c r="C4668" s="17" t="s">
        <v>19</v>
      </c>
      <c r="D4668" s="18" t="s">
        <v>2616</v>
      </c>
      <c r="E4668" s="18">
        <v>20</v>
      </c>
      <c r="F4668" s="18" t="s">
        <v>21</v>
      </c>
      <c r="G4668" s="18" t="s">
        <v>22</v>
      </c>
      <c r="H4668" s="18" t="s">
        <v>23</v>
      </c>
      <c r="I4668" s="19">
        <v>21.16</v>
      </c>
      <c r="J4668" s="20">
        <f t="shared" si="144"/>
        <v>423.2</v>
      </c>
      <c r="K4668" s="106"/>
      <c r="L4668" s="114"/>
      <c r="M4668" s="114">
        <f>tblAquisições[[#This Row],[VALOR UNITARIO COMPRADO]]*tblAquisições[[#This Row],[QUANTIDADE COMPRADA]]</f>
        <v>0</v>
      </c>
      <c r="N4668" s="110">
        <f>K4668-tblAquisições[[#This Row],[QUANTIDADE PLANEJADA]]</f>
        <v>-20</v>
      </c>
      <c r="O4668" s="106" t="str">
        <f t="shared" si="145"/>
        <v>Faltando Comprar</v>
      </c>
    </row>
    <row r="4669" spans="1:15" ht="31.5">
      <c r="A4669" s="16" t="s">
        <v>17</v>
      </c>
      <c r="B4669" s="16" t="s">
        <v>31</v>
      </c>
      <c r="C4669" s="17" t="s">
        <v>19</v>
      </c>
      <c r="D4669" s="18" t="s">
        <v>2617</v>
      </c>
      <c r="E4669" s="18">
        <v>45</v>
      </c>
      <c r="F4669" s="18" t="s">
        <v>21</v>
      </c>
      <c r="G4669" s="18" t="s">
        <v>22</v>
      </c>
      <c r="H4669" s="18" t="s">
        <v>23</v>
      </c>
      <c r="I4669" s="19">
        <v>2.98</v>
      </c>
      <c r="J4669" s="20">
        <f t="shared" si="144"/>
        <v>134.1</v>
      </c>
      <c r="K4669" s="106"/>
      <c r="L4669" s="114"/>
      <c r="M4669" s="114">
        <f>tblAquisições[[#This Row],[VALOR UNITARIO COMPRADO]]*tblAquisições[[#This Row],[QUANTIDADE COMPRADA]]</f>
        <v>0</v>
      </c>
      <c r="N4669" s="110">
        <f>K4669-tblAquisições[[#This Row],[QUANTIDADE PLANEJADA]]</f>
        <v>-45</v>
      </c>
      <c r="O4669" s="106" t="str">
        <f t="shared" si="145"/>
        <v>Faltando Comprar</v>
      </c>
    </row>
    <row r="4670" spans="1:15" ht="31.5">
      <c r="A4670" s="16" t="s">
        <v>17</v>
      </c>
      <c r="B4670" s="16" t="s">
        <v>26</v>
      </c>
      <c r="C4670" s="17" t="s">
        <v>19</v>
      </c>
      <c r="D4670" s="18" t="s">
        <v>2618</v>
      </c>
      <c r="E4670" s="18">
        <v>8</v>
      </c>
      <c r="F4670" s="18" t="s">
        <v>170</v>
      </c>
      <c r="G4670" s="18" t="s">
        <v>22</v>
      </c>
      <c r="H4670" s="18" t="s">
        <v>23</v>
      </c>
      <c r="I4670" s="19">
        <v>32.299999999999997</v>
      </c>
      <c r="J4670" s="20">
        <f t="shared" si="144"/>
        <v>258.39999999999998</v>
      </c>
      <c r="K4670" s="106"/>
      <c r="L4670" s="114"/>
      <c r="M4670" s="114">
        <f>tblAquisições[[#This Row],[VALOR UNITARIO COMPRADO]]*tblAquisições[[#This Row],[QUANTIDADE COMPRADA]]</f>
        <v>0</v>
      </c>
      <c r="N4670" s="110">
        <f>K4670-tblAquisições[[#This Row],[QUANTIDADE PLANEJADA]]</f>
        <v>-8</v>
      </c>
      <c r="O4670" s="106" t="str">
        <f t="shared" si="145"/>
        <v>Faltando Comprar</v>
      </c>
    </row>
    <row r="4671" spans="1:15" ht="47.25">
      <c r="A4671" s="16" t="s">
        <v>17</v>
      </c>
      <c r="B4671" s="16" t="s">
        <v>26</v>
      </c>
      <c r="C4671" s="17" t="s">
        <v>19</v>
      </c>
      <c r="D4671" s="18" t="s">
        <v>2619</v>
      </c>
      <c r="E4671" s="18">
        <v>100</v>
      </c>
      <c r="F4671" s="18" t="s">
        <v>71</v>
      </c>
      <c r="G4671" s="18" t="s">
        <v>22</v>
      </c>
      <c r="H4671" s="18" t="s">
        <v>23</v>
      </c>
      <c r="I4671" s="19">
        <v>87.9</v>
      </c>
      <c r="J4671" s="20">
        <f t="shared" si="144"/>
        <v>8790</v>
      </c>
      <c r="K4671" s="106"/>
      <c r="L4671" s="114"/>
      <c r="M4671" s="114">
        <f>tblAquisições[[#This Row],[VALOR UNITARIO COMPRADO]]*tblAquisições[[#This Row],[QUANTIDADE COMPRADA]]</f>
        <v>0</v>
      </c>
      <c r="N4671" s="110">
        <f>K4671-tblAquisições[[#This Row],[QUANTIDADE PLANEJADA]]</f>
        <v>-100</v>
      </c>
      <c r="O4671" s="106" t="str">
        <f t="shared" si="145"/>
        <v>Faltando Comprar</v>
      </c>
    </row>
    <row r="4672" spans="1:15" ht="31.5">
      <c r="A4672" s="16" t="s">
        <v>17</v>
      </c>
      <c r="B4672" s="16" t="s">
        <v>80</v>
      </c>
      <c r="C4672" s="17" t="s">
        <v>19</v>
      </c>
      <c r="D4672" s="18" t="s">
        <v>2620</v>
      </c>
      <c r="E4672" s="18">
        <v>6</v>
      </c>
      <c r="F4672" s="18" t="s">
        <v>38</v>
      </c>
      <c r="G4672" s="18" t="s">
        <v>39</v>
      </c>
      <c r="H4672" s="18" t="s">
        <v>23</v>
      </c>
      <c r="I4672" s="19">
        <v>162.44</v>
      </c>
      <c r="J4672" s="20">
        <f t="shared" si="144"/>
        <v>974.64</v>
      </c>
      <c r="K4672" s="106"/>
      <c r="L4672" s="114"/>
      <c r="M4672" s="114">
        <f>tblAquisições[[#This Row],[VALOR UNITARIO COMPRADO]]*tblAquisições[[#This Row],[QUANTIDADE COMPRADA]]</f>
        <v>0</v>
      </c>
      <c r="N4672" s="110">
        <f>K4672-tblAquisições[[#This Row],[QUANTIDADE PLANEJADA]]</f>
        <v>-6</v>
      </c>
      <c r="O4672" s="106" t="str">
        <f t="shared" si="145"/>
        <v>Faltando Comprar</v>
      </c>
    </row>
    <row r="4673" spans="1:15" ht="31.5">
      <c r="A4673" s="16" t="s">
        <v>17</v>
      </c>
      <c r="B4673" s="16" t="s">
        <v>26</v>
      </c>
      <c r="C4673" s="17" t="s">
        <v>19</v>
      </c>
      <c r="D4673" s="18" t="s">
        <v>2621</v>
      </c>
      <c r="E4673" s="18">
        <v>50</v>
      </c>
      <c r="F4673" s="18" t="s">
        <v>30</v>
      </c>
      <c r="G4673" s="18" t="s">
        <v>22</v>
      </c>
      <c r="H4673" s="18" t="s">
        <v>83</v>
      </c>
      <c r="I4673" s="19">
        <v>51.05</v>
      </c>
      <c r="J4673" s="20">
        <f t="shared" si="144"/>
        <v>2552.5</v>
      </c>
      <c r="K4673" s="106"/>
      <c r="L4673" s="114"/>
      <c r="M4673" s="114">
        <f>tblAquisições[[#This Row],[VALOR UNITARIO COMPRADO]]*tblAquisições[[#This Row],[QUANTIDADE COMPRADA]]</f>
        <v>0</v>
      </c>
      <c r="N4673" s="110">
        <f>K4673-tblAquisições[[#This Row],[QUANTIDADE PLANEJADA]]</f>
        <v>-50</v>
      </c>
      <c r="O4673" s="106" t="str">
        <f t="shared" si="145"/>
        <v>Faltando Comprar</v>
      </c>
    </row>
    <row r="4674" spans="1:15" ht="31.5">
      <c r="A4674" s="16" t="s">
        <v>17</v>
      </c>
      <c r="B4674" s="16" t="s">
        <v>26</v>
      </c>
      <c r="C4674" s="17" t="s">
        <v>19</v>
      </c>
      <c r="D4674" s="18" t="s">
        <v>2622</v>
      </c>
      <c r="E4674" s="18">
        <v>50</v>
      </c>
      <c r="F4674" s="18" t="s">
        <v>30</v>
      </c>
      <c r="G4674" s="18" t="s">
        <v>22</v>
      </c>
      <c r="H4674" s="18" t="s">
        <v>83</v>
      </c>
      <c r="I4674" s="19">
        <v>25.42</v>
      </c>
      <c r="J4674" s="20">
        <f t="shared" ref="J4674:J4737" si="146">E4674*I4674</f>
        <v>1271</v>
      </c>
      <c r="K4674" s="106"/>
      <c r="L4674" s="114"/>
      <c r="M4674" s="114">
        <f>tblAquisições[[#This Row],[VALOR UNITARIO COMPRADO]]*tblAquisições[[#This Row],[QUANTIDADE COMPRADA]]</f>
        <v>0</v>
      </c>
      <c r="N4674" s="110">
        <f>K4674-tblAquisições[[#This Row],[QUANTIDADE PLANEJADA]]</f>
        <v>-50</v>
      </c>
      <c r="O4674" s="106" t="str">
        <f t="shared" ref="O4674:O4737" si="147">IF(K4674=E4674,"OK",IF(K4674&lt;E4674,"Faltando Comprar","Excedente"))</f>
        <v>Faltando Comprar</v>
      </c>
    </row>
    <row r="4675" spans="1:15" ht="31.5">
      <c r="A4675" s="16" t="s">
        <v>17</v>
      </c>
      <c r="B4675" s="16" t="s">
        <v>26</v>
      </c>
      <c r="C4675" s="17" t="s">
        <v>19</v>
      </c>
      <c r="D4675" s="18" t="s">
        <v>2623</v>
      </c>
      <c r="E4675" s="18">
        <v>50</v>
      </c>
      <c r="F4675" s="18" t="s">
        <v>30</v>
      </c>
      <c r="G4675" s="18" t="s">
        <v>22</v>
      </c>
      <c r="H4675" s="18" t="s">
        <v>83</v>
      </c>
      <c r="I4675" s="19">
        <v>66.959999999999994</v>
      </c>
      <c r="J4675" s="20">
        <f t="shared" si="146"/>
        <v>3347.9999999999995</v>
      </c>
      <c r="K4675" s="106"/>
      <c r="L4675" s="114"/>
      <c r="M4675" s="114">
        <f>tblAquisições[[#This Row],[VALOR UNITARIO COMPRADO]]*tblAquisições[[#This Row],[QUANTIDADE COMPRADA]]</f>
        <v>0</v>
      </c>
      <c r="N4675" s="110">
        <f>K4675-tblAquisições[[#This Row],[QUANTIDADE PLANEJADA]]</f>
        <v>-50</v>
      </c>
      <c r="O4675" s="106" t="str">
        <f t="shared" si="147"/>
        <v>Faltando Comprar</v>
      </c>
    </row>
    <row r="4676" spans="1:15" ht="47.25">
      <c r="A4676" s="16" t="s">
        <v>17</v>
      </c>
      <c r="B4676" s="16" t="s">
        <v>18</v>
      </c>
      <c r="C4676" s="17" t="s">
        <v>19</v>
      </c>
      <c r="D4676" s="18" t="s">
        <v>2624</v>
      </c>
      <c r="E4676" s="18">
        <v>100</v>
      </c>
      <c r="F4676" s="18" t="s">
        <v>78</v>
      </c>
      <c r="G4676" s="18" t="s">
        <v>22</v>
      </c>
      <c r="H4676" s="18" t="s">
        <v>23</v>
      </c>
      <c r="I4676" s="19">
        <v>15.79</v>
      </c>
      <c r="J4676" s="20">
        <f t="shared" si="146"/>
        <v>1579</v>
      </c>
      <c r="K4676" s="106"/>
      <c r="L4676" s="114"/>
      <c r="M4676" s="114">
        <f>tblAquisições[[#This Row],[VALOR UNITARIO COMPRADO]]*tblAquisições[[#This Row],[QUANTIDADE COMPRADA]]</f>
        <v>0</v>
      </c>
      <c r="N4676" s="110">
        <f>K4676-tblAquisições[[#This Row],[QUANTIDADE PLANEJADA]]</f>
        <v>-100</v>
      </c>
      <c r="O4676" s="106" t="str">
        <f t="shared" si="147"/>
        <v>Faltando Comprar</v>
      </c>
    </row>
    <row r="4677" spans="1:15" ht="47.25">
      <c r="A4677" s="16" t="s">
        <v>17</v>
      </c>
      <c r="B4677" s="16" t="s">
        <v>24</v>
      </c>
      <c r="C4677" s="17" t="s">
        <v>19</v>
      </c>
      <c r="D4677" s="18" t="s">
        <v>2624</v>
      </c>
      <c r="E4677" s="18">
        <v>100</v>
      </c>
      <c r="F4677" s="18" t="s">
        <v>78</v>
      </c>
      <c r="G4677" s="18" t="s">
        <v>22</v>
      </c>
      <c r="H4677" s="18" t="s">
        <v>23</v>
      </c>
      <c r="I4677" s="19">
        <v>15.79</v>
      </c>
      <c r="J4677" s="20">
        <f t="shared" si="146"/>
        <v>1579</v>
      </c>
      <c r="K4677" s="106"/>
      <c r="L4677" s="114"/>
      <c r="M4677" s="114">
        <f>tblAquisições[[#This Row],[VALOR UNITARIO COMPRADO]]*tblAquisições[[#This Row],[QUANTIDADE COMPRADA]]</f>
        <v>0</v>
      </c>
      <c r="N4677" s="110">
        <f>K4677-tblAquisições[[#This Row],[QUANTIDADE PLANEJADA]]</f>
        <v>-100</v>
      </c>
      <c r="O4677" s="106" t="str">
        <f t="shared" si="147"/>
        <v>Faltando Comprar</v>
      </c>
    </row>
    <row r="4678" spans="1:15" ht="47.25">
      <c r="A4678" s="16" t="s">
        <v>17</v>
      </c>
      <c r="B4678" s="16" t="s">
        <v>25</v>
      </c>
      <c r="C4678" s="17" t="s">
        <v>19</v>
      </c>
      <c r="D4678" s="18" t="s">
        <v>2624</v>
      </c>
      <c r="E4678" s="18">
        <v>100</v>
      </c>
      <c r="F4678" s="18" t="s">
        <v>78</v>
      </c>
      <c r="G4678" s="18" t="s">
        <v>22</v>
      </c>
      <c r="H4678" s="18" t="s">
        <v>23</v>
      </c>
      <c r="I4678" s="19">
        <v>15.79</v>
      </c>
      <c r="J4678" s="20">
        <f t="shared" si="146"/>
        <v>1579</v>
      </c>
      <c r="K4678" s="106"/>
      <c r="L4678" s="114"/>
      <c r="M4678" s="114">
        <f>tblAquisições[[#This Row],[VALOR UNITARIO COMPRADO]]*tblAquisições[[#This Row],[QUANTIDADE COMPRADA]]</f>
        <v>0</v>
      </c>
      <c r="N4678" s="110">
        <f>K4678-tblAquisições[[#This Row],[QUANTIDADE PLANEJADA]]</f>
        <v>-100</v>
      </c>
      <c r="O4678" s="106" t="str">
        <f t="shared" si="147"/>
        <v>Faltando Comprar</v>
      </c>
    </row>
    <row r="4679" spans="1:15" ht="31.5">
      <c r="A4679" s="16" t="s">
        <v>17</v>
      </c>
      <c r="B4679" s="16" t="s">
        <v>26</v>
      </c>
      <c r="C4679" s="17" t="s">
        <v>19</v>
      </c>
      <c r="D4679" s="18" t="s">
        <v>2625</v>
      </c>
      <c r="E4679" s="18">
        <v>10</v>
      </c>
      <c r="F4679" s="18" t="s">
        <v>30</v>
      </c>
      <c r="G4679" s="18" t="s">
        <v>22</v>
      </c>
      <c r="H4679" s="18" t="s">
        <v>23</v>
      </c>
      <c r="I4679" s="19">
        <v>22.99</v>
      </c>
      <c r="J4679" s="20">
        <f t="shared" si="146"/>
        <v>229.89999999999998</v>
      </c>
      <c r="K4679" s="106"/>
      <c r="L4679" s="114"/>
      <c r="M4679" s="114">
        <f>tblAquisições[[#This Row],[VALOR UNITARIO COMPRADO]]*tblAquisições[[#This Row],[QUANTIDADE COMPRADA]]</f>
        <v>0</v>
      </c>
      <c r="N4679" s="110">
        <f>K4679-tblAquisições[[#This Row],[QUANTIDADE PLANEJADA]]</f>
        <v>-10</v>
      </c>
      <c r="O4679" s="106" t="str">
        <f t="shared" si="147"/>
        <v>Faltando Comprar</v>
      </c>
    </row>
    <row r="4680" spans="1:15" ht="31.5">
      <c r="A4680" s="16" t="s">
        <v>17</v>
      </c>
      <c r="B4680" s="16" t="s">
        <v>28</v>
      </c>
      <c r="C4680" s="17" t="s">
        <v>19</v>
      </c>
      <c r="D4680" s="18" t="s">
        <v>2626</v>
      </c>
      <c r="E4680" s="18">
        <v>2</v>
      </c>
      <c r="F4680" s="18" t="s">
        <v>328</v>
      </c>
      <c r="G4680" s="18" t="s">
        <v>22</v>
      </c>
      <c r="H4680" s="18" t="s">
        <v>23</v>
      </c>
      <c r="I4680" s="19">
        <v>153.96</v>
      </c>
      <c r="J4680" s="20">
        <f t="shared" si="146"/>
        <v>307.92</v>
      </c>
      <c r="K4680" s="106"/>
      <c r="L4680" s="114"/>
      <c r="M4680" s="114">
        <f>tblAquisições[[#This Row],[VALOR UNITARIO COMPRADO]]*tblAquisições[[#This Row],[QUANTIDADE COMPRADA]]</f>
        <v>0</v>
      </c>
      <c r="N4680" s="110">
        <f>K4680-tblAquisições[[#This Row],[QUANTIDADE PLANEJADA]]</f>
        <v>-2</v>
      </c>
      <c r="O4680" s="106" t="str">
        <f t="shared" si="147"/>
        <v>Faltando Comprar</v>
      </c>
    </row>
    <row r="4681" spans="1:15" ht="31.5">
      <c r="A4681" s="16" t="s">
        <v>17</v>
      </c>
      <c r="B4681" s="16" t="s">
        <v>31</v>
      </c>
      <c r="C4681" s="17" t="s">
        <v>19</v>
      </c>
      <c r="D4681" s="18" t="s">
        <v>2627</v>
      </c>
      <c r="E4681" s="18">
        <v>5</v>
      </c>
      <c r="F4681" s="18" t="s">
        <v>328</v>
      </c>
      <c r="G4681" s="18" t="s">
        <v>22</v>
      </c>
      <c r="H4681" s="18" t="s">
        <v>23</v>
      </c>
      <c r="I4681" s="19">
        <v>22.19</v>
      </c>
      <c r="J4681" s="20">
        <f t="shared" si="146"/>
        <v>110.95</v>
      </c>
      <c r="K4681" s="106"/>
      <c r="L4681" s="114"/>
      <c r="M4681" s="114">
        <f>tblAquisições[[#This Row],[VALOR UNITARIO COMPRADO]]*tblAquisições[[#This Row],[QUANTIDADE COMPRADA]]</f>
        <v>0</v>
      </c>
      <c r="N4681" s="110">
        <f>K4681-tblAquisições[[#This Row],[QUANTIDADE PLANEJADA]]</f>
        <v>-5</v>
      </c>
      <c r="O4681" s="106" t="str">
        <f t="shared" si="147"/>
        <v>Faltando Comprar</v>
      </c>
    </row>
    <row r="4682" spans="1:15" ht="31.5">
      <c r="A4682" s="16" t="s">
        <v>17</v>
      </c>
      <c r="B4682" s="16" t="s">
        <v>31</v>
      </c>
      <c r="C4682" s="17" t="s">
        <v>19</v>
      </c>
      <c r="D4682" s="18" t="s">
        <v>2628</v>
      </c>
      <c r="E4682" s="18">
        <v>5</v>
      </c>
      <c r="F4682" s="18" t="s">
        <v>328</v>
      </c>
      <c r="G4682" s="18" t="s">
        <v>22</v>
      </c>
      <c r="H4682" s="18" t="s">
        <v>23</v>
      </c>
      <c r="I4682" s="19">
        <v>22.24</v>
      </c>
      <c r="J4682" s="20">
        <f t="shared" si="146"/>
        <v>111.19999999999999</v>
      </c>
      <c r="K4682" s="106"/>
      <c r="L4682" s="114"/>
      <c r="M4682" s="114">
        <f>tblAquisições[[#This Row],[VALOR UNITARIO COMPRADO]]*tblAquisições[[#This Row],[QUANTIDADE COMPRADA]]</f>
        <v>0</v>
      </c>
      <c r="N4682" s="110">
        <f>K4682-tblAquisições[[#This Row],[QUANTIDADE PLANEJADA]]</f>
        <v>-5</v>
      </c>
      <c r="O4682" s="106" t="str">
        <f t="shared" si="147"/>
        <v>Faltando Comprar</v>
      </c>
    </row>
    <row r="4683" spans="1:15" ht="47.25">
      <c r="A4683" s="16" t="s">
        <v>17</v>
      </c>
      <c r="B4683" s="16" t="s">
        <v>27</v>
      </c>
      <c r="C4683" s="17" t="s">
        <v>19</v>
      </c>
      <c r="D4683" s="18" t="s">
        <v>2629</v>
      </c>
      <c r="E4683" s="18">
        <v>4</v>
      </c>
      <c r="F4683" s="18" t="s">
        <v>131</v>
      </c>
      <c r="G4683" s="18" t="s">
        <v>22</v>
      </c>
      <c r="H4683" s="18" t="s">
        <v>23</v>
      </c>
      <c r="I4683" s="19">
        <v>116.07</v>
      </c>
      <c r="J4683" s="20">
        <f t="shared" si="146"/>
        <v>464.28</v>
      </c>
      <c r="K4683" s="106"/>
      <c r="L4683" s="114"/>
      <c r="M4683" s="114">
        <f>tblAquisições[[#This Row],[VALOR UNITARIO COMPRADO]]*tblAquisições[[#This Row],[QUANTIDADE COMPRADA]]</f>
        <v>0</v>
      </c>
      <c r="N4683" s="110">
        <f>K4683-tblAquisições[[#This Row],[QUANTIDADE PLANEJADA]]</f>
        <v>-4</v>
      </c>
      <c r="O4683" s="106" t="str">
        <f t="shared" si="147"/>
        <v>Faltando Comprar</v>
      </c>
    </row>
    <row r="4684" spans="1:15" ht="47.25">
      <c r="A4684" s="16" t="s">
        <v>17</v>
      </c>
      <c r="B4684" s="16" t="s">
        <v>25</v>
      </c>
      <c r="C4684" s="17" t="s">
        <v>19</v>
      </c>
      <c r="D4684" s="18" t="s">
        <v>2630</v>
      </c>
      <c r="E4684" s="18">
        <v>3</v>
      </c>
      <c r="F4684" s="18" t="s">
        <v>131</v>
      </c>
      <c r="G4684" s="18" t="s">
        <v>22</v>
      </c>
      <c r="H4684" s="18" t="s">
        <v>23</v>
      </c>
      <c r="I4684" s="19">
        <v>61.79</v>
      </c>
      <c r="J4684" s="20">
        <f t="shared" si="146"/>
        <v>185.37</v>
      </c>
      <c r="K4684" s="106"/>
      <c r="L4684" s="114"/>
      <c r="M4684" s="114">
        <f>tblAquisições[[#This Row],[VALOR UNITARIO COMPRADO]]*tblAquisições[[#This Row],[QUANTIDADE COMPRADA]]</f>
        <v>0</v>
      </c>
      <c r="N4684" s="110">
        <f>K4684-tblAquisições[[#This Row],[QUANTIDADE PLANEJADA]]</f>
        <v>-3</v>
      </c>
      <c r="O4684" s="106" t="str">
        <f t="shared" si="147"/>
        <v>Faltando Comprar</v>
      </c>
    </row>
    <row r="4685" spans="1:15" ht="31.5">
      <c r="A4685" s="16" t="s">
        <v>17</v>
      </c>
      <c r="B4685" s="16" t="s">
        <v>28</v>
      </c>
      <c r="C4685" s="17" t="s">
        <v>19</v>
      </c>
      <c r="D4685" s="18" t="s">
        <v>2631</v>
      </c>
      <c r="E4685" s="18">
        <v>50</v>
      </c>
      <c r="F4685" s="18" t="s">
        <v>21</v>
      </c>
      <c r="G4685" s="18" t="s">
        <v>22</v>
      </c>
      <c r="H4685" s="18" t="s">
        <v>23</v>
      </c>
      <c r="I4685" s="19">
        <v>11.75</v>
      </c>
      <c r="J4685" s="20">
        <f t="shared" si="146"/>
        <v>587.5</v>
      </c>
      <c r="K4685" s="106"/>
      <c r="L4685" s="114"/>
      <c r="M4685" s="114">
        <f>tblAquisições[[#This Row],[VALOR UNITARIO COMPRADO]]*tblAquisições[[#This Row],[QUANTIDADE COMPRADA]]</f>
        <v>0</v>
      </c>
      <c r="N4685" s="110">
        <f>K4685-tblAquisições[[#This Row],[QUANTIDADE PLANEJADA]]</f>
        <v>-50</v>
      </c>
      <c r="O4685" s="106" t="str">
        <f t="shared" si="147"/>
        <v>Faltando Comprar</v>
      </c>
    </row>
    <row r="4686" spans="1:15" ht="31.5">
      <c r="A4686" s="16" t="s">
        <v>17</v>
      </c>
      <c r="B4686" s="16" t="s">
        <v>41</v>
      </c>
      <c r="C4686" s="17" t="s">
        <v>19</v>
      </c>
      <c r="D4686" s="18" t="s">
        <v>2632</v>
      </c>
      <c r="E4686" s="18">
        <v>10</v>
      </c>
      <c r="F4686" s="18" t="s">
        <v>21</v>
      </c>
      <c r="G4686" s="18" t="s">
        <v>22</v>
      </c>
      <c r="H4686" s="18" t="s">
        <v>23</v>
      </c>
      <c r="I4686" s="19">
        <v>14.8</v>
      </c>
      <c r="J4686" s="20">
        <f t="shared" si="146"/>
        <v>148</v>
      </c>
      <c r="K4686" s="106"/>
      <c r="L4686" s="114"/>
      <c r="M4686" s="114">
        <f>tblAquisições[[#This Row],[VALOR UNITARIO COMPRADO]]*tblAquisições[[#This Row],[QUANTIDADE COMPRADA]]</f>
        <v>0</v>
      </c>
      <c r="N4686" s="110">
        <f>K4686-tblAquisições[[#This Row],[QUANTIDADE PLANEJADA]]</f>
        <v>-10</v>
      </c>
      <c r="O4686" s="106" t="str">
        <f t="shared" si="147"/>
        <v>Faltando Comprar</v>
      </c>
    </row>
    <row r="4687" spans="1:15" ht="31.5">
      <c r="A4687" s="16" t="s">
        <v>17</v>
      </c>
      <c r="B4687" s="16" t="s">
        <v>28</v>
      </c>
      <c r="C4687" s="17" t="s">
        <v>19</v>
      </c>
      <c r="D4687" s="18" t="s">
        <v>2632</v>
      </c>
      <c r="E4687" s="18">
        <v>12</v>
      </c>
      <c r="F4687" s="18" t="s">
        <v>21</v>
      </c>
      <c r="G4687" s="18" t="s">
        <v>22</v>
      </c>
      <c r="H4687" s="18" t="s">
        <v>23</v>
      </c>
      <c r="I4687" s="19">
        <v>14.8</v>
      </c>
      <c r="J4687" s="20">
        <f t="shared" si="146"/>
        <v>177.60000000000002</v>
      </c>
      <c r="K4687" s="106"/>
      <c r="L4687" s="114"/>
      <c r="M4687" s="114">
        <f>tblAquisições[[#This Row],[VALOR UNITARIO COMPRADO]]*tblAquisições[[#This Row],[QUANTIDADE COMPRADA]]</f>
        <v>0</v>
      </c>
      <c r="N4687" s="110">
        <f>K4687-tblAquisições[[#This Row],[QUANTIDADE PLANEJADA]]</f>
        <v>-12</v>
      </c>
      <c r="O4687" s="106" t="str">
        <f t="shared" si="147"/>
        <v>Faltando Comprar</v>
      </c>
    </row>
    <row r="4688" spans="1:15" ht="47.25">
      <c r="A4688" s="16" t="s">
        <v>17</v>
      </c>
      <c r="B4688" s="16" t="s">
        <v>28</v>
      </c>
      <c r="C4688" s="17" t="s">
        <v>19</v>
      </c>
      <c r="D4688" s="18" t="s">
        <v>2633</v>
      </c>
      <c r="E4688" s="18">
        <v>30</v>
      </c>
      <c r="F4688" s="18" t="s">
        <v>78</v>
      </c>
      <c r="G4688" s="18" t="s">
        <v>22</v>
      </c>
      <c r="H4688" s="18" t="s">
        <v>23</v>
      </c>
      <c r="I4688" s="19">
        <v>51.77</v>
      </c>
      <c r="J4688" s="20">
        <f t="shared" si="146"/>
        <v>1553.1000000000001</v>
      </c>
      <c r="K4688" s="106"/>
      <c r="L4688" s="114"/>
      <c r="M4688" s="114">
        <f>tblAquisições[[#This Row],[VALOR UNITARIO COMPRADO]]*tblAquisições[[#This Row],[QUANTIDADE COMPRADA]]</f>
        <v>0</v>
      </c>
      <c r="N4688" s="110">
        <f>K4688-tblAquisições[[#This Row],[QUANTIDADE PLANEJADA]]</f>
        <v>-30</v>
      </c>
      <c r="O4688" s="106" t="str">
        <f t="shared" si="147"/>
        <v>Faltando Comprar</v>
      </c>
    </row>
    <row r="4689" spans="1:15" ht="47.25">
      <c r="A4689" s="16" t="s">
        <v>17</v>
      </c>
      <c r="B4689" s="16" t="s">
        <v>28</v>
      </c>
      <c r="C4689" s="17" t="s">
        <v>19</v>
      </c>
      <c r="D4689" s="18" t="s">
        <v>2634</v>
      </c>
      <c r="E4689" s="18">
        <v>30</v>
      </c>
      <c r="F4689" s="18" t="s">
        <v>78</v>
      </c>
      <c r="G4689" s="18" t="s">
        <v>22</v>
      </c>
      <c r="H4689" s="18" t="s">
        <v>23</v>
      </c>
      <c r="I4689" s="19">
        <v>46.67</v>
      </c>
      <c r="J4689" s="20">
        <f t="shared" si="146"/>
        <v>1400.1000000000001</v>
      </c>
      <c r="K4689" s="106"/>
      <c r="L4689" s="114"/>
      <c r="M4689" s="114">
        <f>tblAquisições[[#This Row],[VALOR UNITARIO COMPRADO]]*tblAquisições[[#This Row],[QUANTIDADE COMPRADA]]</f>
        <v>0</v>
      </c>
      <c r="N4689" s="110">
        <f>K4689-tblAquisições[[#This Row],[QUANTIDADE PLANEJADA]]</f>
        <v>-30</v>
      </c>
      <c r="O4689" s="106" t="str">
        <f t="shared" si="147"/>
        <v>Faltando Comprar</v>
      </c>
    </row>
    <row r="4690" spans="1:15" ht="31.5">
      <c r="A4690" s="16" t="s">
        <v>17</v>
      </c>
      <c r="B4690" s="16" t="s">
        <v>26</v>
      </c>
      <c r="C4690" s="17" t="s">
        <v>19</v>
      </c>
      <c r="D4690" s="18" t="s">
        <v>2635</v>
      </c>
      <c r="E4690" s="18">
        <v>3</v>
      </c>
      <c r="F4690" s="18" t="s">
        <v>30</v>
      </c>
      <c r="G4690" s="18" t="s">
        <v>22</v>
      </c>
      <c r="H4690" s="18" t="s">
        <v>23</v>
      </c>
      <c r="I4690" s="19">
        <v>75.11</v>
      </c>
      <c r="J4690" s="20">
        <f t="shared" si="146"/>
        <v>225.32999999999998</v>
      </c>
      <c r="K4690" s="106"/>
      <c r="L4690" s="114"/>
      <c r="M4690" s="114">
        <f>tblAquisições[[#This Row],[VALOR UNITARIO COMPRADO]]*tblAquisições[[#This Row],[QUANTIDADE COMPRADA]]</f>
        <v>0</v>
      </c>
      <c r="N4690" s="110">
        <f>K4690-tblAquisições[[#This Row],[QUANTIDADE PLANEJADA]]</f>
        <v>-3</v>
      </c>
      <c r="O4690" s="106" t="str">
        <f t="shared" si="147"/>
        <v>Faltando Comprar</v>
      </c>
    </row>
    <row r="4691" spans="1:15" ht="31.5">
      <c r="A4691" s="16" t="s">
        <v>17</v>
      </c>
      <c r="B4691" s="16" t="s">
        <v>17</v>
      </c>
      <c r="C4691" s="17" t="s">
        <v>19</v>
      </c>
      <c r="D4691" s="18" t="s">
        <v>2636</v>
      </c>
      <c r="E4691" s="18">
        <v>6</v>
      </c>
      <c r="F4691" s="18" t="s">
        <v>56</v>
      </c>
      <c r="G4691" s="18" t="s">
        <v>39</v>
      </c>
      <c r="H4691" s="18" t="s">
        <v>23</v>
      </c>
      <c r="I4691" s="19">
        <v>353.67</v>
      </c>
      <c r="J4691" s="20">
        <f t="shared" si="146"/>
        <v>2122.02</v>
      </c>
      <c r="K4691" s="106"/>
      <c r="L4691" s="114"/>
      <c r="M4691" s="114">
        <f>tblAquisições[[#This Row],[VALOR UNITARIO COMPRADO]]*tblAquisições[[#This Row],[QUANTIDADE COMPRADA]]</f>
        <v>0</v>
      </c>
      <c r="N4691" s="110">
        <f>K4691-tblAquisições[[#This Row],[QUANTIDADE PLANEJADA]]</f>
        <v>-6</v>
      </c>
      <c r="O4691" s="106" t="str">
        <f t="shared" si="147"/>
        <v>Faltando Comprar</v>
      </c>
    </row>
    <row r="4692" spans="1:15" ht="31.5">
      <c r="A4692" s="16" t="s">
        <v>17</v>
      </c>
      <c r="B4692" s="16" t="s">
        <v>26</v>
      </c>
      <c r="C4692" s="17" t="s">
        <v>19</v>
      </c>
      <c r="D4692" s="18" t="s">
        <v>2636</v>
      </c>
      <c r="E4692" s="18">
        <v>12</v>
      </c>
      <c r="F4692" s="18" t="s">
        <v>170</v>
      </c>
      <c r="G4692" s="18" t="s">
        <v>22</v>
      </c>
      <c r="H4692" s="18" t="s">
        <v>23</v>
      </c>
      <c r="I4692" s="19">
        <v>353.67</v>
      </c>
      <c r="J4692" s="20">
        <f t="shared" si="146"/>
        <v>4244.04</v>
      </c>
      <c r="K4692" s="106"/>
      <c r="L4692" s="114"/>
      <c r="M4692" s="114">
        <f>tblAquisições[[#This Row],[VALOR UNITARIO COMPRADO]]*tblAquisições[[#This Row],[QUANTIDADE COMPRADA]]</f>
        <v>0</v>
      </c>
      <c r="N4692" s="110">
        <f>K4692-tblAquisições[[#This Row],[QUANTIDADE PLANEJADA]]</f>
        <v>-12</v>
      </c>
      <c r="O4692" s="106" t="str">
        <f t="shared" si="147"/>
        <v>Faltando Comprar</v>
      </c>
    </row>
    <row r="4693" spans="1:15" ht="31.5">
      <c r="A4693" s="16" t="s">
        <v>17</v>
      </c>
      <c r="B4693" s="16" t="s">
        <v>28</v>
      </c>
      <c r="C4693" s="17" t="s">
        <v>19</v>
      </c>
      <c r="D4693" s="18" t="s">
        <v>2636</v>
      </c>
      <c r="E4693" s="18">
        <v>6</v>
      </c>
      <c r="F4693" s="18" t="s">
        <v>170</v>
      </c>
      <c r="G4693" s="18" t="s">
        <v>22</v>
      </c>
      <c r="H4693" s="18" t="s">
        <v>23</v>
      </c>
      <c r="I4693" s="19">
        <v>353.67</v>
      </c>
      <c r="J4693" s="20">
        <f t="shared" si="146"/>
        <v>2122.02</v>
      </c>
      <c r="K4693" s="106"/>
      <c r="L4693" s="114"/>
      <c r="M4693" s="114">
        <f>tblAquisições[[#This Row],[VALOR UNITARIO COMPRADO]]*tblAquisições[[#This Row],[QUANTIDADE COMPRADA]]</f>
        <v>0</v>
      </c>
      <c r="N4693" s="110">
        <f>K4693-tblAquisições[[#This Row],[QUANTIDADE PLANEJADA]]</f>
        <v>-6</v>
      </c>
      <c r="O4693" s="106" t="str">
        <f t="shared" si="147"/>
        <v>Faltando Comprar</v>
      </c>
    </row>
    <row r="4694" spans="1:15" ht="47.25">
      <c r="A4694" s="16" t="s">
        <v>17</v>
      </c>
      <c r="B4694" s="16" t="s">
        <v>28</v>
      </c>
      <c r="C4694" s="17" t="s">
        <v>19</v>
      </c>
      <c r="D4694" s="18" t="s">
        <v>2637</v>
      </c>
      <c r="E4694" s="18">
        <v>80</v>
      </c>
      <c r="F4694" s="18" t="s">
        <v>78</v>
      </c>
      <c r="G4694" s="18" t="s">
        <v>22</v>
      </c>
      <c r="H4694" s="18" t="s">
        <v>100</v>
      </c>
      <c r="I4694" s="19">
        <v>33.97</v>
      </c>
      <c r="J4694" s="20">
        <f t="shared" si="146"/>
        <v>2717.6</v>
      </c>
      <c r="K4694" s="106"/>
      <c r="L4694" s="114"/>
      <c r="M4694" s="114">
        <f>tblAquisições[[#This Row],[VALOR UNITARIO COMPRADO]]*tblAquisições[[#This Row],[QUANTIDADE COMPRADA]]</f>
        <v>0</v>
      </c>
      <c r="N4694" s="110">
        <f>K4694-tblAquisições[[#This Row],[QUANTIDADE PLANEJADA]]</f>
        <v>-80</v>
      </c>
      <c r="O4694" s="106" t="str">
        <f t="shared" si="147"/>
        <v>Faltando Comprar</v>
      </c>
    </row>
    <row r="4695" spans="1:15" ht="47.25">
      <c r="A4695" s="16" t="s">
        <v>17</v>
      </c>
      <c r="B4695" s="16" t="s">
        <v>34</v>
      </c>
      <c r="C4695" s="17" t="s">
        <v>19</v>
      </c>
      <c r="D4695" s="18" t="s">
        <v>2638</v>
      </c>
      <c r="E4695" s="18">
        <v>1</v>
      </c>
      <c r="F4695" s="18" t="s">
        <v>131</v>
      </c>
      <c r="G4695" s="18" t="s">
        <v>22</v>
      </c>
      <c r="H4695" s="18" t="s">
        <v>23</v>
      </c>
      <c r="I4695" s="19">
        <v>25.3</v>
      </c>
      <c r="J4695" s="20">
        <f t="shared" si="146"/>
        <v>25.3</v>
      </c>
      <c r="K4695" s="106"/>
      <c r="L4695" s="114"/>
      <c r="M4695" s="114">
        <f>tblAquisições[[#This Row],[VALOR UNITARIO COMPRADO]]*tblAquisições[[#This Row],[QUANTIDADE COMPRADA]]</f>
        <v>0</v>
      </c>
      <c r="N4695" s="110">
        <f>K4695-tblAquisições[[#This Row],[QUANTIDADE PLANEJADA]]</f>
        <v>-1</v>
      </c>
      <c r="O4695" s="106" t="str">
        <f t="shared" si="147"/>
        <v>Faltando Comprar</v>
      </c>
    </row>
    <row r="4696" spans="1:15" ht="47.25">
      <c r="A4696" s="16" t="s">
        <v>17</v>
      </c>
      <c r="B4696" s="16" t="s">
        <v>34</v>
      </c>
      <c r="C4696" s="17" t="s">
        <v>19</v>
      </c>
      <c r="D4696" s="18" t="s">
        <v>2639</v>
      </c>
      <c r="E4696" s="18">
        <v>5</v>
      </c>
      <c r="F4696" s="18" t="s">
        <v>78</v>
      </c>
      <c r="G4696" s="18" t="s">
        <v>22</v>
      </c>
      <c r="H4696" s="18" t="s">
        <v>23</v>
      </c>
      <c r="I4696" s="19">
        <v>231.72</v>
      </c>
      <c r="J4696" s="20">
        <f t="shared" si="146"/>
        <v>1158.5999999999999</v>
      </c>
      <c r="K4696" s="106"/>
      <c r="L4696" s="114"/>
      <c r="M4696" s="114">
        <f>tblAquisições[[#This Row],[VALOR UNITARIO COMPRADO]]*tblAquisições[[#This Row],[QUANTIDADE COMPRADA]]</f>
        <v>0</v>
      </c>
      <c r="N4696" s="110">
        <f>K4696-tblAquisições[[#This Row],[QUANTIDADE PLANEJADA]]</f>
        <v>-5</v>
      </c>
      <c r="O4696" s="106" t="str">
        <f t="shared" si="147"/>
        <v>Faltando Comprar</v>
      </c>
    </row>
    <row r="4697" spans="1:15" ht="47.25">
      <c r="A4697" s="16" t="s">
        <v>17</v>
      </c>
      <c r="B4697" s="16" t="s">
        <v>28</v>
      </c>
      <c r="C4697" s="17" t="s">
        <v>19</v>
      </c>
      <c r="D4697" s="33" t="s">
        <v>2639</v>
      </c>
      <c r="E4697" s="33">
        <v>1</v>
      </c>
      <c r="F4697" s="33" t="s">
        <v>78</v>
      </c>
      <c r="G4697" s="33" t="s">
        <v>22</v>
      </c>
      <c r="H4697" s="33" t="s">
        <v>23</v>
      </c>
      <c r="I4697" s="19">
        <v>231.72</v>
      </c>
      <c r="J4697" s="20">
        <f t="shared" si="146"/>
        <v>231.72</v>
      </c>
      <c r="K4697" s="106"/>
      <c r="L4697" s="114"/>
      <c r="M4697" s="114">
        <f>tblAquisições[[#This Row],[VALOR UNITARIO COMPRADO]]*tblAquisições[[#This Row],[QUANTIDADE COMPRADA]]</f>
        <v>0</v>
      </c>
      <c r="N4697" s="110">
        <f>K4697-tblAquisições[[#This Row],[QUANTIDADE PLANEJADA]]</f>
        <v>-1</v>
      </c>
      <c r="O4697" s="106" t="str">
        <f t="shared" si="147"/>
        <v>Faltando Comprar</v>
      </c>
    </row>
    <row r="4698" spans="1:15" ht="47.25">
      <c r="A4698" s="16" t="s">
        <v>17</v>
      </c>
      <c r="B4698" s="16" t="s">
        <v>34</v>
      </c>
      <c r="C4698" s="17" t="s">
        <v>19</v>
      </c>
      <c r="D4698" s="18" t="s">
        <v>2640</v>
      </c>
      <c r="E4698" s="18">
        <v>5</v>
      </c>
      <c r="F4698" s="18" t="s">
        <v>78</v>
      </c>
      <c r="G4698" s="18" t="s">
        <v>22</v>
      </c>
      <c r="H4698" s="18" t="s">
        <v>23</v>
      </c>
      <c r="I4698" s="19">
        <v>47.45</v>
      </c>
      <c r="J4698" s="20">
        <f t="shared" si="146"/>
        <v>237.25</v>
      </c>
      <c r="K4698" s="106"/>
      <c r="L4698" s="114"/>
      <c r="M4698" s="114">
        <f>tblAquisições[[#This Row],[VALOR UNITARIO COMPRADO]]*tblAquisições[[#This Row],[QUANTIDADE COMPRADA]]</f>
        <v>0</v>
      </c>
      <c r="N4698" s="110">
        <f>K4698-tblAquisições[[#This Row],[QUANTIDADE PLANEJADA]]</f>
        <v>-5</v>
      </c>
      <c r="O4698" s="106" t="str">
        <f t="shared" si="147"/>
        <v>Faltando Comprar</v>
      </c>
    </row>
    <row r="4699" spans="1:15" ht="31.5">
      <c r="A4699" s="16" t="s">
        <v>17</v>
      </c>
      <c r="B4699" s="16" t="s">
        <v>26</v>
      </c>
      <c r="C4699" s="17" t="s">
        <v>19</v>
      </c>
      <c r="D4699" s="18" t="s">
        <v>2641</v>
      </c>
      <c r="E4699" s="18">
        <v>2</v>
      </c>
      <c r="F4699" s="18" t="s">
        <v>170</v>
      </c>
      <c r="G4699" s="18" t="s">
        <v>22</v>
      </c>
      <c r="H4699" s="18" t="s">
        <v>23</v>
      </c>
      <c r="I4699" s="19">
        <v>305.39999999999998</v>
      </c>
      <c r="J4699" s="20">
        <f t="shared" si="146"/>
        <v>610.79999999999995</v>
      </c>
      <c r="K4699" s="106"/>
      <c r="L4699" s="114"/>
      <c r="M4699" s="114">
        <f>tblAquisições[[#This Row],[VALOR UNITARIO COMPRADO]]*tblAquisições[[#This Row],[QUANTIDADE COMPRADA]]</f>
        <v>0</v>
      </c>
      <c r="N4699" s="110">
        <f>K4699-tblAquisições[[#This Row],[QUANTIDADE PLANEJADA]]</f>
        <v>-2</v>
      </c>
      <c r="O4699" s="106" t="str">
        <f t="shared" si="147"/>
        <v>Faltando Comprar</v>
      </c>
    </row>
    <row r="4700" spans="1:15" ht="47.25">
      <c r="A4700" s="16" t="s">
        <v>17</v>
      </c>
      <c r="B4700" s="16" t="s">
        <v>28</v>
      </c>
      <c r="C4700" s="17" t="s">
        <v>19</v>
      </c>
      <c r="D4700" s="18" t="s">
        <v>2642</v>
      </c>
      <c r="E4700" s="18">
        <v>1</v>
      </c>
      <c r="F4700" s="18" t="s">
        <v>126</v>
      </c>
      <c r="G4700" s="18" t="s">
        <v>127</v>
      </c>
      <c r="H4700" s="18" t="s">
        <v>23</v>
      </c>
      <c r="I4700" s="19">
        <v>347.24</v>
      </c>
      <c r="J4700" s="20">
        <f t="shared" si="146"/>
        <v>347.24</v>
      </c>
      <c r="K4700" s="106"/>
      <c r="L4700" s="114"/>
      <c r="M4700" s="114">
        <f>tblAquisições[[#This Row],[VALOR UNITARIO COMPRADO]]*tblAquisições[[#This Row],[QUANTIDADE COMPRADA]]</f>
        <v>0</v>
      </c>
      <c r="N4700" s="110">
        <f>K4700-tblAquisições[[#This Row],[QUANTIDADE PLANEJADA]]</f>
        <v>-1</v>
      </c>
      <c r="O4700" s="106" t="str">
        <f t="shared" si="147"/>
        <v>Faltando Comprar</v>
      </c>
    </row>
    <row r="4701" spans="1:15" ht="31.5">
      <c r="A4701" s="16" t="s">
        <v>17</v>
      </c>
      <c r="B4701" s="16" t="s">
        <v>750</v>
      </c>
      <c r="C4701" s="17" t="s">
        <v>19</v>
      </c>
      <c r="D4701" s="18" t="s">
        <v>2643</v>
      </c>
      <c r="E4701" s="18">
        <v>5</v>
      </c>
      <c r="F4701" s="18" t="s">
        <v>170</v>
      </c>
      <c r="G4701" s="18" t="s">
        <v>22</v>
      </c>
      <c r="H4701" s="18" t="s">
        <v>23</v>
      </c>
      <c r="I4701" s="19">
        <v>110</v>
      </c>
      <c r="J4701" s="20">
        <f t="shared" si="146"/>
        <v>550</v>
      </c>
      <c r="K4701" s="106"/>
      <c r="L4701" s="114"/>
      <c r="M4701" s="114">
        <f>tblAquisições[[#This Row],[VALOR UNITARIO COMPRADO]]*tblAquisições[[#This Row],[QUANTIDADE COMPRADA]]</f>
        <v>0</v>
      </c>
      <c r="N4701" s="110">
        <f>K4701-tblAquisições[[#This Row],[QUANTIDADE PLANEJADA]]</f>
        <v>-5</v>
      </c>
      <c r="O4701" s="106" t="str">
        <f t="shared" si="147"/>
        <v>Faltando Comprar</v>
      </c>
    </row>
    <row r="4702" spans="1:15" ht="31.5">
      <c r="A4702" s="16" t="s">
        <v>17</v>
      </c>
      <c r="B4702" s="16" t="s">
        <v>34</v>
      </c>
      <c r="C4702" s="17" t="s">
        <v>19</v>
      </c>
      <c r="D4702" s="18" t="s">
        <v>2644</v>
      </c>
      <c r="E4702" s="18">
        <v>12</v>
      </c>
      <c r="F4702" s="18" t="s">
        <v>324</v>
      </c>
      <c r="G4702" s="18" t="s">
        <v>22</v>
      </c>
      <c r="H4702" s="18" t="s">
        <v>23</v>
      </c>
      <c r="I4702" s="19">
        <v>45.18</v>
      </c>
      <c r="J4702" s="20">
        <f t="shared" si="146"/>
        <v>542.16</v>
      </c>
      <c r="K4702" s="106"/>
      <c r="L4702" s="114"/>
      <c r="M4702" s="114">
        <f>tblAquisições[[#This Row],[VALOR UNITARIO COMPRADO]]*tblAquisições[[#This Row],[QUANTIDADE COMPRADA]]</f>
        <v>0</v>
      </c>
      <c r="N4702" s="110">
        <f>K4702-tblAquisições[[#This Row],[QUANTIDADE PLANEJADA]]</f>
        <v>-12</v>
      </c>
      <c r="O4702" s="106" t="str">
        <f t="shared" si="147"/>
        <v>Faltando Comprar</v>
      </c>
    </row>
    <row r="4703" spans="1:15" ht="31.5">
      <c r="A4703" s="16" t="s">
        <v>17</v>
      </c>
      <c r="B4703" s="16" t="s">
        <v>25</v>
      </c>
      <c r="C4703" s="17" t="s">
        <v>19</v>
      </c>
      <c r="D4703" s="18" t="s">
        <v>2644</v>
      </c>
      <c r="E4703" s="18">
        <v>10</v>
      </c>
      <c r="F4703" s="18" t="s">
        <v>324</v>
      </c>
      <c r="G4703" s="18" t="s">
        <v>22</v>
      </c>
      <c r="H4703" s="18" t="s">
        <v>23</v>
      </c>
      <c r="I4703" s="19">
        <v>45.18</v>
      </c>
      <c r="J4703" s="20">
        <f t="shared" si="146"/>
        <v>451.8</v>
      </c>
      <c r="K4703" s="106"/>
      <c r="L4703" s="114"/>
      <c r="M4703" s="114">
        <f>tblAquisições[[#This Row],[VALOR UNITARIO COMPRADO]]*tblAquisições[[#This Row],[QUANTIDADE COMPRADA]]</f>
        <v>0</v>
      </c>
      <c r="N4703" s="110">
        <f>K4703-tblAquisições[[#This Row],[QUANTIDADE PLANEJADA]]</f>
        <v>-10</v>
      </c>
      <c r="O4703" s="106" t="str">
        <f t="shared" si="147"/>
        <v>Faltando Comprar</v>
      </c>
    </row>
    <row r="4704" spans="1:15" ht="47.25">
      <c r="A4704" s="16" t="s">
        <v>17</v>
      </c>
      <c r="B4704" s="16" t="s">
        <v>28</v>
      </c>
      <c r="C4704" s="17" t="s">
        <v>19</v>
      </c>
      <c r="D4704" s="18" t="s">
        <v>2645</v>
      </c>
      <c r="E4704" s="18">
        <v>2</v>
      </c>
      <c r="F4704" s="18" t="s">
        <v>214</v>
      </c>
      <c r="G4704" s="18" t="s">
        <v>127</v>
      </c>
      <c r="H4704" s="18" t="s">
        <v>23</v>
      </c>
      <c r="I4704" s="19">
        <v>3761.24</v>
      </c>
      <c r="J4704" s="20">
        <f t="shared" si="146"/>
        <v>7522.48</v>
      </c>
      <c r="K4704" s="106"/>
      <c r="L4704" s="114"/>
      <c r="M4704" s="114">
        <f>tblAquisições[[#This Row],[VALOR UNITARIO COMPRADO]]*tblAquisições[[#This Row],[QUANTIDADE COMPRADA]]</f>
        <v>0</v>
      </c>
      <c r="N4704" s="110">
        <f>K4704-tblAquisições[[#This Row],[QUANTIDADE PLANEJADA]]</f>
        <v>-2</v>
      </c>
      <c r="O4704" s="106" t="str">
        <f t="shared" si="147"/>
        <v>Faltando Comprar</v>
      </c>
    </row>
    <row r="4705" spans="1:15" ht="47.25">
      <c r="A4705" s="16" t="s">
        <v>17</v>
      </c>
      <c r="B4705" s="16" t="s">
        <v>27</v>
      </c>
      <c r="C4705" s="17" t="s">
        <v>19</v>
      </c>
      <c r="D4705" s="18" t="s">
        <v>2646</v>
      </c>
      <c r="E4705" s="18">
        <v>6</v>
      </c>
      <c r="F4705" s="18" t="s">
        <v>391</v>
      </c>
      <c r="G4705" s="18" t="s">
        <v>22</v>
      </c>
      <c r="H4705" s="18" t="s">
        <v>23</v>
      </c>
      <c r="I4705" s="19">
        <v>500</v>
      </c>
      <c r="J4705" s="20">
        <f t="shared" si="146"/>
        <v>3000</v>
      </c>
      <c r="K4705" s="106"/>
      <c r="L4705" s="114"/>
      <c r="M4705" s="114">
        <f>tblAquisições[[#This Row],[VALOR UNITARIO COMPRADO]]*tblAquisições[[#This Row],[QUANTIDADE COMPRADA]]</f>
        <v>0</v>
      </c>
      <c r="N4705" s="110">
        <f>K4705-tblAquisições[[#This Row],[QUANTIDADE PLANEJADA]]</f>
        <v>-6</v>
      </c>
      <c r="O4705" s="106" t="str">
        <f t="shared" si="147"/>
        <v>Faltando Comprar</v>
      </c>
    </row>
    <row r="4706" spans="1:15" ht="47.25">
      <c r="A4706" s="16" t="s">
        <v>17</v>
      </c>
      <c r="B4706" s="16" t="s">
        <v>31</v>
      </c>
      <c r="C4706" s="17" t="s">
        <v>19</v>
      </c>
      <c r="D4706" s="18" t="s">
        <v>2647</v>
      </c>
      <c r="E4706" s="18">
        <v>16</v>
      </c>
      <c r="F4706" s="18" t="s">
        <v>78</v>
      </c>
      <c r="G4706" s="18" t="s">
        <v>22</v>
      </c>
      <c r="H4706" s="18" t="s">
        <v>23</v>
      </c>
      <c r="I4706" s="19">
        <v>194.99</v>
      </c>
      <c r="J4706" s="20">
        <f t="shared" si="146"/>
        <v>3119.84</v>
      </c>
      <c r="K4706" s="106"/>
      <c r="L4706" s="114"/>
      <c r="M4706" s="114">
        <f>tblAquisições[[#This Row],[VALOR UNITARIO COMPRADO]]*tblAquisições[[#This Row],[QUANTIDADE COMPRADA]]</f>
        <v>0</v>
      </c>
      <c r="N4706" s="110">
        <f>K4706-tblAquisições[[#This Row],[QUANTIDADE PLANEJADA]]</f>
        <v>-16</v>
      </c>
      <c r="O4706" s="106" t="str">
        <f t="shared" si="147"/>
        <v>Faltando Comprar</v>
      </c>
    </row>
    <row r="4707" spans="1:15" ht="47.25">
      <c r="A4707" s="16" t="s">
        <v>17</v>
      </c>
      <c r="B4707" s="16" t="s">
        <v>18</v>
      </c>
      <c r="C4707" s="17" t="s">
        <v>19</v>
      </c>
      <c r="D4707" s="18" t="s">
        <v>2648</v>
      </c>
      <c r="E4707" s="18">
        <v>1</v>
      </c>
      <c r="F4707" s="18" t="s">
        <v>214</v>
      </c>
      <c r="G4707" s="18" t="s">
        <v>127</v>
      </c>
      <c r="H4707" s="18" t="s">
        <v>23</v>
      </c>
      <c r="I4707" s="19">
        <v>952.12</v>
      </c>
      <c r="J4707" s="20">
        <f t="shared" si="146"/>
        <v>952.12</v>
      </c>
      <c r="K4707" s="106"/>
      <c r="L4707" s="114"/>
      <c r="M4707" s="114">
        <f>tblAquisições[[#This Row],[VALOR UNITARIO COMPRADO]]*tblAquisições[[#This Row],[QUANTIDADE COMPRADA]]</f>
        <v>0</v>
      </c>
      <c r="N4707" s="110">
        <f>K4707-tblAquisições[[#This Row],[QUANTIDADE PLANEJADA]]</f>
        <v>-1</v>
      </c>
      <c r="O4707" s="106" t="str">
        <f t="shared" si="147"/>
        <v>Faltando Comprar</v>
      </c>
    </row>
    <row r="4708" spans="1:15" ht="47.25">
      <c r="A4708" s="16" t="s">
        <v>17</v>
      </c>
      <c r="B4708" s="16" t="s">
        <v>24</v>
      </c>
      <c r="C4708" s="17" t="s">
        <v>19</v>
      </c>
      <c r="D4708" s="18" t="s">
        <v>2648</v>
      </c>
      <c r="E4708" s="18">
        <v>1</v>
      </c>
      <c r="F4708" s="18" t="s">
        <v>214</v>
      </c>
      <c r="G4708" s="18" t="s">
        <v>127</v>
      </c>
      <c r="H4708" s="18" t="s">
        <v>23</v>
      </c>
      <c r="I4708" s="19">
        <v>952.12</v>
      </c>
      <c r="J4708" s="20">
        <f t="shared" si="146"/>
        <v>952.12</v>
      </c>
      <c r="K4708" s="106"/>
      <c r="L4708" s="114"/>
      <c r="M4708" s="114">
        <f>tblAquisições[[#This Row],[VALOR UNITARIO COMPRADO]]*tblAquisições[[#This Row],[QUANTIDADE COMPRADA]]</f>
        <v>0</v>
      </c>
      <c r="N4708" s="110">
        <f>K4708-tblAquisições[[#This Row],[QUANTIDADE PLANEJADA]]</f>
        <v>-1</v>
      </c>
      <c r="O4708" s="106" t="str">
        <f t="shared" si="147"/>
        <v>Faltando Comprar</v>
      </c>
    </row>
    <row r="4709" spans="1:15" ht="47.25">
      <c r="A4709" s="16" t="s">
        <v>17</v>
      </c>
      <c r="B4709" s="16" t="s">
        <v>25</v>
      </c>
      <c r="C4709" s="17" t="s">
        <v>19</v>
      </c>
      <c r="D4709" s="18" t="s">
        <v>2648</v>
      </c>
      <c r="E4709" s="18">
        <v>1</v>
      </c>
      <c r="F4709" s="18" t="s">
        <v>214</v>
      </c>
      <c r="G4709" s="18" t="s">
        <v>127</v>
      </c>
      <c r="H4709" s="18" t="s">
        <v>23</v>
      </c>
      <c r="I4709" s="19">
        <v>952.12</v>
      </c>
      <c r="J4709" s="20">
        <f t="shared" si="146"/>
        <v>952.12</v>
      </c>
      <c r="K4709" s="106"/>
      <c r="L4709" s="114"/>
      <c r="M4709" s="114">
        <f>tblAquisições[[#This Row],[VALOR UNITARIO COMPRADO]]*tblAquisições[[#This Row],[QUANTIDADE COMPRADA]]</f>
        <v>0</v>
      </c>
      <c r="N4709" s="110">
        <f>K4709-tblAquisições[[#This Row],[QUANTIDADE PLANEJADA]]</f>
        <v>-1</v>
      </c>
      <c r="O4709" s="106" t="str">
        <f t="shared" si="147"/>
        <v>Faltando Comprar</v>
      </c>
    </row>
    <row r="4710" spans="1:15" ht="47.25">
      <c r="A4710" s="16" t="s">
        <v>17</v>
      </c>
      <c r="B4710" s="16" t="s">
        <v>41</v>
      </c>
      <c r="C4710" s="17" t="s">
        <v>19</v>
      </c>
      <c r="D4710" s="18" t="s">
        <v>2648</v>
      </c>
      <c r="E4710" s="18">
        <v>1</v>
      </c>
      <c r="F4710" s="18" t="s">
        <v>214</v>
      </c>
      <c r="G4710" s="18" t="s">
        <v>127</v>
      </c>
      <c r="H4710" s="18" t="s">
        <v>23</v>
      </c>
      <c r="I4710" s="19">
        <v>952.12</v>
      </c>
      <c r="J4710" s="20">
        <f t="shared" si="146"/>
        <v>952.12</v>
      </c>
      <c r="K4710" s="106"/>
      <c r="L4710" s="114"/>
      <c r="M4710" s="114">
        <f>tblAquisições[[#This Row],[VALOR UNITARIO COMPRADO]]*tblAquisições[[#This Row],[QUANTIDADE COMPRADA]]</f>
        <v>0</v>
      </c>
      <c r="N4710" s="110">
        <f>K4710-tblAquisições[[#This Row],[QUANTIDADE PLANEJADA]]</f>
        <v>-1</v>
      </c>
      <c r="O4710" s="106" t="str">
        <f t="shared" si="147"/>
        <v>Faltando Comprar</v>
      </c>
    </row>
    <row r="4711" spans="1:15" ht="47.25">
      <c r="A4711" s="16" t="s">
        <v>17</v>
      </c>
      <c r="B4711" s="16" t="s">
        <v>28</v>
      </c>
      <c r="C4711" s="17" t="s">
        <v>19</v>
      </c>
      <c r="D4711" s="18" t="s">
        <v>2648</v>
      </c>
      <c r="E4711" s="18">
        <v>2</v>
      </c>
      <c r="F4711" s="18" t="s">
        <v>214</v>
      </c>
      <c r="G4711" s="18" t="s">
        <v>127</v>
      </c>
      <c r="H4711" s="18" t="s">
        <v>23</v>
      </c>
      <c r="I4711" s="19">
        <v>952.12</v>
      </c>
      <c r="J4711" s="20">
        <f t="shared" si="146"/>
        <v>1904.24</v>
      </c>
      <c r="K4711" s="106"/>
      <c r="L4711" s="114"/>
      <c r="M4711" s="114">
        <f>tblAquisições[[#This Row],[VALOR UNITARIO COMPRADO]]*tblAquisições[[#This Row],[QUANTIDADE COMPRADA]]</f>
        <v>0</v>
      </c>
      <c r="N4711" s="110">
        <f>K4711-tblAquisições[[#This Row],[QUANTIDADE PLANEJADA]]</f>
        <v>-2</v>
      </c>
      <c r="O4711" s="106" t="str">
        <f t="shared" si="147"/>
        <v>Faltando Comprar</v>
      </c>
    </row>
    <row r="4712" spans="1:15" ht="31.5">
      <c r="A4712" s="16" t="s">
        <v>17</v>
      </c>
      <c r="B4712" s="16" t="s">
        <v>31</v>
      </c>
      <c r="C4712" s="17" t="s">
        <v>19</v>
      </c>
      <c r="D4712" s="18" t="s">
        <v>2649</v>
      </c>
      <c r="E4712" s="18">
        <v>5</v>
      </c>
      <c r="F4712" s="18" t="s">
        <v>328</v>
      </c>
      <c r="G4712" s="18" t="s">
        <v>22</v>
      </c>
      <c r="H4712" s="18" t="s">
        <v>23</v>
      </c>
      <c r="I4712" s="19">
        <v>133.61000000000001</v>
      </c>
      <c r="J4712" s="20">
        <f t="shared" si="146"/>
        <v>668.05000000000007</v>
      </c>
      <c r="K4712" s="106"/>
      <c r="L4712" s="114"/>
      <c r="M4712" s="114">
        <f>tblAquisições[[#This Row],[VALOR UNITARIO COMPRADO]]*tblAquisições[[#This Row],[QUANTIDADE COMPRADA]]</f>
        <v>0</v>
      </c>
      <c r="N4712" s="110">
        <f>K4712-tblAquisições[[#This Row],[QUANTIDADE PLANEJADA]]</f>
        <v>-5</v>
      </c>
      <c r="O4712" s="106" t="str">
        <f t="shared" si="147"/>
        <v>Faltando Comprar</v>
      </c>
    </row>
    <row r="4713" spans="1:15" ht="31.5">
      <c r="A4713" s="16" t="s">
        <v>17</v>
      </c>
      <c r="B4713" s="16" t="s">
        <v>28</v>
      </c>
      <c r="C4713" s="17" t="s">
        <v>19</v>
      </c>
      <c r="D4713" s="18" t="s">
        <v>2649</v>
      </c>
      <c r="E4713" s="18">
        <v>2</v>
      </c>
      <c r="F4713" s="18" t="s">
        <v>328</v>
      </c>
      <c r="G4713" s="18" t="s">
        <v>22</v>
      </c>
      <c r="H4713" s="18" t="s">
        <v>23</v>
      </c>
      <c r="I4713" s="19">
        <v>133.61000000000001</v>
      </c>
      <c r="J4713" s="20">
        <f t="shared" si="146"/>
        <v>267.22000000000003</v>
      </c>
      <c r="K4713" s="106"/>
      <c r="L4713" s="114"/>
      <c r="M4713" s="114">
        <f>tblAquisições[[#This Row],[VALOR UNITARIO COMPRADO]]*tblAquisições[[#This Row],[QUANTIDADE COMPRADA]]</f>
        <v>0</v>
      </c>
      <c r="N4713" s="110">
        <f>K4713-tblAquisições[[#This Row],[QUANTIDADE PLANEJADA]]</f>
        <v>-2</v>
      </c>
      <c r="O4713" s="106" t="str">
        <f t="shared" si="147"/>
        <v>Faltando Comprar</v>
      </c>
    </row>
    <row r="4714" spans="1:15" ht="47.25">
      <c r="A4714" s="16" t="s">
        <v>17</v>
      </c>
      <c r="B4714" s="16" t="s">
        <v>31</v>
      </c>
      <c r="C4714" s="17" t="s">
        <v>19</v>
      </c>
      <c r="D4714" s="18" t="s">
        <v>2650</v>
      </c>
      <c r="E4714" s="18">
        <v>5</v>
      </c>
      <c r="F4714" s="18" t="s">
        <v>78</v>
      </c>
      <c r="G4714" s="18" t="s">
        <v>22</v>
      </c>
      <c r="H4714" s="18" t="s">
        <v>23</v>
      </c>
      <c r="I4714" s="19">
        <v>20.190000000000001</v>
      </c>
      <c r="J4714" s="20">
        <f t="shared" si="146"/>
        <v>100.95</v>
      </c>
      <c r="K4714" s="106"/>
      <c r="L4714" s="114"/>
      <c r="M4714" s="114">
        <f>tblAquisições[[#This Row],[VALOR UNITARIO COMPRADO]]*tblAquisições[[#This Row],[QUANTIDADE COMPRADA]]</f>
        <v>0</v>
      </c>
      <c r="N4714" s="110">
        <f>K4714-tblAquisições[[#This Row],[QUANTIDADE PLANEJADA]]</f>
        <v>-5</v>
      </c>
      <c r="O4714" s="106" t="str">
        <f t="shared" si="147"/>
        <v>Faltando Comprar</v>
      </c>
    </row>
    <row r="4715" spans="1:15" ht="47.25">
      <c r="A4715" s="16" t="s">
        <v>17</v>
      </c>
      <c r="B4715" s="16" t="s">
        <v>18</v>
      </c>
      <c r="C4715" s="17" t="s">
        <v>19</v>
      </c>
      <c r="D4715" s="18" t="s">
        <v>2650</v>
      </c>
      <c r="E4715" s="18">
        <v>8</v>
      </c>
      <c r="F4715" s="18" t="s">
        <v>78</v>
      </c>
      <c r="G4715" s="18" t="s">
        <v>22</v>
      </c>
      <c r="H4715" s="18" t="s">
        <v>23</v>
      </c>
      <c r="I4715" s="19">
        <v>20.190000000000001</v>
      </c>
      <c r="J4715" s="20">
        <f t="shared" si="146"/>
        <v>161.52000000000001</v>
      </c>
      <c r="K4715" s="106"/>
      <c r="L4715" s="114"/>
      <c r="M4715" s="114">
        <f>tblAquisições[[#This Row],[VALOR UNITARIO COMPRADO]]*tblAquisições[[#This Row],[QUANTIDADE COMPRADA]]</f>
        <v>0</v>
      </c>
      <c r="N4715" s="110">
        <f>K4715-tblAquisições[[#This Row],[QUANTIDADE PLANEJADA]]</f>
        <v>-8</v>
      </c>
      <c r="O4715" s="106" t="str">
        <f t="shared" si="147"/>
        <v>Faltando Comprar</v>
      </c>
    </row>
    <row r="4716" spans="1:15" ht="47.25">
      <c r="A4716" s="16" t="s">
        <v>17</v>
      </c>
      <c r="B4716" s="16" t="s">
        <v>24</v>
      </c>
      <c r="C4716" s="17" t="s">
        <v>19</v>
      </c>
      <c r="D4716" s="18" t="s">
        <v>2650</v>
      </c>
      <c r="E4716" s="18">
        <v>8</v>
      </c>
      <c r="F4716" s="18" t="s">
        <v>78</v>
      </c>
      <c r="G4716" s="18" t="s">
        <v>22</v>
      </c>
      <c r="H4716" s="18" t="s">
        <v>23</v>
      </c>
      <c r="I4716" s="19">
        <v>20.190000000000001</v>
      </c>
      <c r="J4716" s="20">
        <f t="shared" si="146"/>
        <v>161.52000000000001</v>
      </c>
      <c r="K4716" s="106"/>
      <c r="L4716" s="114"/>
      <c r="M4716" s="114">
        <f>tblAquisições[[#This Row],[VALOR UNITARIO COMPRADO]]*tblAquisições[[#This Row],[QUANTIDADE COMPRADA]]</f>
        <v>0</v>
      </c>
      <c r="N4716" s="110">
        <f>K4716-tblAquisições[[#This Row],[QUANTIDADE PLANEJADA]]</f>
        <v>-8</v>
      </c>
      <c r="O4716" s="106" t="str">
        <f t="shared" si="147"/>
        <v>Faltando Comprar</v>
      </c>
    </row>
    <row r="4717" spans="1:15" ht="47.25">
      <c r="A4717" s="16" t="s">
        <v>17</v>
      </c>
      <c r="B4717" s="16" t="s">
        <v>25</v>
      </c>
      <c r="C4717" s="17" t="s">
        <v>19</v>
      </c>
      <c r="D4717" s="18" t="s">
        <v>2650</v>
      </c>
      <c r="E4717" s="18">
        <v>8</v>
      </c>
      <c r="F4717" s="18" t="s">
        <v>78</v>
      </c>
      <c r="G4717" s="18" t="s">
        <v>22</v>
      </c>
      <c r="H4717" s="18" t="s">
        <v>23</v>
      </c>
      <c r="I4717" s="19">
        <v>20.190000000000001</v>
      </c>
      <c r="J4717" s="20">
        <f t="shared" si="146"/>
        <v>161.52000000000001</v>
      </c>
      <c r="K4717" s="106"/>
      <c r="L4717" s="114"/>
      <c r="M4717" s="114">
        <f>tblAquisições[[#This Row],[VALOR UNITARIO COMPRADO]]*tblAquisições[[#This Row],[QUANTIDADE COMPRADA]]</f>
        <v>0</v>
      </c>
      <c r="N4717" s="110">
        <f>K4717-tblAquisições[[#This Row],[QUANTIDADE PLANEJADA]]</f>
        <v>-8</v>
      </c>
      <c r="O4717" s="106" t="str">
        <f t="shared" si="147"/>
        <v>Faltando Comprar</v>
      </c>
    </row>
    <row r="4718" spans="1:15" ht="47.25">
      <c r="A4718" s="16" t="s">
        <v>17</v>
      </c>
      <c r="B4718" s="16" t="s">
        <v>28</v>
      </c>
      <c r="C4718" s="17" t="s">
        <v>19</v>
      </c>
      <c r="D4718" s="18" t="s">
        <v>2650</v>
      </c>
      <c r="E4718" s="18">
        <v>20</v>
      </c>
      <c r="F4718" s="18" t="s">
        <v>78</v>
      </c>
      <c r="G4718" s="18" t="s">
        <v>22</v>
      </c>
      <c r="H4718" s="18" t="s">
        <v>53</v>
      </c>
      <c r="I4718" s="19">
        <v>20.190000000000001</v>
      </c>
      <c r="J4718" s="20">
        <f t="shared" si="146"/>
        <v>403.8</v>
      </c>
      <c r="K4718" s="106"/>
      <c r="L4718" s="114"/>
      <c r="M4718" s="114">
        <f>tblAquisições[[#This Row],[VALOR UNITARIO COMPRADO]]*tblAquisições[[#This Row],[QUANTIDADE COMPRADA]]</f>
        <v>0</v>
      </c>
      <c r="N4718" s="110">
        <f>K4718-tblAquisições[[#This Row],[QUANTIDADE PLANEJADA]]</f>
        <v>-20</v>
      </c>
      <c r="O4718" s="106" t="str">
        <f t="shared" si="147"/>
        <v>Faltando Comprar</v>
      </c>
    </row>
    <row r="4719" spans="1:15" ht="47.25">
      <c r="A4719" s="16" t="s">
        <v>17</v>
      </c>
      <c r="B4719" s="16" t="s">
        <v>31</v>
      </c>
      <c r="C4719" s="17" t="s">
        <v>19</v>
      </c>
      <c r="D4719" s="18" t="s">
        <v>2651</v>
      </c>
      <c r="E4719" s="18">
        <v>5</v>
      </c>
      <c r="F4719" s="18" t="s">
        <v>78</v>
      </c>
      <c r="G4719" s="18" t="s">
        <v>22</v>
      </c>
      <c r="H4719" s="18" t="s">
        <v>23</v>
      </c>
      <c r="I4719" s="19">
        <v>34.119999999999997</v>
      </c>
      <c r="J4719" s="20">
        <f t="shared" si="146"/>
        <v>170.6</v>
      </c>
      <c r="K4719" s="106"/>
      <c r="L4719" s="114"/>
      <c r="M4719" s="114">
        <f>tblAquisições[[#This Row],[VALOR UNITARIO COMPRADO]]*tblAquisições[[#This Row],[QUANTIDADE COMPRADA]]</f>
        <v>0</v>
      </c>
      <c r="N4719" s="110">
        <f>K4719-tblAquisições[[#This Row],[QUANTIDADE PLANEJADA]]</f>
        <v>-5</v>
      </c>
      <c r="O4719" s="106" t="str">
        <f t="shared" si="147"/>
        <v>Faltando Comprar</v>
      </c>
    </row>
    <row r="4720" spans="1:15" ht="47.25">
      <c r="A4720" s="16" t="s">
        <v>17</v>
      </c>
      <c r="B4720" s="16" t="s">
        <v>18</v>
      </c>
      <c r="C4720" s="17" t="s">
        <v>19</v>
      </c>
      <c r="D4720" s="18" t="s">
        <v>2651</v>
      </c>
      <c r="E4720" s="18">
        <v>8</v>
      </c>
      <c r="F4720" s="18" t="s">
        <v>78</v>
      </c>
      <c r="G4720" s="18" t="s">
        <v>22</v>
      </c>
      <c r="H4720" s="18" t="s">
        <v>23</v>
      </c>
      <c r="I4720" s="19">
        <v>34.119999999999997</v>
      </c>
      <c r="J4720" s="20">
        <f t="shared" si="146"/>
        <v>272.95999999999998</v>
      </c>
      <c r="K4720" s="106"/>
      <c r="L4720" s="114"/>
      <c r="M4720" s="114">
        <f>tblAquisições[[#This Row],[VALOR UNITARIO COMPRADO]]*tblAquisições[[#This Row],[QUANTIDADE COMPRADA]]</f>
        <v>0</v>
      </c>
      <c r="N4720" s="110">
        <f>K4720-tblAquisições[[#This Row],[QUANTIDADE PLANEJADA]]</f>
        <v>-8</v>
      </c>
      <c r="O4720" s="106" t="str">
        <f t="shared" si="147"/>
        <v>Faltando Comprar</v>
      </c>
    </row>
    <row r="4721" spans="1:15" ht="47.25">
      <c r="A4721" s="16" t="s">
        <v>17</v>
      </c>
      <c r="B4721" s="16" t="s">
        <v>24</v>
      </c>
      <c r="C4721" s="17" t="s">
        <v>19</v>
      </c>
      <c r="D4721" s="18" t="s">
        <v>2651</v>
      </c>
      <c r="E4721" s="18">
        <v>8</v>
      </c>
      <c r="F4721" s="18" t="s">
        <v>78</v>
      </c>
      <c r="G4721" s="18" t="s">
        <v>22</v>
      </c>
      <c r="H4721" s="18" t="s">
        <v>23</v>
      </c>
      <c r="I4721" s="19">
        <v>34.119999999999997</v>
      </c>
      <c r="J4721" s="20">
        <f t="shared" si="146"/>
        <v>272.95999999999998</v>
      </c>
      <c r="K4721" s="106"/>
      <c r="L4721" s="114"/>
      <c r="M4721" s="114">
        <f>tblAquisições[[#This Row],[VALOR UNITARIO COMPRADO]]*tblAquisições[[#This Row],[QUANTIDADE COMPRADA]]</f>
        <v>0</v>
      </c>
      <c r="N4721" s="110">
        <f>K4721-tblAquisições[[#This Row],[QUANTIDADE PLANEJADA]]</f>
        <v>-8</v>
      </c>
      <c r="O4721" s="106" t="str">
        <f t="shared" si="147"/>
        <v>Faltando Comprar</v>
      </c>
    </row>
    <row r="4722" spans="1:15" ht="47.25">
      <c r="A4722" s="16" t="s">
        <v>17</v>
      </c>
      <c r="B4722" s="16" t="s">
        <v>25</v>
      </c>
      <c r="C4722" s="17" t="s">
        <v>19</v>
      </c>
      <c r="D4722" s="18" t="s">
        <v>2651</v>
      </c>
      <c r="E4722" s="18">
        <v>8</v>
      </c>
      <c r="F4722" s="18" t="s">
        <v>78</v>
      </c>
      <c r="G4722" s="18" t="s">
        <v>22</v>
      </c>
      <c r="H4722" s="18" t="s">
        <v>23</v>
      </c>
      <c r="I4722" s="19">
        <v>34.119999999999997</v>
      </c>
      <c r="J4722" s="20">
        <f t="shared" si="146"/>
        <v>272.95999999999998</v>
      </c>
      <c r="K4722" s="106"/>
      <c r="L4722" s="114"/>
      <c r="M4722" s="114">
        <f>tblAquisições[[#This Row],[VALOR UNITARIO COMPRADO]]*tblAquisições[[#This Row],[QUANTIDADE COMPRADA]]</f>
        <v>0</v>
      </c>
      <c r="N4722" s="110">
        <f>K4722-tblAquisições[[#This Row],[QUANTIDADE PLANEJADA]]</f>
        <v>-8</v>
      </c>
      <c r="O4722" s="106" t="str">
        <f t="shared" si="147"/>
        <v>Faltando Comprar</v>
      </c>
    </row>
    <row r="4723" spans="1:15" ht="47.25">
      <c r="A4723" s="16" t="s">
        <v>17</v>
      </c>
      <c r="B4723" s="16" t="s">
        <v>28</v>
      </c>
      <c r="C4723" s="17" t="s">
        <v>19</v>
      </c>
      <c r="D4723" s="33" t="s">
        <v>2651</v>
      </c>
      <c r="E4723" s="33">
        <v>20</v>
      </c>
      <c r="F4723" s="33" t="s">
        <v>78</v>
      </c>
      <c r="G4723" s="33" t="s">
        <v>22</v>
      </c>
      <c r="H4723" s="33" t="s">
        <v>53</v>
      </c>
      <c r="I4723" s="19">
        <v>34.119999999999997</v>
      </c>
      <c r="J4723" s="20">
        <f t="shared" si="146"/>
        <v>682.4</v>
      </c>
      <c r="K4723" s="106"/>
      <c r="L4723" s="114"/>
      <c r="M4723" s="114">
        <f>tblAquisições[[#This Row],[VALOR UNITARIO COMPRADO]]*tblAquisições[[#This Row],[QUANTIDADE COMPRADA]]</f>
        <v>0</v>
      </c>
      <c r="N4723" s="110">
        <f>K4723-tblAquisições[[#This Row],[QUANTIDADE PLANEJADA]]</f>
        <v>-20</v>
      </c>
      <c r="O4723" s="106" t="str">
        <f t="shared" si="147"/>
        <v>Faltando Comprar</v>
      </c>
    </row>
    <row r="4724" spans="1:15" ht="47.25">
      <c r="A4724" s="16" t="s">
        <v>17</v>
      </c>
      <c r="B4724" s="16" t="s">
        <v>31</v>
      </c>
      <c r="C4724" s="17" t="s">
        <v>19</v>
      </c>
      <c r="D4724" s="18" t="s">
        <v>2652</v>
      </c>
      <c r="E4724" s="18">
        <v>5</v>
      </c>
      <c r="F4724" s="18" t="s">
        <v>78</v>
      </c>
      <c r="G4724" s="18" t="s">
        <v>22</v>
      </c>
      <c r="H4724" s="18" t="s">
        <v>23</v>
      </c>
      <c r="I4724" s="19">
        <v>3.04</v>
      </c>
      <c r="J4724" s="20">
        <f t="shared" si="146"/>
        <v>15.2</v>
      </c>
      <c r="K4724" s="106"/>
      <c r="L4724" s="114"/>
      <c r="M4724" s="114">
        <f>tblAquisições[[#This Row],[VALOR UNITARIO COMPRADO]]*tblAquisições[[#This Row],[QUANTIDADE COMPRADA]]</f>
        <v>0</v>
      </c>
      <c r="N4724" s="110">
        <f>K4724-tblAquisições[[#This Row],[QUANTIDADE PLANEJADA]]</f>
        <v>-5</v>
      </c>
      <c r="O4724" s="106" t="str">
        <f t="shared" si="147"/>
        <v>Faltando Comprar</v>
      </c>
    </row>
    <row r="4725" spans="1:15" ht="47.25">
      <c r="A4725" s="16" t="s">
        <v>17</v>
      </c>
      <c r="B4725" s="16" t="s">
        <v>18</v>
      </c>
      <c r="C4725" s="17" t="s">
        <v>19</v>
      </c>
      <c r="D4725" s="18" t="s">
        <v>2652</v>
      </c>
      <c r="E4725" s="18">
        <v>8</v>
      </c>
      <c r="F4725" s="18" t="s">
        <v>78</v>
      </c>
      <c r="G4725" s="18" t="s">
        <v>22</v>
      </c>
      <c r="H4725" s="18" t="s">
        <v>23</v>
      </c>
      <c r="I4725" s="19">
        <v>3.04</v>
      </c>
      <c r="J4725" s="20">
        <f t="shared" si="146"/>
        <v>24.32</v>
      </c>
      <c r="K4725" s="106"/>
      <c r="L4725" s="114"/>
      <c r="M4725" s="114">
        <f>tblAquisições[[#This Row],[VALOR UNITARIO COMPRADO]]*tblAquisições[[#This Row],[QUANTIDADE COMPRADA]]</f>
        <v>0</v>
      </c>
      <c r="N4725" s="110">
        <f>K4725-tblAquisições[[#This Row],[QUANTIDADE PLANEJADA]]</f>
        <v>-8</v>
      </c>
      <c r="O4725" s="106" t="str">
        <f t="shared" si="147"/>
        <v>Faltando Comprar</v>
      </c>
    </row>
    <row r="4726" spans="1:15" ht="47.25">
      <c r="A4726" s="16" t="s">
        <v>17</v>
      </c>
      <c r="B4726" s="16" t="s">
        <v>24</v>
      </c>
      <c r="C4726" s="17" t="s">
        <v>19</v>
      </c>
      <c r="D4726" s="18" t="s">
        <v>2652</v>
      </c>
      <c r="E4726" s="18">
        <v>8</v>
      </c>
      <c r="F4726" s="18" t="s">
        <v>78</v>
      </c>
      <c r="G4726" s="18" t="s">
        <v>22</v>
      </c>
      <c r="H4726" s="18" t="s">
        <v>23</v>
      </c>
      <c r="I4726" s="19">
        <v>3.04</v>
      </c>
      <c r="J4726" s="20">
        <f t="shared" si="146"/>
        <v>24.32</v>
      </c>
      <c r="K4726" s="106"/>
      <c r="L4726" s="114"/>
      <c r="M4726" s="114">
        <f>tblAquisições[[#This Row],[VALOR UNITARIO COMPRADO]]*tblAquisições[[#This Row],[QUANTIDADE COMPRADA]]</f>
        <v>0</v>
      </c>
      <c r="N4726" s="110">
        <f>K4726-tblAquisições[[#This Row],[QUANTIDADE PLANEJADA]]</f>
        <v>-8</v>
      </c>
      <c r="O4726" s="106" t="str">
        <f t="shared" si="147"/>
        <v>Faltando Comprar</v>
      </c>
    </row>
    <row r="4727" spans="1:15" ht="47.25">
      <c r="A4727" s="16" t="s">
        <v>17</v>
      </c>
      <c r="B4727" s="16" t="s">
        <v>25</v>
      </c>
      <c r="C4727" s="17" t="s">
        <v>19</v>
      </c>
      <c r="D4727" s="18" t="s">
        <v>2652</v>
      </c>
      <c r="E4727" s="18">
        <v>8</v>
      </c>
      <c r="F4727" s="18" t="s">
        <v>78</v>
      </c>
      <c r="G4727" s="18" t="s">
        <v>22</v>
      </c>
      <c r="H4727" s="18" t="s">
        <v>23</v>
      </c>
      <c r="I4727" s="19">
        <v>3.04</v>
      </c>
      <c r="J4727" s="20">
        <f t="shared" si="146"/>
        <v>24.32</v>
      </c>
      <c r="K4727" s="106"/>
      <c r="L4727" s="114"/>
      <c r="M4727" s="114">
        <f>tblAquisições[[#This Row],[VALOR UNITARIO COMPRADO]]*tblAquisições[[#This Row],[QUANTIDADE COMPRADA]]</f>
        <v>0</v>
      </c>
      <c r="N4727" s="110">
        <f>K4727-tblAquisições[[#This Row],[QUANTIDADE PLANEJADA]]</f>
        <v>-8</v>
      </c>
      <c r="O4727" s="106" t="str">
        <f t="shared" si="147"/>
        <v>Faltando Comprar</v>
      </c>
    </row>
    <row r="4728" spans="1:15" ht="47.25">
      <c r="A4728" s="16" t="s">
        <v>17</v>
      </c>
      <c r="B4728" s="16" t="s">
        <v>28</v>
      </c>
      <c r="C4728" s="17" t="s">
        <v>19</v>
      </c>
      <c r="D4728" s="18" t="s">
        <v>2652</v>
      </c>
      <c r="E4728" s="18">
        <v>20</v>
      </c>
      <c r="F4728" s="18" t="s">
        <v>78</v>
      </c>
      <c r="G4728" s="18" t="s">
        <v>22</v>
      </c>
      <c r="H4728" s="18" t="s">
        <v>53</v>
      </c>
      <c r="I4728" s="19">
        <v>3.04</v>
      </c>
      <c r="J4728" s="20">
        <f t="shared" si="146"/>
        <v>60.8</v>
      </c>
      <c r="K4728" s="106"/>
      <c r="L4728" s="114"/>
      <c r="M4728" s="114">
        <f>tblAquisições[[#This Row],[VALOR UNITARIO COMPRADO]]*tblAquisições[[#This Row],[QUANTIDADE COMPRADA]]</f>
        <v>0</v>
      </c>
      <c r="N4728" s="110">
        <f>K4728-tblAquisições[[#This Row],[QUANTIDADE PLANEJADA]]</f>
        <v>-20</v>
      </c>
      <c r="O4728" s="106" t="str">
        <f t="shared" si="147"/>
        <v>Faltando Comprar</v>
      </c>
    </row>
    <row r="4729" spans="1:15" ht="47.25">
      <c r="A4729" s="16" t="s">
        <v>17</v>
      </c>
      <c r="B4729" s="16" t="s">
        <v>31</v>
      </c>
      <c r="C4729" s="17" t="s">
        <v>19</v>
      </c>
      <c r="D4729" s="18" t="s">
        <v>2653</v>
      </c>
      <c r="E4729" s="18">
        <v>5</v>
      </c>
      <c r="F4729" s="18" t="s">
        <v>78</v>
      </c>
      <c r="G4729" s="18" t="s">
        <v>22</v>
      </c>
      <c r="H4729" s="18" t="s">
        <v>23</v>
      </c>
      <c r="I4729" s="19">
        <v>9.49</v>
      </c>
      <c r="J4729" s="20">
        <f t="shared" si="146"/>
        <v>47.45</v>
      </c>
      <c r="K4729" s="106"/>
      <c r="L4729" s="114"/>
      <c r="M4729" s="114">
        <f>tblAquisições[[#This Row],[VALOR UNITARIO COMPRADO]]*tblAquisições[[#This Row],[QUANTIDADE COMPRADA]]</f>
        <v>0</v>
      </c>
      <c r="N4729" s="110">
        <f>K4729-tblAquisições[[#This Row],[QUANTIDADE PLANEJADA]]</f>
        <v>-5</v>
      </c>
      <c r="O4729" s="106" t="str">
        <f t="shared" si="147"/>
        <v>Faltando Comprar</v>
      </c>
    </row>
    <row r="4730" spans="1:15" ht="47.25">
      <c r="A4730" s="16" t="s">
        <v>17</v>
      </c>
      <c r="B4730" s="16" t="s">
        <v>18</v>
      </c>
      <c r="C4730" s="17" t="s">
        <v>19</v>
      </c>
      <c r="D4730" s="18" t="s">
        <v>2653</v>
      </c>
      <c r="E4730" s="18">
        <v>8</v>
      </c>
      <c r="F4730" s="18" t="s">
        <v>78</v>
      </c>
      <c r="G4730" s="18" t="s">
        <v>22</v>
      </c>
      <c r="H4730" s="18" t="s">
        <v>23</v>
      </c>
      <c r="I4730" s="19">
        <v>9.49</v>
      </c>
      <c r="J4730" s="20">
        <f t="shared" si="146"/>
        <v>75.92</v>
      </c>
      <c r="K4730" s="106"/>
      <c r="L4730" s="114"/>
      <c r="M4730" s="114">
        <f>tblAquisições[[#This Row],[VALOR UNITARIO COMPRADO]]*tblAquisições[[#This Row],[QUANTIDADE COMPRADA]]</f>
        <v>0</v>
      </c>
      <c r="N4730" s="110">
        <f>K4730-tblAquisições[[#This Row],[QUANTIDADE PLANEJADA]]</f>
        <v>-8</v>
      </c>
      <c r="O4730" s="106" t="str">
        <f t="shared" si="147"/>
        <v>Faltando Comprar</v>
      </c>
    </row>
    <row r="4731" spans="1:15" ht="47.25">
      <c r="A4731" s="16" t="s">
        <v>17</v>
      </c>
      <c r="B4731" s="16" t="s">
        <v>24</v>
      </c>
      <c r="C4731" s="17" t="s">
        <v>19</v>
      </c>
      <c r="D4731" s="18" t="s">
        <v>2653</v>
      </c>
      <c r="E4731" s="18">
        <v>8</v>
      </c>
      <c r="F4731" s="18" t="s">
        <v>78</v>
      </c>
      <c r="G4731" s="18" t="s">
        <v>22</v>
      </c>
      <c r="H4731" s="18" t="s">
        <v>23</v>
      </c>
      <c r="I4731" s="19">
        <v>9.49</v>
      </c>
      <c r="J4731" s="20">
        <f t="shared" si="146"/>
        <v>75.92</v>
      </c>
      <c r="K4731" s="106"/>
      <c r="L4731" s="114"/>
      <c r="M4731" s="114">
        <f>tblAquisições[[#This Row],[VALOR UNITARIO COMPRADO]]*tblAquisições[[#This Row],[QUANTIDADE COMPRADA]]</f>
        <v>0</v>
      </c>
      <c r="N4731" s="110">
        <f>K4731-tblAquisições[[#This Row],[QUANTIDADE PLANEJADA]]</f>
        <v>-8</v>
      </c>
      <c r="O4731" s="106" t="str">
        <f t="shared" si="147"/>
        <v>Faltando Comprar</v>
      </c>
    </row>
    <row r="4732" spans="1:15" ht="47.25">
      <c r="A4732" s="16" t="s">
        <v>17</v>
      </c>
      <c r="B4732" s="16" t="s">
        <v>25</v>
      </c>
      <c r="C4732" s="17" t="s">
        <v>19</v>
      </c>
      <c r="D4732" s="18" t="s">
        <v>2653</v>
      </c>
      <c r="E4732" s="18">
        <v>8</v>
      </c>
      <c r="F4732" s="18" t="s">
        <v>78</v>
      </c>
      <c r="G4732" s="18" t="s">
        <v>22</v>
      </c>
      <c r="H4732" s="18" t="s">
        <v>23</v>
      </c>
      <c r="I4732" s="19">
        <v>9.49</v>
      </c>
      <c r="J4732" s="20">
        <f t="shared" si="146"/>
        <v>75.92</v>
      </c>
      <c r="K4732" s="106"/>
      <c r="L4732" s="114"/>
      <c r="M4732" s="114">
        <f>tblAquisições[[#This Row],[VALOR UNITARIO COMPRADO]]*tblAquisições[[#This Row],[QUANTIDADE COMPRADA]]</f>
        <v>0</v>
      </c>
      <c r="N4732" s="110">
        <f>K4732-tblAquisições[[#This Row],[QUANTIDADE PLANEJADA]]</f>
        <v>-8</v>
      </c>
      <c r="O4732" s="106" t="str">
        <f t="shared" si="147"/>
        <v>Faltando Comprar</v>
      </c>
    </row>
    <row r="4733" spans="1:15" ht="47.25">
      <c r="A4733" s="16" t="s">
        <v>17</v>
      </c>
      <c r="B4733" s="16" t="s">
        <v>28</v>
      </c>
      <c r="C4733" s="17" t="s">
        <v>19</v>
      </c>
      <c r="D4733" s="18" t="s">
        <v>2653</v>
      </c>
      <c r="E4733" s="18">
        <v>20</v>
      </c>
      <c r="F4733" s="18" t="s">
        <v>78</v>
      </c>
      <c r="G4733" s="18" t="s">
        <v>22</v>
      </c>
      <c r="H4733" s="18" t="s">
        <v>53</v>
      </c>
      <c r="I4733" s="19">
        <v>9.49</v>
      </c>
      <c r="J4733" s="20">
        <f t="shared" si="146"/>
        <v>189.8</v>
      </c>
      <c r="K4733" s="106"/>
      <c r="L4733" s="114"/>
      <c r="M4733" s="114">
        <f>tblAquisições[[#This Row],[VALOR UNITARIO COMPRADO]]*tblAquisições[[#This Row],[QUANTIDADE COMPRADA]]</f>
        <v>0</v>
      </c>
      <c r="N4733" s="110">
        <f>K4733-tblAquisições[[#This Row],[QUANTIDADE PLANEJADA]]</f>
        <v>-20</v>
      </c>
      <c r="O4733" s="106" t="str">
        <f t="shared" si="147"/>
        <v>Faltando Comprar</v>
      </c>
    </row>
    <row r="4734" spans="1:15" ht="31.5">
      <c r="A4734" s="16" t="s">
        <v>17</v>
      </c>
      <c r="B4734" s="16" t="s">
        <v>31</v>
      </c>
      <c r="C4734" s="17" t="s">
        <v>19</v>
      </c>
      <c r="D4734" s="18" t="s">
        <v>2654</v>
      </c>
      <c r="E4734" s="18">
        <v>10</v>
      </c>
      <c r="F4734" s="18" t="s">
        <v>21</v>
      </c>
      <c r="G4734" s="18" t="s">
        <v>22</v>
      </c>
      <c r="H4734" s="18" t="s">
        <v>23</v>
      </c>
      <c r="I4734" s="19">
        <v>150</v>
      </c>
      <c r="J4734" s="20">
        <f t="shared" si="146"/>
        <v>1500</v>
      </c>
      <c r="K4734" s="106"/>
      <c r="L4734" s="114"/>
      <c r="M4734" s="114">
        <f>tblAquisições[[#This Row],[VALOR UNITARIO COMPRADO]]*tblAquisições[[#This Row],[QUANTIDADE COMPRADA]]</f>
        <v>0</v>
      </c>
      <c r="N4734" s="110">
        <f>K4734-tblAquisições[[#This Row],[QUANTIDADE PLANEJADA]]</f>
        <v>-10</v>
      </c>
      <c r="O4734" s="106" t="str">
        <f t="shared" si="147"/>
        <v>Faltando Comprar</v>
      </c>
    </row>
    <row r="4735" spans="1:15" ht="31.5">
      <c r="A4735" s="16" t="s">
        <v>17</v>
      </c>
      <c r="B4735" s="16" t="s">
        <v>26</v>
      </c>
      <c r="C4735" s="17" t="s">
        <v>19</v>
      </c>
      <c r="D4735" s="18" t="s">
        <v>2654</v>
      </c>
      <c r="E4735" s="18">
        <v>3</v>
      </c>
      <c r="F4735" s="18" t="s">
        <v>21</v>
      </c>
      <c r="G4735" s="18" t="s">
        <v>22</v>
      </c>
      <c r="H4735" s="18" t="s">
        <v>23</v>
      </c>
      <c r="I4735" s="19">
        <v>150</v>
      </c>
      <c r="J4735" s="20">
        <f t="shared" si="146"/>
        <v>450</v>
      </c>
      <c r="K4735" s="106"/>
      <c r="L4735" s="114"/>
      <c r="M4735" s="114">
        <f>tblAquisições[[#This Row],[VALOR UNITARIO COMPRADO]]*tblAquisições[[#This Row],[QUANTIDADE COMPRADA]]</f>
        <v>0</v>
      </c>
      <c r="N4735" s="110">
        <f>K4735-tblAquisições[[#This Row],[QUANTIDADE PLANEJADA]]</f>
        <v>-3</v>
      </c>
      <c r="O4735" s="106" t="str">
        <f t="shared" si="147"/>
        <v>Faltando Comprar</v>
      </c>
    </row>
    <row r="4736" spans="1:15" ht="31.5">
      <c r="A4736" s="16" t="s">
        <v>17</v>
      </c>
      <c r="B4736" s="16" t="s">
        <v>41</v>
      </c>
      <c r="C4736" s="17" t="s">
        <v>19</v>
      </c>
      <c r="D4736" s="18" t="s">
        <v>2655</v>
      </c>
      <c r="E4736" s="18">
        <v>10</v>
      </c>
      <c r="F4736" s="18" t="s">
        <v>1455</v>
      </c>
      <c r="G4736" s="18" t="s">
        <v>127</v>
      </c>
      <c r="H4736" s="18" t="s">
        <v>23</v>
      </c>
      <c r="I4736" s="19">
        <v>265</v>
      </c>
      <c r="J4736" s="20">
        <f t="shared" si="146"/>
        <v>2650</v>
      </c>
      <c r="K4736" s="106"/>
      <c r="L4736" s="114"/>
      <c r="M4736" s="114">
        <f>tblAquisições[[#This Row],[VALOR UNITARIO COMPRADO]]*tblAquisições[[#This Row],[QUANTIDADE COMPRADA]]</f>
        <v>0</v>
      </c>
      <c r="N4736" s="110">
        <f>K4736-tblAquisições[[#This Row],[QUANTIDADE PLANEJADA]]</f>
        <v>-10</v>
      </c>
      <c r="O4736" s="106" t="str">
        <f t="shared" si="147"/>
        <v>Faltando Comprar</v>
      </c>
    </row>
    <row r="4737" spans="1:15" ht="31.5">
      <c r="A4737" s="16" t="s">
        <v>17</v>
      </c>
      <c r="B4737" s="16" t="s">
        <v>18</v>
      </c>
      <c r="C4737" s="17" t="s">
        <v>19</v>
      </c>
      <c r="D4737" s="18" t="s">
        <v>2656</v>
      </c>
      <c r="E4737" s="18">
        <v>8</v>
      </c>
      <c r="F4737" s="18" t="s">
        <v>30</v>
      </c>
      <c r="G4737" s="18" t="s">
        <v>22</v>
      </c>
      <c r="H4737" s="18" t="s">
        <v>23</v>
      </c>
      <c r="I4737" s="19">
        <v>375</v>
      </c>
      <c r="J4737" s="20">
        <f t="shared" si="146"/>
        <v>3000</v>
      </c>
      <c r="K4737" s="106"/>
      <c r="L4737" s="114"/>
      <c r="M4737" s="114">
        <f>tblAquisições[[#This Row],[VALOR UNITARIO COMPRADO]]*tblAquisições[[#This Row],[QUANTIDADE COMPRADA]]</f>
        <v>0</v>
      </c>
      <c r="N4737" s="110">
        <f>K4737-tblAquisições[[#This Row],[QUANTIDADE PLANEJADA]]</f>
        <v>-8</v>
      </c>
      <c r="O4737" s="106" t="str">
        <f t="shared" si="147"/>
        <v>Faltando Comprar</v>
      </c>
    </row>
    <row r="4738" spans="1:15" ht="31.5">
      <c r="A4738" s="16" t="s">
        <v>17</v>
      </c>
      <c r="B4738" s="16" t="s">
        <v>24</v>
      </c>
      <c r="C4738" s="17" t="s">
        <v>19</v>
      </c>
      <c r="D4738" s="18" t="s">
        <v>2656</v>
      </c>
      <c r="E4738" s="18">
        <v>8</v>
      </c>
      <c r="F4738" s="18" t="s">
        <v>30</v>
      </c>
      <c r="G4738" s="18" t="s">
        <v>22</v>
      </c>
      <c r="H4738" s="18" t="s">
        <v>23</v>
      </c>
      <c r="I4738" s="19">
        <v>375</v>
      </c>
      <c r="J4738" s="20">
        <f t="shared" ref="J4738:J4801" si="148">E4738*I4738</f>
        <v>3000</v>
      </c>
      <c r="K4738" s="106"/>
      <c r="L4738" s="114"/>
      <c r="M4738" s="114">
        <f>tblAquisições[[#This Row],[VALOR UNITARIO COMPRADO]]*tblAquisições[[#This Row],[QUANTIDADE COMPRADA]]</f>
        <v>0</v>
      </c>
      <c r="N4738" s="110">
        <f>K4738-tblAquisições[[#This Row],[QUANTIDADE PLANEJADA]]</f>
        <v>-8</v>
      </c>
      <c r="O4738" s="106" t="str">
        <f t="shared" ref="O4738:O4801" si="149">IF(K4738=E4738,"OK",IF(K4738&lt;E4738,"Faltando Comprar","Excedente"))</f>
        <v>Faltando Comprar</v>
      </c>
    </row>
    <row r="4739" spans="1:15" ht="31.5">
      <c r="A4739" s="16" t="s">
        <v>17</v>
      </c>
      <c r="B4739" s="16" t="s">
        <v>25</v>
      </c>
      <c r="C4739" s="17" t="s">
        <v>19</v>
      </c>
      <c r="D4739" s="18" t="s">
        <v>2656</v>
      </c>
      <c r="E4739" s="18">
        <v>8</v>
      </c>
      <c r="F4739" s="18" t="s">
        <v>30</v>
      </c>
      <c r="G4739" s="18" t="s">
        <v>22</v>
      </c>
      <c r="H4739" s="18" t="s">
        <v>23</v>
      </c>
      <c r="I4739" s="19">
        <v>375</v>
      </c>
      <c r="J4739" s="20">
        <f t="shared" si="148"/>
        <v>3000</v>
      </c>
      <c r="K4739" s="106"/>
      <c r="L4739" s="114"/>
      <c r="M4739" s="114">
        <f>tblAquisições[[#This Row],[VALOR UNITARIO COMPRADO]]*tblAquisições[[#This Row],[QUANTIDADE COMPRADA]]</f>
        <v>0</v>
      </c>
      <c r="N4739" s="110">
        <f>K4739-tblAquisições[[#This Row],[QUANTIDADE PLANEJADA]]</f>
        <v>-8</v>
      </c>
      <c r="O4739" s="106" t="str">
        <f t="shared" si="149"/>
        <v>Faltando Comprar</v>
      </c>
    </row>
    <row r="4740" spans="1:15" ht="31.5">
      <c r="A4740" s="16" t="s">
        <v>17</v>
      </c>
      <c r="B4740" s="16" t="s">
        <v>31</v>
      </c>
      <c r="C4740" s="17" t="s">
        <v>19</v>
      </c>
      <c r="D4740" s="18" t="s">
        <v>2657</v>
      </c>
      <c r="E4740" s="18">
        <v>10</v>
      </c>
      <c r="F4740" s="18" t="s">
        <v>328</v>
      </c>
      <c r="G4740" s="18" t="s">
        <v>22</v>
      </c>
      <c r="H4740" s="18" t="s">
        <v>23</v>
      </c>
      <c r="I4740" s="19">
        <v>13.21</v>
      </c>
      <c r="J4740" s="20">
        <f t="shared" si="148"/>
        <v>132.10000000000002</v>
      </c>
      <c r="K4740" s="106"/>
      <c r="L4740" s="114"/>
      <c r="M4740" s="114">
        <f>tblAquisições[[#This Row],[VALOR UNITARIO COMPRADO]]*tblAquisições[[#This Row],[QUANTIDADE COMPRADA]]</f>
        <v>0</v>
      </c>
      <c r="N4740" s="110">
        <f>K4740-tblAquisições[[#This Row],[QUANTIDADE PLANEJADA]]</f>
        <v>-10</v>
      </c>
      <c r="O4740" s="106" t="str">
        <f t="shared" si="149"/>
        <v>Faltando Comprar</v>
      </c>
    </row>
    <row r="4741" spans="1:15" ht="31.5">
      <c r="A4741" s="16" t="s">
        <v>17</v>
      </c>
      <c r="B4741" s="16" t="s">
        <v>80</v>
      </c>
      <c r="C4741" s="17" t="s">
        <v>19</v>
      </c>
      <c r="D4741" s="18" t="s">
        <v>2658</v>
      </c>
      <c r="E4741" s="18">
        <v>2</v>
      </c>
      <c r="F4741" s="18" t="s">
        <v>468</v>
      </c>
      <c r="G4741" s="18" t="s">
        <v>39</v>
      </c>
      <c r="H4741" s="21"/>
      <c r="I4741" s="19">
        <v>80.53</v>
      </c>
      <c r="J4741" s="20">
        <f t="shared" si="148"/>
        <v>161.06</v>
      </c>
      <c r="K4741" s="106"/>
      <c r="L4741" s="114"/>
      <c r="M4741" s="114">
        <f>tblAquisições[[#This Row],[VALOR UNITARIO COMPRADO]]*tblAquisições[[#This Row],[QUANTIDADE COMPRADA]]</f>
        <v>0</v>
      </c>
      <c r="N4741" s="110">
        <f>K4741-tblAquisições[[#This Row],[QUANTIDADE PLANEJADA]]</f>
        <v>-2</v>
      </c>
      <c r="O4741" s="106" t="str">
        <f t="shared" si="149"/>
        <v>Faltando Comprar</v>
      </c>
    </row>
    <row r="4742" spans="1:15" ht="47.25">
      <c r="A4742" s="16" t="s">
        <v>17</v>
      </c>
      <c r="B4742" s="16" t="s">
        <v>18</v>
      </c>
      <c r="C4742" s="17" t="s">
        <v>19</v>
      </c>
      <c r="D4742" s="18" t="s">
        <v>2659</v>
      </c>
      <c r="E4742" s="18">
        <v>10</v>
      </c>
      <c r="F4742" s="18" t="s">
        <v>78</v>
      </c>
      <c r="G4742" s="18" t="s">
        <v>22</v>
      </c>
      <c r="H4742" s="18" t="s">
        <v>23</v>
      </c>
      <c r="I4742" s="19">
        <v>80</v>
      </c>
      <c r="J4742" s="20">
        <f t="shared" si="148"/>
        <v>800</v>
      </c>
      <c r="K4742" s="106"/>
      <c r="L4742" s="114"/>
      <c r="M4742" s="114">
        <f>tblAquisições[[#This Row],[VALOR UNITARIO COMPRADO]]*tblAquisições[[#This Row],[QUANTIDADE COMPRADA]]</f>
        <v>0</v>
      </c>
      <c r="N4742" s="110">
        <f>K4742-tblAquisições[[#This Row],[QUANTIDADE PLANEJADA]]</f>
        <v>-10</v>
      </c>
      <c r="O4742" s="106" t="str">
        <f t="shared" si="149"/>
        <v>Faltando Comprar</v>
      </c>
    </row>
    <row r="4743" spans="1:15" ht="47.25">
      <c r="A4743" s="16" t="s">
        <v>17</v>
      </c>
      <c r="B4743" s="16" t="s">
        <v>24</v>
      </c>
      <c r="C4743" s="17" t="s">
        <v>19</v>
      </c>
      <c r="D4743" s="18" t="s">
        <v>2659</v>
      </c>
      <c r="E4743" s="18">
        <v>10</v>
      </c>
      <c r="F4743" s="18" t="s">
        <v>78</v>
      </c>
      <c r="G4743" s="18" t="s">
        <v>22</v>
      </c>
      <c r="H4743" s="18" t="s">
        <v>23</v>
      </c>
      <c r="I4743" s="19">
        <v>80</v>
      </c>
      <c r="J4743" s="20">
        <f t="shared" si="148"/>
        <v>800</v>
      </c>
      <c r="K4743" s="106"/>
      <c r="L4743" s="114"/>
      <c r="M4743" s="114">
        <f>tblAquisições[[#This Row],[VALOR UNITARIO COMPRADO]]*tblAquisições[[#This Row],[QUANTIDADE COMPRADA]]</f>
        <v>0</v>
      </c>
      <c r="N4743" s="110">
        <f>K4743-tblAquisições[[#This Row],[QUANTIDADE PLANEJADA]]</f>
        <v>-10</v>
      </c>
      <c r="O4743" s="106" t="str">
        <f t="shared" si="149"/>
        <v>Faltando Comprar</v>
      </c>
    </row>
    <row r="4744" spans="1:15" ht="47.25">
      <c r="A4744" s="16" t="s">
        <v>17</v>
      </c>
      <c r="B4744" s="16" t="s">
        <v>25</v>
      </c>
      <c r="C4744" s="17" t="s">
        <v>19</v>
      </c>
      <c r="D4744" s="18" t="s">
        <v>2659</v>
      </c>
      <c r="E4744" s="18">
        <v>10</v>
      </c>
      <c r="F4744" s="18" t="s">
        <v>78</v>
      </c>
      <c r="G4744" s="18" t="s">
        <v>22</v>
      </c>
      <c r="H4744" s="18" t="s">
        <v>23</v>
      </c>
      <c r="I4744" s="19">
        <v>80</v>
      </c>
      <c r="J4744" s="20">
        <f t="shared" si="148"/>
        <v>800</v>
      </c>
      <c r="K4744" s="106"/>
      <c r="L4744" s="114"/>
      <c r="M4744" s="114">
        <f>tblAquisições[[#This Row],[VALOR UNITARIO COMPRADO]]*tblAquisições[[#This Row],[QUANTIDADE COMPRADA]]</f>
        <v>0</v>
      </c>
      <c r="N4744" s="110">
        <f>K4744-tblAquisições[[#This Row],[QUANTIDADE PLANEJADA]]</f>
        <v>-10</v>
      </c>
      <c r="O4744" s="106" t="str">
        <f t="shared" si="149"/>
        <v>Faltando Comprar</v>
      </c>
    </row>
    <row r="4745" spans="1:15" ht="47.25">
      <c r="A4745" s="16" t="s">
        <v>17</v>
      </c>
      <c r="B4745" s="16" t="s">
        <v>31</v>
      </c>
      <c r="C4745" s="17" t="s">
        <v>19</v>
      </c>
      <c r="D4745" s="18" t="s">
        <v>2660</v>
      </c>
      <c r="E4745" s="18">
        <v>10</v>
      </c>
      <c r="F4745" s="18" t="s">
        <v>78</v>
      </c>
      <c r="G4745" s="18" t="s">
        <v>22</v>
      </c>
      <c r="H4745" s="18" t="s">
        <v>23</v>
      </c>
      <c r="I4745" s="19">
        <v>243.65</v>
      </c>
      <c r="J4745" s="20">
        <f t="shared" si="148"/>
        <v>2436.5</v>
      </c>
      <c r="K4745" s="106"/>
      <c r="L4745" s="114"/>
      <c r="M4745" s="114">
        <f>tblAquisições[[#This Row],[VALOR UNITARIO COMPRADO]]*tblAquisições[[#This Row],[QUANTIDADE COMPRADA]]</f>
        <v>0</v>
      </c>
      <c r="N4745" s="110">
        <f>K4745-tblAquisições[[#This Row],[QUANTIDADE PLANEJADA]]</f>
        <v>-10</v>
      </c>
      <c r="O4745" s="106" t="str">
        <f t="shared" si="149"/>
        <v>Faltando Comprar</v>
      </c>
    </row>
    <row r="4746" spans="1:15" ht="47.25">
      <c r="A4746" s="16" t="s">
        <v>17</v>
      </c>
      <c r="B4746" s="16" t="s">
        <v>18</v>
      </c>
      <c r="C4746" s="17" t="s">
        <v>19</v>
      </c>
      <c r="D4746" s="18" t="s">
        <v>2660</v>
      </c>
      <c r="E4746" s="18">
        <v>4</v>
      </c>
      <c r="F4746" s="18" t="s">
        <v>78</v>
      </c>
      <c r="G4746" s="18" t="s">
        <v>22</v>
      </c>
      <c r="H4746" s="18" t="s">
        <v>23</v>
      </c>
      <c r="I4746" s="19">
        <v>243.65</v>
      </c>
      <c r="J4746" s="20">
        <f t="shared" si="148"/>
        <v>974.6</v>
      </c>
      <c r="K4746" s="106"/>
      <c r="L4746" s="114"/>
      <c r="M4746" s="114">
        <f>tblAquisições[[#This Row],[VALOR UNITARIO COMPRADO]]*tblAquisições[[#This Row],[QUANTIDADE COMPRADA]]</f>
        <v>0</v>
      </c>
      <c r="N4746" s="110">
        <f>K4746-tblAquisições[[#This Row],[QUANTIDADE PLANEJADA]]</f>
        <v>-4</v>
      </c>
      <c r="O4746" s="106" t="str">
        <f t="shared" si="149"/>
        <v>Faltando Comprar</v>
      </c>
    </row>
    <row r="4747" spans="1:15" ht="47.25">
      <c r="A4747" s="16" t="s">
        <v>17</v>
      </c>
      <c r="B4747" s="16" t="s">
        <v>24</v>
      </c>
      <c r="C4747" s="17" t="s">
        <v>19</v>
      </c>
      <c r="D4747" s="18" t="s">
        <v>2660</v>
      </c>
      <c r="E4747" s="18">
        <v>4</v>
      </c>
      <c r="F4747" s="18" t="s">
        <v>78</v>
      </c>
      <c r="G4747" s="18" t="s">
        <v>22</v>
      </c>
      <c r="H4747" s="18" t="s">
        <v>23</v>
      </c>
      <c r="I4747" s="19">
        <v>243.65</v>
      </c>
      <c r="J4747" s="20">
        <f t="shared" si="148"/>
        <v>974.6</v>
      </c>
      <c r="K4747" s="106"/>
      <c r="L4747" s="114"/>
      <c r="M4747" s="114">
        <f>tblAquisições[[#This Row],[VALOR UNITARIO COMPRADO]]*tblAquisições[[#This Row],[QUANTIDADE COMPRADA]]</f>
        <v>0</v>
      </c>
      <c r="N4747" s="110">
        <f>K4747-tblAquisições[[#This Row],[QUANTIDADE PLANEJADA]]</f>
        <v>-4</v>
      </c>
      <c r="O4747" s="106" t="str">
        <f t="shared" si="149"/>
        <v>Faltando Comprar</v>
      </c>
    </row>
    <row r="4748" spans="1:15" ht="47.25">
      <c r="A4748" s="16" t="s">
        <v>17</v>
      </c>
      <c r="B4748" s="16" t="s">
        <v>25</v>
      </c>
      <c r="C4748" s="17" t="s">
        <v>19</v>
      </c>
      <c r="D4748" s="18" t="s">
        <v>2660</v>
      </c>
      <c r="E4748" s="18">
        <v>4</v>
      </c>
      <c r="F4748" s="18" t="s">
        <v>78</v>
      </c>
      <c r="G4748" s="18" t="s">
        <v>22</v>
      </c>
      <c r="H4748" s="18" t="s">
        <v>23</v>
      </c>
      <c r="I4748" s="19">
        <v>243.65</v>
      </c>
      <c r="J4748" s="20">
        <f t="shared" si="148"/>
        <v>974.6</v>
      </c>
      <c r="K4748" s="106"/>
      <c r="L4748" s="114"/>
      <c r="M4748" s="114">
        <f>tblAquisições[[#This Row],[VALOR UNITARIO COMPRADO]]*tblAquisições[[#This Row],[QUANTIDADE COMPRADA]]</f>
        <v>0</v>
      </c>
      <c r="N4748" s="110">
        <f>K4748-tblAquisições[[#This Row],[QUANTIDADE PLANEJADA]]</f>
        <v>-4</v>
      </c>
      <c r="O4748" s="106" t="str">
        <f t="shared" si="149"/>
        <v>Faltando Comprar</v>
      </c>
    </row>
    <row r="4749" spans="1:15" ht="47.25">
      <c r="A4749" s="16" t="s">
        <v>17</v>
      </c>
      <c r="B4749" s="16" t="s">
        <v>26</v>
      </c>
      <c r="C4749" s="17" t="s">
        <v>19</v>
      </c>
      <c r="D4749" s="18" t="s">
        <v>2661</v>
      </c>
      <c r="E4749" s="18">
        <v>36</v>
      </c>
      <c r="F4749" s="18" t="s">
        <v>239</v>
      </c>
      <c r="G4749" s="18" t="s">
        <v>22</v>
      </c>
      <c r="H4749" s="18" t="s">
        <v>23</v>
      </c>
      <c r="I4749" s="19">
        <v>3.3</v>
      </c>
      <c r="J4749" s="20">
        <f t="shared" si="148"/>
        <v>118.8</v>
      </c>
      <c r="K4749" s="106"/>
      <c r="L4749" s="114"/>
      <c r="M4749" s="114">
        <f>tblAquisições[[#This Row],[VALOR UNITARIO COMPRADO]]*tblAquisições[[#This Row],[QUANTIDADE COMPRADA]]</f>
        <v>0</v>
      </c>
      <c r="N4749" s="110">
        <f>K4749-tblAquisições[[#This Row],[QUANTIDADE PLANEJADA]]</f>
        <v>-36</v>
      </c>
      <c r="O4749" s="106" t="str">
        <f t="shared" si="149"/>
        <v>Faltando Comprar</v>
      </c>
    </row>
    <row r="4750" spans="1:15" ht="47.25">
      <c r="A4750" s="16" t="s">
        <v>17</v>
      </c>
      <c r="B4750" s="16" t="s">
        <v>27</v>
      </c>
      <c r="C4750" s="17" t="s">
        <v>19</v>
      </c>
      <c r="D4750" s="18" t="s">
        <v>2661</v>
      </c>
      <c r="E4750" s="18">
        <v>50</v>
      </c>
      <c r="F4750" s="18" t="s">
        <v>239</v>
      </c>
      <c r="G4750" s="18" t="s">
        <v>22</v>
      </c>
      <c r="H4750" s="18" t="s">
        <v>23</v>
      </c>
      <c r="I4750" s="19">
        <v>3.3</v>
      </c>
      <c r="J4750" s="20">
        <f t="shared" si="148"/>
        <v>165</v>
      </c>
      <c r="K4750" s="106"/>
      <c r="L4750" s="114"/>
      <c r="M4750" s="114">
        <f>tblAquisições[[#This Row],[VALOR UNITARIO COMPRADO]]*tblAquisições[[#This Row],[QUANTIDADE COMPRADA]]</f>
        <v>0</v>
      </c>
      <c r="N4750" s="110">
        <f>K4750-tblAquisições[[#This Row],[QUANTIDADE PLANEJADA]]</f>
        <v>-50</v>
      </c>
      <c r="O4750" s="106" t="str">
        <f t="shared" si="149"/>
        <v>Faltando Comprar</v>
      </c>
    </row>
    <row r="4751" spans="1:15" ht="47.25">
      <c r="A4751" s="16" t="s">
        <v>17</v>
      </c>
      <c r="B4751" s="16" t="s">
        <v>28</v>
      </c>
      <c r="C4751" s="17" t="s">
        <v>19</v>
      </c>
      <c r="D4751" s="18" t="s">
        <v>2661</v>
      </c>
      <c r="E4751" s="18">
        <v>6</v>
      </c>
      <c r="F4751" s="18" t="s">
        <v>239</v>
      </c>
      <c r="G4751" s="18" t="s">
        <v>22</v>
      </c>
      <c r="H4751" s="18" t="s">
        <v>65</v>
      </c>
      <c r="I4751" s="24">
        <v>67.209999999999994</v>
      </c>
      <c r="J4751" s="20">
        <f t="shared" si="148"/>
        <v>403.26</v>
      </c>
      <c r="K4751" s="106"/>
      <c r="L4751" s="114"/>
      <c r="M4751" s="114">
        <f>tblAquisições[[#This Row],[VALOR UNITARIO COMPRADO]]*tblAquisições[[#This Row],[QUANTIDADE COMPRADA]]</f>
        <v>0</v>
      </c>
      <c r="N4751" s="110">
        <f>K4751-tblAquisições[[#This Row],[QUANTIDADE PLANEJADA]]</f>
        <v>-6</v>
      </c>
      <c r="O4751" s="106" t="str">
        <f t="shared" si="149"/>
        <v>Faltando Comprar</v>
      </c>
    </row>
    <row r="4752" spans="1:15" ht="47.25">
      <c r="A4752" s="16" t="s">
        <v>17</v>
      </c>
      <c r="B4752" s="16" t="s">
        <v>26</v>
      </c>
      <c r="C4752" s="17" t="s">
        <v>19</v>
      </c>
      <c r="D4752" s="18" t="s">
        <v>2662</v>
      </c>
      <c r="E4752" s="18">
        <v>15</v>
      </c>
      <c r="F4752" s="18" t="s">
        <v>239</v>
      </c>
      <c r="G4752" s="18" t="s">
        <v>22</v>
      </c>
      <c r="H4752" s="18" t="s">
        <v>23</v>
      </c>
      <c r="I4752" s="19">
        <v>11.08</v>
      </c>
      <c r="J4752" s="20">
        <f t="shared" si="148"/>
        <v>166.2</v>
      </c>
      <c r="K4752" s="106"/>
      <c r="L4752" s="114"/>
      <c r="M4752" s="114">
        <f>tblAquisições[[#This Row],[VALOR UNITARIO COMPRADO]]*tblAquisições[[#This Row],[QUANTIDADE COMPRADA]]</f>
        <v>0</v>
      </c>
      <c r="N4752" s="110">
        <f>K4752-tblAquisições[[#This Row],[QUANTIDADE PLANEJADA]]</f>
        <v>-15</v>
      </c>
      <c r="O4752" s="106" t="str">
        <f t="shared" si="149"/>
        <v>Faltando Comprar</v>
      </c>
    </row>
    <row r="4753" spans="1:15" ht="47.25">
      <c r="A4753" s="16" t="s">
        <v>17</v>
      </c>
      <c r="B4753" s="16" t="s">
        <v>34</v>
      </c>
      <c r="C4753" s="17" t="s">
        <v>19</v>
      </c>
      <c r="D4753" s="18" t="s">
        <v>2663</v>
      </c>
      <c r="E4753" s="18">
        <v>500</v>
      </c>
      <c r="F4753" s="18" t="s">
        <v>78</v>
      </c>
      <c r="G4753" s="18" t="s">
        <v>22</v>
      </c>
      <c r="H4753" s="18" t="s">
        <v>83</v>
      </c>
      <c r="I4753" s="19">
        <v>5.57</v>
      </c>
      <c r="J4753" s="20">
        <f t="shared" si="148"/>
        <v>2785</v>
      </c>
      <c r="K4753" s="106"/>
      <c r="L4753" s="114"/>
      <c r="M4753" s="114">
        <f>tblAquisições[[#This Row],[VALOR UNITARIO COMPRADO]]*tblAquisições[[#This Row],[QUANTIDADE COMPRADA]]</f>
        <v>0</v>
      </c>
      <c r="N4753" s="110">
        <f>K4753-tblAquisições[[#This Row],[QUANTIDADE PLANEJADA]]</f>
        <v>-500</v>
      </c>
      <c r="O4753" s="106" t="str">
        <f t="shared" si="149"/>
        <v>Faltando Comprar</v>
      </c>
    </row>
    <row r="4754" spans="1:15" ht="47.25">
      <c r="A4754" s="16" t="s">
        <v>17</v>
      </c>
      <c r="B4754" s="16" t="s">
        <v>28</v>
      </c>
      <c r="C4754" s="17" t="s">
        <v>19</v>
      </c>
      <c r="D4754" s="18" t="s">
        <v>2663</v>
      </c>
      <c r="E4754" s="18">
        <v>30</v>
      </c>
      <c r="F4754" s="18" t="s">
        <v>78</v>
      </c>
      <c r="G4754" s="18" t="s">
        <v>22</v>
      </c>
      <c r="H4754" s="18" t="s">
        <v>100</v>
      </c>
      <c r="I4754" s="19">
        <v>5.57</v>
      </c>
      <c r="J4754" s="20">
        <f t="shared" si="148"/>
        <v>167.10000000000002</v>
      </c>
      <c r="K4754" s="106"/>
      <c r="L4754" s="114"/>
      <c r="M4754" s="114">
        <f>tblAquisições[[#This Row],[VALOR UNITARIO COMPRADO]]*tblAquisições[[#This Row],[QUANTIDADE COMPRADA]]</f>
        <v>0</v>
      </c>
      <c r="N4754" s="110">
        <f>K4754-tblAquisições[[#This Row],[QUANTIDADE PLANEJADA]]</f>
        <v>-30</v>
      </c>
      <c r="O4754" s="106" t="str">
        <f t="shared" si="149"/>
        <v>Faltando Comprar</v>
      </c>
    </row>
    <row r="4755" spans="1:15" ht="31.5">
      <c r="A4755" s="16" t="s">
        <v>17</v>
      </c>
      <c r="B4755" s="16" t="s">
        <v>28</v>
      </c>
      <c r="C4755" s="17" t="s">
        <v>19</v>
      </c>
      <c r="D4755" s="18" t="s">
        <v>2664</v>
      </c>
      <c r="E4755" s="18">
        <v>25</v>
      </c>
      <c r="F4755" s="18" t="s">
        <v>324</v>
      </c>
      <c r="G4755" s="18" t="s">
        <v>22</v>
      </c>
      <c r="H4755" s="18" t="s">
        <v>23</v>
      </c>
      <c r="I4755" s="19">
        <v>9.1300000000000008</v>
      </c>
      <c r="J4755" s="20">
        <f t="shared" si="148"/>
        <v>228.25000000000003</v>
      </c>
      <c r="K4755" s="106"/>
      <c r="L4755" s="114"/>
      <c r="M4755" s="114">
        <f>tblAquisições[[#This Row],[VALOR UNITARIO COMPRADO]]*tblAquisições[[#This Row],[QUANTIDADE COMPRADA]]</f>
        <v>0</v>
      </c>
      <c r="N4755" s="110">
        <f>K4755-tblAquisições[[#This Row],[QUANTIDADE PLANEJADA]]</f>
        <v>-25</v>
      </c>
      <c r="O4755" s="106" t="str">
        <f t="shared" si="149"/>
        <v>Faltando Comprar</v>
      </c>
    </row>
    <row r="4756" spans="1:15" ht="31.5">
      <c r="A4756" s="16" t="s">
        <v>17</v>
      </c>
      <c r="B4756" s="16" t="s">
        <v>18</v>
      </c>
      <c r="C4756" s="17" t="s">
        <v>19</v>
      </c>
      <c r="D4756" s="18" t="s">
        <v>2665</v>
      </c>
      <c r="E4756" s="18">
        <v>15</v>
      </c>
      <c r="F4756" s="18" t="s">
        <v>21</v>
      </c>
      <c r="G4756" s="18" t="s">
        <v>22</v>
      </c>
      <c r="H4756" s="18" t="s">
        <v>23</v>
      </c>
      <c r="I4756" s="19">
        <v>46.47</v>
      </c>
      <c r="J4756" s="20">
        <f t="shared" si="148"/>
        <v>697.05</v>
      </c>
      <c r="K4756" s="106"/>
      <c r="L4756" s="114"/>
      <c r="M4756" s="114">
        <f>tblAquisições[[#This Row],[VALOR UNITARIO COMPRADO]]*tblAquisições[[#This Row],[QUANTIDADE COMPRADA]]</f>
        <v>0</v>
      </c>
      <c r="N4756" s="110">
        <f>K4756-tblAquisições[[#This Row],[QUANTIDADE PLANEJADA]]</f>
        <v>-15</v>
      </c>
      <c r="O4756" s="106" t="str">
        <f t="shared" si="149"/>
        <v>Faltando Comprar</v>
      </c>
    </row>
    <row r="4757" spans="1:15" ht="31.5">
      <c r="A4757" s="16" t="s">
        <v>17</v>
      </c>
      <c r="B4757" s="16" t="s">
        <v>24</v>
      </c>
      <c r="C4757" s="17" t="s">
        <v>19</v>
      </c>
      <c r="D4757" s="18" t="s">
        <v>2665</v>
      </c>
      <c r="E4757" s="18">
        <v>15</v>
      </c>
      <c r="F4757" s="18" t="s">
        <v>21</v>
      </c>
      <c r="G4757" s="18" t="s">
        <v>22</v>
      </c>
      <c r="H4757" s="18" t="s">
        <v>23</v>
      </c>
      <c r="I4757" s="19">
        <v>46.47</v>
      </c>
      <c r="J4757" s="20">
        <f t="shared" si="148"/>
        <v>697.05</v>
      </c>
      <c r="K4757" s="106"/>
      <c r="L4757" s="114"/>
      <c r="M4757" s="114">
        <f>tblAquisições[[#This Row],[VALOR UNITARIO COMPRADO]]*tblAquisições[[#This Row],[QUANTIDADE COMPRADA]]</f>
        <v>0</v>
      </c>
      <c r="N4757" s="110">
        <f>K4757-tblAquisições[[#This Row],[QUANTIDADE PLANEJADA]]</f>
        <v>-15</v>
      </c>
      <c r="O4757" s="106" t="str">
        <f t="shared" si="149"/>
        <v>Faltando Comprar</v>
      </c>
    </row>
    <row r="4758" spans="1:15" ht="31.5">
      <c r="A4758" s="16" t="s">
        <v>17</v>
      </c>
      <c r="B4758" s="16" t="s">
        <v>25</v>
      </c>
      <c r="C4758" s="17" t="s">
        <v>19</v>
      </c>
      <c r="D4758" s="18" t="s">
        <v>2665</v>
      </c>
      <c r="E4758" s="18">
        <v>15</v>
      </c>
      <c r="F4758" s="18" t="s">
        <v>21</v>
      </c>
      <c r="G4758" s="18" t="s">
        <v>22</v>
      </c>
      <c r="H4758" s="18" t="s">
        <v>23</v>
      </c>
      <c r="I4758" s="19">
        <v>46.47</v>
      </c>
      <c r="J4758" s="20">
        <f t="shared" si="148"/>
        <v>697.05</v>
      </c>
      <c r="K4758" s="106"/>
      <c r="L4758" s="114"/>
      <c r="M4758" s="114">
        <f>tblAquisições[[#This Row],[VALOR UNITARIO COMPRADO]]*tblAquisições[[#This Row],[QUANTIDADE COMPRADA]]</f>
        <v>0</v>
      </c>
      <c r="N4758" s="110">
        <f>K4758-tblAquisições[[#This Row],[QUANTIDADE PLANEJADA]]</f>
        <v>-15</v>
      </c>
      <c r="O4758" s="106" t="str">
        <f t="shared" si="149"/>
        <v>Faltando Comprar</v>
      </c>
    </row>
    <row r="4759" spans="1:15" ht="47.25">
      <c r="A4759" s="16" t="s">
        <v>17</v>
      </c>
      <c r="B4759" s="16" t="s">
        <v>18</v>
      </c>
      <c r="C4759" s="17" t="s">
        <v>19</v>
      </c>
      <c r="D4759" s="18" t="s">
        <v>2666</v>
      </c>
      <c r="E4759" s="18">
        <v>1</v>
      </c>
      <c r="F4759" s="18" t="s">
        <v>78</v>
      </c>
      <c r="G4759" s="18" t="s">
        <v>22</v>
      </c>
      <c r="H4759" s="18" t="s">
        <v>23</v>
      </c>
      <c r="I4759" s="19">
        <v>1.42</v>
      </c>
      <c r="J4759" s="20">
        <f t="shared" si="148"/>
        <v>1.42</v>
      </c>
      <c r="K4759" s="106"/>
      <c r="L4759" s="114"/>
      <c r="M4759" s="114">
        <f>tblAquisições[[#This Row],[VALOR UNITARIO COMPRADO]]*tblAquisições[[#This Row],[QUANTIDADE COMPRADA]]</f>
        <v>0</v>
      </c>
      <c r="N4759" s="110">
        <f>K4759-tblAquisições[[#This Row],[QUANTIDADE PLANEJADA]]</f>
        <v>-1</v>
      </c>
      <c r="O4759" s="106" t="str">
        <f t="shared" si="149"/>
        <v>Faltando Comprar</v>
      </c>
    </row>
    <row r="4760" spans="1:15" ht="47.25">
      <c r="A4760" s="16" t="s">
        <v>17</v>
      </c>
      <c r="B4760" s="16" t="s">
        <v>24</v>
      </c>
      <c r="C4760" s="17" t="s">
        <v>19</v>
      </c>
      <c r="D4760" s="18" t="s">
        <v>2666</v>
      </c>
      <c r="E4760" s="18">
        <v>1</v>
      </c>
      <c r="F4760" s="18" t="s">
        <v>78</v>
      </c>
      <c r="G4760" s="18" t="s">
        <v>22</v>
      </c>
      <c r="H4760" s="18" t="s">
        <v>23</v>
      </c>
      <c r="I4760" s="19">
        <v>1.42</v>
      </c>
      <c r="J4760" s="20">
        <f t="shared" si="148"/>
        <v>1.42</v>
      </c>
      <c r="K4760" s="106"/>
      <c r="L4760" s="114"/>
      <c r="M4760" s="114">
        <f>tblAquisições[[#This Row],[VALOR UNITARIO COMPRADO]]*tblAquisições[[#This Row],[QUANTIDADE COMPRADA]]</f>
        <v>0</v>
      </c>
      <c r="N4760" s="110">
        <f>K4760-tblAquisições[[#This Row],[QUANTIDADE PLANEJADA]]</f>
        <v>-1</v>
      </c>
      <c r="O4760" s="106" t="str">
        <f t="shared" si="149"/>
        <v>Faltando Comprar</v>
      </c>
    </row>
    <row r="4761" spans="1:15" ht="47.25">
      <c r="A4761" s="16" t="s">
        <v>17</v>
      </c>
      <c r="B4761" s="16" t="s">
        <v>25</v>
      </c>
      <c r="C4761" s="17" t="s">
        <v>19</v>
      </c>
      <c r="D4761" s="18" t="s">
        <v>2666</v>
      </c>
      <c r="E4761" s="18">
        <v>1</v>
      </c>
      <c r="F4761" s="18" t="s">
        <v>78</v>
      </c>
      <c r="G4761" s="18" t="s">
        <v>22</v>
      </c>
      <c r="H4761" s="18" t="s">
        <v>23</v>
      </c>
      <c r="I4761" s="19">
        <v>1.42</v>
      </c>
      <c r="J4761" s="20">
        <f t="shared" si="148"/>
        <v>1.42</v>
      </c>
      <c r="K4761" s="106"/>
      <c r="L4761" s="114"/>
      <c r="M4761" s="114">
        <f>tblAquisições[[#This Row],[VALOR UNITARIO COMPRADO]]*tblAquisições[[#This Row],[QUANTIDADE COMPRADA]]</f>
        <v>0</v>
      </c>
      <c r="N4761" s="110">
        <f>K4761-tblAquisições[[#This Row],[QUANTIDADE PLANEJADA]]</f>
        <v>-1</v>
      </c>
      <c r="O4761" s="106" t="str">
        <f t="shared" si="149"/>
        <v>Faltando Comprar</v>
      </c>
    </row>
    <row r="4762" spans="1:15" ht="47.25">
      <c r="A4762" s="16" t="s">
        <v>17</v>
      </c>
      <c r="B4762" s="16" t="s">
        <v>27</v>
      </c>
      <c r="C4762" s="17" t="s">
        <v>19</v>
      </c>
      <c r="D4762" s="18" t="s">
        <v>2666</v>
      </c>
      <c r="E4762" s="18">
        <v>2</v>
      </c>
      <c r="F4762" s="18" t="s">
        <v>78</v>
      </c>
      <c r="G4762" s="18" t="s">
        <v>22</v>
      </c>
      <c r="H4762" s="18" t="s">
        <v>23</v>
      </c>
      <c r="I4762" s="19">
        <v>1.42</v>
      </c>
      <c r="J4762" s="20">
        <f t="shared" si="148"/>
        <v>2.84</v>
      </c>
      <c r="K4762" s="106"/>
      <c r="L4762" s="114"/>
      <c r="M4762" s="114">
        <f>tblAquisições[[#This Row],[VALOR UNITARIO COMPRADO]]*tblAquisições[[#This Row],[QUANTIDADE COMPRADA]]</f>
        <v>0</v>
      </c>
      <c r="N4762" s="110">
        <f>K4762-tblAquisições[[#This Row],[QUANTIDADE PLANEJADA]]</f>
        <v>-2</v>
      </c>
      <c r="O4762" s="106" t="str">
        <f t="shared" si="149"/>
        <v>Faltando Comprar</v>
      </c>
    </row>
    <row r="4763" spans="1:15" ht="31.5">
      <c r="A4763" s="16" t="s">
        <v>17</v>
      </c>
      <c r="B4763" s="16" t="s">
        <v>18</v>
      </c>
      <c r="C4763" s="17" t="s">
        <v>19</v>
      </c>
      <c r="D4763" s="18" t="s">
        <v>2667</v>
      </c>
      <c r="E4763" s="18">
        <v>2</v>
      </c>
      <c r="F4763" s="18" t="s">
        <v>1455</v>
      </c>
      <c r="G4763" s="18" t="s">
        <v>127</v>
      </c>
      <c r="H4763" s="18" t="s">
        <v>23</v>
      </c>
      <c r="I4763" s="19">
        <v>565</v>
      </c>
      <c r="J4763" s="20">
        <f t="shared" si="148"/>
        <v>1130</v>
      </c>
      <c r="K4763" s="106"/>
      <c r="L4763" s="114"/>
      <c r="M4763" s="114">
        <f>tblAquisições[[#This Row],[VALOR UNITARIO COMPRADO]]*tblAquisições[[#This Row],[QUANTIDADE COMPRADA]]</f>
        <v>0</v>
      </c>
      <c r="N4763" s="110">
        <f>K4763-tblAquisições[[#This Row],[QUANTIDADE PLANEJADA]]</f>
        <v>-2</v>
      </c>
      <c r="O4763" s="106" t="str">
        <f t="shared" si="149"/>
        <v>Faltando Comprar</v>
      </c>
    </row>
    <row r="4764" spans="1:15" ht="31.5">
      <c r="A4764" s="16" t="s">
        <v>17</v>
      </c>
      <c r="B4764" s="16" t="s">
        <v>24</v>
      </c>
      <c r="C4764" s="17" t="s">
        <v>19</v>
      </c>
      <c r="D4764" s="18" t="s">
        <v>2667</v>
      </c>
      <c r="E4764" s="18">
        <v>2</v>
      </c>
      <c r="F4764" s="18" t="s">
        <v>1455</v>
      </c>
      <c r="G4764" s="18" t="s">
        <v>127</v>
      </c>
      <c r="H4764" s="18" t="s">
        <v>23</v>
      </c>
      <c r="I4764" s="19">
        <v>565</v>
      </c>
      <c r="J4764" s="20">
        <f t="shared" si="148"/>
        <v>1130</v>
      </c>
      <c r="K4764" s="106"/>
      <c r="L4764" s="114"/>
      <c r="M4764" s="114">
        <f>tblAquisições[[#This Row],[VALOR UNITARIO COMPRADO]]*tblAquisições[[#This Row],[QUANTIDADE COMPRADA]]</f>
        <v>0</v>
      </c>
      <c r="N4764" s="110">
        <f>K4764-tblAquisições[[#This Row],[QUANTIDADE PLANEJADA]]</f>
        <v>-2</v>
      </c>
      <c r="O4764" s="106" t="str">
        <f t="shared" si="149"/>
        <v>Faltando Comprar</v>
      </c>
    </row>
    <row r="4765" spans="1:15" ht="47.25">
      <c r="A4765" s="16" t="s">
        <v>17</v>
      </c>
      <c r="B4765" s="16" t="s">
        <v>26</v>
      </c>
      <c r="C4765" s="17" t="s">
        <v>19</v>
      </c>
      <c r="D4765" s="18" t="s">
        <v>2668</v>
      </c>
      <c r="E4765" s="18">
        <v>5</v>
      </c>
      <c r="F4765" s="18" t="s">
        <v>313</v>
      </c>
      <c r="G4765" s="18" t="s">
        <v>22</v>
      </c>
      <c r="H4765" s="18" t="s">
        <v>23</v>
      </c>
      <c r="I4765" s="19">
        <v>256.44</v>
      </c>
      <c r="J4765" s="20">
        <f t="shared" si="148"/>
        <v>1282.2</v>
      </c>
      <c r="K4765" s="106"/>
      <c r="L4765" s="114"/>
      <c r="M4765" s="114">
        <f>tblAquisições[[#This Row],[VALOR UNITARIO COMPRADO]]*tblAquisições[[#This Row],[QUANTIDADE COMPRADA]]</f>
        <v>0</v>
      </c>
      <c r="N4765" s="110">
        <f>K4765-tblAquisições[[#This Row],[QUANTIDADE PLANEJADA]]</f>
        <v>-5</v>
      </c>
      <c r="O4765" s="106" t="str">
        <f t="shared" si="149"/>
        <v>Faltando Comprar</v>
      </c>
    </row>
    <row r="4766" spans="1:15" ht="47.25">
      <c r="A4766" s="16" t="s">
        <v>17</v>
      </c>
      <c r="B4766" s="16" t="s">
        <v>31</v>
      </c>
      <c r="C4766" s="17" t="s">
        <v>19</v>
      </c>
      <c r="D4766" s="18" t="s">
        <v>2669</v>
      </c>
      <c r="E4766" s="18">
        <v>100</v>
      </c>
      <c r="F4766" s="18" t="s">
        <v>78</v>
      </c>
      <c r="G4766" s="18" t="s">
        <v>22</v>
      </c>
      <c r="H4766" s="18" t="s">
        <v>83</v>
      </c>
      <c r="I4766" s="19">
        <v>166.4</v>
      </c>
      <c r="J4766" s="20">
        <f t="shared" si="148"/>
        <v>16640</v>
      </c>
      <c r="K4766" s="106"/>
      <c r="L4766" s="114"/>
      <c r="M4766" s="114">
        <f>tblAquisições[[#This Row],[VALOR UNITARIO COMPRADO]]*tblAquisições[[#This Row],[QUANTIDADE COMPRADA]]</f>
        <v>0</v>
      </c>
      <c r="N4766" s="110">
        <f>K4766-tblAquisições[[#This Row],[QUANTIDADE PLANEJADA]]</f>
        <v>-100</v>
      </c>
      <c r="O4766" s="106" t="str">
        <f t="shared" si="149"/>
        <v>Faltando Comprar</v>
      </c>
    </row>
    <row r="4767" spans="1:15" ht="47.25">
      <c r="A4767" s="16" t="s">
        <v>17</v>
      </c>
      <c r="B4767" s="16" t="s">
        <v>28</v>
      </c>
      <c r="C4767" s="17" t="s">
        <v>19</v>
      </c>
      <c r="D4767" s="18" t="s">
        <v>2669</v>
      </c>
      <c r="E4767" s="18">
        <v>4</v>
      </c>
      <c r="F4767" s="18" t="s">
        <v>78</v>
      </c>
      <c r="G4767" s="18" t="s">
        <v>22</v>
      </c>
      <c r="H4767" s="18" t="s">
        <v>23</v>
      </c>
      <c r="I4767" s="19">
        <v>166.4</v>
      </c>
      <c r="J4767" s="20">
        <f t="shared" si="148"/>
        <v>665.6</v>
      </c>
      <c r="K4767" s="106"/>
      <c r="L4767" s="114"/>
      <c r="M4767" s="114">
        <f>tblAquisições[[#This Row],[VALOR UNITARIO COMPRADO]]*tblAquisições[[#This Row],[QUANTIDADE COMPRADA]]</f>
        <v>0</v>
      </c>
      <c r="N4767" s="110">
        <f>K4767-tblAquisições[[#This Row],[QUANTIDADE PLANEJADA]]</f>
        <v>-4</v>
      </c>
      <c r="O4767" s="106" t="str">
        <f t="shared" si="149"/>
        <v>Faltando Comprar</v>
      </c>
    </row>
    <row r="4768" spans="1:15" ht="31.5">
      <c r="A4768" s="16" t="s">
        <v>17</v>
      </c>
      <c r="B4768" s="16" t="s">
        <v>26</v>
      </c>
      <c r="C4768" s="17" t="s">
        <v>19</v>
      </c>
      <c r="D4768" s="18" t="s">
        <v>2670</v>
      </c>
      <c r="E4768" s="18">
        <v>3</v>
      </c>
      <c r="F4768" s="18" t="s">
        <v>170</v>
      </c>
      <c r="G4768" s="18" t="s">
        <v>22</v>
      </c>
      <c r="H4768" s="18" t="s">
        <v>23</v>
      </c>
      <c r="I4768" s="19">
        <v>178.09</v>
      </c>
      <c r="J4768" s="20">
        <f t="shared" si="148"/>
        <v>534.27</v>
      </c>
      <c r="K4768" s="106"/>
      <c r="L4768" s="114"/>
      <c r="M4768" s="114">
        <f>tblAquisições[[#This Row],[VALOR UNITARIO COMPRADO]]*tblAquisições[[#This Row],[QUANTIDADE COMPRADA]]</f>
        <v>0</v>
      </c>
      <c r="N4768" s="110">
        <f>K4768-tblAquisições[[#This Row],[QUANTIDADE PLANEJADA]]</f>
        <v>-3</v>
      </c>
      <c r="O4768" s="106" t="str">
        <f t="shared" si="149"/>
        <v>Faltando Comprar</v>
      </c>
    </row>
    <row r="4769" spans="1:15" ht="47.25">
      <c r="A4769" s="16" t="s">
        <v>17</v>
      </c>
      <c r="B4769" s="16" t="s">
        <v>28</v>
      </c>
      <c r="C4769" s="17" t="s">
        <v>19</v>
      </c>
      <c r="D4769" s="18" t="s">
        <v>2671</v>
      </c>
      <c r="E4769" s="18">
        <v>10</v>
      </c>
      <c r="F4769" s="18" t="s">
        <v>78</v>
      </c>
      <c r="G4769" s="18" t="s">
        <v>22</v>
      </c>
      <c r="H4769" s="18" t="s">
        <v>23</v>
      </c>
      <c r="I4769" s="19">
        <v>175.23</v>
      </c>
      <c r="J4769" s="20">
        <f t="shared" si="148"/>
        <v>1752.3</v>
      </c>
      <c r="K4769" s="106"/>
      <c r="L4769" s="114"/>
      <c r="M4769" s="114">
        <f>tblAquisições[[#This Row],[VALOR UNITARIO COMPRADO]]*tblAquisições[[#This Row],[QUANTIDADE COMPRADA]]</f>
        <v>0</v>
      </c>
      <c r="N4769" s="110">
        <f>K4769-tblAquisições[[#This Row],[QUANTIDADE PLANEJADA]]</f>
        <v>-10</v>
      </c>
      <c r="O4769" s="106" t="str">
        <f t="shared" si="149"/>
        <v>Faltando Comprar</v>
      </c>
    </row>
    <row r="4770" spans="1:15" ht="47.25">
      <c r="A4770" s="16" t="s">
        <v>17</v>
      </c>
      <c r="B4770" s="16" t="s">
        <v>18</v>
      </c>
      <c r="C4770" s="17" t="s">
        <v>19</v>
      </c>
      <c r="D4770" s="18" t="s">
        <v>2672</v>
      </c>
      <c r="E4770" s="18">
        <v>200</v>
      </c>
      <c r="F4770" s="18" t="s">
        <v>78</v>
      </c>
      <c r="G4770" s="18" t="s">
        <v>22</v>
      </c>
      <c r="H4770" s="18" t="s">
        <v>83</v>
      </c>
      <c r="I4770" s="19">
        <v>2.2000000000000002</v>
      </c>
      <c r="J4770" s="20">
        <f t="shared" si="148"/>
        <v>440.00000000000006</v>
      </c>
      <c r="K4770" s="106"/>
      <c r="L4770" s="114"/>
      <c r="M4770" s="114">
        <f>tblAquisições[[#This Row],[VALOR UNITARIO COMPRADO]]*tblAquisições[[#This Row],[QUANTIDADE COMPRADA]]</f>
        <v>0</v>
      </c>
      <c r="N4770" s="110">
        <f>K4770-tblAquisições[[#This Row],[QUANTIDADE PLANEJADA]]</f>
        <v>-200</v>
      </c>
      <c r="O4770" s="106" t="str">
        <f t="shared" si="149"/>
        <v>Faltando Comprar</v>
      </c>
    </row>
    <row r="4771" spans="1:15" ht="47.25">
      <c r="A4771" s="16" t="s">
        <v>17</v>
      </c>
      <c r="B4771" s="16" t="s">
        <v>24</v>
      </c>
      <c r="C4771" s="17" t="s">
        <v>19</v>
      </c>
      <c r="D4771" s="18" t="s">
        <v>2672</v>
      </c>
      <c r="E4771" s="18">
        <v>200</v>
      </c>
      <c r="F4771" s="18" t="s">
        <v>78</v>
      </c>
      <c r="G4771" s="18" t="s">
        <v>22</v>
      </c>
      <c r="H4771" s="18" t="s">
        <v>83</v>
      </c>
      <c r="I4771" s="19">
        <v>2.2000000000000002</v>
      </c>
      <c r="J4771" s="20">
        <f t="shared" si="148"/>
        <v>440.00000000000006</v>
      </c>
      <c r="K4771" s="106"/>
      <c r="L4771" s="114"/>
      <c r="M4771" s="114">
        <f>tblAquisições[[#This Row],[VALOR UNITARIO COMPRADO]]*tblAquisições[[#This Row],[QUANTIDADE COMPRADA]]</f>
        <v>0</v>
      </c>
      <c r="N4771" s="110">
        <f>K4771-tblAquisições[[#This Row],[QUANTIDADE PLANEJADA]]</f>
        <v>-200</v>
      </c>
      <c r="O4771" s="106" t="str">
        <f t="shared" si="149"/>
        <v>Faltando Comprar</v>
      </c>
    </row>
    <row r="4772" spans="1:15" ht="47.25">
      <c r="A4772" s="16" t="s">
        <v>17</v>
      </c>
      <c r="B4772" s="16" t="s">
        <v>25</v>
      </c>
      <c r="C4772" s="17" t="s">
        <v>19</v>
      </c>
      <c r="D4772" s="18" t="s">
        <v>2672</v>
      </c>
      <c r="E4772" s="18">
        <v>200</v>
      </c>
      <c r="F4772" s="18" t="s">
        <v>78</v>
      </c>
      <c r="G4772" s="18" t="s">
        <v>22</v>
      </c>
      <c r="H4772" s="18" t="s">
        <v>83</v>
      </c>
      <c r="I4772" s="19">
        <v>2.2000000000000002</v>
      </c>
      <c r="J4772" s="20">
        <f t="shared" si="148"/>
        <v>440.00000000000006</v>
      </c>
      <c r="K4772" s="106"/>
      <c r="L4772" s="114"/>
      <c r="M4772" s="114">
        <f>tblAquisições[[#This Row],[VALOR UNITARIO COMPRADO]]*tblAquisições[[#This Row],[QUANTIDADE COMPRADA]]</f>
        <v>0</v>
      </c>
      <c r="N4772" s="110">
        <f>K4772-tblAquisições[[#This Row],[QUANTIDADE PLANEJADA]]</f>
        <v>-200</v>
      </c>
      <c r="O4772" s="106" t="str">
        <f t="shared" si="149"/>
        <v>Faltando Comprar</v>
      </c>
    </row>
    <row r="4773" spans="1:15" ht="47.25">
      <c r="A4773" s="16" t="s">
        <v>17</v>
      </c>
      <c r="B4773" s="16" t="s">
        <v>27</v>
      </c>
      <c r="C4773" s="17" t="s">
        <v>19</v>
      </c>
      <c r="D4773" s="18" t="s">
        <v>2672</v>
      </c>
      <c r="E4773" s="18">
        <v>200</v>
      </c>
      <c r="F4773" s="18" t="s">
        <v>78</v>
      </c>
      <c r="G4773" s="18" t="s">
        <v>22</v>
      </c>
      <c r="H4773" s="18" t="s">
        <v>23</v>
      </c>
      <c r="I4773" s="19">
        <v>2.2000000000000002</v>
      </c>
      <c r="J4773" s="20">
        <f t="shared" si="148"/>
        <v>440.00000000000006</v>
      </c>
      <c r="K4773" s="106"/>
      <c r="L4773" s="114"/>
      <c r="M4773" s="114">
        <f>tblAquisições[[#This Row],[VALOR UNITARIO COMPRADO]]*tblAquisições[[#This Row],[QUANTIDADE COMPRADA]]</f>
        <v>0</v>
      </c>
      <c r="N4773" s="110">
        <f>K4773-tblAquisições[[#This Row],[QUANTIDADE PLANEJADA]]</f>
        <v>-200</v>
      </c>
      <c r="O4773" s="106" t="str">
        <f t="shared" si="149"/>
        <v>Faltando Comprar</v>
      </c>
    </row>
    <row r="4774" spans="1:15" ht="47.25">
      <c r="A4774" s="16" t="s">
        <v>17</v>
      </c>
      <c r="B4774" s="16" t="s">
        <v>28</v>
      </c>
      <c r="C4774" s="17" t="s">
        <v>19</v>
      </c>
      <c r="D4774" s="18" t="s">
        <v>2672</v>
      </c>
      <c r="E4774" s="18">
        <v>250</v>
      </c>
      <c r="F4774" s="18" t="s">
        <v>78</v>
      </c>
      <c r="G4774" s="18" t="s">
        <v>22</v>
      </c>
      <c r="H4774" s="18" t="s">
        <v>83</v>
      </c>
      <c r="I4774" s="19">
        <v>2.2000000000000002</v>
      </c>
      <c r="J4774" s="20">
        <f t="shared" si="148"/>
        <v>550</v>
      </c>
      <c r="K4774" s="106"/>
      <c r="L4774" s="114"/>
      <c r="M4774" s="114">
        <f>tblAquisições[[#This Row],[VALOR UNITARIO COMPRADO]]*tblAquisições[[#This Row],[QUANTIDADE COMPRADA]]</f>
        <v>0</v>
      </c>
      <c r="N4774" s="110">
        <f>K4774-tblAquisições[[#This Row],[QUANTIDADE PLANEJADA]]</f>
        <v>-250</v>
      </c>
      <c r="O4774" s="106" t="str">
        <f t="shared" si="149"/>
        <v>Faltando Comprar</v>
      </c>
    </row>
    <row r="4775" spans="1:15" ht="47.25">
      <c r="A4775" s="16" t="s">
        <v>17</v>
      </c>
      <c r="B4775" s="16" t="s">
        <v>28</v>
      </c>
      <c r="C4775" s="17" t="s">
        <v>19</v>
      </c>
      <c r="D4775" s="18" t="s">
        <v>2673</v>
      </c>
      <c r="E4775" s="18">
        <v>1</v>
      </c>
      <c r="F4775" s="18" t="s">
        <v>214</v>
      </c>
      <c r="G4775" s="18" t="s">
        <v>127</v>
      </c>
      <c r="H4775" s="18" t="s">
        <v>23</v>
      </c>
      <c r="I4775" s="19">
        <v>386.6</v>
      </c>
      <c r="J4775" s="20">
        <f t="shared" si="148"/>
        <v>386.6</v>
      </c>
      <c r="K4775" s="106"/>
      <c r="L4775" s="114"/>
      <c r="M4775" s="114">
        <f>tblAquisições[[#This Row],[VALOR UNITARIO COMPRADO]]*tblAquisições[[#This Row],[QUANTIDADE COMPRADA]]</f>
        <v>0</v>
      </c>
      <c r="N4775" s="110">
        <f>K4775-tblAquisições[[#This Row],[QUANTIDADE PLANEJADA]]</f>
        <v>-1</v>
      </c>
      <c r="O4775" s="106" t="str">
        <f t="shared" si="149"/>
        <v>Faltando Comprar</v>
      </c>
    </row>
    <row r="4776" spans="1:15" ht="31.5">
      <c r="A4776" s="16" t="s">
        <v>17</v>
      </c>
      <c r="B4776" s="16" t="s">
        <v>26</v>
      </c>
      <c r="C4776" s="17" t="s">
        <v>19</v>
      </c>
      <c r="D4776" s="18" t="s">
        <v>2674</v>
      </c>
      <c r="E4776" s="18">
        <v>40</v>
      </c>
      <c r="F4776" s="18" t="s">
        <v>30</v>
      </c>
      <c r="G4776" s="18" t="s">
        <v>22</v>
      </c>
      <c r="H4776" s="18" t="s">
        <v>23</v>
      </c>
      <c r="I4776" s="19">
        <v>64</v>
      </c>
      <c r="J4776" s="20">
        <f t="shared" si="148"/>
        <v>2560</v>
      </c>
      <c r="K4776" s="106"/>
      <c r="L4776" s="114"/>
      <c r="M4776" s="114">
        <f>tblAquisições[[#This Row],[VALOR UNITARIO COMPRADO]]*tblAquisições[[#This Row],[QUANTIDADE COMPRADA]]</f>
        <v>0</v>
      </c>
      <c r="N4776" s="110">
        <f>K4776-tblAquisições[[#This Row],[QUANTIDADE PLANEJADA]]</f>
        <v>-40</v>
      </c>
      <c r="O4776" s="106" t="str">
        <f t="shared" si="149"/>
        <v>Faltando Comprar</v>
      </c>
    </row>
    <row r="4777" spans="1:15" ht="31.5">
      <c r="A4777" s="16" t="s">
        <v>17</v>
      </c>
      <c r="B4777" s="16" t="s">
        <v>18</v>
      </c>
      <c r="C4777" s="17" t="s">
        <v>19</v>
      </c>
      <c r="D4777" s="18" t="s">
        <v>2675</v>
      </c>
      <c r="E4777" s="18">
        <v>150</v>
      </c>
      <c r="F4777" s="18" t="s">
        <v>30</v>
      </c>
      <c r="G4777" s="18" t="s">
        <v>22</v>
      </c>
      <c r="H4777" s="18" t="s">
        <v>23</v>
      </c>
      <c r="I4777" s="19">
        <v>47.96</v>
      </c>
      <c r="J4777" s="20">
        <f t="shared" si="148"/>
        <v>7194</v>
      </c>
      <c r="K4777" s="106"/>
      <c r="L4777" s="114"/>
      <c r="M4777" s="114">
        <f>tblAquisições[[#This Row],[VALOR UNITARIO COMPRADO]]*tblAquisições[[#This Row],[QUANTIDADE COMPRADA]]</f>
        <v>0</v>
      </c>
      <c r="N4777" s="110">
        <f>K4777-tblAquisições[[#This Row],[QUANTIDADE PLANEJADA]]</f>
        <v>-150</v>
      </c>
      <c r="O4777" s="106" t="str">
        <f t="shared" si="149"/>
        <v>Faltando Comprar</v>
      </c>
    </row>
    <row r="4778" spans="1:15" ht="31.5">
      <c r="A4778" s="16" t="s">
        <v>17</v>
      </c>
      <c r="B4778" s="16" t="s">
        <v>24</v>
      </c>
      <c r="C4778" s="17" t="s">
        <v>19</v>
      </c>
      <c r="D4778" s="18" t="s">
        <v>2675</v>
      </c>
      <c r="E4778" s="18">
        <v>150</v>
      </c>
      <c r="F4778" s="18" t="s">
        <v>30</v>
      </c>
      <c r="G4778" s="18" t="s">
        <v>22</v>
      </c>
      <c r="H4778" s="18" t="s">
        <v>23</v>
      </c>
      <c r="I4778" s="19">
        <v>47.96</v>
      </c>
      <c r="J4778" s="20">
        <f t="shared" si="148"/>
        <v>7194</v>
      </c>
      <c r="K4778" s="106"/>
      <c r="L4778" s="114"/>
      <c r="M4778" s="114">
        <f>tblAquisições[[#This Row],[VALOR UNITARIO COMPRADO]]*tblAquisições[[#This Row],[QUANTIDADE COMPRADA]]</f>
        <v>0</v>
      </c>
      <c r="N4778" s="110">
        <f>K4778-tblAquisições[[#This Row],[QUANTIDADE PLANEJADA]]</f>
        <v>-150</v>
      </c>
      <c r="O4778" s="106" t="str">
        <f t="shared" si="149"/>
        <v>Faltando Comprar</v>
      </c>
    </row>
    <row r="4779" spans="1:15" ht="31.5">
      <c r="A4779" s="16" t="s">
        <v>17</v>
      </c>
      <c r="B4779" s="16" t="s">
        <v>25</v>
      </c>
      <c r="C4779" s="17" t="s">
        <v>19</v>
      </c>
      <c r="D4779" s="18" t="s">
        <v>2675</v>
      </c>
      <c r="E4779" s="18">
        <v>150</v>
      </c>
      <c r="F4779" s="18" t="s">
        <v>30</v>
      </c>
      <c r="G4779" s="18" t="s">
        <v>22</v>
      </c>
      <c r="H4779" s="18" t="s">
        <v>23</v>
      </c>
      <c r="I4779" s="19">
        <v>47.96</v>
      </c>
      <c r="J4779" s="20">
        <f t="shared" si="148"/>
        <v>7194</v>
      </c>
      <c r="K4779" s="106"/>
      <c r="L4779" s="114"/>
      <c r="M4779" s="114">
        <f>tblAquisições[[#This Row],[VALOR UNITARIO COMPRADO]]*tblAquisições[[#This Row],[QUANTIDADE COMPRADA]]</f>
        <v>0</v>
      </c>
      <c r="N4779" s="110">
        <f>K4779-tblAquisições[[#This Row],[QUANTIDADE PLANEJADA]]</f>
        <v>-150</v>
      </c>
      <c r="O4779" s="106" t="str">
        <f t="shared" si="149"/>
        <v>Faltando Comprar</v>
      </c>
    </row>
    <row r="4780" spans="1:15" ht="31.5">
      <c r="A4780" s="16" t="s">
        <v>17</v>
      </c>
      <c r="B4780" s="16" t="s">
        <v>18</v>
      </c>
      <c r="C4780" s="17" t="s">
        <v>19</v>
      </c>
      <c r="D4780" s="18" t="s">
        <v>2676</v>
      </c>
      <c r="E4780" s="18">
        <v>20</v>
      </c>
      <c r="F4780" s="18" t="s">
        <v>30</v>
      </c>
      <c r="G4780" s="18" t="s">
        <v>22</v>
      </c>
      <c r="H4780" s="18" t="s">
        <v>23</v>
      </c>
      <c r="I4780" s="19">
        <v>302.68</v>
      </c>
      <c r="J4780" s="20">
        <f t="shared" si="148"/>
        <v>6053.6</v>
      </c>
      <c r="K4780" s="106"/>
      <c r="L4780" s="114"/>
      <c r="M4780" s="114">
        <f>tblAquisições[[#This Row],[VALOR UNITARIO COMPRADO]]*tblAquisições[[#This Row],[QUANTIDADE COMPRADA]]</f>
        <v>0</v>
      </c>
      <c r="N4780" s="110">
        <f>K4780-tblAquisições[[#This Row],[QUANTIDADE PLANEJADA]]</f>
        <v>-20</v>
      </c>
      <c r="O4780" s="106" t="str">
        <f t="shared" si="149"/>
        <v>Faltando Comprar</v>
      </c>
    </row>
    <row r="4781" spans="1:15" ht="31.5">
      <c r="A4781" s="16" t="s">
        <v>17</v>
      </c>
      <c r="B4781" s="16" t="s">
        <v>24</v>
      </c>
      <c r="C4781" s="17" t="s">
        <v>19</v>
      </c>
      <c r="D4781" s="18" t="s">
        <v>2676</v>
      </c>
      <c r="E4781" s="18">
        <v>20</v>
      </c>
      <c r="F4781" s="18" t="s">
        <v>30</v>
      </c>
      <c r="G4781" s="18" t="s">
        <v>22</v>
      </c>
      <c r="H4781" s="18" t="s">
        <v>23</v>
      </c>
      <c r="I4781" s="19">
        <v>302.68</v>
      </c>
      <c r="J4781" s="20">
        <f t="shared" si="148"/>
        <v>6053.6</v>
      </c>
      <c r="K4781" s="106"/>
      <c r="L4781" s="114"/>
      <c r="M4781" s="114">
        <f>tblAquisições[[#This Row],[VALOR UNITARIO COMPRADO]]*tblAquisições[[#This Row],[QUANTIDADE COMPRADA]]</f>
        <v>0</v>
      </c>
      <c r="N4781" s="110">
        <f>K4781-tblAquisições[[#This Row],[QUANTIDADE PLANEJADA]]</f>
        <v>-20</v>
      </c>
      <c r="O4781" s="106" t="str">
        <f t="shared" si="149"/>
        <v>Faltando Comprar</v>
      </c>
    </row>
    <row r="4782" spans="1:15" ht="31.5">
      <c r="A4782" s="16" t="s">
        <v>17</v>
      </c>
      <c r="B4782" s="16" t="s">
        <v>25</v>
      </c>
      <c r="C4782" s="17" t="s">
        <v>19</v>
      </c>
      <c r="D4782" s="18" t="s">
        <v>2676</v>
      </c>
      <c r="E4782" s="18">
        <v>20</v>
      </c>
      <c r="F4782" s="18" t="s">
        <v>30</v>
      </c>
      <c r="G4782" s="18" t="s">
        <v>22</v>
      </c>
      <c r="H4782" s="18" t="s">
        <v>23</v>
      </c>
      <c r="I4782" s="19">
        <v>302.68</v>
      </c>
      <c r="J4782" s="20">
        <f t="shared" si="148"/>
        <v>6053.6</v>
      </c>
      <c r="K4782" s="106"/>
      <c r="L4782" s="114"/>
      <c r="M4782" s="114">
        <f>tblAquisições[[#This Row],[VALOR UNITARIO COMPRADO]]*tblAquisições[[#This Row],[QUANTIDADE COMPRADA]]</f>
        <v>0</v>
      </c>
      <c r="N4782" s="110">
        <f>K4782-tblAquisições[[#This Row],[QUANTIDADE PLANEJADA]]</f>
        <v>-20</v>
      </c>
      <c r="O4782" s="106" t="str">
        <f t="shared" si="149"/>
        <v>Faltando Comprar</v>
      </c>
    </row>
    <row r="4783" spans="1:15" ht="31.5">
      <c r="A4783" s="16" t="s">
        <v>17</v>
      </c>
      <c r="B4783" s="16" t="s">
        <v>27</v>
      </c>
      <c r="C4783" s="17" t="s">
        <v>19</v>
      </c>
      <c r="D4783" s="18" t="s">
        <v>2676</v>
      </c>
      <c r="E4783" s="18">
        <v>10</v>
      </c>
      <c r="F4783" s="18" t="s">
        <v>30</v>
      </c>
      <c r="G4783" s="18" t="s">
        <v>22</v>
      </c>
      <c r="H4783" s="18" t="s">
        <v>23</v>
      </c>
      <c r="I4783" s="19">
        <v>302.68</v>
      </c>
      <c r="J4783" s="20">
        <f t="shared" si="148"/>
        <v>3026.8</v>
      </c>
      <c r="K4783" s="106"/>
      <c r="L4783" s="114"/>
      <c r="M4783" s="114">
        <f>tblAquisições[[#This Row],[VALOR UNITARIO COMPRADO]]*tblAquisições[[#This Row],[QUANTIDADE COMPRADA]]</f>
        <v>0</v>
      </c>
      <c r="N4783" s="110">
        <f>K4783-tblAquisições[[#This Row],[QUANTIDADE PLANEJADA]]</f>
        <v>-10</v>
      </c>
      <c r="O4783" s="106" t="str">
        <f t="shared" si="149"/>
        <v>Faltando Comprar</v>
      </c>
    </row>
    <row r="4784" spans="1:15" ht="63">
      <c r="A4784" s="16" t="s">
        <v>17</v>
      </c>
      <c r="B4784" s="16" t="s">
        <v>1946</v>
      </c>
      <c r="C4784" s="17" t="s">
        <v>19</v>
      </c>
      <c r="D4784" s="18" t="s">
        <v>2677</v>
      </c>
      <c r="E4784" s="21">
        <v>6</v>
      </c>
      <c r="F4784" s="18" t="s">
        <v>2678</v>
      </c>
      <c r="G4784" s="18" t="s">
        <v>775</v>
      </c>
      <c r="H4784" s="21" t="s">
        <v>23</v>
      </c>
      <c r="I4784" s="19">
        <v>261.95999999999998</v>
      </c>
      <c r="J4784" s="20">
        <f t="shared" si="148"/>
        <v>1571.7599999999998</v>
      </c>
      <c r="K4784" s="106"/>
      <c r="L4784" s="114"/>
      <c r="M4784" s="114">
        <f>tblAquisições[[#This Row],[VALOR UNITARIO COMPRADO]]*tblAquisições[[#This Row],[QUANTIDADE COMPRADA]]</f>
        <v>0</v>
      </c>
      <c r="N4784" s="110">
        <f>K4784-tblAquisições[[#This Row],[QUANTIDADE PLANEJADA]]</f>
        <v>-6</v>
      </c>
      <c r="O4784" s="106" t="str">
        <f t="shared" si="149"/>
        <v>Faltando Comprar</v>
      </c>
    </row>
    <row r="4785" spans="1:15" ht="63">
      <c r="A4785" s="16" t="s">
        <v>17</v>
      </c>
      <c r="B4785" s="16" t="s">
        <v>1946</v>
      </c>
      <c r="C4785" s="17" t="s">
        <v>19</v>
      </c>
      <c r="D4785" s="18" t="s">
        <v>2679</v>
      </c>
      <c r="E4785" s="21">
        <v>10</v>
      </c>
      <c r="F4785" s="18" t="s">
        <v>2680</v>
      </c>
      <c r="G4785" s="18" t="s">
        <v>775</v>
      </c>
      <c r="H4785" s="21" t="s">
        <v>23</v>
      </c>
      <c r="I4785" s="19">
        <v>3108.51</v>
      </c>
      <c r="J4785" s="20">
        <f t="shared" si="148"/>
        <v>31085.100000000002</v>
      </c>
      <c r="K4785" s="106"/>
      <c r="L4785" s="114"/>
      <c r="M4785" s="114">
        <f>tblAquisições[[#This Row],[VALOR UNITARIO COMPRADO]]*tblAquisições[[#This Row],[QUANTIDADE COMPRADA]]</f>
        <v>0</v>
      </c>
      <c r="N4785" s="110">
        <f>K4785-tblAquisições[[#This Row],[QUANTIDADE PLANEJADA]]</f>
        <v>-10</v>
      </c>
      <c r="O4785" s="106" t="str">
        <f t="shared" si="149"/>
        <v>Faltando Comprar</v>
      </c>
    </row>
    <row r="4786" spans="1:15" ht="63">
      <c r="A4786" s="16" t="s">
        <v>17</v>
      </c>
      <c r="B4786" s="16" t="s">
        <v>1946</v>
      </c>
      <c r="C4786" s="17" t="s">
        <v>19</v>
      </c>
      <c r="D4786" s="18" t="s">
        <v>2681</v>
      </c>
      <c r="E4786" s="21">
        <v>15</v>
      </c>
      <c r="F4786" s="18" t="s">
        <v>2682</v>
      </c>
      <c r="G4786" s="18" t="s">
        <v>775</v>
      </c>
      <c r="H4786" s="21" t="s">
        <v>23</v>
      </c>
      <c r="I4786" s="19">
        <v>10646.67</v>
      </c>
      <c r="J4786" s="20">
        <f t="shared" si="148"/>
        <v>159700.04999999999</v>
      </c>
      <c r="K4786" s="106"/>
      <c r="L4786" s="114"/>
      <c r="M4786" s="114">
        <f>tblAquisições[[#This Row],[VALOR UNITARIO COMPRADO]]*tblAquisições[[#This Row],[QUANTIDADE COMPRADA]]</f>
        <v>0</v>
      </c>
      <c r="N4786" s="110">
        <f>K4786-tblAquisições[[#This Row],[QUANTIDADE PLANEJADA]]</f>
        <v>-15</v>
      </c>
      <c r="O4786" s="106" t="str">
        <f t="shared" si="149"/>
        <v>Faltando Comprar</v>
      </c>
    </row>
    <row r="4787" spans="1:15" ht="126">
      <c r="A4787" s="16" t="s">
        <v>17</v>
      </c>
      <c r="B4787" s="16" t="s">
        <v>18</v>
      </c>
      <c r="C4787" s="17" t="s">
        <v>19</v>
      </c>
      <c r="D4787" s="18" t="s">
        <v>2683</v>
      </c>
      <c r="E4787" s="18">
        <v>2</v>
      </c>
      <c r="F4787" s="18" t="s">
        <v>1135</v>
      </c>
      <c r="G4787" s="18" t="s">
        <v>127</v>
      </c>
      <c r="H4787" s="18" t="s">
        <v>23</v>
      </c>
      <c r="I4787" s="19">
        <v>1655.4</v>
      </c>
      <c r="J4787" s="20">
        <f t="shared" si="148"/>
        <v>3310.8</v>
      </c>
      <c r="K4787" s="106"/>
      <c r="L4787" s="114"/>
      <c r="M4787" s="114">
        <f>tblAquisições[[#This Row],[VALOR UNITARIO COMPRADO]]*tblAquisições[[#This Row],[QUANTIDADE COMPRADA]]</f>
        <v>0</v>
      </c>
      <c r="N4787" s="110">
        <f>K4787-tblAquisições[[#This Row],[QUANTIDADE PLANEJADA]]</f>
        <v>-2</v>
      </c>
      <c r="O4787" s="106" t="str">
        <f t="shared" si="149"/>
        <v>Faltando Comprar</v>
      </c>
    </row>
    <row r="4788" spans="1:15" ht="157.5">
      <c r="A4788" s="16" t="s">
        <v>17</v>
      </c>
      <c r="B4788" s="16" t="s">
        <v>18</v>
      </c>
      <c r="C4788" s="17" t="s">
        <v>19</v>
      </c>
      <c r="D4788" s="18" t="s">
        <v>2684</v>
      </c>
      <c r="E4788" s="18">
        <v>1</v>
      </c>
      <c r="F4788" s="18" t="s">
        <v>1455</v>
      </c>
      <c r="G4788" s="18" t="s">
        <v>127</v>
      </c>
      <c r="H4788" s="18" t="s">
        <v>23</v>
      </c>
      <c r="I4788" s="19">
        <v>10589.9</v>
      </c>
      <c r="J4788" s="20">
        <f t="shared" si="148"/>
        <v>10589.9</v>
      </c>
      <c r="K4788" s="106"/>
      <c r="L4788" s="114"/>
      <c r="M4788" s="114">
        <f>tblAquisições[[#This Row],[VALOR UNITARIO COMPRADO]]*tblAquisições[[#This Row],[QUANTIDADE COMPRADA]]</f>
        <v>0</v>
      </c>
      <c r="N4788" s="110">
        <f>K4788-tblAquisições[[#This Row],[QUANTIDADE PLANEJADA]]</f>
        <v>-1</v>
      </c>
      <c r="O4788" s="106" t="str">
        <f t="shared" si="149"/>
        <v>Faltando Comprar</v>
      </c>
    </row>
    <row r="4789" spans="1:15" ht="283.5">
      <c r="A4789" s="16" t="s">
        <v>17</v>
      </c>
      <c r="B4789" s="16" t="s">
        <v>18</v>
      </c>
      <c r="C4789" s="17" t="s">
        <v>19</v>
      </c>
      <c r="D4789" s="18" t="s">
        <v>2685</v>
      </c>
      <c r="E4789" s="18">
        <v>5</v>
      </c>
      <c r="F4789" s="18" t="s">
        <v>1455</v>
      </c>
      <c r="G4789" s="18" t="s">
        <v>127</v>
      </c>
      <c r="H4789" s="18" t="s">
        <v>23</v>
      </c>
      <c r="I4789" s="19">
        <v>7799</v>
      </c>
      <c r="J4789" s="20">
        <f t="shared" si="148"/>
        <v>38995</v>
      </c>
      <c r="K4789" s="106"/>
      <c r="L4789" s="114"/>
      <c r="M4789" s="114">
        <f>tblAquisições[[#This Row],[VALOR UNITARIO COMPRADO]]*tblAquisições[[#This Row],[QUANTIDADE COMPRADA]]</f>
        <v>0</v>
      </c>
      <c r="N4789" s="110">
        <f>K4789-tblAquisições[[#This Row],[QUANTIDADE PLANEJADA]]</f>
        <v>-5</v>
      </c>
      <c r="O4789" s="106" t="str">
        <f t="shared" si="149"/>
        <v>Faltando Comprar</v>
      </c>
    </row>
    <row r="4790" spans="1:15" ht="173.25">
      <c r="A4790" s="16" t="s">
        <v>17</v>
      </c>
      <c r="B4790" s="16" t="s">
        <v>18</v>
      </c>
      <c r="C4790" s="17" t="s">
        <v>19</v>
      </c>
      <c r="D4790" s="18" t="s">
        <v>2686</v>
      </c>
      <c r="E4790" s="18">
        <v>5</v>
      </c>
      <c r="F4790" s="18" t="s">
        <v>1455</v>
      </c>
      <c r="G4790" s="18" t="s">
        <v>127</v>
      </c>
      <c r="H4790" s="18" t="s">
        <v>23</v>
      </c>
      <c r="I4790" s="19">
        <v>3650</v>
      </c>
      <c r="J4790" s="20">
        <f t="shared" si="148"/>
        <v>18250</v>
      </c>
      <c r="K4790" s="106"/>
      <c r="L4790" s="114"/>
      <c r="M4790" s="114">
        <f>tblAquisições[[#This Row],[VALOR UNITARIO COMPRADO]]*tblAquisições[[#This Row],[QUANTIDADE COMPRADA]]</f>
        <v>0</v>
      </c>
      <c r="N4790" s="110">
        <f>K4790-tblAquisições[[#This Row],[QUANTIDADE PLANEJADA]]</f>
        <v>-5</v>
      </c>
      <c r="O4790" s="106" t="str">
        <f t="shared" si="149"/>
        <v>Faltando Comprar</v>
      </c>
    </row>
    <row r="4791" spans="1:15" ht="252">
      <c r="A4791" s="16" t="s">
        <v>17</v>
      </c>
      <c r="B4791" s="16" t="s">
        <v>18</v>
      </c>
      <c r="C4791" s="17" t="s">
        <v>19</v>
      </c>
      <c r="D4791" s="18" t="s">
        <v>2687</v>
      </c>
      <c r="E4791" s="18">
        <v>1</v>
      </c>
      <c r="F4791" s="18" t="s">
        <v>1135</v>
      </c>
      <c r="G4791" s="18" t="s">
        <v>127</v>
      </c>
      <c r="H4791" s="18" t="s">
        <v>23</v>
      </c>
      <c r="I4791" s="19">
        <v>13729.9</v>
      </c>
      <c r="J4791" s="20">
        <f t="shared" si="148"/>
        <v>13729.9</v>
      </c>
      <c r="K4791" s="106"/>
      <c r="L4791" s="114"/>
      <c r="M4791" s="114">
        <f>tblAquisições[[#This Row],[VALOR UNITARIO COMPRADO]]*tblAquisições[[#This Row],[QUANTIDADE COMPRADA]]</f>
        <v>0</v>
      </c>
      <c r="N4791" s="110">
        <f>K4791-tblAquisições[[#This Row],[QUANTIDADE PLANEJADA]]</f>
        <v>-1</v>
      </c>
      <c r="O4791" s="106" t="str">
        <f t="shared" si="149"/>
        <v>Faltando Comprar</v>
      </c>
    </row>
    <row r="4792" spans="1:15" ht="47.25">
      <c r="A4792" s="16" t="s">
        <v>17</v>
      </c>
      <c r="B4792" s="16" t="s">
        <v>18</v>
      </c>
      <c r="C4792" s="17" t="s">
        <v>19</v>
      </c>
      <c r="D4792" s="37" t="s">
        <v>2688</v>
      </c>
      <c r="E4792" s="18">
        <v>3360</v>
      </c>
      <c r="F4792" s="18" t="s">
        <v>118</v>
      </c>
      <c r="G4792" s="18" t="s">
        <v>127</v>
      </c>
      <c r="H4792" s="18" t="s">
        <v>23</v>
      </c>
      <c r="I4792" s="19">
        <v>300</v>
      </c>
      <c r="J4792" s="20">
        <f t="shared" si="148"/>
        <v>1008000</v>
      </c>
      <c r="K4792" s="106"/>
      <c r="L4792" s="114"/>
      <c r="M4792" s="114">
        <f>tblAquisições[[#This Row],[VALOR UNITARIO COMPRADO]]*tblAquisições[[#This Row],[QUANTIDADE COMPRADA]]</f>
        <v>0</v>
      </c>
      <c r="N4792" s="110">
        <f>K4792-tblAquisições[[#This Row],[QUANTIDADE PLANEJADA]]</f>
        <v>-3360</v>
      </c>
      <c r="O4792" s="106" t="str">
        <f t="shared" si="149"/>
        <v>Faltando Comprar</v>
      </c>
    </row>
    <row r="4793" spans="1:15" ht="126">
      <c r="A4793" s="16" t="s">
        <v>17</v>
      </c>
      <c r="B4793" s="16" t="s">
        <v>24</v>
      </c>
      <c r="C4793" s="17" t="s">
        <v>19</v>
      </c>
      <c r="D4793" s="18" t="s">
        <v>2683</v>
      </c>
      <c r="E4793" s="18">
        <v>2</v>
      </c>
      <c r="F4793" s="18" t="s">
        <v>1135</v>
      </c>
      <c r="G4793" s="18" t="s">
        <v>127</v>
      </c>
      <c r="H4793" s="18" t="s">
        <v>23</v>
      </c>
      <c r="I4793" s="19">
        <v>1655.4</v>
      </c>
      <c r="J4793" s="20">
        <f t="shared" si="148"/>
        <v>3310.8</v>
      </c>
      <c r="K4793" s="106"/>
      <c r="L4793" s="114"/>
      <c r="M4793" s="114">
        <f>tblAquisições[[#This Row],[VALOR UNITARIO COMPRADO]]*tblAquisições[[#This Row],[QUANTIDADE COMPRADA]]</f>
        <v>0</v>
      </c>
      <c r="N4793" s="110">
        <f>K4793-tblAquisições[[#This Row],[QUANTIDADE PLANEJADA]]</f>
        <v>-2</v>
      </c>
      <c r="O4793" s="106" t="str">
        <f t="shared" si="149"/>
        <v>Faltando Comprar</v>
      </c>
    </row>
    <row r="4794" spans="1:15" ht="157.5">
      <c r="A4794" s="16" t="s">
        <v>17</v>
      </c>
      <c r="B4794" s="16" t="s">
        <v>24</v>
      </c>
      <c r="C4794" s="17" t="s">
        <v>19</v>
      </c>
      <c r="D4794" s="18" t="s">
        <v>2684</v>
      </c>
      <c r="E4794" s="18">
        <v>1</v>
      </c>
      <c r="F4794" s="18" t="s">
        <v>1455</v>
      </c>
      <c r="G4794" s="18" t="s">
        <v>127</v>
      </c>
      <c r="H4794" s="18" t="s">
        <v>23</v>
      </c>
      <c r="I4794" s="19">
        <v>10589.9</v>
      </c>
      <c r="J4794" s="20">
        <f t="shared" si="148"/>
        <v>10589.9</v>
      </c>
      <c r="K4794" s="106"/>
      <c r="L4794" s="114"/>
      <c r="M4794" s="114">
        <f>tblAquisições[[#This Row],[VALOR UNITARIO COMPRADO]]*tblAquisições[[#This Row],[QUANTIDADE COMPRADA]]</f>
        <v>0</v>
      </c>
      <c r="N4794" s="110">
        <f>K4794-tblAquisições[[#This Row],[QUANTIDADE PLANEJADA]]</f>
        <v>-1</v>
      </c>
      <c r="O4794" s="106" t="str">
        <f t="shared" si="149"/>
        <v>Faltando Comprar</v>
      </c>
    </row>
    <row r="4795" spans="1:15" ht="283.5">
      <c r="A4795" s="16" t="s">
        <v>17</v>
      </c>
      <c r="B4795" s="16" t="s">
        <v>24</v>
      </c>
      <c r="C4795" s="17" t="s">
        <v>19</v>
      </c>
      <c r="D4795" s="18" t="s">
        <v>2685</v>
      </c>
      <c r="E4795" s="18">
        <v>5</v>
      </c>
      <c r="F4795" s="18" t="s">
        <v>1455</v>
      </c>
      <c r="G4795" s="18" t="s">
        <v>127</v>
      </c>
      <c r="H4795" s="18" t="s">
        <v>23</v>
      </c>
      <c r="I4795" s="19">
        <v>7799</v>
      </c>
      <c r="J4795" s="20">
        <f t="shared" si="148"/>
        <v>38995</v>
      </c>
      <c r="K4795" s="106"/>
      <c r="L4795" s="114"/>
      <c r="M4795" s="114">
        <f>tblAquisições[[#This Row],[VALOR UNITARIO COMPRADO]]*tblAquisições[[#This Row],[QUANTIDADE COMPRADA]]</f>
        <v>0</v>
      </c>
      <c r="N4795" s="110">
        <f>K4795-tblAquisições[[#This Row],[QUANTIDADE PLANEJADA]]</f>
        <v>-5</v>
      </c>
      <c r="O4795" s="106" t="str">
        <f t="shared" si="149"/>
        <v>Faltando Comprar</v>
      </c>
    </row>
    <row r="4796" spans="1:15" ht="173.25">
      <c r="A4796" s="16" t="s">
        <v>17</v>
      </c>
      <c r="B4796" s="16" t="s">
        <v>24</v>
      </c>
      <c r="C4796" s="17" t="s">
        <v>19</v>
      </c>
      <c r="D4796" s="18" t="s">
        <v>2686</v>
      </c>
      <c r="E4796" s="18">
        <v>5</v>
      </c>
      <c r="F4796" s="18" t="s">
        <v>1455</v>
      </c>
      <c r="G4796" s="18" t="s">
        <v>127</v>
      </c>
      <c r="H4796" s="18" t="s">
        <v>23</v>
      </c>
      <c r="I4796" s="19">
        <v>3650</v>
      </c>
      <c r="J4796" s="20">
        <f t="shared" si="148"/>
        <v>18250</v>
      </c>
      <c r="K4796" s="106"/>
      <c r="L4796" s="114"/>
      <c r="M4796" s="114">
        <f>tblAquisições[[#This Row],[VALOR UNITARIO COMPRADO]]*tblAquisições[[#This Row],[QUANTIDADE COMPRADA]]</f>
        <v>0</v>
      </c>
      <c r="N4796" s="110">
        <f>K4796-tblAquisições[[#This Row],[QUANTIDADE PLANEJADA]]</f>
        <v>-5</v>
      </c>
      <c r="O4796" s="106" t="str">
        <f t="shared" si="149"/>
        <v>Faltando Comprar</v>
      </c>
    </row>
    <row r="4797" spans="1:15" ht="252">
      <c r="A4797" s="16" t="s">
        <v>17</v>
      </c>
      <c r="B4797" s="16" t="s">
        <v>24</v>
      </c>
      <c r="C4797" s="17" t="s">
        <v>19</v>
      </c>
      <c r="D4797" s="18" t="s">
        <v>2687</v>
      </c>
      <c r="E4797" s="18">
        <v>1</v>
      </c>
      <c r="F4797" s="18" t="s">
        <v>1135</v>
      </c>
      <c r="G4797" s="18" t="s">
        <v>127</v>
      </c>
      <c r="H4797" s="18" t="s">
        <v>23</v>
      </c>
      <c r="I4797" s="19">
        <v>13729.9</v>
      </c>
      <c r="J4797" s="20">
        <f t="shared" si="148"/>
        <v>13729.9</v>
      </c>
      <c r="K4797" s="106"/>
      <c r="L4797" s="114"/>
      <c r="M4797" s="114">
        <f>tblAquisições[[#This Row],[VALOR UNITARIO COMPRADO]]*tblAquisições[[#This Row],[QUANTIDADE COMPRADA]]</f>
        <v>0</v>
      </c>
      <c r="N4797" s="110">
        <f>K4797-tblAquisições[[#This Row],[QUANTIDADE PLANEJADA]]</f>
        <v>-1</v>
      </c>
      <c r="O4797" s="106" t="str">
        <f t="shared" si="149"/>
        <v>Faltando Comprar</v>
      </c>
    </row>
    <row r="4798" spans="1:15" ht="47.25">
      <c r="A4798" s="16" t="s">
        <v>17</v>
      </c>
      <c r="B4798" s="16" t="s">
        <v>24</v>
      </c>
      <c r="C4798" s="17" t="s">
        <v>19</v>
      </c>
      <c r="D4798" s="37" t="s">
        <v>2688</v>
      </c>
      <c r="E4798" s="18">
        <v>3360</v>
      </c>
      <c r="F4798" s="18" t="s">
        <v>118</v>
      </c>
      <c r="G4798" s="18" t="s">
        <v>127</v>
      </c>
      <c r="H4798" s="18" t="s">
        <v>23</v>
      </c>
      <c r="I4798" s="19">
        <v>300</v>
      </c>
      <c r="J4798" s="20">
        <f t="shared" si="148"/>
        <v>1008000</v>
      </c>
      <c r="K4798" s="106"/>
      <c r="L4798" s="114"/>
      <c r="M4798" s="114">
        <f>tblAquisições[[#This Row],[VALOR UNITARIO COMPRADO]]*tblAquisições[[#This Row],[QUANTIDADE COMPRADA]]</f>
        <v>0</v>
      </c>
      <c r="N4798" s="110">
        <f>K4798-tblAquisições[[#This Row],[QUANTIDADE PLANEJADA]]</f>
        <v>-3360</v>
      </c>
      <c r="O4798" s="106" t="str">
        <f t="shared" si="149"/>
        <v>Faltando Comprar</v>
      </c>
    </row>
    <row r="4799" spans="1:15" ht="283.5">
      <c r="A4799" s="16" t="s">
        <v>17</v>
      </c>
      <c r="B4799" s="16" t="s">
        <v>26</v>
      </c>
      <c r="C4799" s="17" t="s">
        <v>19</v>
      </c>
      <c r="D4799" s="18" t="s">
        <v>2685</v>
      </c>
      <c r="E4799" s="18">
        <v>20</v>
      </c>
      <c r="F4799" s="18" t="s">
        <v>1455</v>
      </c>
      <c r="G4799" s="18" t="s">
        <v>127</v>
      </c>
      <c r="H4799" s="18" t="s">
        <v>23</v>
      </c>
      <c r="I4799" s="19">
        <v>7799</v>
      </c>
      <c r="J4799" s="20">
        <f t="shared" si="148"/>
        <v>155980</v>
      </c>
      <c r="K4799" s="106"/>
      <c r="L4799" s="114"/>
      <c r="M4799" s="114">
        <f>tblAquisições[[#This Row],[VALOR UNITARIO COMPRADO]]*tblAquisições[[#This Row],[QUANTIDADE COMPRADA]]</f>
        <v>0</v>
      </c>
      <c r="N4799" s="110">
        <f>K4799-tblAquisições[[#This Row],[QUANTIDADE PLANEJADA]]</f>
        <v>-20</v>
      </c>
      <c r="O4799" s="106" t="str">
        <f t="shared" si="149"/>
        <v>Faltando Comprar</v>
      </c>
    </row>
    <row r="4800" spans="1:15" ht="47.25">
      <c r="A4800" s="16" t="s">
        <v>17</v>
      </c>
      <c r="B4800" s="16" t="s">
        <v>26</v>
      </c>
      <c r="C4800" s="17" t="s">
        <v>19</v>
      </c>
      <c r="D4800" s="18" t="s">
        <v>2689</v>
      </c>
      <c r="E4800" s="18">
        <v>1</v>
      </c>
      <c r="F4800" s="18" t="s">
        <v>214</v>
      </c>
      <c r="G4800" s="18" t="s">
        <v>127</v>
      </c>
      <c r="H4800" s="18" t="s">
        <v>23</v>
      </c>
      <c r="I4800" s="19">
        <v>261.95999999999998</v>
      </c>
      <c r="J4800" s="20">
        <f t="shared" si="148"/>
        <v>261.95999999999998</v>
      </c>
      <c r="K4800" s="106"/>
      <c r="L4800" s="114"/>
      <c r="M4800" s="114">
        <f>tblAquisições[[#This Row],[VALOR UNITARIO COMPRADO]]*tblAquisições[[#This Row],[QUANTIDADE COMPRADA]]</f>
        <v>0</v>
      </c>
      <c r="N4800" s="110">
        <f>K4800-tblAquisições[[#This Row],[QUANTIDADE PLANEJADA]]</f>
        <v>-1</v>
      </c>
      <c r="O4800" s="106" t="str">
        <f t="shared" si="149"/>
        <v>Faltando Comprar</v>
      </c>
    </row>
    <row r="4801" spans="1:15" ht="283.5">
      <c r="A4801" s="16" t="s">
        <v>17</v>
      </c>
      <c r="B4801" s="16" t="s">
        <v>28</v>
      </c>
      <c r="C4801" s="17" t="s">
        <v>19</v>
      </c>
      <c r="D4801" s="18" t="s">
        <v>2685</v>
      </c>
      <c r="E4801" s="18">
        <v>4</v>
      </c>
      <c r="F4801" s="18" t="s">
        <v>1455</v>
      </c>
      <c r="G4801" s="18" t="s">
        <v>127</v>
      </c>
      <c r="H4801" s="18" t="s">
        <v>23</v>
      </c>
      <c r="I4801" s="19">
        <v>7799</v>
      </c>
      <c r="J4801" s="20">
        <f t="shared" si="148"/>
        <v>31196</v>
      </c>
      <c r="K4801" s="106"/>
      <c r="L4801" s="114"/>
      <c r="M4801" s="114">
        <f>tblAquisições[[#This Row],[VALOR UNITARIO COMPRADO]]*tblAquisições[[#This Row],[QUANTIDADE COMPRADA]]</f>
        <v>0</v>
      </c>
      <c r="N4801" s="110">
        <f>K4801-tblAquisições[[#This Row],[QUANTIDADE PLANEJADA]]</f>
        <v>-4</v>
      </c>
      <c r="O4801" s="106" t="str">
        <f t="shared" si="149"/>
        <v>Faltando Comprar</v>
      </c>
    </row>
    <row r="4802" spans="1:15" ht="173.25">
      <c r="A4802" s="16" t="s">
        <v>17</v>
      </c>
      <c r="B4802" s="16" t="s">
        <v>28</v>
      </c>
      <c r="C4802" s="17" t="s">
        <v>19</v>
      </c>
      <c r="D4802" s="18" t="s">
        <v>2686</v>
      </c>
      <c r="E4802" s="18">
        <v>4</v>
      </c>
      <c r="F4802" s="18" t="s">
        <v>1455</v>
      </c>
      <c r="G4802" s="18" t="s">
        <v>127</v>
      </c>
      <c r="H4802" s="18" t="s">
        <v>23</v>
      </c>
      <c r="I4802" s="19">
        <v>2708.8</v>
      </c>
      <c r="J4802" s="20">
        <f t="shared" ref="J4802:J4865" si="150">E4802*I4802</f>
        <v>10835.2</v>
      </c>
      <c r="K4802" s="106"/>
      <c r="L4802" s="114"/>
      <c r="M4802" s="114">
        <f>tblAquisições[[#This Row],[VALOR UNITARIO COMPRADO]]*tblAquisições[[#This Row],[QUANTIDADE COMPRADA]]</f>
        <v>0</v>
      </c>
      <c r="N4802" s="110">
        <f>K4802-tblAquisições[[#This Row],[QUANTIDADE PLANEJADA]]</f>
        <v>-4</v>
      </c>
      <c r="O4802" s="106" t="str">
        <f t="shared" ref="O4802:O4865" si="151">IF(K4802=E4802,"OK",IF(K4802&lt;E4802,"Faltando Comprar","Excedente"))</f>
        <v>Faltando Comprar</v>
      </c>
    </row>
    <row r="4803" spans="1:15" ht="252">
      <c r="A4803" s="16" t="s">
        <v>17</v>
      </c>
      <c r="B4803" s="16" t="s">
        <v>28</v>
      </c>
      <c r="C4803" s="17" t="s">
        <v>19</v>
      </c>
      <c r="D4803" s="18" t="s">
        <v>2687</v>
      </c>
      <c r="E4803" s="18">
        <v>10</v>
      </c>
      <c r="F4803" s="18" t="s">
        <v>1135</v>
      </c>
      <c r="G4803" s="18" t="s">
        <v>127</v>
      </c>
      <c r="H4803" s="18" t="s">
        <v>23</v>
      </c>
      <c r="I4803" s="19">
        <v>13729.9</v>
      </c>
      <c r="J4803" s="20">
        <f t="shared" si="150"/>
        <v>137299</v>
      </c>
      <c r="K4803" s="106"/>
      <c r="L4803" s="114"/>
      <c r="M4803" s="114">
        <f>tblAquisições[[#This Row],[VALOR UNITARIO COMPRADO]]*tblAquisições[[#This Row],[QUANTIDADE COMPRADA]]</f>
        <v>0</v>
      </c>
      <c r="N4803" s="110">
        <f>K4803-tblAquisições[[#This Row],[QUANTIDADE PLANEJADA]]</f>
        <v>-10</v>
      </c>
      <c r="O4803" s="106" t="str">
        <f t="shared" si="151"/>
        <v>Faltando Comprar</v>
      </c>
    </row>
    <row r="4804" spans="1:15" ht="47.25">
      <c r="A4804" s="16" t="s">
        <v>17</v>
      </c>
      <c r="B4804" s="16" t="s">
        <v>28</v>
      </c>
      <c r="C4804" s="17" t="s">
        <v>19</v>
      </c>
      <c r="D4804" s="18" t="s">
        <v>2689</v>
      </c>
      <c r="E4804" s="18">
        <v>18</v>
      </c>
      <c r="F4804" s="18" t="s">
        <v>214</v>
      </c>
      <c r="G4804" s="18" t="s">
        <v>127</v>
      </c>
      <c r="H4804" s="18" t="s">
        <v>23</v>
      </c>
      <c r="I4804" s="19">
        <v>261.95999999999998</v>
      </c>
      <c r="J4804" s="20">
        <f t="shared" si="150"/>
        <v>4715.28</v>
      </c>
      <c r="K4804" s="106"/>
      <c r="L4804" s="114"/>
      <c r="M4804" s="114">
        <f>tblAquisições[[#This Row],[VALOR UNITARIO COMPRADO]]*tblAquisições[[#This Row],[QUANTIDADE COMPRADA]]</f>
        <v>0</v>
      </c>
      <c r="N4804" s="110">
        <f>K4804-tblAquisições[[#This Row],[QUANTIDADE PLANEJADA]]</f>
        <v>-18</v>
      </c>
      <c r="O4804" s="106" t="str">
        <f t="shared" si="151"/>
        <v>Faltando Comprar</v>
      </c>
    </row>
    <row r="4805" spans="1:15" ht="47.25">
      <c r="A4805" s="16" t="s">
        <v>17</v>
      </c>
      <c r="B4805" s="16" t="s">
        <v>28</v>
      </c>
      <c r="C4805" s="17" t="s">
        <v>19</v>
      </c>
      <c r="D4805" s="18" t="s">
        <v>2690</v>
      </c>
      <c r="E4805" s="18">
        <v>3</v>
      </c>
      <c r="F4805" s="18" t="s">
        <v>126</v>
      </c>
      <c r="G4805" s="18" t="s">
        <v>127</v>
      </c>
      <c r="H4805" s="18" t="s">
        <v>23</v>
      </c>
      <c r="I4805" s="19">
        <v>20000</v>
      </c>
      <c r="J4805" s="20">
        <f t="shared" si="150"/>
        <v>60000</v>
      </c>
      <c r="K4805" s="106"/>
      <c r="L4805" s="114"/>
      <c r="M4805" s="114">
        <f>tblAquisições[[#This Row],[VALOR UNITARIO COMPRADO]]*tblAquisições[[#This Row],[QUANTIDADE COMPRADA]]</f>
        <v>0</v>
      </c>
      <c r="N4805" s="110">
        <f>K4805-tblAquisições[[#This Row],[QUANTIDADE PLANEJADA]]</f>
        <v>-3</v>
      </c>
      <c r="O4805" s="106" t="str">
        <f t="shared" si="151"/>
        <v>Faltando Comprar</v>
      </c>
    </row>
    <row r="4806" spans="1:15" ht="47.25">
      <c r="A4806" s="16" t="s">
        <v>17</v>
      </c>
      <c r="B4806" s="16" t="s">
        <v>28</v>
      </c>
      <c r="C4806" s="17" t="s">
        <v>19</v>
      </c>
      <c r="D4806" s="18" t="s">
        <v>2691</v>
      </c>
      <c r="E4806" s="18">
        <v>3</v>
      </c>
      <c r="F4806" s="18" t="s">
        <v>126</v>
      </c>
      <c r="G4806" s="18" t="s">
        <v>127</v>
      </c>
      <c r="H4806" s="18" t="s">
        <v>23</v>
      </c>
      <c r="I4806" s="19">
        <v>13500</v>
      </c>
      <c r="J4806" s="20">
        <f t="shared" si="150"/>
        <v>40500</v>
      </c>
      <c r="K4806" s="106"/>
      <c r="L4806" s="114"/>
      <c r="M4806" s="114">
        <f>tblAquisições[[#This Row],[VALOR UNITARIO COMPRADO]]*tblAquisições[[#This Row],[QUANTIDADE COMPRADA]]</f>
        <v>0</v>
      </c>
      <c r="N4806" s="110">
        <f>K4806-tblAquisições[[#This Row],[QUANTIDADE PLANEJADA]]</f>
        <v>-3</v>
      </c>
      <c r="O4806" s="106" t="str">
        <f t="shared" si="151"/>
        <v>Faltando Comprar</v>
      </c>
    </row>
    <row r="4807" spans="1:15" ht="47.25">
      <c r="A4807" s="16" t="s">
        <v>17</v>
      </c>
      <c r="B4807" s="16" t="s">
        <v>28</v>
      </c>
      <c r="C4807" s="17" t="s">
        <v>19</v>
      </c>
      <c r="D4807" s="18" t="s">
        <v>2692</v>
      </c>
      <c r="E4807" s="18">
        <v>2</v>
      </c>
      <c r="F4807" s="18" t="s">
        <v>126</v>
      </c>
      <c r="G4807" s="18" t="s">
        <v>127</v>
      </c>
      <c r="H4807" s="18" t="s">
        <v>23</v>
      </c>
      <c r="I4807" s="19">
        <v>18946.73</v>
      </c>
      <c r="J4807" s="20">
        <f t="shared" si="150"/>
        <v>37893.46</v>
      </c>
      <c r="K4807" s="106"/>
      <c r="L4807" s="114"/>
      <c r="M4807" s="114">
        <f>tblAquisições[[#This Row],[VALOR UNITARIO COMPRADO]]*tblAquisições[[#This Row],[QUANTIDADE COMPRADA]]</f>
        <v>0</v>
      </c>
      <c r="N4807" s="110">
        <f>K4807-tblAquisições[[#This Row],[QUANTIDADE PLANEJADA]]</f>
        <v>-2</v>
      </c>
      <c r="O4807" s="106" t="str">
        <f t="shared" si="151"/>
        <v>Faltando Comprar</v>
      </c>
    </row>
    <row r="4808" spans="1:15" ht="47.25">
      <c r="A4808" s="16" t="s">
        <v>17</v>
      </c>
      <c r="B4808" s="16" t="s">
        <v>28</v>
      </c>
      <c r="C4808" s="17" t="s">
        <v>19</v>
      </c>
      <c r="D4808" s="18" t="s">
        <v>2693</v>
      </c>
      <c r="E4808" s="18">
        <v>4</v>
      </c>
      <c r="F4808" s="18" t="s">
        <v>78</v>
      </c>
      <c r="G4808" s="18" t="s">
        <v>127</v>
      </c>
      <c r="H4808" s="18" t="s">
        <v>23</v>
      </c>
      <c r="I4808" s="19">
        <v>17946.669999999998</v>
      </c>
      <c r="J4808" s="20">
        <f t="shared" si="150"/>
        <v>71786.679999999993</v>
      </c>
      <c r="K4808" s="106"/>
      <c r="L4808" s="114"/>
      <c r="M4808" s="114">
        <f>tblAquisições[[#This Row],[VALOR UNITARIO COMPRADO]]*tblAquisições[[#This Row],[QUANTIDADE COMPRADA]]</f>
        <v>0</v>
      </c>
      <c r="N4808" s="110">
        <f>K4808-tblAquisições[[#This Row],[QUANTIDADE PLANEJADA]]</f>
        <v>-4</v>
      </c>
      <c r="O4808" s="106" t="str">
        <f t="shared" si="151"/>
        <v>Faltando Comprar</v>
      </c>
    </row>
    <row r="4809" spans="1:15" ht="47.25">
      <c r="A4809" s="16" t="s">
        <v>17</v>
      </c>
      <c r="B4809" s="16" t="s">
        <v>28</v>
      </c>
      <c r="C4809" s="17" t="s">
        <v>19</v>
      </c>
      <c r="D4809" s="18" t="s">
        <v>2694</v>
      </c>
      <c r="E4809" s="18">
        <v>3</v>
      </c>
      <c r="F4809" s="18" t="s">
        <v>78</v>
      </c>
      <c r="G4809" s="18" t="s">
        <v>127</v>
      </c>
      <c r="H4809" s="18" t="s">
        <v>23</v>
      </c>
      <c r="I4809" s="19">
        <v>1963</v>
      </c>
      <c r="J4809" s="20">
        <f t="shared" si="150"/>
        <v>5889</v>
      </c>
      <c r="K4809" s="106"/>
      <c r="L4809" s="114"/>
      <c r="M4809" s="114">
        <f>tblAquisições[[#This Row],[VALOR UNITARIO COMPRADO]]*tblAquisições[[#This Row],[QUANTIDADE COMPRADA]]</f>
        <v>0</v>
      </c>
      <c r="N4809" s="110">
        <f>K4809-tblAquisições[[#This Row],[QUANTIDADE PLANEJADA]]</f>
        <v>-3</v>
      </c>
      <c r="O4809" s="106" t="str">
        <f t="shared" si="151"/>
        <v>Faltando Comprar</v>
      </c>
    </row>
    <row r="4810" spans="1:15" ht="47.25">
      <c r="A4810" s="16" t="s">
        <v>17</v>
      </c>
      <c r="B4810" s="16" t="s">
        <v>28</v>
      </c>
      <c r="C4810" s="17" t="s">
        <v>19</v>
      </c>
      <c r="D4810" s="18" t="s">
        <v>2695</v>
      </c>
      <c r="E4810" s="18">
        <v>4</v>
      </c>
      <c r="F4810" s="18" t="s">
        <v>78</v>
      </c>
      <c r="G4810" s="18" t="s">
        <v>127</v>
      </c>
      <c r="H4810" s="18" t="s">
        <v>23</v>
      </c>
      <c r="I4810" s="19">
        <v>873.33</v>
      </c>
      <c r="J4810" s="20">
        <f t="shared" si="150"/>
        <v>3493.32</v>
      </c>
      <c r="K4810" s="106"/>
      <c r="L4810" s="114"/>
      <c r="M4810" s="114">
        <f>tblAquisições[[#This Row],[VALOR UNITARIO COMPRADO]]*tblAquisições[[#This Row],[QUANTIDADE COMPRADA]]</f>
        <v>0</v>
      </c>
      <c r="N4810" s="110">
        <f>K4810-tblAquisições[[#This Row],[QUANTIDADE PLANEJADA]]</f>
        <v>-4</v>
      </c>
      <c r="O4810" s="106" t="str">
        <f t="shared" si="151"/>
        <v>Faltando Comprar</v>
      </c>
    </row>
    <row r="4811" spans="1:15" ht="47.25">
      <c r="A4811" s="16" t="s">
        <v>17</v>
      </c>
      <c r="B4811" s="16" t="s">
        <v>28</v>
      </c>
      <c r="C4811" s="17" t="s">
        <v>19</v>
      </c>
      <c r="D4811" s="18" t="s">
        <v>2696</v>
      </c>
      <c r="E4811" s="18">
        <v>2</v>
      </c>
      <c r="F4811" s="18" t="s">
        <v>78</v>
      </c>
      <c r="G4811" s="18" t="s">
        <v>127</v>
      </c>
      <c r="H4811" s="18" t="s">
        <v>23</v>
      </c>
      <c r="I4811" s="19">
        <v>4252.1099999999997</v>
      </c>
      <c r="J4811" s="20">
        <f t="shared" si="150"/>
        <v>8504.2199999999993</v>
      </c>
      <c r="K4811" s="106"/>
      <c r="L4811" s="114"/>
      <c r="M4811" s="114">
        <f>tblAquisições[[#This Row],[VALOR UNITARIO COMPRADO]]*tblAquisições[[#This Row],[QUANTIDADE COMPRADA]]</f>
        <v>0</v>
      </c>
      <c r="N4811" s="110">
        <f>K4811-tblAquisições[[#This Row],[QUANTIDADE PLANEJADA]]</f>
        <v>-2</v>
      </c>
      <c r="O4811" s="106" t="str">
        <f t="shared" si="151"/>
        <v>Faltando Comprar</v>
      </c>
    </row>
    <row r="4812" spans="1:15" ht="47.25">
      <c r="A4812" s="16" t="s">
        <v>17</v>
      </c>
      <c r="B4812" s="16" t="s">
        <v>28</v>
      </c>
      <c r="C4812" s="17" t="s">
        <v>19</v>
      </c>
      <c r="D4812" s="18" t="s">
        <v>2697</v>
      </c>
      <c r="E4812" s="18">
        <v>3</v>
      </c>
      <c r="F4812" s="18" t="s">
        <v>78</v>
      </c>
      <c r="G4812" s="18" t="s">
        <v>127</v>
      </c>
      <c r="H4812" s="18" t="s">
        <v>23</v>
      </c>
      <c r="I4812" s="19">
        <v>4252.1099999999997</v>
      </c>
      <c r="J4812" s="20">
        <f t="shared" si="150"/>
        <v>12756.329999999998</v>
      </c>
      <c r="K4812" s="106"/>
      <c r="L4812" s="114"/>
      <c r="M4812" s="114">
        <f>tblAquisições[[#This Row],[VALOR UNITARIO COMPRADO]]*tblAquisições[[#This Row],[QUANTIDADE COMPRADA]]</f>
        <v>0</v>
      </c>
      <c r="N4812" s="110">
        <f>K4812-tblAquisições[[#This Row],[QUANTIDADE PLANEJADA]]</f>
        <v>-3</v>
      </c>
      <c r="O4812" s="106" t="str">
        <f t="shared" si="151"/>
        <v>Faltando Comprar</v>
      </c>
    </row>
    <row r="4813" spans="1:15" ht="47.25">
      <c r="A4813" s="16" t="s">
        <v>17</v>
      </c>
      <c r="B4813" s="16" t="s">
        <v>28</v>
      </c>
      <c r="C4813" s="17" t="s">
        <v>19</v>
      </c>
      <c r="D4813" s="18" t="s">
        <v>2698</v>
      </c>
      <c r="E4813" s="18">
        <v>9</v>
      </c>
      <c r="F4813" s="18" t="s">
        <v>78</v>
      </c>
      <c r="G4813" s="18" t="s">
        <v>127</v>
      </c>
      <c r="H4813" s="18" t="s">
        <v>23</v>
      </c>
      <c r="I4813" s="19">
        <v>491.73</v>
      </c>
      <c r="J4813" s="20">
        <f t="shared" si="150"/>
        <v>4425.57</v>
      </c>
      <c r="K4813" s="106"/>
      <c r="L4813" s="114"/>
      <c r="M4813" s="114">
        <f>tblAquisições[[#This Row],[VALOR UNITARIO COMPRADO]]*tblAquisições[[#This Row],[QUANTIDADE COMPRADA]]</f>
        <v>0</v>
      </c>
      <c r="N4813" s="110">
        <f>K4813-tblAquisições[[#This Row],[QUANTIDADE PLANEJADA]]</f>
        <v>-9</v>
      </c>
      <c r="O4813" s="106" t="str">
        <f t="shared" si="151"/>
        <v>Faltando Comprar</v>
      </c>
    </row>
    <row r="4814" spans="1:15" ht="47.25">
      <c r="A4814" s="16" t="s">
        <v>17</v>
      </c>
      <c r="B4814" s="16" t="s">
        <v>28</v>
      </c>
      <c r="C4814" s="17" t="s">
        <v>19</v>
      </c>
      <c r="D4814" s="18" t="s">
        <v>2699</v>
      </c>
      <c r="E4814" s="18">
        <v>10</v>
      </c>
      <c r="F4814" s="18" t="s">
        <v>78</v>
      </c>
      <c r="G4814" s="18" t="s">
        <v>127</v>
      </c>
      <c r="H4814" s="18" t="s">
        <v>23</v>
      </c>
      <c r="I4814" s="19">
        <v>1350</v>
      </c>
      <c r="J4814" s="20">
        <f t="shared" si="150"/>
        <v>13500</v>
      </c>
      <c r="K4814" s="106"/>
      <c r="L4814" s="114"/>
      <c r="M4814" s="114">
        <f>tblAquisições[[#This Row],[VALOR UNITARIO COMPRADO]]*tblAquisições[[#This Row],[QUANTIDADE COMPRADA]]</f>
        <v>0</v>
      </c>
      <c r="N4814" s="110">
        <f>K4814-tblAquisições[[#This Row],[QUANTIDADE PLANEJADA]]</f>
        <v>-10</v>
      </c>
      <c r="O4814" s="106" t="str">
        <f t="shared" si="151"/>
        <v>Faltando Comprar</v>
      </c>
    </row>
    <row r="4815" spans="1:15" ht="47.25">
      <c r="A4815" s="16" t="s">
        <v>17</v>
      </c>
      <c r="B4815" s="16" t="s">
        <v>28</v>
      </c>
      <c r="C4815" s="17" t="s">
        <v>19</v>
      </c>
      <c r="D4815" s="18" t="s">
        <v>2700</v>
      </c>
      <c r="E4815" s="18">
        <v>10</v>
      </c>
      <c r="F4815" s="18" t="s">
        <v>78</v>
      </c>
      <c r="G4815" s="18" t="s">
        <v>127</v>
      </c>
      <c r="H4815" s="18" t="s">
        <v>23</v>
      </c>
      <c r="I4815" s="19">
        <v>38.97</v>
      </c>
      <c r="J4815" s="20">
        <f t="shared" si="150"/>
        <v>389.7</v>
      </c>
      <c r="K4815" s="106"/>
      <c r="L4815" s="114"/>
      <c r="M4815" s="114">
        <f>tblAquisições[[#This Row],[VALOR UNITARIO COMPRADO]]*tblAquisições[[#This Row],[QUANTIDADE COMPRADA]]</f>
        <v>0</v>
      </c>
      <c r="N4815" s="110">
        <f>K4815-tblAquisições[[#This Row],[QUANTIDADE PLANEJADA]]</f>
        <v>-10</v>
      </c>
      <c r="O4815" s="106" t="str">
        <f t="shared" si="151"/>
        <v>Faltando Comprar</v>
      </c>
    </row>
    <row r="4816" spans="1:15" ht="47.25">
      <c r="A4816" s="16" t="s">
        <v>17</v>
      </c>
      <c r="B4816" s="16" t="s">
        <v>28</v>
      </c>
      <c r="C4816" s="17" t="s">
        <v>19</v>
      </c>
      <c r="D4816" s="18" t="s">
        <v>2701</v>
      </c>
      <c r="E4816" s="18">
        <v>3</v>
      </c>
      <c r="F4816" s="18" t="s">
        <v>78</v>
      </c>
      <c r="G4816" s="18" t="s">
        <v>127</v>
      </c>
      <c r="H4816" s="18" t="s">
        <v>23</v>
      </c>
      <c r="I4816" s="19">
        <v>6222.3</v>
      </c>
      <c r="J4816" s="20">
        <f t="shared" si="150"/>
        <v>18666.900000000001</v>
      </c>
      <c r="K4816" s="106"/>
      <c r="L4816" s="114"/>
      <c r="M4816" s="114">
        <f>tblAquisições[[#This Row],[VALOR UNITARIO COMPRADO]]*tblAquisições[[#This Row],[QUANTIDADE COMPRADA]]</f>
        <v>0</v>
      </c>
      <c r="N4816" s="110">
        <f>K4816-tblAquisições[[#This Row],[QUANTIDADE PLANEJADA]]</f>
        <v>-3</v>
      </c>
      <c r="O4816" s="106" t="str">
        <f t="shared" si="151"/>
        <v>Faltando Comprar</v>
      </c>
    </row>
    <row r="4817" spans="1:15" ht="47.25">
      <c r="A4817" s="16" t="s">
        <v>17</v>
      </c>
      <c r="B4817" s="16" t="s">
        <v>28</v>
      </c>
      <c r="C4817" s="17" t="s">
        <v>19</v>
      </c>
      <c r="D4817" s="18" t="s">
        <v>2702</v>
      </c>
      <c r="E4817" s="18">
        <v>3</v>
      </c>
      <c r="F4817" s="18" t="s">
        <v>78</v>
      </c>
      <c r="G4817" s="18" t="s">
        <v>127</v>
      </c>
      <c r="H4817" s="18" t="s">
        <v>23</v>
      </c>
      <c r="I4817" s="19">
        <v>21.36</v>
      </c>
      <c r="J4817" s="20">
        <f t="shared" si="150"/>
        <v>64.08</v>
      </c>
      <c r="K4817" s="106"/>
      <c r="L4817" s="114"/>
      <c r="M4817" s="114">
        <f>tblAquisições[[#This Row],[VALOR UNITARIO COMPRADO]]*tblAquisições[[#This Row],[QUANTIDADE COMPRADA]]</f>
        <v>0</v>
      </c>
      <c r="N4817" s="110">
        <f>K4817-tblAquisições[[#This Row],[QUANTIDADE PLANEJADA]]</f>
        <v>-3</v>
      </c>
      <c r="O4817" s="106" t="str">
        <f t="shared" si="151"/>
        <v>Faltando Comprar</v>
      </c>
    </row>
    <row r="4818" spans="1:15" ht="47.25">
      <c r="A4818" s="16" t="s">
        <v>17</v>
      </c>
      <c r="B4818" s="16" t="s">
        <v>28</v>
      </c>
      <c r="C4818" s="17" t="s">
        <v>19</v>
      </c>
      <c r="D4818" s="18" t="s">
        <v>2703</v>
      </c>
      <c r="E4818" s="18">
        <v>3</v>
      </c>
      <c r="F4818" s="18" t="s">
        <v>78</v>
      </c>
      <c r="G4818" s="18" t="s">
        <v>127</v>
      </c>
      <c r="H4818" s="18" t="s">
        <v>23</v>
      </c>
      <c r="I4818" s="19">
        <v>2417.0100000000002</v>
      </c>
      <c r="J4818" s="20">
        <f t="shared" si="150"/>
        <v>7251.0300000000007</v>
      </c>
      <c r="K4818" s="106"/>
      <c r="L4818" s="114"/>
      <c r="M4818" s="114">
        <f>tblAquisições[[#This Row],[VALOR UNITARIO COMPRADO]]*tblAquisições[[#This Row],[QUANTIDADE COMPRADA]]</f>
        <v>0</v>
      </c>
      <c r="N4818" s="110">
        <f>K4818-tblAquisições[[#This Row],[QUANTIDADE PLANEJADA]]</f>
        <v>-3</v>
      </c>
      <c r="O4818" s="106" t="str">
        <f t="shared" si="151"/>
        <v>Faltando Comprar</v>
      </c>
    </row>
    <row r="4819" spans="1:15" ht="47.25">
      <c r="A4819" s="16" t="s">
        <v>17</v>
      </c>
      <c r="B4819" s="16" t="s">
        <v>28</v>
      </c>
      <c r="C4819" s="17" t="s">
        <v>19</v>
      </c>
      <c r="D4819" s="18" t="s">
        <v>2704</v>
      </c>
      <c r="E4819" s="18">
        <v>3</v>
      </c>
      <c r="F4819" s="18" t="s">
        <v>78</v>
      </c>
      <c r="G4819" s="18" t="s">
        <v>127</v>
      </c>
      <c r="H4819" s="18" t="s">
        <v>23</v>
      </c>
      <c r="I4819" s="19">
        <v>700</v>
      </c>
      <c r="J4819" s="20">
        <f t="shared" si="150"/>
        <v>2100</v>
      </c>
      <c r="K4819" s="106"/>
      <c r="L4819" s="114"/>
      <c r="M4819" s="114">
        <f>tblAquisições[[#This Row],[VALOR UNITARIO COMPRADO]]*tblAquisições[[#This Row],[QUANTIDADE COMPRADA]]</f>
        <v>0</v>
      </c>
      <c r="N4819" s="110">
        <f>K4819-tblAquisições[[#This Row],[QUANTIDADE PLANEJADA]]</f>
        <v>-3</v>
      </c>
      <c r="O4819" s="106" t="str">
        <f t="shared" si="151"/>
        <v>Faltando Comprar</v>
      </c>
    </row>
    <row r="4820" spans="1:15" ht="47.25">
      <c r="A4820" s="16" t="s">
        <v>17</v>
      </c>
      <c r="B4820" s="16" t="s">
        <v>28</v>
      </c>
      <c r="C4820" s="17" t="s">
        <v>19</v>
      </c>
      <c r="D4820" s="18" t="s">
        <v>2705</v>
      </c>
      <c r="E4820" s="18">
        <v>5</v>
      </c>
      <c r="F4820" s="18" t="s">
        <v>78</v>
      </c>
      <c r="G4820" s="18" t="s">
        <v>127</v>
      </c>
      <c r="H4820" s="18" t="s">
        <v>23</v>
      </c>
      <c r="I4820" s="19">
        <v>800</v>
      </c>
      <c r="J4820" s="20">
        <f t="shared" si="150"/>
        <v>4000</v>
      </c>
      <c r="K4820" s="106"/>
      <c r="L4820" s="114"/>
      <c r="M4820" s="114">
        <f>tblAquisições[[#This Row],[VALOR UNITARIO COMPRADO]]*tblAquisições[[#This Row],[QUANTIDADE COMPRADA]]</f>
        <v>0</v>
      </c>
      <c r="N4820" s="110">
        <f>K4820-tblAquisições[[#This Row],[QUANTIDADE PLANEJADA]]</f>
        <v>-5</v>
      </c>
      <c r="O4820" s="106" t="str">
        <f t="shared" si="151"/>
        <v>Faltando Comprar</v>
      </c>
    </row>
    <row r="4821" spans="1:15" ht="47.25">
      <c r="A4821" s="16" t="s">
        <v>17</v>
      </c>
      <c r="B4821" s="16" t="s">
        <v>28</v>
      </c>
      <c r="C4821" s="17" t="s">
        <v>19</v>
      </c>
      <c r="D4821" s="18" t="s">
        <v>2706</v>
      </c>
      <c r="E4821" s="18">
        <v>24</v>
      </c>
      <c r="F4821" s="18" t="s">
        <v>78</v>
      </c>
      <c r="G4821" s="18" t="s">
        <v>127</v>
      </c>
      <c r="H4821" s="18" t="s">
        <v>23</v>
      </c>
      <c r="I4821" s="19">
        <v>36.270000000000003</v>
      </c>
      <c r="J4821" s="20">
        <f t="shared" si="150"/>
        <v>870.48</v>
      </c>
      <c r="K4821" s="106"/>
      <c r="L4821" s="114"/>
      <c r="M4821" s="114">
        <f>tblAquisições[[#This Row],[VALOR UNITARIO COMPRADO]]*tblAquisições[[#This Row],[QUANTIDADE COMPRADA]]</f>
        <v>0</v>
      </c>
      <c r="N4821" s="110">
        <f>K4821-tblAquisições[[#This Row],[QUANTIDADE PLANEJADA]]</f>
        <v>-24</v>
      </c>
      <c r="O4821" s="106" t="str">
        <f t="shared" si="151"/>
        <v>Faltando Comprar</v>
      </c>
    </row>
    <row r="4822" spans="1:15" ht="47.25">
      <c r="A4822" s="16" t="s">
        <v>17</v>
      </c>
      <c r="B4822" s="16" t="s">
        <v>28</v>
      </c>
      <c r="C4822" s="17" t="s">
        <v>19</v>
      </c>
      <c r="D4822" s="18" t="s">
        <v>2707</v>
      </c>
      <c r="E4822" s="18">
        <v>2</v>
      </c>
      <c r="F4822" s="18" t="s">
        <v>78</v>
      </c>
      <c r="G4822" s="18" t="s">
        <v>127</v>
      </c>
      <c r="H4822" s="18" t="s">
        <v>2708</v>
      </c>
      <c r="I4822" s="19">
        <v>72.45</v>
      </c>
      <c r="J4822" s="20">
        <f t="shared" si="150"/>
        <v>144.9</v>
      </c>
      <c r="K4822" s="106"/>
      <c r="L4822" s="114"/>
      <c r="M4822" s="114">
        <f>tblAquisições[[#This Row],[VALOR UNITARIO COMPRADO]]*tblAquisições[[#This Row],[QUANTIDADE COMPRADA]]</f>
        <v>0</v>
      </c>
      <c r="N4822" s="110">
        <f>K4822-tblAquisições[[#This Row],[QUANTIDADE PLANEJADA]]</f>
        <v>-2</v>
      </c>
      <c r="O4822" s="106" t="str">
        <f t="shared" si="151"/>
        <v>Faltando Comprar</v>
      </c>
    </row>
    <row r="4823" spans="1:15" ht="47.25">
      <c r="A4823" s="34" t="s">
        <v>17</v>
      </c>
      <c r="B4823" s="34" t="s">
        <v>28</v>
      </c>
      <c r="C4823" s="17" t="s">
        <v>19</v>
      </c>
      <c r="D4823" s="33" t="s">
        <v>2709</v>
      </c>
      <c r="E4823" s="33">
        <v>3</v>
      </c>
      <c r="F4823" s="33" t="s">
        <v>78</v>
      </c>
      <c r="G4823" s="33" t="s">
        <v>127</v>
      </c>
      <c r="H4823" s="33" t="s">
        <v>23</v>
      </c>
      <c r="I4823" s="38">
        <v>79</v>
      </c>
      <c r="J4823" s="39">
        <f t="shared" si="150"/>
        <v>237</v>
      </c>
      <c r="K4823" s="106"/>
      <c r="L4823" s="114"/>
      <c r="M4823" s="114">
        <f>tblAquisições[[#This Row],[VALOR UNITARIO COMPRADO]]*tblAquisições[[#This Row],[QUANTIDADE COMPRADA]]</f>
        <v>0</v>
      </c>
      <c r="N4823" s="110">
        <f>K4823-tblAquisições[[#This Row],[QUANTIDADE PLANEJADA]]</f>
        <v>-3</v>
      </c>
      <c r="O4823" s="106" t="str">
        <f t="shared" si="151"/>
        <v>Faltando Comprar</v>
      </c>
    </row>
    <row r="4824" spans="1:15" ht="47.25">
      <c r="A4824" s="16" t="s">
        <v>2710</v>
      </c>
      <c r="B4824" s="16" t="s">
        <v>2711</v>
      </c>
      <c r="C4824" s="17" t="s">
        <v>19</v>
      </c>
      <c r="D4824" s="18" t="s">
        <v>2712</v>
      </c>
      <c r="E4824" s="18">
        <v>10</v>
      </c>
      <c r="F4824" s="18" t="s">
        <v>96</v>
      </c>
      <c r="G4824" s="18" t="s">
        <v>39</v>
      </c>
      <c r="H4824" s="18" t="s">
        <v>65</v>
      </c>
      <c r="I4824" s="19">
        <v>21.33</v>
      </c>
      <c r="J4824" s="40">
        <f t="shared" si="150"/>
        <v>213.29999999999998</v>
      </c>
      <c r="K4824" s="106"/>
      <c r="L4824" s="114"/>
      <c r="M4824" s="114">
        <f>tblAquisições[[#This Row],[VALOR UNITARIO COMPRADO]]*tblAquisições[[#This Row],[QUANTIDADE COMPRADA]]</f>
        <v>0</v>
      </c>
      <c r="N4824" s="110">
        <f>K4824-tblAquisições[[#This Row],[QUANTIDADE PLANEJADA]]</f>
        <v>-10</v>
      </c>
      <c r="O4824" s="106" t="str">
        <f t="shared" si="151"/>
        <v>Faltando Comprar</v>
      </c>
    </row>
    <row r="4825" spans="1:15" ht="47.25">
      <c r="A4825" s="16" t="s">
        <v>2710</v>
      </c>
      <c r="B4825" s="16" t="s">
        <v>2713</v>
      </c>
      <c r="C4825" s="17" t="s">
        <v>19</v>
      </c>
      <c r="D4825" s="18" t="s">
        <v>2712</v>
      </c>
      <c r="E4825" s="18">
        <v>20</v>
      </c>
      <c r="F4825" s="18" t="s">
        <v>96</v>
      </c>
      <c r="G4825" s="18" t="s">
        <v>39</v>
      </c>
      <c r="H4825" s="18" t="s">
        <v>65</v>
      </c>
      <c r="I4825" s="19">
        <v>21.33</v>
      </c>
      <c r="J4825" s="40">
        <f t="shared" si="150"/>
        <v>426.59999999999997</v>
      </c>
      <c r="K4825" s="106"/>
      <c r="L4825" s="114"/>
      <c r="M4825" s="114">
        <f>tblAquisições[[#This Row],[VALOR UNITARIO COMPRADO]]*tblAquisições[[#This Row],[QUANTIDADE COMPRADA]]</f>
        <v>0</v>
      </c>
      <c r="N4825" s="110">
        <f>K4825-tblAquisições[[#This Row],[QUANTIDADE PLANEJADA]]</f>
        <v>-20</v>
      </c>
      <c r="O4825" s="106" t="str">
        <f t="shared" si="151"/>
        <v>Faltando Comprar</v>
      </c>
    </row>
    <row r="4826" spans="1:15" ht="47.25">
      <c r="A4826" s="16" t="s">
        <v>2710</v>
      </c>
      <c r="B4826" s="16" t="s">
        <v>2710</v>
      </c>
      <c r="C4826" s="17" t="s">
        <v>19</v>
      </c>
      <c r="D4826" s="18" t="s">
        <v>2714</v>
      </c>
      <c r="E4826" s="18">
        <v>5</v>
      </c>
      <c r="F4826" s="18" t="s">
        <v>96</v>
      </c>
      <c r="G4826" s="18" t="s">
        <v>39</v>
      </c>
      <c r="H4826" s="18" t="s">
        <v>23</v>
      </c>
      <c r="I4826" s="19">
        <v>6.75</v>
      </c>
      <c r="J4826" s="40">
        <f t="shared" si="150"/>
        <v>33.75</v>
      </c>
      <c r="K4826" s="106"/>
      <c r="L4826" s="114"/>
      <c r="M4826" s="114">
        <f>tblAquisições[[#This Row],[VALOR UNITARIO COMPRADO]]*tblAquisições[[#This Row],[QUANTIDADE COMPRADA]]</f>
        <v>0</v>
      </c>
      <c r="N4826" s="110">
        <f>K4826-tblAquisições[[#This Row],[QUANTIDADE PLANEJADA]]</f>
        <v>-5</v>
      </c>
      <c r="O4826" s="106" t="str">
        <f t="shared" si="151"/>
        <v>Faltando Comprar</v>
      </c>
    </row>
    <row r="4827" spans="1:15" ht="47.25">
      <c r="A4827" s="16" t="s">
        <v>2710</v>
      </c>
      <c r="B4827" s="16" t="s">
        <v>2715</v>
      </c>
      <c r="C4827" s="17" t="s">
        <v>19</v>
      </c>
      <c r="D4827" s="18" t="s">
        <v>2714</v>
      </c>
      <c r="E4827" s="18">
        <v>5</v>
      </c>
      <c r="F4827" s="18" t="s">
        <v>96</v>
      </c>
      <c r="G4827" s="18" t="s">
        <v>39</v>
      </c>
      <c r="H4827" s="18" t="s">
        <v>23</v>
      </c>
      <c r="I4827" s="19">
        <v>6.75</v>
      </c>
      <c r="J4827" s="40">
        <f t="shared" si="150"/>
        <v>33.75</v>
      </c>
      <c r="K4827" s="106"/>
      <c r="L4827" s="114"/>
      <c r="M4827" s="114">
        <f>tblAquisições[[#This Row],[VALOR UNITARIO COMPRADO]]*tblAquisições[[#This Row],[QUANTIDADE COMPRADA]]</f>
        <v>0</v>
      </c>
      <c r="N4827" s="110">
        <f>K4827-tblAquisições[[#This Row],[QUANTIDADE PLANEJADA]]</f>
        <v>-5</v>
      </c>
      <c r="O4827" s="106" t="str">
        <f t="shared" si="151"/>
        <v>Faltando Comprar</v>
      </c>
    </row>
    <row r="4828" spans="1:15" ht="47.25">
      <c r="A4828" s="16" t="s">
        <v>2710</v>
      </c>
      <c r="B4828" s="16" t="s">
        <v>2711</v>
      </c>
      <c r="C4828" s="17" t="s">
        <v>19</v>
      </c>
      <c r="D4828" s="18" t="s">
        <v>2716</v>
      </c>
      <c r="E4828" s="18">
        <v>15</v>
      </c>
      <c r="F4828" s="18" t="s">
        <v>96</v>
      </c>
      <c r="G4828" s="18" t="s">
        <v>39</v>
      </c>
      <c r="H4828" s="18" t="s">
        <v>65</v>
      </c>
      <c r="I4828" s="19">
        <v>13.66</v>
      </c>
      <c r="J4828" s="40">
        <f t="shared" si="150"/>
        <v>204.9</v>
      </c>
      <c r="K4828" s="106"/>
      <c r="L4828" s="114"/>
      <c r="M4828" s="114">
        <f>tblAquisições[[#This Row],[VALOR UNITARIO COMPRADO]]*tblAquisições[[#This Row],[QUANTIDADE COMPRADA]]</f>
        <v>0</v>
      </c>
      <c r="N4828" s="110">
        <f>K4828-tblAquisições[[#This Row],[QUANTIDADE PLANEJADA]]</f>
        <v>-15</v>
      </c>
      <c r="O4828" s="106" t="str">
        <f t="shared" si="151"/>
        <v>Faltando Comprar</v>
      </c>
    </row>
    <row r="4829" spans="1:15" ht="47.25">
      <c r="A4829" s="16" t="s">
        <v>2710</v>
      </c>
      <c r="B4829" s="16" t="s">
        <v>2713</v>
      </c>
      <c r="C4829" s="17" t="s">
        <v>19</v>
      </c>
      <c r="D4829" s="18" t="s">
        <v>2716</v>
      </c>
      <c r="E4829" s="18">
        <v>20</v>
      </c>
      <c r="F4829" s="18" t="s">
        <v>96</v>
      </c>
      <c r="G4829" s="18" t="s">
        <v>39</v>
      </c>
      <c r="H4829" s="18" t="s">
        <v>65</v>
      </c>
      <c r="I4829" s="19">
        <v>13.66</v>
      </c>
      <c r="J4829" s="40">
        <f t="shared" si="150"/>
        <v>273.2</v>
      </c>
      <c r="K4829" s="106"/>
      <c r="L4829" s="114"/>
      <c r="M4829" s="114">
        <f>tblAquisições[[#This Row],[VALOR UNITARIO COMPRADO]]*tblAquisições[[#This Row],[QUANTIDADE COMPRADA]]</f>
        <v>0</v>
      </c>
      <c r="N4829" s="110">
        <f>K4829-tblAquisições[[#This Row],[QUANTIDADE PLANEJADA]]</f>
        <v>-20</v>
      </c>
      <c r="O4829" s="106" t="str">
        <f t="shared" si="151"/>
        <v>Faltando Comprar</v>
      </c>
    </row>
    <row r="4830" spans="1:15" ht="47.25">
      <c r="A4830" s="16" t="s">
        <v>2710</v>
      </c>
      <c r="B4830" s="16" t="s">
        <v>2715</v>
      </c>
      <c r="C4830" s="17" t="s">
        <v>19</v>
      </c>
      <c r="D4830" s="18" t="s">
        <v>2717</v>
      </c>
      <c r="E4830" s="18">
        <v>10</v>
      </c>
      <c r="F4830" s="18" t="s">
        <v>96</v>
      </c>
      <c r="G4830" s="18" t="s">
        <v>39</v>
      </c>
      <c r="H4830" s="18" t="s">
        <v>23</v>
      </c>
      <c r="I4830" s="19">
        <v>7.17</v>
      </c>
      <c r="J4830" s="40">
        <f t="shared" si="150"/>
        <v>71.7</v>
      </c>
      <c r="K4830" s="106"/>
      <c r="L4830" s="114"/>
      <c r="M4830" s="114">
        <f>tblAquisições[[#This Row],[VALOR UNITARIO COMPRADO]]*tblAquisições[[#This Row],[QUANTIDADE COMPRADA]]</f>
        <v>0</v>
      </c>
      <c r="N4830" s="110">
        <f>K4830-tblAquisições[[#This Row],[QUANTIDADE PLANEJADA]]</f>
        <v>-10</v>
      </c>
      <c r="O4830" s="106" t="str">
        <f t="shared" si="151"/>
        <v>Faltando Comprar</v>
      </c>
    </row>
    <row r="4831" spans="1:15" ht="47.25">
      <c r="A4831" s="16" t="s">
        <v>2710</v>
      </c>
      <c r="B4831" s="16" t="s">
        <v>2715</v>
      </c>
      <c r="C4831" s="17" t="s">
        <v>19</v>
      </c>
      <c r="D4831" s="18" t="s">
        <v>2718</v>
      </c>
      <c r="E4831" s="18">
        <v>10</v>
      </c>
      <c r="F4831" s="18" t="s">
        <v>96</v>
      </c>
      <c r="G4831" s="18" t="s">
        <v>39</v>
      </c>
      <c r="H4831" s="18" t="s">
        <v>23</v>
      </c>
      <c r="I4831" s="19">
        <v>9.67</v>
      </c>
      <c r="J4831" s="40">
        <f t="shared" si="150"/>
        <v>96.7</v>
      </c>
      <c r="K4831" s="106"/>
      <c r="L4831" s="114"/>
      <c r="M4831" s="114">
        <f>tblAquisições[[#This Row],[VALOR UNITARIO COMPRADO]]*tblAquisições[[#This Row],[QUANTIDADE COMPRADA]]</f>
        <v>0</v>
      </c>
      <c r="N4831" s="110">
        <f>K4831-tblAquisições[[#This Row],[QUANTIDADE PLANEJADA]]</f>
        <v>-10</v>
      </c>
      <c r="O4831" s="106" t="str">
        <f t="shared" si="151"/>
        <v>Faltando Comprar</v>
      </c>
    </row>
    <row r="4832" spans="1:15" ht="47.25">
      <c r="A4832" s="16" t="s">
        <v>2710</v>
      </c>
      <c r="B4832" s="16" t="s">
        <v>2715</v>
      </c>
      <c r="C4832" s="17" t="s">
        <v>19</v>
      </c>
      <c r="D4832" s="18" t="s">
        <v>2719</v>
      </c>
      <c r="E4832" s="18">
        <v>10</v>
      </c>
      <c r="F4832" s="18" t="s">
        <v>96</v>
      </c>
      <c r="G4832" s="18" t="s">
        <v>39</v>
      </c>
      <c r="H4832" s="18" t="s">
        <v>23</v>
      </c>
      <c r="I4832" s="19">
        <v>10.61</v>
      </c>
      <c r="J4832" s="40">
        <f t="shared" si="150"/>
        <v>106.1</v>
      </c>
      <c r="K4832" s="106"/>
      <c r="L4832" s="114"/>
      <c r="M4832" s="114">
        <f>tblAquisições[[#This Row],[VALOR UNITARIO COMPRADO]]*tblAquisições[[#This Row],[QUANTIDADE COMPRADA]]</f>
        <v>0</v>
      </c>
      <c r="N4832" s="110">
        <f>K4832-tblAquisições[[#This Row],[QUANTIDADE PLANEJADA]]</f>
        <v>-10</v>
      </c>
      <c r="O4832" s="106" t="str">
        <f t="shared" si="151"/>
        <v>Faltando Comprar</v>
      </c>
    </row>
    <row r="4833" spans="1:15" ht="47.25">
      <c r="A4833" s="16" t="s">
        <v>2710</v>
      </c>
      <c r="B4833" s="16" t="s">
        <v>2710</v>
      </c>
      <c r="C4833" s="17" t="s">
        <v>19</v>
      </c>
      <c r="D4833" s="18" t="s">
        <v>2720</v>
      </c>
      <c r="E4833" s="18">
        <v>3</v>
      </c>
      <c r="F4833" s="18" t="s">
        <v>96</v>
      </c>
      <c r="G4833" s="18" t="s">
        <v>39</v>
      </c>
      <c r="H4833" s="18" t="s">
        <v>23</v>
      </c>
      <c r="I4833" s="19">
        <v>16.559999999999999</v>
      </c>
      <c r="J4833" s="40">
        <f t="shared" si="150"/>
        <v>49.679999999999993</v>
      </c>
      <c r="K4833" s="106"/>
      <c r="L4833" s="114"/>
      <c r="M4833" s="114">
        <f>tblAquisições[[#This Row],[VALOR UNITARIO COMPRADO]]*tblAquisições[[#This Row],[QUANTIDADE COMPRADA]]</f>
        <v>0</v>
      </c>
      <c r="N4833" s="110">
        <f>K4833-tblAquisições[[#This Row],[QUANTIDADE PLANEJADA]]</f>
        <v>-3</v>
      </c>
      <c r="O4833" s="106" t="str">
        <f t="shared" si="151"/>
        <v>Faltando Comprar</v>
      </c>
    </row>
    <row r="4834" spans="1:15" ht="31.5">
      <c r="A4834" s="16" t="s">
        <v>2710</v>
      </c>
      <c r="B4834" s="16" t="s">
        <v>2711</v>
      </c>
      <c r="C4834" s="17" t="s">
        <v>19</v>
      </c>
      <c r="D4834" s="18" t="s">
        <v>2721</v>
      </c>
      <c r="E4834" s="18">
        <v>2</v>
      </c>
      <c r="F4834" s="18" t="s">
        <v>38</v>
      </c>
      <c r="G4834" s="18" t="s">
        <v>39</v>
      </c>
      <c r="H4834" s="18" t="s">
        <v>23</v>
      </c>
      <c r="I4834" s="19">
        <v>587.80999999999995</v>
      </c>
      <c r="J4834" s="40">
        <f t="shared" si="150"/>
        <v>1175.6199999999999</v>
      </c>
      <c r="K4834" s="106"/>
      <c r="L4834" s="114"/>
      <c r="M4834" s="114">
        <f>tblAquisições[[#This Row],[VALOR UNITARIO COMPRADO]]*tblAquisições[[#This Row],[QUANTIDADE COMPRADA]]</f>
        <v>0</v>
      </c>
      <c r="N4834" s="110">
        <f>K4834-tblAquisições[[#This Row],[QUANTIDADE PLANEJADA]]</f>
        <v>-2</v>
      </c>
      <c r="O4834" s="106" t="str">
        <f t="shared" si="151"/>
        <v>Faltando Comprar</v>
      </c>
    </row>
    <row r="4835" spans="1:15" ht="31.5">
      <c r="A4835" s="16" t="s">
        <v>2710</v>
      </c>
      <c r="B4835" s="16" t="s">
        <v>2713</v>
      </c>
      <c r="C4835" s="17" t="s">
        <v>19</v>
      </c>
      <c r="D4835" s="18" t="s">
        <v>2721</v>
      </c>
      <c r="E4835" s="18">
        <v>2</v>
      </c>
      <c r="F4835" s="18" t="s">
        <v>38</v>
      </c>
      <c r="G4835" s="18" t="s">
        <v>39</v>
      </c>
      <c r="H4835" s="18" t="s">
        <v>23</v>
      </c>
      <c r="I4835" s="19">
        <v>587.80999999999995</v>
      </c>
      <c r="J4835" s="40">
        <f t="shared" si="150"/>
        <v>1175.6199999999999</v>
      </c>
      <c r="K4835" s="106"/>
      <c r="L4835" s="114"/>
      <c r="M4835" s="114">
        <f>tblAquisições[[#This Row],[VALOR UNITARIO COMPRADO]]*tblAquisições[[#This Row],[QUANTIDADE COMPRADA]]</f>
        <v>0</v>
      </c>
      <c r="N4835" s="110">
        <f>K4835-tblAquisições[[#This Row],[QUANTIDADE PLANEJADA]]</f>
        <v>-2</v>
      </c>
      <c r="O4835" s="106" t="str">
        <f t="shared" si="151"/>
        <v>Faltando Comprar</v>
      </c>
    </row>
    <row r="4836" spans="1:15" ht="31.5">
      <c r="A4836" s="16" t="s">
        <v>2710</v>
      </c>
      <c r="B4836" s="16" t="s">
        <v>2711</v>
      </c>
      <c r="C4836" s="17" t="s">
        <v>19</v>
      </c>
      <c r="D4836" s="18" t="s">
        <v>93</v>
      </c>
      <c r="E4836" s="18">
        <v>2</v>
      </c>
      <c r="F4836" s="18" t="s">
        <v>38</v>
      </c>
      <c r="G4836" s="18" t="s">
        <v>39</v>
      </c>
      <c r="H4836" s="18" t="s">
        <v>23</v>
      </c>
      <c r="I4836" s="19">
        <v>23.82</v>
      </c>
      <c r="J4836" s="40">
        <f t="shared" si="150"/>
        <v>47.64</v>
      </c>
      <c r="K4836" s="106"/>
      <c r="L4836" s="114"/>
      <c r="M4836" s="114">
        <f>tblAquisições[[#This Row],[VALOR UNITARIO COMPRADO]]*tblAquisições[[#This Row],[QUANTIDADE COMPRADA]]</f>
        <v>0</v>
      </c>
      <c r="N4836" s="110">
        <f>K4836-tblAquisições[[#This Row],[QUANTIDADE PLANEJADA]]</f>
        <v>-2</v>
      </c>
      <c r="O4836" s="106" t="str">
        <f t="shared" si="151"/>
        <v>Faltando Comprar</v>
      </c>
    </row>
    <row r="4837" spans="1:15" ht="31.5">
      <c r="A4837" s="16" t="s">
        <v>2710</v>
      </c>
      <c r="B4837" s="16" t="s">
        <v>2722</v>
      </c>
      <c r="C4837" s="17" t="s">
        <v>19</v>
      </c>
      <c r="D4837" s="18" t="s">
        <v>93</v>
      </c>
      <c r="E4837" s="18">
        <v>3</v>
      </c>
      <c r="F4837" s="18" t="s">
        <v>38</v>
      </c>
      <c r="G4837" s="18" t="s">
        <v>39</v>
      </c>
      <c r="H4837" s="18" t="s">
        <v>23</v>
      </c>
      <c r="I4837" s="19">
        <v>23.82</v>
      </c>
      <c r="J4837" s="40">
        <f t="shared" si="150"/>
        <v>71.460000000000008</v>
      </c>
      <c r="K4837" s="106"/>
      <c r="L4837" s="114"/>
      <c r="M4837" s="114">
        <f>tblAquisições[[#This Row],[VALOR UNITARIO COMPRADO]]*tblAquisições[[#This Row],[QUANTIDADE COMPRADA]]</f>
        <v>0</v>
      </c>
      <c r="N4837" s="110">
        <f>K4837-tblAquisições[[#This Row],[QUANTIDADE PLANEJADA]]</f>
        <v>-3</v>
      </c>
      <c r="O4837" s="106" t="str">
        <f t="shared" si="151"/>
        <v>Faltando Comprar</v>
      </c>
    </row>
    <row r="4838" spans="1:15" ht="47.25">
      <c r="A4838" s="16" t="s">
        <v>2710</v>
      </c>
      <c r="B4838" s="16" t="s">
        <v>2710</v>
      </c>
      <c r="C4838" s="17" t="s">
        <v>19</v>
      </c>
      <c r="D4838" s="18" t="s">
        <v>2723</v>
      </c>
      <c r="E4838" s="18">
        <v>5</v>
      </c>
      <c r="F4838" s="18" t="s">
        <v>96</v>
      </c>
      <c r="G4838" s="18" t="s">
        <v>39</v>
      </c>
      <c r="H4838" s="18" t="s">
        <v>65</v>
      </c>
      <c r="I4838" s="24">
        <v>10.050000000000001</v>
      </c>
      <c r="J4838" s="40">
        <f t="shared" si="150"/>
        <v>50.25</v>
      </c>
      <c r="K4838" s="106"/>
      <c r="L4838" s="114"/>
      <c r="M4838" s="114">
        <f>tblAquisições[[#This Row],[VALOR UNITARIO COMPRADO]]*tblAquisições[[#This Row],[QUANTIDADE COMPRADA]]</f>
        <v>0</v>
      </c>
      <c r="N4838" s="110">
        <f>K4838-tblAquisições[[#This Row],[QUANTIDADE PLANEJADA]]</f>
        <v>-5</v>
      </c>
      <c r="O4838" s="106" t="str">
        <f t="shared" si="151"/>
        <v>Faltando Comprar</v>
      </c>
    </row>
    <row r="4839" spans="1:15" ht="47.25">
      <c r="A4839" s="16" t="s">
        <v>2710</v>
      </c>
      <c r="B4839" s="16" t="s">
        <v>2710</v>
      </c>
      <c r="C4839" s="17" t="s">
        <v>19</v>
      </c>
      <c r="D4839" s="18" t="s">
        <v>2724</v>
      </c>
      <c r="E4839" s="18">
        <v>5</v>
      </c>
      <c r="F4839" s="18" t="s">
        <v>96</v>
      </c>
      <c r="G4839" s="18" t="s">
        <v>39</v>
      </c>
      <c r="H4839" s="18" t="s">
        <v>23</v>
      </c>
      <c r="I4839" s="19">
        <v>11.35</v>
      </c>
      <c r="J4839" s="40">
        <f t="shared" si="150"/>
        <v>56.75</v>
      </c>
      <c r="K4839" s="106"/>
      <c r="L4839" s="114"/>
      <c r="M4839" s="114">
        <f>tblAquisições[[#This Row],[VALOR UNITARIO COMPRADO]]*tblAquisições[[#This Row],[QUANTIDADE COMPRADA]]</f>
        <v>0</v>
      </c>
      <c r="N4839" s="110">
        <f>K4839-tblAquisições[[#This Row],[QUANTIDADE PLANEJADA]]</f>
        <v>-5</v>
      </c>
      <c r="O4839" s="106" t="str">
        <f t="shared" si="151"/>
        <v>Faltando Comprar</v>
      </c>
    </row>
    <row r="4840" spans="1:15" ht="47.25">
      <c r="A4840" s="16" t="s">
        <v>2710</v>
      </c>
      <c r="B4840" s="16" t="s">
        <v>2711</v>
      </c>
      <c r="C4840" s="17" t="s">
        <v>19</v>
      </c>
      <c r="D4840" s="18" t="s">
        <v>2725</v>
      </c>
      <c r="E4840" s="18">
        <v>3</v>
      </c>
      <c r="F4840" s="18" t="s">
        <v>96</v>
      </c>
      <c r="G4840" s="18" t="s">
        <v>39</v>
      </c>
      <c r="H4840" s="18" t="s">
        <v>23</v>
      </c>
      <c r="I4840" s="19">
        <v>7.52</v>
      </c>
      <c r="J4840" s="40">
        <f t="shared" si="150"/>
        <v>22.56</v>
      </c>
      <c r="K4840" s="106"/>
      <c r="L4840" s="114"/>
      <c r="M4840" s="114">
        <f>tblAquisições[[#This Row],[VALOR UNITARIO COMPRADO]]*tblAquisições[[#This Row],[QUANTIDADE COMPRADA]]</f>
        <v>0</v>
      </c>
      <c r="N4840" s="110">
        <f>K4840-tblAquisições[[#This Row],[QUANTIDADE PLANEJADA]]</f>
        <v>-3</v>
      </c>
      <c r="O4840" s="106" t="str">
        <f t="shared" si="151"/>
        <v>Faltando Comprar</v>
      </c>
    </row>
    <row r="4841" spans="1:15" ht="47.25">
      <c r="A4841" s="16" t="s">
        <v>2710</v>
      </c>
      <c r="B4841" s="16" t="s">
        <v>2722</v>
      </c>
      <c r="C4841" s="17" t="s">
        <v>19</v>
      </c>
      <c r="D4841" s="18" t="s">
        <v>2725</v>
      </c>
      <c r="E4841" s="18">
        <v>3</v>
      </c>
      <c r="F4841" s="18" t="s">
        <v>96</v>
      </c>
      <c r="G4841" s="18" t="s">
        <v>39</v>
      </c>
      <c r="H4841" s="18" t="s">
        <v>23</v>
      </c>
      <c r="I4841" s="19">
        <v>7.52</v>
      </c>
      <c r="J4841" s="40">
        <f t="shared" si="150"/>
        <v>22.56</v>
      </c>
      <c r="K4841" s="106"/>
      <c r="L4841" s="114"/>
      <c r="M4841" s="114">
        <f>tblAquisições[[#This Row],[VALOR UNITARIO COMPRADO]]*tblAquisições[[#This Row],[QUANTIDADE COMPRADA]]</f>
        <v>0</v>
      </c>
      <c r="N4841" s="110">
        <f>K4841-tblAquisições[[#This Row],[QUANTIDADE PLANEJADA]]</f>
        <v>-3</v>
      </c>
      <c r="O4841" s="106" t="str">
        <f t="shared" si="151"/>
        <v>Faltando Comprar</v>
      </c>
    </row>
    <row r="4842" spans="1:15" ht="47.25">
      <c r="A4842" s="16" t="s">
        <v>2710</v>
      </c>
      <c r="B4842" s="16" t="s">
        <v>2711</v>
      </c>
      <c r="C4842" s="17" t="s">
        <v>19</v>
      </c>
      <c r="D4842" s="18" t="s">
        <v>2726</v>
      </c>
      <c r="E4842" s="18">
        <v>10</v>
      </c>
      <c r="F4842" s="18" t="s">
        <v>96</v>
      </c>
      <c r="G4842" s="18" t="s">
        <v>39</v>
      </c>
      <c r="H4842" s="18" t="s">
        <v>65</v>
      </c>
      <c r="I4842" s="19">
        <v>19.75</v>
      </c>
      <c r="J4842" s="40">
        <f t="shared" si="150"/>
        <v>197.5</v>
      </c>
      <c r="K4842" s="106"/>
      <c r="L4842" s="114"/>
      <c r="M4842" s="114">
        <f>tblAquisições[[#This Row],[VALOR UNITARIO COMPRADO]]*tblAquisições[[#This Row],[QUANTIDADE COMPRADA]]</f>
        <v>0</v>
      </c>
      <c r="N4842" s="110">
        <f>K4842-tblAquisições[[#This Row],[QUANTIDADE PLANEJADA]]</f>
        <v>-10</v>
      </c>
      <c r="O4842" s="106" t="str">
        <f t="shared" si="151"/>
        <v>Faltando Comprar</v>
      </c>
    </row>
    <row r="4843" spans="1:15" ht="47.25">
      <c r="A4843" s="16" t="s">
        <v>2710</v>
      </c>
      <c r="B4843" s="16" t="s">
        <v>2713</v>
      </c>
      <c r="C4843" s="17" t="s">
        <v>19</v>
      </c>
      <c r="D4843" s="18" t="s">
        <v>2726</v>
      </c>
      <c r="E4843" s="18">
        <v>20</v>
      </c>
      <c r="F4843" s="18" t="s">
        <v>96</v>
      </c>
      <c r="G4843" s="18" t="s">
        <v>39</v>
      </c>
      <c r="H4843" s="18" t="s">
        <v>65</v>
      </c>
      <c r="I4843" s="19">
        <v>19.75</v>
      </c>
      <c r="J4843" s="40">
        <f t="shared" si="150"/>
        <v>395</v>
      </c>
      <c r="K4843" s="106"/>
      <c r="L4843" s="114"/>
      <c r="M4843" s="114">
        <f>tblAquisições[[#This Row],[VALOR UNITARIO COMPRADO]]*tblAquisições[[#This Row],[QUANTIDADE COMPRADA]]</f>
        <v>0</v>
      </c>
      <c r="N4843" s="110">
        <f>K4843-tblAquisições[[#This Row],[QUANTIDADE PLANEJADA]]</f>
        <v>-20</v>
      </c>
      <c r="O4843" s="106" t="str">
        <f t="shared" si="151"/>
        <v>Faltando Comprar</v>
      </c>
    </row>
    <row r="4844" spans="1:15" ht="47.25">
      <c r="A4844" s="16" t="s">
        <v>2710</v>
      </c>
      <c r="B4844" s="16" t="s">
        <v>2711</v>
      </c>
      <c r="C4844" s="17" t="s">
        <v>19</v>
      </c>
      <c r="D4844" s="18" t="s">
        <v>2727</v>
      </c>
      <c r="E4844" s="18">
        <v>10</v>
      </c>
      <c r="F4844" s="18" t="s">
        <v>96</v>
      </c>
      <c r="G4844" s="18" t="s">
        <v>39</v>
      </c>
      <c r="H4844" s="18" t="s">
        <v>65</v>
      </c>
      <c r="I4844" s="19">
        <v>26.9</v>
      </c>
      <c r="J4844" s="40">
        <f t="shared" si="150"/>
        <v>269</v>
      </c>
      <c r="K4844" s="106"/>
      <c r="L4844" s="114"/>
      <c r="M4844" s="114">
        <f>tblAquisições[[#This Row],[VALOR UNITARIO COMPRADO]]*tblAquisições[[#This Row],[QUANTIDADE COMPRADA]]</f>
        <v>0</v>
      </c>
      <c r="N4844" s="110">
        <f>K4844-tblAquisições[[#This Row],[QUANTIDADE PLANEJADA]]</f>
        <v>-10</v>
      </c>
      <c r="O4844" s="106" t="str">
        <f t="shared" si="151"/>
        <v>Faltando Comprar</v>
      </c>
    </row>
    <row r="4845" spans="1:15" ht="47.25">
      <c r="A4845" s="16" t="s">
        <v>2710</v>
      </c>
      <c r="B4845" s="16" t="s">
        <v>2713</v>
      </c>
      <c r="C4845" s="17" t="s">
        <v>19</v>
      </c>
      <c r="D4845" s="18" t="s">
        <v>2727</v>
      </c>
      <c r="E4845" s="18">
        <v>20</v>
      </c>
      <c r="F4845" s="18" t="s">
        <v>96</v>
      </c>
      <c r="G4845" s="18" t="s">
        <v>39</v>
      </c>
      <c r="H4845" s="18" t="s">
        <v>65</v>
      </c>
      <c r="I4845" s="19">
        <v>26.9</v>
      </c>
      <c r="J4845" s="40">
        <f t="shared" si="150"/>
        <v>538</v>
      </c>
      <c r="K4845" s="106"/>
      <c r="L4845" s="114"/>
      <c r="M4845" s="114">
        <f>tblAquisições[[#This Row],[VALOR UNITARIO COMPRADO]]*tblAquisições[[#This Row],[QUANTIDADE COMPRADA]]</f>
        <v>0</v>
      </c>
      <c r="N4845" s="110">
        <f>K4845-tblAquisições[[#This Row],[QUANTIDADE PLANEJADA]]</f>
        <v>-20</v>
      </c>
      <c r="O4845" s="106" t="str">
        <f t="shared" si="151"/>
        <v>Faltando Comprar</v>
      </c>
    </row>
    <row r="4846" spans="1:15" ht="47.25">
      <c r="A4846" s="16" t="s">
        <v>2710</v>
      </c>
      <c r="B4846" s="16" t="s">
        <v>2710</v>
      </c>
      <c r="C4846" s="17" t="s">
        <v>19</v>
      </c>
      <c r="D4846" s="18" t="s">
        <v>2728</v>
      </c>
      <c r="E4846" s="18">
        <v>5</v>
      </c>
      <c r="F4846" s="18" t="s">
        <v>96</v>
      </c>
      <c r="G4846" s="18" t="s">
        <v>39</v>
      </c>
      <c r="H4846" s="18" t="s">
        <v>23</v>
      </c>
      <c r="I4846" s="19">
        <v>7.06</v>
      </c>
      <c r="J4846" s="40">
        <f t="shared" si="150"/>
        <v>35.299999999999997</v>
      </c>
      <c r="K4846" s="106"/>
      <c r="L4846" s="114"/>
      <c r="M4846" s="114">
        <f>tblAquisições[[#This Row],[VALOR UNITARIO COMPRADO]]*tblAquisições[[#This Row],[QUANTIDADE COMPRADA]]</f>
        <v>0</v>
      </c>
      <c r="N4846" s="110">
        <f>K4846-tblAquisições[[#This Row],[QUANTIDADE PLANEJADA]]</f>
        <v>-5</v>
      </c>
      <c r="O4846" s="106" t="str">
        <f t="shared" si="151"/>
        <v>Faltando Comprar</v>
      </c>
    </row>
    <row r="4847" spans="1:15" ht="47.25">
      <c r="A4847" s="16" t="s">
        <v>2710</v>
      </c>
      <c r="B4847" s="16" t="s">
        <v>2711</v>
      </c>
      <c r="C4847" s="17" t="s">
        <v>19</v>
      </c>
      <c r="D4847" s="18" t="s">
        <v>2729</v>
      </c>
      <c r="E4847" s="18">
        <v>5</v>
      </c>
      <c r="F4847" s="18" t="s">
        <v>96</v>
      </c>
      <c r="G4847" s="18" t="s">
        <v>39</v>
      </c>
      <c r="H4847" s="18" t="s">
        <v>23</v>
      </c>
      <c r="I4847" s="19">
        <v>22.33</v>
      </c>
      <c r="J4847" s="40">
        <f t="shared" si="150"/>
        <v>111.64999999999999</v>
      </c>
      <c r="K4847" s="106"/>
      <c r="L4847" s="114"/>
      <c r="M4847" s="114">
        <f>tblAquisições[[#This Row],[VALOR UNITARIO COMPRADO]]*tblAquisições[[#This Row],[QUANTIDADE COMPRADA]]</f>
        <v>0</v>
      </c>
      <c r="N4847" s="110">
        <f>K4847-tblAquisições[[#This Row],[QUANTIDADE PLANEJADA]]</f>
        <v>-5</v>
      </c>
      <c r="O4847" s="106" t="str">
        <f t="shared" si="151"/>
        <v>Faltando Comprar</v>
      </c>
    </row>
    <row r="4848" spans="1:15" ht="47.25">
      <c r="A4848" s="16" t="s">
        <v>2710</v>
      </c>
      <c r="B4848" s="16" t="s">
        <v>2715</v>
      </c>
      <c r="C4848" s="17" t="s">
        <v>19</v>
      </c>
      <c r="D4848" s="18" t="s">
        <v>2729</v>
      </c>
      <c r="E4848" s="18">
        <v>5</v>
      </c>
      <c r="F4848" s="18" t="s">
        <v>96</v>
      </c>
      <c r="G4848" s="18" t="s">
        <v>39</v>
      </c>
      <c r="H4848" s="18" t="s">
        <v>23</v>
      </c>
      <c r="I4848" s="19">
        <v>22.33</v>
      </c>
      <c r="J4848" s="40">
        <f t="shared" si="150"/>
        <v>111.64999999999999</v>
      </c>
      <c r="K4848" s="106"/>
      <c r="L4848" s="114"/>
      <c r="M4848" s="114">
        <f>tblAquisições[[#This Row],[VALOR UNITARIO COMPRADO]]*tblAquisições[[#This Row],[QUANTIDADE COMPRADA]]</f>
        <v>0</v>
      </c>
      <c r="N4848" s="110">
        <f>K4848-tblAquisições[[#This Row],[QUANTIDADE PLANEJADA]]</f>
        <v>-5</v>
      </c>
      <c r="O4848" s="106" t="str">
        <f t="shared" si="151"/>
        <v>Faltando Comprar</v>
      </c>
    </row>
    <row r="4849" spans="1:15" ht="47.25">
      <c r="A4849" s="16" t="s">
        <v>2710</v>
      </c>
      <c r="B4849" s="16" t="s">
        <v>2710</v>
      </c>
      <c r="C4849" s="17" t="s">
        <v>19</v>
      </c>
      <c r="D4849" s="18" t="s">
        <v>2730</v>
      </c>
      <c r="E4849" s="18">
        <v>2</v>
      </c>
      <c r="F4849" s="18" t="s">
        <v>96</v>
      </c>
      <c r="G4849" s="18" t="s">
        <v>39</v>
      </c>
      <c r="H4849" s="18" t="s">
        <v>65</v>
      </c>
      <c r="I4849" s="24">
        <v>295.64999999999998</v>
      </c>
      <c r="J4849" s="40">
        <f t="shared" si="150"/>
        <v>591.29999999999995</v>
      </c>
      <c r="K4849" s="106"/>
      <c r="L4849" s="114"/>
      <c r="M4849" s="114">
        <f>tblAquisições[[#This Row],[VALOR UNITARIO COMPRADO]]*tblAquisições[[#This Row],[QUANTIDADE COMPRADA]]</f>
        <v>0</v>
      </c>
      <c r="N4849" s="110">
        <f>K4849-tblAquisições[[#This Row],[QUANTIDADE PLANEJADA]]</f>
        <v>-2</v>
      </c>
      <c r="O4849" s="106" t="str">
        <f t="shared" si="151"/>
        <v>Faltando Comprar</v>
      </c>
    </row>
    <row r="4850" spans="1:15" ht="47.25">
      <c r="A4850" s="16" t="s">
        <v>2710</v>
      </c>
      <c r="B4850" s="16" t="s">
        <v>2710</v>
      </c>
      <c r="C4850" s="17" t="s">
        <v>19</v>
      </c>
      <c r="D4850" s="18" t="s">
        <v>2731</v>
      </c>
      <c r="E4850" s="18">
        <v>20</v>
      </c>
      <c r="F4850" s="18" t="s">
        <v>96</v>
      </c>
      <c r="G4850" s="18" t="s">
        <v>39</v>
      </c>
      <c r="H4850" s="18" t="s">
        <v>65</v>
      </c>
      <c r="I4850" s="24">
        <v>20.190000000000001</v>
      </c>
      <c r="J4850" s="40">
        <f t="shared" si="150"/>
        <v>403.8</v>
      </c>
      <c r="K4850" s="106"/>
      <c r="L4850" s="114"/>
      <c r="M4850" s="114">
        <f>tblAquisições[[#This Row],[VALOR UNITARIO COMPRADO]]*tblAquisições[[#This Row],[QUANTIDADE COMPRADA]]</f>
        <v>0</v>
      </c>
      <c r="N4850" s="110">
        <f>K4850-tblAquisições[[#This Row],[QUANTIDADE PLANEJADA]]</f>
        <v>-20</v>
      </c>
      <c r="O4850" s="106" t="str">
        <f t="shared" si="151"/>
        <v>Faltando Comprar</v>
      </c>
    </row>
    <row r="4851" spans="1:15" ht="47.25">
      <c r="A4851" s="16" t="s">
        <v>2710</v>
      </c>
      <c r="B4851" s="16" t="s">
        <v>2711</v>
      </c>
      <c r="C4851" s="17" t="s">
        <v>19</v>
      </c>
      <c r="D4851" s="18" t="s">
        <v>2731</v>
      </c>
      <c r="E4851" s="18">
        <v>10</v>
      </c>
      <c r="F4851" s="18" t="s">
        <v>96</v>
      </c>
      <c r="G4851" s="18" t="s">
        <v>39</v>
      </c>
      <c r="H4851" s="18" t="s">
        <v>65</v>
      </c>
      <c r="I4851" s="24">
        <v>20.190000000000001</v>
      </c>
      <c r="J4851" s="40">
        <f t="shared" si="150"/>
        <v>201.9</v>
      </c>
      <c r="K4851" s="106"/>
      <c r="L4851" s="114"/>
      <c r="M4851" s="114">
        <f>tblAquisições[[#This Row],[VALOR UNITARIO COMPRADO]]*tblAquisições[[#This Row],[QUANTIDADE COMPRADA]]</f>
        <v>0</v>
      </c>
      <c r="N4851" s="110">
        <f>K4851-tblAquisições[[#This Row],[QUANTIDADE PLANEJADA]]</f>
        <v>-10</v>
      </c>
      <c r="O4851" s="106" t="str">
        <f t="shared" si="151"/>
        <v>Faltando Comprar</v>
      </c>
    </row>
    <row r="4852" spans="1:15" ht="47.25">
      <c r="A4852" s="16" t="s">
        <v>2710</v>
      </c>
      <c r="B4852" s="16" t="s">
        <v>2722</v>
      </c>
      <c r="C4852" s="17" t="s">
        <v>19</v>
      </c>
      <c r="D4852" s="18" t="s">
        <v>2731</v>
      </c>
      <c r="E4852" s="18">
        <v>6</v>
      </c>
      <c r="F4852" s="18" t="s">
        <v>96</v>
      </c>
      <c r="G4852" s="18" t="s">
        <v>39</v>
      </c>
      <c r="H4852" s="18" t="s">
        <v>65</v>
      </c>
      <c r="I4852" s="24">
        <v>20.190000000000001</v>
      </c>
      <c r="J4852" s="40">
        <f t="shared" si="150"/>
        <v>121.14000000000001</v>
      </c>
      <c r="K4852" s="106"/>
      <c r="L4852" s="114"/>
      <c r="M4852" s="114">
        <f>tblAquisições[[#This Row],[VALOR UNITARIO COMPRADO]]*tblAquisições[[#This Row],[QUANTIDADE COMPRADA]]</f>
        <v>0</v>
      </c>
      <c r="N4852" s="110">
        <f>K4852-tblAquisições[[#This Row],[QUANTIDADE PLANEJADA]]</f>
        <v>-6</v>
      </c>
      <c r="O4852" s="106" t="str">
        <f t="shared" si="151"/>
        <v>Faltando Comprar</v>
      </c>
    </row>
    <row r="4853" spans="1:15" ht="47.25">
      <c r="A4853" s="16" t="s">
        <v>2710</v>
      </c>
      <c r="B4853" s="16" t="s">
        <v>2713</v>
      </c>
      <c r="C4853" s="17" t="s">
        <v>19</v>
      </c>
      <c r="D4853" s="18" t="s">
        <v>2731</v>
      </c>
      <c r="E4853" s="18">
        <v>20</v>
      </c>
      <c r="F4853" s="18" t="s">
        <v>96</v>
      </c>
      <c r="G4853" s="18" t="s">
        <v>39</v>
      </c>
      <c r="H4853" s="18" t="s">
        <v>65</v>
      </c>
      <c r="I4853" s="24">
        <v>20.190000000000001</v>
      </c>
      <c r="J4853" s="40">
        <f t="shared" si="150"/>
        <v>403.8</v>
      </c>
      <c r="K4853" s="106"/>
      <c r="L4853" s="114"/>
      <c r="M4853" s="114">
        <f>tblAquisições[[#This Row],[VALOR UNITARIO COMPRADO]]*tblAquisições[[#This Row],[QUANTIDADE COMPRADA]]</f>
        <v>0</v>
      </c>
      <c r="N4853" s="110">
        <f>K4853-tblAquisições[[#This Row],[QUANTIDADE PLANEJADA]]</f>
        <v>-20</v>
      </c>
      <c r="O4853" s="106" t="str">
        <f t="shared" si="151"/>
        <v>Faltando Comprar</v>
      </c>
    </row>
    <row r="4854" spans="1:15" ht="47.25">
      <c r="A4854" s="16" t="s">
        <v>2710</v>
      </c>
      <c r="B4854" s="16" t="s">
        <v>2711</v>
      </c>
      <c r="C4854" s="17" t="s">
        <v>19</v>
      </c>
      <c r="D4854" s="18" t="s">
        <v>2732</v>
      </c>
      <c r="E4854" s="18">
        <v>7</v>
      </c>
      <c r="F4854" s="18" t="s">
        <v>96</v>
      </c>
      <c r="G4854" s="18" t="s">
        <v>39</v>
      </c>
      <c r="H4854" s="18" t="s">
        <v>23</v>
      </c>
      <c r="I4854" s="19">
        <v>44.34</v>
      </c>
      <c r="J4854" s="40">
        <f t="shared" si="150"/>
        <v>310.38</v>
      </c>
      <c r="K4854" s="106"/>
      <c r="L4854" s="114"/>
      <c r="M4854" s="114">
        <f>tblAquisições[[#This Row],[VALOR UNITARIO COMPRADO]]*tblAquisições[[#This Row],[QUANTIDADE COMPRADA]]</f>
        <v>0</v>
      </c>
      <c r="N4854" s="110">
        <f>K4854-tblAquisições[[#This Row],[QUANTIDADE PLANEJADA]]</f>
        <v>-7</v>
      </c>
      <c r="O4854" s="106" t="str">
        <f t="shared" si="151"/>
        <v>Faltando Comprar</v>
      </c>
    </row>
    <row r="4855" spans="1:15" ht="47.25">
      <c r="A4855" s="16" t="s">
        <v>2710</v>
      </c>
      <c r="B4855" s="16" t="s">
        <v>2713</v>
      </c>
      <c r="C4855" s="17" t="s">
        <v>19</v>
      </c>
      <c r="D4855" s="18" t="s">
        <v>2732</v>
      </c>
      <c r="E4855" s="18">
        <v>4</v>
      </c>
      <c r="F4855" s="18" t="s">
        <v>96</v>
      </c>
      <c r="G4855" s="18" t="s">
        <v>39</v>
      </c>
      <c r="H4855" s="18" t="s">
        <v>23</v>
      </c>
      <c r="I4855" s="19">
        <v>44.34</v>
      </c>
      <c r="J4855" s="40">
        <f t="shared" si="150"/>
        <v>177.36</v>
      </c>
      <c r="K4855" s="106"/>
      <c r="L4855" s="114"/>
      <c r="M4855" s="114">
        <f>tblAquisições[[#This Row],[VALOR UNITARIO COMPRADO]]*tblAquisições[[#This Row],[QUANTIDADE COMPRADA]]</f>
        <v>0</v>
      </c>
      <c r="N4855" s="110">
        <f>K4855-tblAquisições[[#This Row],[QUANTIDADE PLANEJADA]]</f>
        <v>-4</v>
      </c>
      <c r="O4855" s="106" t="str">
        <f t="shared" si="151"/>
        <v>Faltando Comprar</v>
      </c>
    </row>
    <row r="4856" spans="1:15" ht="47.25">
      <c r="A4856" s="16" t="s">
        <v>2710</v>
      </c>
      <c r="B4856" s="16" t="s">
        <v>2710</v>
      </c>
      <c r="C4856" s="17" t="s">
        <v>19</v>
      </c>
      <c r="D4856" s="18" t="s">
        <v>2733</v>
      </c>
      <c r="E4856" s="18">
        <v>6</v>
      </c>
      <c r="F4856" s="18" t="s">
        <v>96</v>
      </c>
      <c r="G4856" s="18" t="s">
        <v>39</v>
      </c>
      <c r="H4856" s="18" t="s">
        <v>23</v>
      </c>
      <c r="I4856" s="19">
        <v>6.46</v>
      </c>
      <c r="J4856" s="40">
        <f t="shared" si="150"/>
        <v>38.76</v>
      </c>
      <c r="K4856" s="106"/>
      <c r="L4856" s="114"/>
      <c r="M4856" s="114">
        <f>tblAquisições[[#This Row],[VALOR UNITARIO COMPRADO]]*tblAquisições[[#This Row],[QUANTIDADE COMPRADA]]</f>
        <v>0</v>
      </c>
      <c r="N4856" s="110">
        <f>K4856-tblAquisições[[#This Row],[QUANTIDADE PLANEJADA]]</f>
        <v>-6</v>
      </c>
      <c r="O4856" s="106" t="str">
        <f t="shared" si="151"/>
        <v>Faltando Comprar</v>
      </c>
    </row>
    <row r="4857" spans="1:15" ht="47.25">
      <c r="A4857" s="16" t="s">
        <v>2710</v>
      </c>
      <c r="B4857" s="16" t="s">
        <v>2711</v>
      </c>
      <c r="C4857" s="17" t="s">
        <v>19</v>
      </c>
      <c r="D4857" s="18" t="s">
        <v>2734</v>
      </c>
      <c r="E4857" s="18">
        <v>5</v>
      </c>
      <c r="F4857" s="18" t="s">
        <v>96</v>
      </c>
      <c r="G4857" s="18" t="s">
        <v>39</v>
      </c>
      <c r="H4857" s="18" t="s">
        <v>65</v>
      </c>
      <c r="I4857" s="19">
        <v>3.71</v>
      </c>
      <c r="J4857" s="40">
        <f t="shared" si="150"/>
        <v>18.55</v>
      </c>
      <c r="K4857" s="106"/>
      <c r="L4857" s="114"/>
      <c r="M4857" s="114">
        <f>tblAquisições[[#This Row],[VALOR UNITARIO COMPRADO]]*tblAquisições[[#This Row],[QUANTIDADE COMPRADA]]</f>
        <v>0</v>
      </c>
      <c r="N4857" s="110">
        <f>K4857-tblAquisições[[#This Row],[QUANTIDADE PLANEJADA]]</f>
        <v>-5</v>
      </c>
      <c r="O4857" s="106" t="str">
        <f t="shared" si="151"/>
        <v>Faltando Comprar</v>
      </c>
    </row>
    <row r="4858" spans="1:15" ht="47.25">
      <c r="A4858" s="16" t="s">
        <v>2710</v>
      </c>
      <c r="B4858" s="16" t="s">
        <v>2722</v>
      </c>
      <c r="C4858" s="17" t="s">
        <v>19</v>
      </c>
      <c r="D4858" s="18" t="s">
        <v>2734</v>
      </c>
      <c r="E4858" s="18">
        <v>3</v>
      </c>
      <c r="F4858" s="18" t="s">
        <v>96</v>
      </c>
      <c r="G4858" s="18" t="s">
        <v>39</v>
      </c>
      <c r="H4858" s="18" t="s">
        <v>65</v>
      </c>
      <c r="I4858" s="19">
        <v>3.71</v>
      </c>
      <c r="J4858" s="40">
        <f t="shared" si="150"/>
        <v>11.129999999999999</v>
      </c>
      <c r="K4858" s="106"/>
      <c r="L4858" s="114"/>
      <c r="M4858" s="114">
        <f>tblAquisições[[#This Row],[VALOR UNITARIO COMPRADO]]*tblAquisições[[#This Row],[QUANTIDADE COMPRADA]]</f>
        <v>0</v>
      </c>
      <c r="N4858" s="110">
        <f>K4858-tblAquisições[[#This Row],[QUANTIDADE PLANEJADA]]</f>
        <v>-3</v>
      </c>
      <c r="O4858" s="106" t="str">
        <f t="shared" si="151"/>
        <v>Faltando Comprar</v>
      </c>
    </row>
    <row r="4859" spans="1:15" ht="47.25">
      <c r="A4859" s="16" t="s">
        <v>2710</v>
      </c>
      <c r="B4859" s="16" t="s">
        <v>2722</v>
      </c>
      <c r="C4859" s="17" t="s">
        <v>19</v>
      </c>
      <c r="D4859" s="18" t="s">
        <v>2735</v>
      </c>
      <c r="E4859" s="18">
        <v>6</v>
      </c>
      <c r="F4859" s="18" t="s">
        <v>147</v>
      </c>
      <c r="G4859" s="18" t="s">
        <v>39</v>
      </c>
      <c r="H4859" s="18" t="s">
        <v>23</v>
      </c>
      <c r="I4859" s="19">
        <v>6.58</v>
      </c>
      <c r="J4859" s="40">
        <f t="shared" si="150"/>
        <v>39.480000000000004</v>
      </c>
      <c r="K4859" s="106"/>
      <c r="L4859" s="114"/>
      <c r="M4859" s="114">
        <f>tblAquisições[[#This Row],[VALOR UNITARIO COMPRADO]]*tblAquisições[[#This Row],[QUANTIDADE COMPRADA]]</f>
        <v>0</v>
      </c>
      <c r="N4859" s="110">
        <f>K4859-tblAquisições[[#This Row],[QUANTIDADE PLANEJADA]]</f>
        <v>-6</v>
      </c>
      <c r="O4859" s="106" t="str">
        <f t="shared" si="151"/>
        <v>Faltando Comprar</v>
      </c>
    </row>
    <row r="4860" spans="1:15" ht="47.25">
      <c r="A4860" s="16" t="s">
        <v>2710</v>
      </c>
      <c r="B4860" s="16" t="s">
        <v>2711</v>
      </c>
      <c r="C4860" s="17" t="s">
        <v>19</v>
      </c>
      <c r="D4860" s="18" t="s">
        <v>2736</v>
      </c>
      <c r="E4860" s="18">
        <v>2</v>
      </c>
      <c r="F4860" s="18" t="s">
        <v>96</v>
      </c>
      <c r="G4860" s="18" t="s">
        <v>39</v>
      </c>
      <c r="H4860" s="18" t="s">
        <v>23</v>
      </c>
      <c r="I4860" s="19">
        <v>26.91</v>
      </c>
      <c r="J4860" s="40">
        <f t="shared" si="150"/>
        <v>53.82</v>
      </c>
      <c r="K4860" s="106"/>
      <c r="L4860" s="114"/>
      <c r="M4860" s="114">
        <f>tblAquisições[[#This Row],[VALOR UNITARIO COMPRADO]]*tblAquisições[[#This Row],[QUANTIDADE COMPRADA]]</f>
        <v>0</v>
      </c>
      <c r="N4860" s="110">
        <f>K4860-tblAquisições[[#This Row],[QUANTIDADE PLANEJADA]]</f>
        <v>-2</v>
      </c>
      <c r="O4860" s="106" t="str">
        <f t="shared" si="151"/>
        <v>Faltando Comprar</v>
      </c>
    </row>
    <row r="4861" spans="1:15" ht="47.25">
      <c r="A4861" s="16" t="s">
        <v>2710</v>
      </c>
      <c r="B4861" s="16" t="s">
        <v>2713</v>
      </c>
      <c r="C4861" s="17" t="s">
        <v>19</v>
      </c>
      <c r="D4861" s="18" t="s">
        <v>2736</v>
      </c>
      <c r="E4861" s="18">
        <v>2</v>
      </c>
      <c r="F4861" s="18" t="s">
        <v>96</v>
      </c>
      <c r="G4861" s="18" t="s">
        <v>39</v>
      </c>
      <c r="H4861" s="18" t="s">
        <v>23</v>
      </c>
      <c r="I4861" s="19">
        <v>26.91</v>
      </c>
      <c r="J4861" s="40">
        <f t="shared" si="150"/>
        <v>53.82</v>
      </c>
      <c r="K4861" s="106"/>
      <c r="L4861" s="114"/>
      <c r="M4861" s="114">
        <f>tblAquisições[[#This Row],[VALOR UNITARIO COMPRADO]]*tblAquisições[[#This Row],[QUANTIDADE COMPRADA]]</f>
        <v>0</v>
      </c>
      <c r="N4861" s="110">
        <f>K4861-tblAquisições[[#This Row],[QUANTIDADE PLANEJADA]]</f>
        <v>-2</v>
      </c>
      <c r="O4861" s="106" t="str">
        <f t="shared" si="151"/>
        <v>Faltando Comprar</v>
      </c>
    </row>
    <row r="4862" spans="1:15" ht="31.5">
      <c r="A4862" s="16" t="s">
        <v>2710</v>
      </c>
      <c r="B4862" s="16" t="s">
        <v>2722</v>
      </c>
      <c r="C4862" s="17" t="s">
        <v>19</v>
      </c>
      <c r="D4862" s="18" t="s">
        <v>178</v>
      </c>
      <c r="E4862" s="18">
        <v>6</v>
      </c>
      <c r="F4862" s="18" t="s">
        <v>38</v>
      </c>
      <c r="G4862" s="18" t="s">
        <v>39</v>
      </c>
      <c r="H4862" s="18" t="s">
        <v>23</v>
      </c>
      <c r="I4862" s="19">
        <v>70.06</v>
      </c>
      <c r="J4862" s="40">
        <f t="shared" si="150"/>
        <v>420.36</v>
      </c>
      <c r="K4862" s="106"/>
      <c r="L4862" s="114"/>
      <c r="M4862" s="114">
        <f>tblAquisições[[#This Row],[VALOR UNITARIO COMPRADO]]*tblAquisições[[#This Row],[QUANTIDADE COMPRADA]]</f>
        <v>0</v>
      </c>
      <c r="N4862" s="110">
        <f>K4862-tblAquisições[[#This Row],[QUANTIDADE PLANEJADA]]</f>
        <v>-6</v>
      </c>
      <c r="O4862" s="106" t="str">
        <f t="shared" si="151"/>
        <v>Faltando Comprar</v>
      </c>
    </row>
    <row r="4863" spans="1:15" ht="31.5">
      <c r="A4863" s="16" t="s">
        <v>2710</v>
      </c>
      <c r="B4863" s="16" t="s">
        <v>2711</v>
      </c>
      <c r="C4863" s="17" t="s">
        <v>19</v>
      </c>
      <c r="D4863" s="18" t="s">
        <v>2737</v>
      </c>
      <c r="E4863" s="18">
        <v>3</v>
      </c>
      <c r="F4863" s="18" t="s">
        <v>82</v>
      </c>
      <c r="G4863" s="18" t="s">
        <v>39</v>
      </c>
      <c r="H4863" s="18" t="s">
        <v>23</v>
      </c>
      <c r="I4863" s="19">
        <v>307.60000000000002</v>
      </c>
      <c r="J4863" s="40">
        <f t="shared" si="150"/>
        <v>922.80000000000007</v>
      </c>
      <c r="K4863" s="106"/>
      <c r="L4863" s="114"/>
      <c r="M4863" s="114">
        <f>tblAquisições[[#This Row],[VALOR UNITARIO COMPRADO]]*tblAquisições[[#This Row],[QUANTIDADE COMPRADA]]</f>
        <v>0</v>
      </c>
      <c r="N4863" s="110">
        <f>K4863-tblAquisições[[#This Row],[QUANTIDADE PLANEJADA]]</f>
        <v>-3</v>
      </c>
      <c r="O4863" s="106" t="str">
        <f t="shared" si="151"/>
        <v>Faltando Comprar</v>
      </c>
    </row>
    <row r="4864" spans="1:15" ht="31.5">
      <c r="A4864" s="16" t="s">
        <v>2710</v>
      </c>
      <c r="B4864" s="16" t="s">
        <v>2722</v>
      </c>
      <c r="C4864" s="17" t="s">
        <v>19</v>
      </c>
      <c r="D4864" s="18" t="s">
        <v>2737</v>
      </c>
      <c r="E4864" s="18">
        <v>2</v>
      </c>
      <c r="F4864" s="18" t="s">
        <v>82</v>
      </c>
      <c r="G4864" s="18" t="s">
        <v>39</v>
      </c>
      <c r="H4864" s="18" t="s">
        <v>23</v>
      </c>
      <c r="I4864" s="19">
        <v>307.60000000000002</v>
      </c>
      <c r="J4864" s="40">
        <f t="shared" si="150"/>
        <v>615.20000000000005</v>
      </c>
      <c r="K4864" s="106"/>
      <c r="L4864" s="114"/>
      <c r="M4864" s="114">
        <f>tblAquisições[[#This Row],[VALOR UNITARIO COMPRADO]]*tblAquisições[[#This Row],[QUANTIDADE COMPRADA]]</f>
        <v>0</v>
      </c>
      <c r="N4864" s="110">
        <f>K4864-tblAquisições[[#This Row],[QUANTIDADE PLANEJADA]]</f>
        <v>-2</v>
      </c>
      <c r="O4864" s="106" t="str">
        <f t="shared" si="151"/>
        <v>Faltando Comprar</v>
      </c>
    </row>
    <row r="4865" spans="1:15" ht="31.5">
      <c r="A4865" s="16" t="s">
        <v>2710</v>
      </c>
      <c r="B4865" s="16" t="s">
        <v>2713</v>
      </c>
      <c r="C4865" s="17" t="s">
        <v>19</v>
      </c>
      <c r="D4865" s="18" t="s">
        <v>2737</v>
      </c>
      <c r="E4865" s="18">
        <v>2</v>
      </c>
      <c r="F4865" s="18" t="s">
        <v>82</v>
      </c>
      <c r="G4865" s="18" t="s">
        <v>39</v>
      </c>
      <c r="H4865" s="18" t="s">
        <v>23</v>
      </c>
      <c r="I4865" s="19">
        <v>307.60000000000002</v>
      </c>
      <c r="J4865" s="40">
        <f t="shared" si="150"/>
        <v>615.20000000000005</v>
      </c>
      <c r="K4865" s="106"/>
      <c r="L4865" s="114"/>
      <c r="M4865" s="114">
        <f>tblAquisições[[#This Row],[VALOR UNITARIO COMPRADO]]*tblAquisições[[#This Row],[QUANTIDADE COMPRADA]]</f>
        <v>0</v>
      </c>
      <c r="N4865" s="110">
        <f>K4865-tblAquisições[[#This Row],[QUANTIDADE PLANEJADA]]</f>
        <v>-2</v>
      </c>
      <c r="O4865" s="106" t="str">
        <f t="shared" si="151"/>
        <v>Faltando Comprar</v>
      </c>
    </row>
    <row r="4866" spans="1:15" ht="47.25">
      <c r="A4866" s="16" t="s">
        <v>2710</v>
      </c>
      <c r="B4866" s="16" t="s">
        <v>2710</v>
      </c>
      <c r="C4866" s="17" t="s">
        <v>19</v>
      </c>
      <c r="D4866" s="18" t="s">
        <v>2738</v>
      </c>
      <c r="E4866" s="18">
        <v>24</v>
      </c>
      <c r="F4866" s="18" t="s">
        <v>191</v>
      </c>
      <c r="G4866" s="18" t="s">
        <v>39</v>
      </c>
      <c r="H4866" s="18" t="s">
        <v>23</v>
      </c>
      <c r="I4866" s="19">
        <v>8.6300000000000008</v>
      </c>
      <c r="J4866" s="40">
        <f t="shared" ref="J4866:J4929" si="152">E4866*I4866</f>
        <v>207.12</v>
      </c>
      <c r="K4866" s="106"/>
      <c r="L4866" s="114"/>
      <c r="M4866" s="114">
        <f>tblAquisições[[#This Row],[VALOR UNITARIO COMPRADO]]*tblAquisições[[#This Row],[QUANTIDADE COMPRADA]]</f>
        <v>0</v>
      </c>
      <c r="N4866" s="110">
        <f>K4866-tblAquisições[[#This Row],[QUANTIDADE PLANEJADA]]</f>
        <v>-24</v>
      </c>
      <c r="O4866" s="106" t="str">
        <f t="shared" ref="O4866:O4929" si="153">IF(K4866=E4866,"OK",IF(K4866&lt;E4866,"Faltando Comprar","Excedente"))</f>
        <v>Faltando Comprar</v>
      </c>
    </row>
    <row r="4867" spans="1:15" ht="47.25">
      <c r="A4867" s="16" t="s">
        <v>2710</v>
      </c>
      <c r="B4867" s="16" t="s">
        <v>2722</v>
      </c>
      <c r="C4867" s="17" t="s">
        <v>19</v>
      </c>
      <c r="D4867" s="18" t="s">
        <v>2739</v>
      </c>
      <c r="E4867" s="18">
        <v>16</v>
      </c>
      <c r="F4867" s="18" t="s">
        <v>191</v>
      </c>
      <c r="G4867" s="18" t="s">
        <v>39</v>
      </c>
      <c r="H4867" s="18" t="s">
        <v>23</v>
      </c>
      <c r="I4867" s="19">
        <v>9.85</v>
      </c>
      <c r="J4867" s="40">
        <f t="shared" si="152"/>
        <v>157.6</v>
      </c>
      <c r="K4867" s="106"/>
      <c r="L4867" s="114"/>
      <c r="M4867" s="114">
        <f>tblAquisições[[#This Row],[VALOR UNITARIO COMPRADO]]*tblAquisições[[#This Row],[QUANTIDADE COMPRADA]]</f>
        <v>0</v>
      </c>
      <c r="N4867" s="110">
        <f>K4867-tblAquisições[[#This Row],[QUANTIDADE PLANEJADA]]</f>
        <v>-16</v>
      </c>
      <c r="O4867" s="106" t="str">
        <f t="shared" si="153"/>
        <v>Faltando Comprar</v>
      </c>
    </row>
    <row r="4868" spans="1:15" ht="47.25">
      <c r="A4868" s="16" t="s">
        <v>2710</v>
      </c>
      <c r="B4868" s="16" t="s">
        <v>2710</v>
      </c>
      <c r="C4868" s="17" t="s">
        <v>19</v>
      </c>
      <c r="D4868" s="18" t="s">
        <v>2740</v>
      </c>
      <c r="E4868" s="18">
        <v>6</v>
      </c>
      <c r="F4868" s="18" t="s">
        <v>191</v>
      </c>
      <c r="G4868" s="18" t="s">
        <v>39</v>
      </c>
      <c r="H4868" s="18" t="s">
        <v>23</v>
      </c>
      <c r="I4868" s="19">
        <v>10.35</v>
      </c>
      <c r="J4868" s="40">
        <f t="shared" si="152"/>
        <v>62.099999999999994</v>
      </c>
      <c r="K4868" s="106"/>
      <c r="L4868" s="114"/>
      <c r="M4868" s="114">
        <f>tblAquisições[[#This Row],[VALOR UNITARIO COMPRADO]]*tblAquisições[[#This Row],[QUANTIDADE COMPRADA]]</f>
        <v>0</v>
      </c>
      <c r="N4868" s="110">
        <f>K4868-tblAquisições[[#This Row],[QUANTIDADE PLANEJADA]]</f>
        <v>-6</v>
      </c>
      <c r="O4868" s="106" t="str">
        <f t="shared" si="153"/>
        <v>Faltando Comprar</v>
      </c>
    </row>
    <row r="4869" spans="1:15" ht="47.25">
      <c r="A4869" s="16" t="s">
        <v>2710</v>
      </c>
      <c r="B4869" s="16" t="s">
        <v>2711</v>
      </c>
      <c r="C4869" s="17" t="s">
        <v>19</v>
      </c>
      <c r="D4869" s="18" t="s">
        <v>2741</v>
      </c>
      <c r="E4869" s="18">
        <v>4</v>
      </c>
      <c r="F4869" s="18" t="s">
        <v>2742</v>
      </c>
      <c r="G4869" s="18" t="s">
        <v>39</v>
      </c>
      <c r="H4869" s="18" t="s">
        <v>23</v>
      </c>
      <c r="I4869" s="19">
        <v>101.93</v>
      </c>
      <c r="J4869" s="40">
        <f t="shared" si="152"/>
        <v>407.72</v>
      </c>
      <c r="K4869" s="106"/>
      <c r="L4869" s="114"/>
      <c r="M4869" s="114">
        <f>tblAquisições[[#This Row],[VALOR UNITARIO COMPRADO]]*tblAquisições[[#This Row],[QUANTIDADE COMPRADA]]</f>
        <v>0</v>
      </c>
      <c r="N4869" s="110">
        <f>K4869-tblAquisições[[#This Row],[QUANTIDADE PLANEJADA]]</f>
        <v>-4</v>
      </c>
      <c r="O4869" s="106" t="str">
        <f t="shared" si="153"/>
        <v>Faltando Comprar</v>
      </c>
    </row>
    <row r="4870" spans="1:15" ht="47.25">
      <c r="A4870" s="16" t="s">
        <v>2710</v>
      </c>
      <c r="B4870" s="16" t="s">
        <v>2713</v>
      </c>
      <c r="C4870" s="17" t="s">
        <v>19</v>
      </c>
      <c r="D4870" s="18" t="s">
        <v>2741</v>
      </c>
      <c r="E4870" s="18">
        <v>2</v>
      </c>
      <c r="F4870" s="18" t="s">
        <v>2742</v>
      </c>
      <c r="G4870" s="18" t="s">
        <v>39</v>
      </c>
      <c r="H4870" s="18" t="s">
        <v>23</v>
      </c>
      <c r="I4870" s="19">
        <v>101.93</v>
      </c>
      <c r="J4870" s="40">
        <f t="shared" si="152"/>
        <v>203.86</v>
      </c>
      <c r="K4870" s="106"/>
      <c r="L4870" s="114"/>
      <c r="M4870" s="114">
        <f>tblAquisições[[#This Row],[VALOR UNITARIO COMPRADO]]*tblAquisições[[#This Row],[QUANTIDADE COMPRADA]]</f>
        <v>0</v>
      </c>
      <c r="N4870" s="110">
        <f>K4870-tblAquisições[[#This Row],[QUANTIDADE PLANEJADA]]</f>
        <v>-2</v>
      </c>
      <c r="O4870" s="106" t="str">
        <f t="shared" si="153"/>
        <v>Faltando Comprar</v>
      </c>
    </row>
    <row r="4871" spans="1:15" ht="47.25">
      <c r="A4871" s="16" t="s">
        <v>2710</v>
      </c>
      <c r="B4871" s="16" t="s">
        <v>2722</v>
      </c>
      <c r="C4871" s="17" t="s">
        <v>19</v>
      </c>
      <c r="D4871" s="18" t="s">
        <v>2743</v>
      </c>
      <c r="E4871" s="18">
        <v>10</v>
      </c>
      <c r="F4871" s="18" t="s">
        <v>147</v>
      </c>
      <c r="G4871" s="18" t="s">
        <v>39</v>
      </c>
      <c r="H4871" s="18" t="s">
        <v>23</v>
      </c>
      <c r="I4871" s="19">
        <v>3.31</v>
      </c>
      <c r="J4871" s="40">
        <f t="shared" si="152"/>
        <v>33.1</v>
      </c>
      <c r="K4871" s="106"/>
      <c r="L4871" s="114"/>
      <c r="M4871" s="114">
        <f>tblAquisições[[#This Row],[VALOR UNITARIO COMPRADO]]*tblAquisições[[#This Row],[QUANTIDADE COMPRADA]]</f>
        <v>0</v>
      </c>
      <c r="N4871" s="110">
        <f>K4871-tblAquisições[[#This Row],[QUANTIDADE PLANEJADA]]</f>
        <v>-10</v>
      </c>
      <c r="O4871" s="106" t="str">
        <f t="shared" si="153"/>
        <v>Faltando Comprar</v>
      </c>
    </row>
    <row r="4872" spans="1:15" ht="47.25">
      <c r="A4872" s="16" t="s">
        <v>2710</v>
      </c>
      <c r="B4872" s="16" t="s">
        <v>2710</v>
      </c>
      <c r="C4872" s="17" t="s">
        <v>19</v>
      </c>
      <c r="D4872" s="18" t="s">
        <v>2744</v>
      </c>
      <c r="E4872" s="18">
        <v>48</v>
      </c>
      <c r="F4872" s="18" t="s">
        <v>191</v>
      </c>
      <c r="G4872" s="18" t="s">
        <v>39</v>
      </c>
      <c r="H4872" s="18" t="s">
        <v>23</v>
      </c>
      <c r="I4872" s="19">
        <v>37.049999999999997</v>
      </c>
      <c r="J4872" s="40">
        <f t="shared" si="152"/>
        <v>1778.3999999999999</v>
      </c>
      <c r="K4872" s="106"/>
      <c r="L4872" s="114"/>
      <c r="M4872" s="114">
        <f>tblAquisições[[#This Row],[VALOR UNITARIO COMPRADO]]*tblAquisições[[#This Row],[QUANTIDADE COMPRADA]]</f>
        <v>0</v>
      </c>
      <c r="N4872" s="110">
        <f>K4872-tblAquisições[[#This Row],[QUANTIDADE PLANEJADA]]</f>
        <v>-48</v>
      </c>
      <c r="O4872" s="106" t="str">
        <f t="shared" si="153"/>
        <v>Faltando Comprar</v>
      </c>
    </row>
    <row r="4873" spans="1:15" ht="47.25">
      <c r="A4873" s="16" t="s">
        <v>2710</v>
      </c>
      <c r="B4873" s="16" t="s">
        <v>2722</v>
      </c>
      <c r="C4873" s="17" t="s">
        <v>19</v>
      </c>
      <c r="D4873" s="18" t="s">
        <v>2744</v>
      </c>
      <c r="E4873" s="18">
        <v>24</v>
      </c>
      <c r="F4873" s="18" t="s">
        <v>191</v>
      </c>
      <c r="G4873" s="18" t="s">
        <v>39</v>
      </c>
      <c r="H4873" s="18" t="s">
        <v>23</v>
      </c>
      <c r="I4873" s="19">
        <v>37.049999999999997</v>
      </c>
      <c r="J4873" s="40">
        <f t="shared" si="152"/>
        <v>889.19999999999993</v>
      </c>
      <c r="K4873" s="106"/>
      <c r="L4873" s="114"/>
      <c r="M4873" s="114">
        <f>tblAquisições[[#This Row],[VALOR UNITARIO COMPRADO]]*tblAquisições[[#This Row],[QUANTIDADE COMPRADA]]</f>
        <v>0</v>
      </c>
      <c r="N4873" s="110">
        <f>K4873-tblAquisições[[#This Row],[QUANTIDADE PLANEJADA]]</f>
        <v>-24</v>
      </c>
      <c r="O4873" s="106" t="str">
        <f t="shared" si="153"/>
        <v>Faltando Comprar</v>
      </c>
    </row>
    <row r="4874" spans="1:15" ht="47.25">
      <c r="A4874" s="16" t="s">
        <v>2710</v>
      </c>
      <c r="B4874" s="16" t="s">
        <v>2722</v>
      </c>
      <c r="C4874" s="17" t="s">
        <v>19</v>
      </c>
      <c r="D4874" s="18" t="s">
        <v>2745</v>
      </c>
      <c r="E4874" s="18">
        <v>6</v>
      </c>
      <c r="F4874" s="18" t="s">
        <v>147</v>
      </c>
      <c r="G4874" s="18" t="s">
        <v>39</v>
      </c>
      <c r="H4874" s="18" t="s">
        <v>23</v>
      </c>
      <c r="I4874" s="19">
        <v>113.5</v>
      </c>
      <c r="J4874" s="40">
        <f t="shared" si="152"/>
        <v>681</v>
      </c>
      <c r="K4874" s="106"/>
      <c r="L4874" s="114"/>
      <c r="M4874" s="114">
        <f>tblAquisições[[#This Row],[VALOR UNITARIO COMPRADO]]*tblAquisições[[#This Row],[QUANTIDADE COMPRADA]]</f>
        <v>0</v>
      </c>
      <c r="N4874" s="110">
        <f>K4874-tblAquisições[[#This Row],[QUANTIDADE PLANEJADA]]</f>
        <v>-6</v>
      </c>
      <c r="O4874" s="106" t="str">
        <f t="shared" si="153"/>
        <v>Faltando Comprar</v>
      </c>
    </row>
    <row r="4875" spans="1:15" ht="47.25">
      <c r="A4875" s="16" t="s">
        <v>2710</v>
      </c>
      <c r="B4875" s="16" t="s">
        <v>2722</v>
      </c>
      <c r="C4875" s="17" t="s">
        <v>19</v>
      </c>
      <c r="D4875" s="18" t="s">
        <v>2746</v>
      </c>
      <c r="E4875" s="18">
        <v>6</v>
      </c>
      <c r="F4875" s="18" t="s">
        <v>147</v>
      </c>
      <c r="G4875" s="18" t="s">
        <v>39</v>
      </c>
      <c r="H4875" s="18" t="s">
        <v>23</v>
      </c>
      <c r="I4875" s="19">
        <v>24.08</v>
      </c>
      <c r="J4875" s="40">
        <f t="shared" si="152"/>
        <v>144.47999999999999</v>
      </c>
      <c r="K4875" s="106"/>
      <c r="L4875" s="114"/>
      <c r="M4875" s="114">
        <f>tblAquisições[[#This Row],[VALOR UNITARIO COMPRADO]]*tblAquisições[[#This Row],[QUANTIDADE COMPRADA]]</f>
        <v>0</v>
      </c>
      <c r="N4875" s="110">
        <f>K4875-tblAquisições[[#This Row],[QUANTIDADE PLANEJADA]]</f>
        <v>-6</v>
      </c>
      <c r="O4875" s="106" t="str">
        <f t="shared" si="153"/>
        <v>Faltando Comprar</v>
      </c>
    </row>
    <row r="4876" spans="1:15" ht="47.25">
      <c r="A4876" s="16" t="s">
        <v>2710</v>
      </c>
      <c r="B4876" s="16" t="s">
        <v>2711</v>
      </c>
      <c r="C4876" s="17" t="s">
        <v>19</v>
      </c>
      <c r="D4876" s="18" t="s">
        <v>331</v>
      </c>
      <c r="E4876" s="18">
        <v>5</v>
      </c>
      <c r="F4876" s="18" t="s">
        <v>147</v>
      </c>
      <c r="G4876" s="18" t="s">
        <v>39</v>
      </c>
      <c r="H4876" s="18" t="s">
        <v>23</v>
      </c>
      <c r="I4876" s="19">
        <v>9.5</v>
      </c>
      <c r="J4876" s="40">
        <f t="shared" si="152"/>
        <v>47.5</v>
      </c>
      <c r="K4876" s="106"/>
      <c r="L4876" s="114"/>
      <c r="M4876" s="114">
        <f>tblAquisições[[#This Row],[VALOR UNITARIO COMPRADO]]*tblAquisições[[#This Row],[QUANTIDADE COMPRADA]]</f>
        <v>0</v>
      </c>
      <c r="N4876" s="110">
        <f>K4876-tblAquisições[[#This Row],[QUANTIDADE PLANEJADA]]</f>
        <v>-5</v>
      </c>
      <c r="O4876" s="106" t="str">
        <f t="shared" si="153"/>
        <v>Faltando Comprar</v>
      </c>
    </row>
    <row r="4877" spans="1:15" ht="47.25">
      <c r="A4877" s="16" t="s">
        <v>2710</v>
      </c>
      <c r="B4877" s="16" t="s">
        <v>2713</v>
      </c>
      <c r="C4877" s="17" t="s">
        <v>19</v>
      </c>
      <c r="D4877" s="18" t="s">
        <v>331</v>
      </c>
      <c r="E4877" s="18">
        <v>3</v>
      </c>
      <c r="F4877" s="18" t="s">
        <v>147</v>
      </c>
      <c r="G4877" s="18" t="s">
        <v>39</v>
      </c>
      <c r="H4877" s="18" t="s">
        <v>23</v>
      </c>
      <c r="I4877" s="19">
        <v>9.5</v>
      </c>
      <c r="J4877" s="40">
        <f t="shared" si="152"/>
        <v>28.5</v>
      </c>
      <c r="K4877" s="106"/>
      <c r="L4877" s="114"/>
      <c r="M4877" s="114">
        <f>tblAquisições[[#This Row],[VALOR UNITARIO COMPRADO]]*tblAquisições[[#This Row],[QUANTIDADE COMPRADA]]</f>
        <v>0</v>
      </c>
      <c r="N4877" s="110">
        <f>K4877-tblAquisições[[#This Row],[QUANTIDADE PLANEJADA]]</f>
        <v>-3</v>
      </c>
      <c r="O4877" s="106" t="str">
        <f t="shared" si="153"/>
        <v>Faltando Comprar</v>
      </c>
    </row>
    <row r="4878" spans="1:15" ht="31.5">
      <c r="A4878" s="16" t="s">
        <v>2710</v>
      </c>
      <c r="B4878" s="16" t="s">
        <v>2711</v>
      </c>
      <c r="C4878" s="17" t="s">
        <v>19</v>
      </c>
      <c r="D4878" s="18" t="s">
        <v>2747</v>
      </c>
      <c r="E4878" s="18">
        <v>5</v>
      </c>
      <c r="F4878" s="18" t="s">
        <v>56</v>
      </c>
      <c r="G4878" s="18" t="s">
        <v>39</v>
      </c>
      <c r="H4878" s="18" t="s">
        <v>23</v>
      </c>
      <c r="I4878" s="19">
        <v>36.590000000000003</v>
      </c>
      <c r="J4878" s="40">
        <f t="shared" si="152"/>
        <v>182.95000000000002</v>
      </c>
      <c r="K4878" s="106"/>
      <c r="L4878" s="114"/>
      <c r="M4878" s="114">
        <f>tblAquisições[[#This Row],[VALOR UNITARIO COMPRADO]]*tblAquisições[[#This Row],[QUANTIDADE COMPRADA]]</f>
        <v>0</v>
      </c>
      <c r="N4878" s="110">
        <f>K4878-tblAquisições[[#This Row],[QUANTIDADE PLANEJADA]]</f>
        <v>-5</v>
      </c>
      <c r="O4878" s="106" t="str">
        <f t="shared" si="153"/>
        <v>Faltando Comprar</v>
      </c>
    </row>
    <row r="4879" spans="1:15" ht="31.5">
      <c r="A4879" s="16" t="s">
        <v>2710</v>
      </c>
      <c r="B4879" s="16" t="s">
        <v>2713</v>
      </c>
      <c r="C4879" s="17" t="s">
        <v>19</v>
      </c>
      <c r="D4879" s="18" t="s">
        <v>2747</v>
      </c>
      <c r="E4879" s="18">
        <v>3</v>
      </c>
      <c r="F4879" s="18" t="s">
        <v>56</v>
      </c>
      <c r="G4879" s="18" t="s">
        <v>39</v>
      </c>
      <c r="H4879" s="18" t="s">
        <v>23</v>
      </c>
      <c r="I4879" s="19">
        <v>36.590000000000003</v>
      </c>
      <c r="J4879" s="40">
        <f t="shared" si="152"/>
        <v>109.77000000000001</v>
      </c>
      <c r="K4879" s="106"/>
      <c r="L4879" s="114"/>
      <c r="M4879" s="114">
        <f>tblAquisições[[#This Row],[VALOR UNITARIO COMPRADO]]*tblAquisições[[#This Row],[QUANTIDADE COMPRADA]]</f>
        <v>0</v>
      </c>
      <c r="N4879" s="110">
        <f>K4879-tblAquisições[[#This Row],[QUANTIDADE PLANEJADA]]</f>
        <v>-3</v>
      </c>
      <c r="O4879" s="106" t="str">
        <f t="shared" si="153"/>
        <v>Faltando Comprar</v>
      </c>
    </row>
    <row r="4880" spans="1:15" ht="47.25">
      <c r="A4880" s="16" t="s">
        <v>2710</v>
      </c>
      <c r="B4880" s="16" t="s">
        <v>2713</v>
      </c>
      <c r="C4880" s="17" t="s">
        <v>19</v>
      </c>
      <c r="D4880" s="18" t="s">
        <v>333</v>
      </c>
      <c r="E4880" s="18">
        <v>4</v>
      </c>
      <c r="F4880" s="18" t="s">
        <v>191</v>
      </c>
      <c r="G4880" s="18" t="s">
        <v>39</v>
      </c>
      <c r="H4880" s="18" t="s">
        <v>23</v>
      </c>
      <c r="I4880" s="19">
        <v>72.3</v>
      </c>
      <c r="J4880" s="40">
        <f t="shared" si="152"/>
        <v>289.2</v>
      </c>
      <c r="K4880" s="106"/>
      <c r="L4880" s="114"/>
      <c r="M4880" s="114">
        <f>tblAquisições[[#This Row],[VALOR UNITARIO COMPRADO]]*tblAquisições[[#This Row],[QUANTIDADE COMPRADA]]</f>
        <v>0</v>
      </c>
      <c r="N4880" s="110">
        <f>K4880-tblAquisições[[#This Row],[QUANTIDADE PLANEJADA]]</f>
        <v>-4</v>
      </c>
      <c r="O4880" s="106" t="str">
        <f t="shared" si="153"/>
        <v>Faltando Comprar</v>
      </c>
    </row>
    <row r="4881" spans="1:15" ht="47.25">
      <c r="A4881" s="16" t="s">
        <v>2710</v>
      </c>
      <c r="B4881" s="16" t="s">
        <v>2722</v>
      </c>
      <c r="C4881" s="17" t="s">
        <v>19</v>
      </c>
      <c r="D4881" s="18" t="s">
        <v>2748</v>
      </c>
      <c r="E4881" s="18">
        <v>12</v>
      </c>
      <c r="F4881" s="18" t="s">
        <v>217</v>
      </c>
      <c r="G4881" s="18" t="s">
        <v>39</v>
      </c>
      <c r="H4881" s="18" t="s">
        <v>23</v>
      </c>
      <c r="I4881" s="19">
        <v>6</v>
      </c>
      <c r="J4881" s="40">
        <f t="shared" si="152"/>
        <v>72</v>
      </c>
      <c r="K4881" s="106"/>
      <c r="L4881" s="114"/>
      <c r="M4881" s="114">
        <f>tblAquisições[[#This Row],[VALOR UNITARIO COMPRADO]]*tblAquisições[[#This Row],[QUANTIDADE COMPRADA]]</f>
        <v>0</v>
      </c>
      <c r="N4881" s="110">
        <f>K4881-tblAquisições[[#This Row],[QUANTIDADE PLANEJADA]]</f>
        <v>-12</v>
      </c>
      <c r="O4881" s="106" t="str">
        <f t="shared" si="153"/>
        <v>Faltando Comprar</v>
      </c>
    </row>
    <row r="4882" spans="1:15" ht="47.25">
      <c r="A4882" s="16" t="s">
        <v>2710</v>
      </c>
      <c r="B4882" s="16" t="s">
        <v>2711</v>
      </c>
      <c r="C4882" s="17" t="s">
        <v>19</v>
      </c>
      <c r="D4882" s="18" t="s">
        <v>2749</v>
      </c>
      <c r="E4882" s="18">
        <v>30</v>
      </c>
      <c r="F4882" s="18" t="s">
        <v>2750</v>
      </c>
      <c r="G4882" s="18" t="s">
        <v>39</v>
      </c>
      <c r="H4882" s="18" t="s">
        <v>23</v>
      </c>
      <c r="I4882" s="19">
        <v>1.57</v>
      </c>
      <c r="J4882" s="40">
        <f t="shared" si="152"/>
        <v>47.1</v>
      </c>
      <c r="K4882" s="106"/>
      <c r="L4882" s="114"/>
      <c r="M4882" s="114">
        <f>tblAquisições[[#This Row],[VALOR UNITARIO COMPRADO]]*tblAquisições[[#This Row],[QUANTIDADE COMPRADA]]</f>
        <v>0</v>
      </c>
      <c r="N4882" s="110">
        <f>K4882-tblAquisições[[#This Row],[QUANTIDADE PLANEJADA]]</f>
        <v>-30</v>
      </c>
      <c r="O4882" s="106" t="str">
        <f t="shared" si="153"/>
        <v>Faltando Comprar</v>
      </c>
    </row>
    <row r="4883" spans="1:15" ht="47.25">
      <c r="A4883" s="16" t="s">
        <v>2710</v>
      </c>
      <c r="B4883" s="16" t="s">
        <v>2713</v>
      </c>
      <c r="C4883" s="17" t="s">
        <v>19</v>
      </c>
      <c r="D4883" s="18" t="s">
        <v>2749</v>
      </c>
      <c r="E4883" s="18">
        <v>50</v>
      </c>
      <c r="F4883" s="18" t="s">
        <v>2750</v>
      </c>
      <c r="G4883" s="18" t="s">
        <v>39</v>
      </c>
      <c r="H4883" s="18" t="s">
        <v>23</v>
      </c>
      <c r="I4883" s="19">
        <v>1.57</v>
      </c>
      <c r="J4883" s="40">
        <f t="shared" si="152"/>
        <v>78.5</v>
      </c>
      <c r="K4883" s="106"/>
      <c r="L4883" s="114"/>
      <c r="M4883" s="114">
        <f>tblAquisições[[#This Row],[VALOR UNITARIO COMPRADO]]*tblAquisições[[#This Row],[QUANTIDADE COMPRADA]]</f>
        <v>0</v>
      </c>
      <c r="N4883" s="110">
        <f>K4883-tblAquisições[[#This Row],[QUANTIDADE PLANEJADA]]</f>
        <v>-50</v>
      </c>
      <c r="O4883" s="106" t="str">
        <f t="shared" si="153"/>
        <v>Faltando Comprar</v>
      </c>
    </row>
    <row r="4884" spans="1:15" ht="31.5">
      <c r="A4884" s="16" t="s">
        <v>2710</v>
      </c>
      <c r="B4884" s="16" t="s">
        <v>2722</v>
      </c>
      <c r="C4884" s="17" t="s">
        <v>19</v>
      </c>
      <c r="D4884" s="18" t="s">
        <v>2751</v>
      </c>
      <c r="E4884" s="18">
        <v>24</v>
      </c>
      <c r="F4884" s="18" t="s">
        <v>38</v>
      </c>
      <c r="G4884" s="18" t="s">
        <v>39</v>
      </c>
      <c r="H4884" s="18" t="s">
        <v>23</v>
      </c>
      <c r="I4884" s="19">
        <v>441.75</v>
      </c>
      <c r="J4884" s="40">
        <f t="shared" si="152"/>
        <v>10602</v>
      </c>
      <c r="K4884" s="106"/>
      <c r="L4884" s="114"/>
      <c r="M4884" s="114">
        <f>tblAquisições[[#This Row],[VALOR UNITARIO COMPRADO]]*tblAquisições[[#This Row],[QUANTIDADE COMPRADA]]</f>
        <v>0</v>
      </c>
      <c r="N4884" s="110">
        <f>K4884-tblAquisições[[#This Row],[QUANTIDADE PLANEJADA]]</f>
        <v>-24</v>
      </c>
      <c r="O4884" s="106" t="str">
        <f t="shared" si="153"/>
        <v>Faltando Comprar</v>
      </c>
    </row>
    <row r="4885" spans="1:15" ht="31.5">
      <c r="A4885" s="16" t="s">
        <v>2710</v>
      </c>
      <c r="B4885" s="16" t="s">
        <v>2715</v>
      </c>
      <c r="C4885" s="17" t="s">
        <v>19</v>
      </c>
      <c r="D4885" s="18" t="s">
        <v>2752</v>
      </c>
      <c r="E4885" s="18">
        <v>2</v>
      </c>
      <c r="F4885" s="18" t="s">
        <v>38</v>
      </c>
      <c r="G4885" s="18" t="s">
        <v>39</v>
      </c>
      <c r="H4885" s="18" t="s">
        <v>23</v>
      </c>
      <c r="I4885" s="19">
        <v>29.28</v>
      </c>
      <c r="J4885" s="40">
        <f t="shared" si="152"/>
        <v>58.56</v>
      </c>
      <c r="K4885" s="106"/>
      <c r="L4885" s="114"/>
      <c r="M4885" s="114">
        <f>tblAquisições[[#This Row],[VALOR UNITARIO COMPRADO]]*tblAquisições[[#This Row],[QUANTIDADE COMPRADA]]</f>
        <v>0</v>
      </c>
      <c r="N4885" s="110">
        <f>K4885-tblAquisições[[#This Row],[QUANTIDADE PLANEJADA]]</f>
        <v>-2</v>
      </c>
      <c r="O4885" s="106" t="str">
        <f t="shared" si="153"/>
        <v>Faltando Comprar</v>
      </c>
    </row>
    <row r="4886" spans="1:15" ht="47.25">
      <c r="A4886" s="16" t="s">
        <v>2710</v>
      </c>
      <c r="B4886" s="16" t="s">
        <v>2710</v>
      </c>
      <c r="C4886" s="17" t="s">
        <v>19</v>
      </c>
      <c r="D4886" s="18" t="s">
        <v>392</v>
      </c>
      <c r="E4886" s="18">
        <v>12</v>
      </c>
      <c r="F4886" s="18" t="s">
        <v>217</v>
      </c>
      <c r="G4886" s="18" t="s">
        <v>39</v>
      </c>
      <c r="H4886" s="18" t="s">
        <v>23</v>
      </c>
      <c r="I4886" s="19">
        <v>8.33</v>
      </c>
      <c r="J4886" s="40">
        <f t="shared" si="152"/>
        <v>99.960000000000008</v>
      </c>
      <c r="K4886" s="106"/>
      <c r="L4886" s="114"/>
      <c r="M4886" s="114">
        <f>tblAquisições[[#This Row],[VALOR UNITARIO COMPRADO]]*tblAquisições[[#This Row],[QUANTIDADE COMPRADA]]</f>
        <v>0</v>
      </c>
      <c r="N4886" s="110">
        <f>K4886-tblAquisições[[#This Row],[QUANTIDADE PLANEJADA]]</f>
        <v>-12</v>
      </c>
      <c r="O4886" s="106" t="str">
        <f t="shared" si="153"/>
        <v>Faltando Comprar</v>
      </c>
    </row>
    <row r="4887" spans="1:15" ht="47.25">
      <c r="A4887" s="16" t="s">
        <v>2710</v>
      </c>
      <c r="B4887" s="16" t="s">
        <v>2715</v>
      </c>
      <c r="C4887" s="17" t="s">
        <v>19</v>
      </c>
      <c r="D4887" s="18" t="s">
        <v>392</v>
      </c>
      <c r="E4887" s="18">
        <v>12</v>
      </c>
      <c r="F4887" s="18" t="s">
        <v>217</v>
      </c>
      <c r="G4887" s="18" t="s">
        <v>39</v>
      </c>
      <c r="H4887" s="18" t="s">
        <v>23</v>
      </c>
      <c r="I4887" s="19">
        <v>8.33</v>
      </c>
      <c r="J4887" s="40">
        <f t="shared" si="152"/>
        <v>99.960000000000008</v>
      </c>
      <c r="K4887" s="106"/>
      <c r="L4887" s="114"/>
      <c r="M4887" s="114">
        <f>tblAquisições[[#This Row],[VALOR UNITARIO COMPRADO]]*tblAquisições[[#This Row],[QUANTIDADE COMPRADA]]</f>
        <v>0</v>
      </c>
      <c r="N4887" s="110">
        <f>K4887-tblAquisições[[#This Row],[QUANTIDADE PLANEJADA]]</f>
        <v>-12</v>
      </c>
      <c r="O4887" s="106" t="str">
        <f t="shared" si="153"/>
        <v>Faltando Comprar</v>
      </c>
    </row>
    <row r="4888" spans="1:15" ht="47.25">
      <c r="A4888" s="16" t="s">
        <v>2710</v>
      </c>
      <c r="B4888" s="16" t="s">
        <v>2710</v>
      </c>
      <c r="C4888" s="17" t="s">
        <v>19</v>
      </c>
      <c r="D4888" s="18" t="s">
        <v>2753</v>
      </c>
      <c r="E4888" s="18">
        <v>12</v>
      </c>
      <c r="F4888" s="18" t="s">
        <v>96</v>
      </c>
      <c r="G4888" s="18" t="s">
        <v>39</v>
      </c>
      <c r="H4888" s="18" t="s">
        <v>23</v>
      </c>
      <c r="I4888" s="19">
        <v>3.28</v>
      </c>
      <c r="J4888" s="40">
        <f t="shared" si="152"/>
        <v>39.36</v>
      </c>
      <c r="K4888" s="106"/>
      <c r="L4888" s="114"/>
      <c r="M4888" s="114">
        <f>tblAquisições[[#This Row],[VALOR UNITARIO COMPRADO]]*tblAquisições[[#This Row],[QUANTIDADE COMPRADA]]</f>
        <v>0</v>
      </c>
      <c r="N4888" s="110">
        <f>K4888-tblAquisições[[#This Row],[QUANTIDADE PLANEJADA]]</f>
        <v>-12</v>
      </c>
      <c r="O4888" s="106" t="str">
        <f t="shared" si="153"/>
        <v>Faltando Comprar</v>
      </c>
    </row>
    <row r="4889" spans="1:15" ht="47.25">
      <c r="A4889" s="16" t="s">
        <v>2710</v>
      </c>
      <c r="B4889" s="16" t="s">
        <v>2710</v>
      </c>
      <c r="C4889" s="17" t="s">
        <v>19</v>
      </c>
      <c r="D4889" s="18" t="s">
        <v>398</v>
      </c>
      <c r="E4889" s="18">
        <v>12</v>
      </c>
      <c r="F4889" s="18" t="s">
        <v>96</v>
      </c>
      <c r="G4889" s="18" t="s">
        <v>39</v>
      </c>
      <c r="H4889" s="18" t="s">
        <v>65</v>
      </c>
      <c r="I4889" s="24">
        <v>256.43</v>
      </c>
      <c r="J4889" s="40">
        <f t="shared" si="152"/>
        <v>3077.16</v>
      </c>
      <c r="K4889" s="106"/>
      <c r="L4889" s="114"/>
      <c r="M4889" s="114">
        <f>tblAquisições[[#This Row],[VALOR UNITARIO COMPRADO]]*tblAquisições[[#This Row],[QUANTIDADE COMPRADA]]</f>
        <v>0</v>
      </c>
      <c r="N4889" s="110">
        <f>K4889-tblAquisições[[#This Row],[QUANTIDADE PLANEJADA]]</f>
        <v>-12</v>
      </c>
      <c r="O4889" s="106" t="str">
        <f t="shared" si="153"/>
        <v>Faltando Comprar</v>
      </c>
    </row>
    <row r="4890" spans="1:15" ht="47.25">
      <c r="A4890" s="16" t="s">
        <v>2710</v>
      </c>
      <c r="B4890" s="16" t="s">
        <v>2711</v>
      </c>
      <c r="C4890" s="17" t="s">
        <v>19</v>
      </c>
      <c r="D4890" s="18" t="s">
        <v>398</v>
      </c>
      <c r="E4890" s="18">
        <v>4</v>
      </c>
      <c r="F4890" s="18" t="s">
        <v>96</v>
      </c>
      <c r="G4890" s="18" t="s">
        <v>39</v>
      </c>
      <c r="H4890" s="18" t="s">
        <v>65</v>
      </c>
      <c r="I4890" s="24">
        <v>256.43</v>
      </c>
      <c r="J4890" s="40">
        <f t="shared" si="152"/>
        <v>1025.72</v>
      </c>
      <c r="K4890" s="106"/>
      <c r="L4890" s="114"/>
      <c r="M4890" s="114">
        <f>tblAquisições[[#This Row],[VALOR UNITARIO COMPRADO]]*tblAquisições[[#This Row],[QUANTIDADE COMPRADA]]</f>
        <v>0</v>
      </c>
      <c r="N4890" s="110">
        <f>K4890-tblAquisições[[#This Row],[QUANTIDADE PLANEJADA]]</f>
        <v>-4</v>
      </c>
      <c r="O4890" s="106" t="str">
        <f t="shared" si="153"/>
        <v>Faltando Comprar</v>
      </c>
    </row>
    <row r="4891" spans="1:15" ht="47.25">
      <c r="A4891" s="16" t="s">
        <v>2710</v>
      </c>
      <c r="B4891" s="16" t="s">
        <v>2713</v>
      </c>
      <c r="C4891" s="17" t="s">
        <v>19</v>
      </c>
      <c r="D4891" s="18" t="s">
        <v>398</v>
      </c>
      <c r="E4891" s="18">
        <v>4</v>
      </c>
      <c r="F4891" s="18" t="s">
        <v>96</v>
      </c>
      <c r="G4891" s="18" t="s">
        <v>39</v>
      </c>
      <c r="H4891" s="18" t="s">
        <v>65</v>
      </c>
      <c r="I4891" s="24">
        <v>256.43</v>
      </c>
      <c r="J4891" s="40">
        <f t="shared" si="152"/>
        <v>1025.72</v>
      </c>
      <c r="K4891" s="106"/>
      <c r="L4891" s="114"/>
      <c r="M4891" s="114">
        <f>tblAquisições[[#This Row],[VALOR UNITARIO COMPRADO]]*tblAquisições[[#This Row],[QUANTIDADE COMPRADA]]</f>
        <v>0</v>
      </c>
      <c r="N4891" s="110">
        <f>K4891-tblAquisições[[#This Row],[QUANTIDADE PLANEJADA]]</f>
        <v>-4</v>
      </c>
      <c r="O4891" s="106" t="str">
        <f t="shared" si="153"/>
        <v>Faltando Comprar</v>
      </c>
    </row>
    <row r="4892" spans="1:15" ht="47.25">
      <c r="A4892" s="16" t="s">
        <v>2710</v>
      </c>
      <c r="B4892" s="16" t="s">
        <v>2711</v>
      </c>
      <c r="C4892" s="17" t="s">
        <v>19</v>
      </c>
      <c r="D4892" s="18" t="s">
        <v>2754</v>
      </c>
      <c r="E4892" s="18">
        <v>1</v>
      </c>
      <c r="F4892" s="18" t="s">
        <v>96</v>
      </c>
      <c r="G4892" s="18" t="s">
        <v>39</v>
      </c>
      <c r="H4892" s="18" t="s">
        <v>65</v>
      </c>
      <c r="I4892" s="19">
        <v>44.73</v>
      </c>
      <c r="J4892" s="40">
        <f t="shared" si="152"/>
        <v>44.73</v>
      </c>
      <c r="K4892" s="106"/>
      <c r="L4892" s="114"/>
      <c r="M4892" s="114">
        <f>tblAquisições[[#This Row],[VALOR UNITARIO COMPRADO]]*tblAquisições[[#This Row],[QUANTIDADE COMPRADA]]</f>
        <v>0</v>
      </c>
      <c r="N4892" s="110">
        <f>K4892-tblAquisições[[#This Row],[QUANTIDADE PLANEJADA]]</f>
        <v>-1</v>
      </c>
      <c r="O4892" s="106" t="str">
        <f t="shared" si="153"/>
        <v>Faltando Comprar</v>
      </c>
    </row>
    <row r="4893" spans="1:15" ht="47.25">
      <c r="A4893" s="16" t="s">
        <v>2710</v>
      </c>
      <c r="B4893" s="16" t="s">
        <v>2713</v>
      </c>
      <c r="C4893" s="17" t="s">
        <v>19</v>
      </c>
      <c r="D4893" s="18" t="s">
        <v>2754</v>
      </c>
      <c r="E4893" s="18">
        <v>1</v>
      </c>
      <c r="F4893" s="18" t="s">
        <v>96</v>
      </c>
      <c r="G4893" s="18" t="s">
        <v>39</v>
      </c>
      <c r="H4893" s="18" t="s">
        <v>65</v>
      </c>
      <c r="I4893" s="19">
        <v>44.73</v>
      </c>
      <c r="J4893" s="40">
        <f t="shared" si="152"/>
        <v>44.73</v>
      </c>
      <c r="K4893" s="106"/>
      <c r="L4893" s="114"/>
      <c r="M4893" s="114">
        <f>tblAquisições[[#This Row],[VALOR UNITARIO COMPRADO]]*tblAquisições[[#This Row],[QUANTIDADE COMPRADA]]</f>
        <v>0</v>
      </c>
      <c r="N4893" s="110">
        <f>K4893-tblAquisições[[#This Row],[QUANTIDADE PLANEJADA]]</f>
        <v>-1</v>
      </c>
      <c r="O4893" s="106" t="str">
        <f t="shared" si="153"/>
        <v>Faltando Comprar</v>
      </c>
    </row>
    <row r="4894" spans="1:15" ht="47.25">
      <c r="A4894" s="16" t="s">
        <v>2710</v>
      </c>
      <c r="B4894" s="16" t="s">
        <v>2715</v>
      </c>
      <c r="C4894" s="17" t="s">
        <v>19</v>
      </c>
      <c r="D4894" s="18" t="s">
        <v>2754</v>
      </c>
      <c r="E4894" s="18">
        <v>5</v>
      </c>
      <c r="F4894" s="18" t="s">
        <v>96</v>
      </c>
      <c r="G4894" s="18" t="s">
        <v>39</v>
      </c>
      <c r="H4894" s="18" t="s">
        <v>65</v>
      </c>
      <c r="I4894" s="19">
        <v>44.73</v>
      </c>
      <c r="J4894" s="40">
        <f t="shared" si="152"/>
        <v>223.64999999999998</v>
      </c>
      <c r="K4894" s="106"/>
      <c r="L4894" s="114"/>
      <c r="M4894" s="114">
        <f>tblAquisições[[#This Row],[VALOR UNITARIO COMPRADO]]*tblAquisições[[#This Row],[QUANTIDADE COMPRADA]]</f>
        <v>0</v>
      </c>
      <c r="N4894" s="110">
        <f>K4894-tblAquisições[[#This Row],[QUANTIDADE PLANEJADA]]</f>
        <v>-5</v>
      </c>
      <c r="O4894" s="106" t="str">
        <f t="shared" si="153"/>
        <v>Faltando Comprar</v>
      </c>
    </row>
    <row r="4895" spans="1:15" ht="31.5">
      <c r="A4895" s="16" t="s">
        <v>2710</v>
      </c>
      <c r="B4895" s="16" t="s">
        <v>2722</v>
      </c>
      <c r="C4895" s="17" t="s">
        <v>19</v>
      </c>
      <c r="D4895" s="18" t="s">
        <v>2755</v>
      </c>
      <c r="E4895" s="18">
        <v>6</v>
      </c>
      <c r="F4895" s="18" t="s">
        <v>38</v>
      </c>
      <c r="G4895" s="18" t="s">
        <v>39</v>
      </c>
      <c r="H4895" s="18" t="s">
        <v>23</v>
      </c>
      <c r="I4895" s="19">
        <v>34</v>
      </c>
      <c r="J4895" s="40">
        <f t="shared" si="152"/>
        <v>204</v>
      </c>
      <c r="K4895" s="106"/>
      <c r="L4895" s="114"/>
      <c r="M4895" s="114">
        <f>tblAquisições[[#This Row],[VALOR UNITARIO COMPRADO]]*tblAquisições[[#This Row],[QUANTIDADE COMPRADA]]</f>
        <v>0</v>
      </c>
      <c r="N4895" s="110">
        <f>K4895-tblAquisições[[#This Row],[QUANTIDADE PLANEJADA]]</f>
        <v>-6</v>
      </c>
      <c r="O4895" s="106" t="str">
        <f t="shared" si="153"/>
        <v>Faltando Comprar</v>
      </c>
    </row>
    <row r="4896" spans="1:15" ht="47.25">
      <c r="A4896" s="16" t="s">
        <v>2710</v>
      </c>
      <c r="B4896" s="16" t="s">
        <v>2711</v>
      </c>
      <c r="C4896" s="17" t="s">
        <v>19</v>
      </c>
      <c r="D4896" s="18" t="s">
        <v>2756</v>
      </c>
      <c r="E4896" s="18">
        <v>30</v>
      </c>
      <c r="F4896" s="18" t="s">
        <v>96</v>
      </c>
      <c r="G4896" s="18" t="s">
        <v>39</v>
      </c>
      <c r="H4896" s="18" t="s">
        <v>23</v>
      </c>
      <c r="I4896" s="19">
        <v>50.2</v>
      </c>
      <c r="J4896" s="40">
        <f t="shared" si="152"/>
        <v>1506</v>
      </c>
      <c r="K4896" s="106"/>
      <c r="L4896" s="114"/>
      <c r="M4896" s="114">
        <f>tblAquisições[[#This Row],[VALOR UNITARIO COMPRADO]]*tblAquisições[[#This Row],[QUANTIDADE COMPRADA]]</f>
        <v>0</v>
      </c>
      <c r="N4896" s="110">
        <f>K4896-tblAquisições[[#This Row],[QUANTIDADE PLANEJADA]]</f>
        <v>-30</v>
      </c>
      <c r="O4896" s="106" t="str">
        <f t="shared" si="153"/>
        <v>Faltando Comprar</v>
      </c>
    </row>
    <row r="4897" spans="1:15" ht="47.25">
      <c r="A4897" s="16" t="s">
        <v>2710</v>
      </c>
      <c r="B4897" s="16" t="s">
        <v>2722</v>
      </c>
      <c r="C4897" s="17" t="s">
        <v>19</v>
      </c>
      <c r="D4897" s="18" t="s">
        <v>2756</v>
      </c>
      <c r="E4897" s="18">
        <v>50</v>
      </c>
      <c r="F4897" s="18" t="s">
        <v>96</v>
      </c>
      <c r="G4897" s="18" t="s">
        <v>39</v>
      </c>
      <c r="H4897" s="18" t="s">
        <v>23</v>
      </c>
      <c r="I4897" s="19">
        <v>50.2</v>
      </c>
      <c r="J4897" s="40">
        <f t="shared" si="152"/>
        <v>2510</v>
      </c>
      <c r="K4897" s="106"/>
      <c r="L4897" s="114"/>
      <c r="M4897" s="114">
        <f>tblAquisições[[#This Row],[VALOR UNITARIO COMPRADO]]*tblAquisições[[#This Row],[QUANTIDADE COMPRADA]]</f>
        <v>0</v>
      </c>
      <c r="N4897" s="110">
        <f>K4897-tblAquisições[[#This Row],[QUANTIDADE PLANEJADA]]</f>
        <v>-50</v>
      </c>
      <c r="O4897" s="106" t="str">
        <f t="shared" si="153"/>
        <v>Faltando Comprar</v>
      </c>
    </row>
    <row r="4898" spans="1:15" ht="47.25">
      <c r="A4898" s="16" t="s">
        <v>2710</v>
      </c>
      <c r="B4898" s="16" t="s">
        <v>2710</v>
      </c>
      <c r="C4898" s="17" t="s">
        <v>19</v>
      </c>
      <c r="D4898" s="18" t="s">
        <v>2757</v>
      </c>
      <c r="E4898" s="18">
        <v>5</v>
      </c>
      <c r="F4898" s="18" t="s">
        <v>2750</v>
      </c>
      <c r="G4898" s="18" t="s">
        <v>39</v>
      </c>
      <c r="H4898" s="18" t="s">
        <v>65</v>
      </c>
      <c r="I4898" s="19">
        <v>14.16</v>
      </c>
      <c r="J4898" s="40">
        <f t="shared" si="152"/>
        <v>70.8</v>
      </c>
      <c r="K4898" s="106"/>
      <c r="L4898" s="114"/>
      <c r="M4898" s="114">
        <f>tblAquisições[[#This Row],[VALOR UNITARIO COMPRADO]]*tblAquisições[[#This Row],[QUANTIDADE COMPRADA]]</f>
        <v>0</v>
      </c>
      <c r="N4898" s="110">
        <f>K4898-tblAquisições[[#This Row],[QUANTIDADE PLANEJADA]]</f>
        <v>-5</v>
      </c>
      <c r="O4898" s="106" t="str">
        <f t="shared" si="153"/>
        <v>Faltando Comprar</v>
      </c>
    </row>
    <row r="4899" spans="1:15" ht="47.25">
      <c r="A4899" s="16" t="s">
        <v>2710</v>
      </c>
      <c r="B4899" s="16" t="s">
        <v>2711</v>
      </c>
      <c r="C4899" s="17" t="s">
        <v>19</v>
      </c>
      <c r="D4899" s="18" t="s">
        <v>2757</v>
      </c>
      <c r="E4899" s="18">
        <v>10</v>
      </c>
      <c r="F4899" s="18" t="s">
        <v>2750</v>
      </c>
      <c r="G4899" s="18" t="s">
        <v>39</v>
      </c>
      <c r="H4899" s="18" t="s">
        <v>65</v>
      </c>
      <c r="I4899" s="19">
        <v>14.16</v>
      </c>
      <c r="J4899" s="40">
        <f t="shared" si="152"/>
        <v>141.6</v>
      </c>
      <c r="K4899" s="106"/>
      <c r="L4899" s="114"/>
      <c r="M4899" s="114">
        <f>tblAquisições[[#This Row],[VALOR UNITARIO COMPRADO]]*tblAquisições[[#This Row],[QUANTIDADE COMPRADA]]</f>
        <v>0</v>
      </c>
      <c r="N4899" s="110">
        <f>K4899-tblAquisições[[#This Row],[QUANTIDADE PLANEJADA]]</f>
        <v>-10</v>
      </c>
      <c r="O4899" s="106" t="str">
        <f t="shared" si="153"/>
        <v>Faltando Comprar</v>
      </c>
    </row>
    <row r="4900" spans="1:15" ht="47.25">
      <c r="A4900" s="16" t="s">
        <v>2710</v>
      </c>
      <c r="B4900" s="16" t="s">
        <v>2713</v>
      </c>
      <c r="C4900" s="17" t="s">
        <v>19</v>
      </c>
      <c r="D4900" s="18" t="s">
        <v>2757</v>
      </c>
      <c r="E4900" s="18">
        <v>10</v>
      </c>
      <c r="F4900" s="18" t="s">
        <v>2750</v>
      </c>
      <c r="G4900" s="18" t="s">
        <v>39</v>
      </c>
      <c r="H4900" s="18" t="s">
        <v>65</v>
      </c>
      <c r="I4900" s="19">
        <v>14.16</v>
      </c>
      <c r="J4900" s="40">
        <f t="shared" si="152"/>
        <v>141.6</v>
      </c>
      <c r="K4900" s="106"/>
      <c r="L4900" s="114"/>
      <c r="M4900" s="114">
        <f>tblAquisições[[#This Row],[VALOR UNITARIO COMPRADO]]*tblAquisições[[#This Row],[QUANTIDADE COMPRADA]]</f>
        <v>0</v>
      </c>
      <c r="N4900" s="110">
        <f>K4900-tblAquisições[[#This Row],[QUANTIDADE PLANEJADA]]</f>
        <v>-10</v>
      </c>
      <c r="O4900" s="106" t="str">
        <f t="shared" si="153"/>
        <v>Faltando Comprar</v>
      </c>
    </row>
    <row r="4901" spans="1:15" ht="47.25">
      <c r="A4901" s="16" t="s">
        <v>2710</v>
      </c>
      <c r="B4901" s="16" t="s">
        <v>2715</v>
      </c>
      <c r="C4901" s="17" t="s">
        <v>19</v>
      </c>
      <c r="D4901" s="18" t="s">
        <v>2758</v>
      </c>
      <c r="E4901" s="18">
        <v>1</v>
      </c>
      <c r="F4901" s="18" t="s">
        <v>96</v>
      </c>
      <c r="G4901" s="18" t="s">
        <v>39</v>
      </c>
      <c r="H4901" s="18" t="s">
        <v>65</v>
      </c>
      <c r="I4901" s="24">
        <v>10.050000000000001</v>
      </c>
      <c r="J4901" s="40">
        <f t="shared" si="152"/>
        <v>10.050000000000001</v>
      </c>
      <c r="K4901" s="106"/>
      <c r="L4901" s="114"/>
      <c r="M4901" s="114">
        <f>tblAquisições[[#This Row],[VALOR UNITARIO COMPRADO]]*tblAquisições[[#This Row],[QUANTIDADE COMPRADA]]</f>
        <v>0</v>
      </c>
      <c r="N4901" s="110">
        <f>K4901-tblAquisições[[#This Row],[QUANTIDADE PLANEJADA]]</f>
        <v>-1</v>
      </c>
      <c r="O4901" s="106" t="str">
        <f t="shared" si="153"/>
        <v>Faltando Comprar</v>
      </c>
    </row>
    <row r="4902" spans="1:15" ht="47.25">
      <c r="A4902" s="16" t="s">
        <v>2710</v>
      </c>
      <c r="B4902" s="16" t="s">
        <v>2711</v>
      </c>
      <c r="C4902" s="17" t="s">
        <v>19</v>
      </c>
      <c r="D4902" s="18" t="s">
        <v>2759</v>
      </c>
      <c r="E4902" s="18">
        <v>2</v>
      </c>
      <c r="F4902" s="18" t="s">
        <v>96</v>
      </c>
      <c r="G4902" s="18" t="s">
        <v>39</v>
      </c>
      <c r="H4902" s="18" t="s">
        <v>23</v>
      </c>
      <c r="I4902" s="19">
        <v>71.39</v>
      </c>
      <c r="J4902" s="40">
        <f t="shared" si="152"/>
        <v>142.78</v>
      </c>
      <c r="K4902" s="106"/>
      <c r="L4902" s="114"/>
      <c r="M4902" s="114">
        <f>tblAquisições[[#This Row],[VALOR UNITARIO COMPRADO]]*tblAquisições[[#This Row],[QUANTIDADE COMPRADA]]</f>
        <v>0</v>
      </c>
      <c r="N4902" s="110">
        <f>K4902-tblAquisições[[#This Row],[QUANTIDADE PLANEJADA]]</f>
        <v>-2</v>
      </c>
      <c r="O4902" s="106" t="str">
        <f t="shared" si="153"/>
        <v>Faltando Comprar</v>
      </c>
    </row>
    <row r="4903" spans="1:15" ht="47.25">
      <c r="A4903" s="16" t="s">
        <v>2710</v>
      </c>
      <c r="B4903" s="16" t="s">
        <v>2713</v>
      </c>
      <c r="C4903" s="17" t="s">
        <v>19</v>
      </c>
      <c r="D4903" s="18" t="s">
        <v>2759</v>
      </c>
      <c r="E4903" s="18">
        <v>2</v>
      </c>
      <c r="F4903" s="18" t="s">
        <v>96</v>
      </c>
      <c r="G4903" s="18" t="s">
        <v>39</v>
      </c>
      <c r="H4903" s="18" t="s">
        <v>23</v>
      </c>
      <c r="I4903" s="19">
        <v>71.39</v>
      </c>
      <c r="J4903" s="40">
        <f t="shared" si="152"/>
        <v>142.78</v>
      </c>
      <c r="K4903" s="106"/>
      <c r="L4903" s="114"/>
      <c r="M4903" s="114">
        <f>tblAquisições[[#This Row],[VALOR UNITARIO COMPRADO]]*tblAquisições[[#This Row],[QUANTIDADE COMPRADA]]</f>
        <v>0</v>
      </c>
      <c r="N4903" s="110">
        <f>K4903-tblAquisições[[#This Row],[QUANTIDADE PLANEJADA]]</f>
        <v>-2</v>
      </c>
      <c r="O4903" s="106" t="str">
        <f t="shared" si="153"/>
        <v>Faltando Comprar</v>
      </c>
    </row>
    <row r="4904" spans="1:15" ht="47.25">
      <c r="A4904" s="16" t="s">
        <v>2710</v>
      </c>
      <c r="B4904" s="16" t="s">
        <v>2722</v>
      </c>
      <c r="C4904" s="17" t="s">
        <v>19</v>
      </c>
      <c r="D4904" s="18" t="s">
        <v>2760</v>
      </c>
      <c r="E4904" s="18">
        <v>30</v>
      </c>
      <c r="F4904" s="18" t="s">
        <v>96</v>
      </c>
      <c r="G4904" s="18" t="s">
        <v>39</v>
      </c>
      <c r="H4904" s="18" t="s">
        <v>23</v>
      </c>
      <c r="I4904" s="19">
        <v>7.39</v>
      </c>
      <c r="J4904" s="40">
        <f t="shared" si="152"/>
        <v>221.7</v>
      </c>
      <c r="K4904" s="106"/>
      <c r="L4904" s="114"/>
      <c r="M4904" s="114">
        <f>tblAquisições[[#This Row],[VALOR UNITARIO COMPRADO]]*tblAquisições[[#This Row],[QUANTIDADE COMPRADA]]</f>
        <v>0</v>
      </c>
      <c r="N4904" s="110">
        <f>K4904-tblAquisições[[#This Row],[QUANTIDADE PLANEJADA]]</f>
        <v>-30</v>
      </c>
      <c r="O4904" s="106" t="str">
        <f t="shared" si="153"/>
        <v>Faltando Comprar</v>
      </c>
    </row>
    <row r="4905" spans="1:15" ht="47.25">
      <c r="A4905" s="16" t="s">
        <v>2710</v>
      </c>
      <c r="B4905" s="16" t="s">
        <v>2722</v>
      </c>
      <c r="C4905" s="17" t="s">
        <v>19</v>
      </c>
      <c r="D4905" s="18" t="s">
        <v>2761</v>
      </c>
      <c r="E4905" s="18">
        <v>50</v>
      </c>
      <c r="F4905" s="18" t="s">
        <v>2762</v>
      </c>
      <c r="G4905" s="18" t="s">
        <v>39</v>
      </c>
      <c r="H4905" s="18" t="s">
        <v>23</v>
      </c>
      <c r="I4905" s="19">
        <v>66.67</v>
      </c>
      <c r="J4905" s="40">
        <f t="shared" si="152"/>
        <v>3333.5</v>
      </c>
      <c r="K4905" s="106"/>
      <c r="L4905" s="114"/>
      <c r="M4905" s="114">
        <f>tblAquisições[[#This Row],[VALOR UNITARIO COMPRADO]]*tblAquisições[[#This Row],[QUANTIDADE COMPRADA]]</f>
        <v>0</v>
      </c>
      <c r="N4905" s="110">
        <f>K4905-tblAquisições[[#This Row],[QUANTIDADE PLANEJADA]]</f>
        <v>-50</v>
      </c>
      <c r="O4905" s="106" t="str">
        <f t="shared" si="153"/>
        <v>Faltando Comprar</v>
      </c>
    </row>
    <row r="4906" spans="1:15" ht="47.25">
      <c r="A4906" s="16" t="s">
        <v>2710</v>
      </c>
      <c r="B4906" s="16" t="s">
        <v>2722</v>
      </c>
      <c r="C4906" s="17" t="s">
        <v>19</v>
      </c>
      <c r="D4906" s="18" t="s">
        <v>2763</v>
      </c>
      <c r="E4906" s="18">
        <v>4</v>
      </c>
      <c r="F4906" s="18" t="s">
        <v>217</v>
      </c>
      <c r="G4906" s="18" t="s">
        <v>39</v>
      </c>
      <c r="H4906" s="18" t="s">
        <v>65</v>
      </c>
      <c r="I4906" s="24">
        <v>119.1</v>
      </c>
      <c r="J4906" s="40">
        <f t="shared" si="152"/>
        <v>476.4</v>
      </c>
      <c r="K4906" s="106"/>
      <c r="L4906" s="114"/>
      <c r="M4906" s="114">
        <f>tblAquisições[[#This Row],[VALOR UNITARIO COMPRADO]]*tblAquisições[[#This Row],[QUANTIDADE COMPRADA]]</f>
        <v>0</v>
      </c>
      <c r="N4906" s="110">
        <f>K4906-tblAquisições[[#This Row],[QUANTIDADE PLANEJADA]]</f>
        <v>-4</v>
      </c>
      <c r="O4906" s="106" t="str">
        <f t="shared" si="153"/>
        <v>Faltando Comprar</v>
      </c>
    </row>
    <row r="4907" spans="1:15" ht="47.25">
      <c r="A4907" s="16" t="s">
        <v>2710</v>
      </c>
      <c r="B4907" s="16" t="s">
        <v>2722</v>
      </c>
      <c r="C4907" s="17" t="s">
        <v>19</v>
      </c>
      <c r="D4907" s="18" t="s">
        <v>2764</v>
      </c>
      <c r="E4907" s="18">
        <v>3</v>
      </c>
      <c r="F4907" s="18" t="s">
        <v>595</v>
      </c>
      <c r="G4907" s="18" t="s">
        <v>39</v>
      </c>
      <c r="H4907" s="18" t="s">
        <v>23</v>
      </c>
      <c r="I4907" s="19">
        <v>350</v>
      </c>
      <c r="J4907" s="40">
        <f t="shared" si="152"/>
        <v>1050</v>
      </c>
      <c r="K4907" s="106"/>
      <c r="L4907" s="114"/>
      <c r="M4907" s="114">
        <f>tblAquisições[[#This Row],[VALOR UNITARIO COMPRADO]]*tblAquisições[[#This Row],[QUANTIDADE COMPRADA]]</f>
        <v>0</v>
      </c>
      <c r="N4907" s="110">
        <f>K4907-tblAquisições[[#This Row],[QUANTIDADE PLANEJADA]]</f>
        <v>-3</v>
      </c>
      <c r="O4907" s="106" t="str">
        <f t="shared" si="153"/>
        <v>Faltando Comprar</v>
      </c>
    </row>
    <row r="4908" spans="1:15" ht="47.25">
      <c r="A4908" s="16" t="s">
        <v>2710</v>
      </c>
      <c r="B4908" s="16" t="s">
        <v>2710</v>
      </c>
      <c r="C4908" s="17" t="s">
        <v>19</v>
      </c>
      <c r="D4908" s="18" t="s">
        <v>2765</v>
      </c>
      <c r="E4908" s="18">
        <v>24</v>
      </c>
      <c r="F4908" s="18" t="s">
        <v>2750</v>
      </c>
      <c r="G4908" s="18" t="s">
        <v>39</v>
      </c>
      <c r="H4908" s="18" t="s">
        <v>23</v>
      </c>
      <c r="I4908" s="19">
        <v>6.76</v>
      </c>
      <c r="J4908" s="40">
        <f t="shared" si="152"/>
        <v>162.24</v>
      </c>
      <c r="K4908" s="106"/>
      <c r="L4908" s="114"/>
      <c r="M4908" s="114">
        <f>tblAquisições[[#This Row],[VALOR UNITARIO COMPRADO]]*tblAquisições[[#This Row],[QUANTIDADE COMPRADA]]</f>
        <v>0</v>
      </c>
      <c r="N4908" s="110">
        <f>K4908-tblAquisições[[#This Row],[QUANTIDADE PLANEJADA]]</f>
        <v>-24</v>
      </c>
      <c r="O4908" s="106" t="str">
        <f t="shared" si="153"/>
        <v>Faltando Comprar</v>
      </c>
    </row>
    <row r="4909" spans="1:15" ht="47.25">
      <c r="A4909" s="16" t="s">
        <v>2710</v>
      </c>
      <c r="B4909" s="16" t="s">
        <v>2722</v>
      </c>
      <c r="C4909" s="17" t="s">
        <v>19</v>
      </c>
      <c r="D4909" s="18" t="s">
        <v>2766</v>
      </c>
      <c r="E4909" s="18">
        <v>4</v>
      </c>
      <c r="F4909" s="18" t="s">
        <v>217</v>
      </c>
      <c r="G4909" s="18" t="s">
        <v>39</v>
      </c>
      <c r="H4909" s="18" t="s">
        <v>23</v>
      </c>
      <c r="I4909" s="19">
        <v>3.16</v>
      </c>
      <c r="J4909" s="40">
        <f t="shared" si="152"/>
        <v>12.64</v>
      </c>
      <c r="K4909" s="106"/>
      <c r="L4909" s="114"/>
      <c r="M4909" s="114">
        <f>tblAquisições[[#This Row],[VALOR UNITARIO COMPRADO]]*tblAquisições[[#This Row],[QUANTIDADE COMPRADA]]</f>
        <v>0</v>
      </c>
      <c r="N4909" s="110">
        <f>K4909-tblAquisições[[#This Row],[QUANTIDADE PLANEJADA]]</f>
        <v>-4</v>
      </c>
      <c r="O4909" s="106" t="str">
        <f t="shared" si="153"/>
        <v>Faltando Comprar</v>
      </c>
    </row>
    <row r="4910" spans="1:15" ht="47.25">
      <c r="A4910" s="16" t="s">
        <v>2710</v>
      </c>
      <c r="B4910" s="16" t="s">
        <v>2722</v>
      </c>
      <c r="C4910" s="17" t="s">
        <v>19</v>
      </c>
      <c r="D4910" s="18" t="s">
        <v>2767</v>
      </c>
      <c r="E4910" s="18">
        <v>3</v>
      </c>
      <c r="F4910" s="18" t="s">
        <v>96</v>
      </c>
      <c r="G4910" s="18" t="s">
        <v>39</v>
      </c>
      <c r="H4910" s="18" t="s">
        <v>23</v>
      </c>
      <c r="I4910" s="19">
        <v>7.91</v>
      </c>
      <c r="J4910" s="40">
        <f t="shared" si="152"/>
        <v>23.73</v>
      </c>
      <c r="K4910" s="106"/>
      <c r="L4910" s="114"/>
      <c r="M4910" s="114">
        <f>tblAquisições[[#This Row],[VALOR UNITARIO COMPRADO]]*tblAquisições[[#This Row],[QUANTIDADE COMPRADA]]</f>
        <v>0</v>
      </c>
      <c r="N4910" s="110">
        <f>K4910-tblAquisições[[#This Row],[QUANTIDADE PLANEJADA]]</f>
        <v>-3</v>
      </c>
      <c r="O4910" s="106" t="str">
        <f t="shared" si="153"/>
        <v>Faltando Comprar</v>
      </c>
    </row>
    <row r="4911" spans="1:15" ht="47.25">
      <c r="A4911" s="16" t="s">
        <v>2710</v>
      </c>
      <c r="B4911" s="16" t="s">
        <v>2711</v>
      </c>
      <c r="C4911" s="17" t="s">
        <v>19</v>
      </c>
      <c r="D4911" s="18" t="s">
        <v>2768</v>
      </c>
      <c r="E4911" s="18">
        <v>10</v>
      </c>
      <c r="F4911" s="18" t="s">
        <v>96</v>
      </c>
      <c r="G4911" s="18" t="s">
        <v>39</v>
      </c>
      <c r="H4911" s="18" t="s">
        <v>65</v>
      </c>
      <c r="I4911" s="24">
        <v>7.65</v>
      </c>
      <c r="J4911" s="40">
        <f t="shared" si="152"/>
        <v>76.5</v>
      </c>
      <c r="K4911" s="106"/>
      <c r="L4911" s="114"/>
      <c r="M4911" s="114">
        <f>tblAquisições[[#This Row],[VALOR UNITARIO COMPRADO]]*tblAquisições[[#This Row],[QUANTIDADE COMPRADA]]</f>
        <v>0</v>
      </c>
      <c r="N4911" s="110">
        <f>K4911-tblAquisições[[#This Row],[QUANTIDADE PLANEJADA]]</f>
        <v>-10</v>
      </c>
      <c r="O4911" s="106" t="str">
        <f t="shared" si="153"/>
        <v>Faltando Comprar</v>
      </c>
    </row>
    <row r="4912" spans="1:15" ht="47.25">
      <c r="A4912" s="16" t="s">
        <v>2710</v>
      </c>
      <c r="B4912" s="16" t="s">
        <v>2713</v>
      </c>
      <c r="C4912" s="17" t="s">
        <v>19</v>
      </c>
      <c r="D4912" s="18" t="s">
        <v>2768</v>
      </c>
      <c r="E4912" s="18">
        <v>10</v>
      </c>
      <c r="F4912" s="18" t="s">
        <v>96</v>
      </c>
      <c r="G4912" s="18" t="s">
        <v>39</v>
      </c>
      <c r="H4912" s="18" t="s">
        <v>65</v>
      </c>
      <c r="I4912" s="24">
        <v>7.65</v>
      </c>
      <c r="J4912" s="40">
        <f t="shared" si="152"/>
        <v>76.5</v>
      </c>
      <c r="K4912" s="106"/>
      <c r="L4912" s="114"/>
      <c r="M4912" s="114">
        <f>tblAquisições[[#This Row],[VALOR UNITARIO COMPRADO]]*tblAquisições[[#This Row],[QUANTIDADE COMPRADA]]</f>
        <v>0</v>
      </c>
      <c r="N4912" s="110">
        <f>K4912-tblAquisições[[#This Row],[QUANTIDADE PLANEJADA]]</f>
        <v>-10</v>
      </c>
      <c r="O4912" s="106" t="str">
        <f t="shared" si="153"/>
        <v>Faltando Comprar</v>
      </c>
    </row>
    <row r="4913" spans="1:15" ht="47.25">
      <c r="A4913" s="16" t="s">
        <v>2710</v>
      </c>
      <c r="B4913" s="16" t="s">
        <v>2710</v>
      </c>
      <c r="C4913" s="17" t="s">
        <v>19</v>
      </c>
      <c r="D4913" s="18" t="s">
        <v>610</v>
      </c>
      <c r="E4913" s="18">
        <v>20</v>
      </c>
      <c r="F4913" s="18" t="s">
        <v>96</v>
      </c>
      <c r="G4913" s="18" t="s">
        <v>39</v>
      </c>
      <c r="H4913" s="18" t="s">
        <v>23</v>
      </c>
      <c r="I4913" s="19">
        <v>12.12</v>
      </c>
      <c r="J4913" s="40">
        <f t="shared" si="152"/>
        <v>242.39999999999998</v>
      </c>
      <c r="K4913" s="106"/>
      <c r="L4913" s="114"/>
      <c r="M4913" s="114">
        <f>tblAquisições[[#This Row],[VALOR UNITARIO COMPRADO]]*tblAquisições[[#This Row],[QUANTIDADE COMPRADA]]</f>
        <v>0</v>
      </c>
      <c r="N4913" s="110">
        <f>K4913-tblAquisições[[#This Row],[QUANTIDADE PLANEJADA]]</f>
        <v>-20</v>
      </c>
      <c r="O4913" s="106" t="str">
        <f t="shared" si="153"/>
        <v>Faltando Comprar</v>
      </c>
    </row>
    <row r="4914" spans="1:15" ht="47.25">
      <c r="A4914" s="16" t="s">
        <v>2710</v>
      </c>
      <c r="B4914" s="16" t="s">
        <v>2711</v>
      </c>
      <c r="C4914" s="17" t="s">
        <v>19</v>
      </c>
      <c r="D4914" s="18" t="s">
        <v>2769</v>
      </c>
      <c r="E4914" s="18">
        <v>2</v>
      </c>
      <c r="F4914" s="18" t="s">
        <v>96</v>
      </c>
      <c r="G4914" s="18" t="s">
        <v>39</v>
      </c>
      <c r="H4914" s="18" t="s">
        <v>23</v>
      </c>
      <c r="I4914" s="19">
        <v>16.329999999999998</v>
      </c>
      <c r="J4914" s="40">
        <f t="shared" si="152"/>
        <v>32.659999999999997</v>
      </c>
      <c r="K4914" s="106"/>
      <c r="L4914" s="114"/>
      <c r="M4914" s="114">
        <f>tblAquisições[[#This Row],[VALOR UNITARIO COMPRADO]]*tblAquisições[[#This Row],[QUANTIDADE COMPRADA]]</f>
        <v>0</v>
      </c>
      <c r="N4914" s="110">
        <f>K4914-tblAquisições[[#This Row],[QUANTIDADE PLANEJADA]]</f>
        <v>-2</v>
      </c>
      <c r="O4914" s="106" t="str">
        <f t="shared" si="153"/>
        <v>Faltando Comprar</v>
      </c>
    </row>
    <row r="4915" spans="1:15" ht="47.25">
      <c r="A4915" s="16" t="s">
        <v>2710</v>
      </c>
      <c r="B4915" s="16" t="s">
        <v>2722</v>
      </c>
      <c r="C4915" s="17" t="s">
        <v>19</v>
      </c>
      <c r="D4915" s="18" t="s">
        <v>2770</v>
      </c>
      <c r="E4915" s="18">
        <v>6</v>
      </c>
      <c r="F4915" s="18" t="s">
        <v>96</v>
      </c>
      <c r="G4915" s="18" t="s">
        <v>39</v>
      </c>
      <c r="H4915" s="18" t="s">
        <v>23</v>
      </c>
      <c r="I4915" s="19">
        <v>11.1</v>
      </c>
      <c r="J4915" s="40">
        <f t="shared" si="152"/>
        <v>66.599999999999994</v>
      </c>
      <c r="K4915" s="106"/>
      <c r="L4915" s="114"/>
      <c r="M4915" s="114">
        <f>tblAquisições[[#This Row],[VALOR UNITARIO COMPRADO]]*tblAquisições[[#This Row],[QUANTIDADE COMPRADA]]</f>
        <v>0</v>
      </c>
      <c r="N4915" s="110">
        <f>K4915-tblAquisições[[#This Row],[QUANTIDADE PLANEJADA]]</f>
        <v>-6</v>
      </c>
      <c r="O4915" s="106" t="str">
        <f t="shared" si="153"/>
        <v>Faltando Comprar</v>
      </c>
    </row>
    <row r="4916" spans="1:15" ht="47.25">
      <c r="A4916" s="16" t="s">
        <v>2710</v>
      </c>
      <c r="B4916" s="16" t="s">
        <v>2710</v>
      </c>
      <c r="C4916" s="17" t="s">
        <v>19</v>
      </c>
      <c r="D4916" s="18" t="s">
        <v>640</v>
      </c>
      <c r="E4916" s="18">
        <v>12</v>
      </c>
      <c r="F4916" s="18" t="s">
        <v>147</v>
      </c>
      <c r="G4916" s="18" t="s">
        <v>39</v>
      </c>
      <c r="H4916" s="18" t="s">
        <v>23</v>
      </c>
      <c r="I4916" s="19">
        <v>11.34</v>
      </c>
      <c r="J4916" s="40">
        <f t="shared" si="152"/>
        <v>136.07999999999998</v>
      </c>
      <c r="K4916" s="106"/>
      <c r="L4916" s="114"/>
      <c r="M4916" s="114">
        <f>tblAquisições[[#This Row],[VALOR UNITARIO COMPRADO]]*tblAquisições[[#This Row],[QUANTIDADE COMPRADA]]</f>
        <v>0</v>
      </c>
      <c r="N4916" s="110">
        <f>K4916-tblAquisições[[#This Row],[QUANTIDADE PLANEJADA]]</f>
        <v>-12</v>
      </c>
      <c r="O4916" s="106" t="str">
        <f t="shared" si="153"/>
        <v>Faltando Comprar</v>
      </c>
    </row>
    <row r="4917" spans="1:15" ht="47.25">
      <c r="A4917" s="16" t="s">
        <v>2710</v>
      </c>
      <c r="B4917" s="16" t="s">
        <v>2715</v>
      </c>
      <c r="C4917" s="17" t="s">
        <v>19</v>
      </c>
      <c r="D4917" s="18" t="s">
        <v>640</v>
      </c>
      <c r="E4917" s="18">
        <v>12</v>
      </c>
      <c r="F4917" s="18" t="s">
        <v>147</v>
      </c>
      <c r="G4917" s="18" t="s">
        <v>39</v>
      </c>
      <c r="H4917" s="18" t="s">
        <v>23</v>
      </c>
      <c r="I4917" s="19">
        <v>11.34</v>
      </c>
      <c r="J4917" s="40">
        <f t="shared" si="152"/>
        <v>136.07999999999998</v>
      </c>
      <c r="K4917" s="106"/>
      <c r="L4917" s="114"/>
      <c r="M4917" s="114">
        <f>tblAquisições[[#This Row],[VALOR UNITARIO COMPRADO]]*tblAquisições[[#This Row],[QUANTIDADE COMPRADA]]</f>
        <v>0</v>
      </c>
      <c r="N4917" s="110">
        <f>K4917-tblAquisições[[#This Row],[QUANTIDADE PLANEJADA]]</f>
        <v>-12</v>
      </c>
      <c r="O4917" s="106" t="str">
        <f t="shared" si="153"/>
        <v>Faltando Comprar</v>
      </c>
    </row>
    <row r="4918" spans="1:15" ht="47.25">
      <c r="A4918" s="16" t="s">
        <v>2710</v>
      </c>
      <c r="B4918" s="16" t="s">
        <v>2722</v>
      </c>
      <c r="C4918" s="17" t="s">
        <v>19</v>
      </c>
      <c r="D4918" s="18" t="s">
        <v>2771</v>
      </c>
      <c r="E4918" s="18">
        <v>3</v>
      </c>
      <c r="F4918" s="18" t="s">
        <v>595</v>
      </c>
      <c r="G4918" s="18" t="s">
        <v>39</v>
      </c>
      <c r="H4918" s="18" t="s">
        <v>23</v>
      </c>
      <c r="I4918" s="19">
        <v>55</v>
      </c>
      <c r="J4918" s="40">
        <f t="shared" si="152"/>
        <v>165</v>
      </c>
      <c r="K4918" s="106"/>
      <c r="L4918" s="114"/>
      <c r="M4918" s="114">
        <f>tblAquisições[[#This Row],[VALOR UNITARIO COMPRADO]]*tblAquisições[[#This Row],[QUANTIDADE COMPRADA]]</f>
        <v>0</v>
      </c>
      <c r="N4918" s="110">
        <f>K4918-tblAquisições[[#This Row],[QUANTIDADE PLANEJADA]]</f>
        <v>-3</v>
      </c>
      <c r="O4918" s="106" t="str">
        <f t="shared" si="153"/>
        <v>Faltando Comprar</v>
      </c>
    </row>
    <row r="4919" spans="1:15" ht="31.5">
      <c r="A4919" s="16" t="s">
        <v>2710</v>
      </c>
      <c r="B4919" s="16" t="s">
        <v>2722</v>
      </c>
      <c r="C4919" s="17" t="s">
        <v>19</v>
      </c>
      <c r="D4919" s="18" t="s">
        <v>2772</v>
      </c>
      <c r="E4919" s="18">
        <v>12</v>
      </c>
      <c r="F4919" s="18" t="s">
        <v>38</v>
      </c>
      <c r="G4919" s="18" t="s">
        <v>39</v>
      </c>
      <c r="H4919" s="18" t="s">
        <v>23</v>
      </c>
      <c r="I4919" s="19">
        <v>14.627999999999998</v>
      </c>
      <c r="J4919" s="40">
        <f t="shared" si="152"/>
        <v>175.53599999999997</v>
      </c>
      <c r="K4919" s="106"/>
      <c r="L4919" s="114"/>
      <c r="M4919" s="114">
        <f>tblAquisições[[#This Row],[VALOR UNITARIO COMPRADO]]*tblAquisições[[#This Row],[QUANTIDADE COMPRADA]]</f>
        <v>0</v>
      </c>
      <c r="N4919" s="110">
        <f>K4919-tblAquisições[[#This Row],[QUANTIDADE PLANEJADA]]</f>
        <v>-12</v>
      </c>
      <c r="O4919" s="106" t="str">
        <f t="shared" si="153"/>
        <v>Faltando Comprar</v>
      </c>
    </row>
    <row r="4920" spans="1:15" ht="47.25">
      <c r="A4920" s="16" t="s">
        <v>2710</v>
      </c>
      <c r="B4920" s="16" t="s">
        <v>2715</v>
      </c>
      <c r="C4920" s="17" t="s">
        <v>19</v>
      </c>
      <c r="D4920" s="18" t="s">
        <v>2773</v>
      </c>
      <c r="E4920" s="18">
        <v>5</v>
      </c>
      <c r="F4920" s="18" t="s">
        <v>96</v>
      </c>
      <c r="G4920" s="18" t="s">
        <v>39</v>
      </c>
      <c r="H4920" s="18" t="s">
        <v>65</v>
      </c>
      <c r="I4920" s="24">
        <v>51.46</v>
      </c>
      <c r="J4920" s="40">
        <f t="shared" si="152"/>
        <v>257.3</v>
      </c>
      <c r="K4920" s="106"/>
      <c r="L4920" s="114"/>
      <c r="M4920" s="114">
        <f>tblAquisições[[#This Row],[VALOR UNITARIO COMPRADO]]*tblAquisições[[#This Row],[QUANTIDADE COMPRADA]]</f>
        <v>0</v>
      </c>
      <c r="N4920" s="110">
        <f>K4920-tblAquisições[[#This Row],[QUANTIDADE PLANEJADA]]</f>
        <v>-5</v>
      </c>
      <c r="O4920" s="106" t="str">
        <f t="shared" si="153"/>
        <v>Faltando Comprar</v>
      </c>
    </row>
    <row r="4921" spans="1:15" ht="47.25">
      <c r="A4921" s="16" t="s">
        <v>2710</v>
      </c>
      <c r="B4921" s="16" t="s">
        <v>2711</v>
      </c>
      <c r="C4921" s="17" t="s">
        <v>19</v>
      </c>
      <c r="D4921" s="18" t="s">
        <v>2774</v>
      </c>
      <c r="E4921" s="18">
        <v>10</v>
      </c>
      <c r="F4921" s="18" t="s">
        <v>147</v>
      </c>
      <c r="G4921" s="18" t="s">
        <v>39</v>
      </c>
      <c r="H4921" s="18" t="s">
        <v>23</v>
      </c>
      <c r="I4921" s="19">
        <v>6.43</v>
      </c>
      <c r="J4921" s="40">
        <f t="shared" si="152"/>
        <v>64.3</v>
      </c>
      <c r="K4921" s="106"/>
      <c r="L4921" s="114"/>
      <c r="M4921" s="114">
        <f>tblAquisições[[#This Row],[VALOR UNITARIO COMPRADO]]*tblAquisições[[#This Row],[QUANTIDADE COMPRADA]]</f>
        <v>0</v>
      </c>
      <c r="N4921" s="110">
        <f>K4921-tblAquisições[[#This Row],[QUANTIDADE PLANEJADA]]</f>
        <v>-10</v>
      </c>
      <c r="O4921" s="106" t="str">
        <f t="shared" si="153"/>
        <v>Faltando Comprar</v>
      </c>
    </row>
    <row r="4922" spans="1:15" ht="47.25">
      <c r="A4922" s="16" t="s">
        <v>2710</v>
      </c>
      <c r="B4922" s="16" t="s">
        <v>2722</v>
      </c>
      <c r="C4922" s="17" t="s">
        <v>19</v>
      </c>
      <c r="D4922" s="18" t="s">
        <v>2774</v>
      </c>
      <c r="E4922" s="18">
        <v>6</v>
      </c>
      <c r="F4922" s="18" t="s">
        <v>147</v>
      </c>
      <c r="G4922" s="18" t="s">
        <v>39</v>
      </c>
      <c r="H4922" s="18" t="s">
        <v>23</v>
      </c>
      <c r="I4922" s="19">
        <v>6.43</v>
      </c>
      <c r="J4922" s="40">
        <f t="shared" si="152"/>
        <v>38.58</v>
      </c>
      <c r="K4922" s="106"/>
      <c r="L4922" s="114"/>
      <c r="M4922" s="114">
        <f>tblAquisições[[#This Row],[VALOR UNITARIO COMPRADO]]*tblAquisições[[#This Row],[QUANTIDADE COMPRADA]]</f>
        <v>0</v>
      </c>
      <c r="N4922" s="110">
        <f>K4922-tblAquisições[[#This Row],[QUANTIDADE PLANEJADA]]</f>
        <v>-6</v>
      </c>
      <c r="O4922" s="106" t="str">
        <f t="shared" si="153"/>
        <v>Faltando Comprar</v>
      </c>
    </row>
    <row r="4923" spans="1:15" ht="47.25">
      <c r="A4923" s="16" t="s">
        <v>2710</v>
      </c>
      <c r="B4923" s="16" t="s">
        <v>2711</v>
      </c>
      <c r="C4923" s="17" t="s">
        <v>19</v>
      </c>
      <c r="D4923" s="18" t="s">
        <v>2775</v>
      </c>
      <c r="E4923" s="18">
        <v>10</v>
      </c>
      <c r="F4923" s="18" t="s">
        <v>147</v>
      </c>
      <c r="G4923" s="18" t="s">
        <v>39</v>
      </c>
      <c r="H4923" s="18" t="s">
        <v>23</v>
      </c>
      <c r="I4923" s="19">
        <v>6.22</v>
      </c>
      <c r="J4923" s="40">
        <f t="shared" si="152"/>
        <v>62.199999999999996</v>
      </c>
      <c r="K4923" s="106"/>
      <c r="L4923" s="114"/>
      <c r="M4923" s="114">
        <f>tblAquisições[[#This Row],[VALOR UNITARIO COMPRADO]]*tblAquisições[[#This Row],[QUANTIDADE COMPRADA]]</f>
        <v>0</v>
      </c>
      <c r="N4923" s="110">
        <f>K4923-tblAquisições[[#This Row],[QUANTIDADE PLANEJADA]]</f>
        <v>-10</v>
      </c>
      <c r="O4923" s="106" t="str">
        <f t="shared" si="153"/>
        <v>Faltando Comprar</v>
      </c>
    </row>
    <row r="4924" spans="1:15" ht="47.25">
      <c r="A4924" s="16" t="s">
        <v>2710</v>
      </c>
      <c r="B4924" s="16" t="s">
        <v>2722</v>
      </c>
      <c r="C4924" s="17" t="s">
        <v>19</v>
      </c>
      <c r="D4924" s="18" t="s">
        <v>2775</v>
      </c>
      <c r="E4924" s="18">
        <v>6</v>
      </c>
      <c r="F4924" s="18" t="s">
        <v>147</v>
      </c>
      <c r="G4924" s="18" t="s">
        <v>39</v>
      </c>
      <c r="H4924" s="18" t="s">
        <v>23</v>
      </c>
      <c r="I4924" s="19">
        <v>6.22</v>
      </c>
      <c r="J4924" s="40">
        <f t="shared" si="152"/>
        <v>37.32</v>
      </c>
      <c r="K4924" s="106"/>
      <c r="L4924" s="114"/>
      <c r="M4924" s="114">
        <f>tblAquisições[[#This Row],[VALOR UNITARIO COMPRADO]]*tblAquisições[[#This Row],[QUANTIDADE COMPRADA]]</f>
        <v>0</v>
      </c>
      <c r="N4924" s="110">
        <f>K4924-tblAquisições[[#This Row],[QUANTIDADE PLANEJADA]]</f>
        <v>-6</v>
      </c>
      <c r="O4924" s="106" t="str">
        <f t="shared" si="153"/>
        <v>Faltando Comprar</v>
      </c>
    </row>
    <row r="4925" spans="1:15" ht="31.5">
      <c r="A4925" s="16" t="s">
        <v>2710</v>
      </c>
      <c r="B4925" s="16" t="s">
        <v>2722</v>
      </c>
      <c r="C4925" s="17" t="s">
        <v>19</v>
      </c>
      <c r="D4925" s="18" t="s">
        <v>718</v>
      </c>
      <c r="E4925" s="18">
        <v>6</v>
      </c>
      <c r="F4925" s="18" t="s">
        <v>38</v>
      </c>
      <c r="G4925" s="18" t="s">
        <v>39</v>
      </c>
      <c r="H4925" s="18" t="s">
        <v>23</v>
      </c>
      <c r="I4925" s="19">
        <v>22.22</v>
      </c>
      <c r="J4925" s="40">
        <f t="shared" si="152"/>
        <v>133.32</v>
      </c>
      <c r="K4925" s="106"/>
      <c r="L4925" s="114"/>
      <c r="M4925" s="114">
        <f>tblAquisições[[#This Row],[VALOR UNITARIO COMPRADO]]*tblAquisições[[#This Row],[QUANTIDADE COMPRADA]]</f>
        <v>0</v>
      </c>
      <c r="N4925" s="110">
        <f>K4925-tblAquisições[[#This Row],[QUANTIDADE PLANEJADA]]</f>
        <v>-6</v>
      </c>
      <c r="O4925" s="106" t="str">
        <f t="shared" si="153"/>
        <v>Faltando Comprar</v>
      </c>
    </row>
    <row r="4926" spans="1:15" ht="31.5">
      <c r="A4926" s="16" t="s">
        <v>2710</v>
      </c>
      <c r="B4926" s="16" t="s">
        <v>2722</v>
      </c>
      <c r="C4926" s="17" t="s">
        <v>19</v>
      </c>
      <c r="D4926" s="18" t="s">
        <v>2776</v>
      </c>
      <c r="E4926" s="18">
        <v>12</v>
      </c>
      <c r="F4926" s="18" t="s">
        <v>38</v>
      </c>
      <c r="G4926" s="18" t="s">
        <v>39</v>
      </c>
      <c r="H4926" s="18" t="s">
        <v>23</v>
      </c>
      <c r="I4926" s="19">
        <v>0.71</v>
      </c>
      <c r="J4926" s="40">
        <f t="shared" si="152"/>
        <v>8.52</v>
      </c>
      <c r="K4926" s="106"/>
      <c r="L4926" s="114"/>
      <c r="M4926" s="114">
        <f>tblAquisições[[#This Row],[VALOR UNITARIO COMPRADO]]*tblAquisições[[#This Row],[QUANTIDADE COMPRADA]]</f>
        <v>0</v>
      </c>
      <c r="N4926" s="110">
        <f>K4926-tblAquisições[[#This Row],[QUANTIDADE PLANEJADA]]</f>
        <v>-12</v>
      </c>
      <c r="O4926" s="106" t="str">
        <f t="shared" si="153"/>
        <v>Faltando Comprar</v>
      </c>
    </row>
    <row r="4927" spans="1:15" ht="47.25">
      <c r="A4927" s="16" t="s">
        <v>2710</v>
      </c>
      <c r="B4927" s="16" t="s">
        <v>2711</v>
      </c>
      <c r="C4927" s="17" t="s">
        <v>19</v>
      </c>
      <c r="D4927" s="18" t="s">
        <v>761</v>
      </c>
      <c r="E4927" s="18">
        <v>10</v>
      </c>
      <c r="F4927" s="18" t="s">
        <v>96</v>
      </c>
      <c r="G4927" s="18" t="s">
        <v>39</v>
      </c>
      <c r="H4927" s="18" t="s">
        <v>65</v>
      </c>
      <c r="I4927" s="19">
        <v>46.02</v>
      </c>
      <c r="J4927" s="40">
        <f t="shared" si="152"/>
        <v>460.20000000000005</v>
      </c>
      <c r="K4927" s="106"/>
      <c r="L4927" s="114"/>
      <c r="M4927" s="114">
        <f>tblAquisições[[#This Row],[VALOR UNITARIO COMPRADO]]*tblAquisições[[#This Row],[QUANTIDADE COMPRADA]]</f>
        <v>0</v>
      </c>
      <c r="N4927" s="110">
        <f>K4927-tblAquisições[[#This Row],[QUANTIDADE PLANEJADA]]</f>
        <v>-10</v>
      </c>
      <c r="O4927" s="106" t="str">
        <f t="shared" si="153"/>
        <v>Faltando Comprar</v>
      </c>
    </row>
    <row r="4928" spans="1:15" ht="47.25">
      <c r="A4928" s="16" t="s">
        <v>2710</v>
      </c>
      <c r="B4928" s="16" t="s">
        <v>2722</v>
      </c>
      <c r="C4928" s="17" t="s">
        <v>19</v>
      </c>
      <c r="D4928" s="18" t="s">
        <v>761</v>
      </c>
      <c r="E4928" s="18">
        <v>4</v>
      </c>
      <c r="F4928" s="18" t="s">
        <v>96</v>
      </c>
      <c r="G4928" s="18" t="s">
        <v>39</v>
      </c>
      <c r="H4928" s="18" t="s">
        <v>65</v>
      </c>
      <c r="I4928" s="19">
        <v>46.02</v>
      </c>
      <c r="J4928" s="40">
        <f t="shared" si="152"/>
        <v>184.08</v>
      </c>
      <c r="K4928" s="106"/>
      <c r="L4928" s="114"/>
      <c r="M4928" s="114">
        <f>tblAquisições[[#This Row],[VALOR UNITARIO COMPRADO]]*tblAquisições[[#This Row],[QUANTIDADE COMPRADA]]</f>
        <v>0</v>
      </c>
      <c r="N4928" s="110">
        <f>K4928-tblAquisições[[#This Row],[QUANTIDADE PLANEJADA]]</f>
        <v>-4</v>
      </c>
      <c r="O4928" s="106" t="str">
        <f t="shared" si="153"/>
        <v>Faltando Comprar</v>
      </c>
    </row>
    <row r="4929" spans="1:15" ht="47.25">
      <c r="A4929" s="16" t="s">
        <v>2710</v>
      </c>
      <c r="B4929" s="16" t="s">
        <v>2711</v>
      </c>
      <c r="C4929" s="17" t="s">
        <v>19</v>
      </c>
      <c r="D4929" s="18" t="s">
        <v>2777</v>
      </c>
      <c r="E4929" s="18">
        <v>1</v>
      </c>
      <c r="F4929" s="18" t="s">
        <v>147</v>
      </c>
      <c r="G4929" s="18" t="s">
        <v>39</v>
      </c>
      <c r="H4929" s="18" t="s">
        <v>23</v>
      </c>
      <c r="I4929" s="19">
        <v>35.270000000000003</v>
      </c>
      <c r="J4929" s="40">
        <f t="shared" si="152"/>
        <v>35.270000000000003</v>
      </c>
      <c r="K4929" s="106"/>
      <c r="L4929" s="114"/>
      <c r="M4929" s="114">
        <f>tblAquisições[[#This Row],[VALOR UNITARIO COMPRADO]]*tblAquisições[[#This Row],[QUANTIDADE COMPRADA]]</f>
        <v>0</v>
      </c>
      <c r="N4929" s="110">
        <f>K4929-tblAquisições[[#This Row],[QUANTIDADE PLANEJADA]]</f>
        <v>-1</v>
      </c>
      <c r="O4929" s="106" t="str">
        <f t="shared" si="153"/>
        <v>Faltando Comprar</v>
      </c>
    </row>
    <row r="4930" spans="1:15" ht="47.25">
      <c r="A4930" s="16" t="s">
        <v>2710</v>
      </c>
      <c r="B4930" s="16" t="s">
        <v>2722</v>
      </c>
      <c r="C4930" s="17" t="s">
        <v>19</v>
      </c>
      <c r="D4930" s="18" t="s">
        <v>2777</v>
      </c>
      <c r="E4930" s="18">
        <v>2</v>
      </c>
      <c r="F4930" s="18" t="s">
        <v>147</v>
      </c>
      <c r="G4930" s="18" t="s">
        <v>39</v>
      </c>
      <c r="H4930" s="18" t="s">
        <v>23</v>
      </c>
      <c r="I4930" s="19">
        <v>35.270000000000003</v>
      </c>
      <c r="J4930" s="40">
        <f t="shared" ref="J4930:J4993" si="154">E4930*I4930</f>
        <v>70.540000000000006</v>
      </c>
      <c r="K4930" s="106"/>
      <c r="L4930" s="114"/>
      <c r="M4930" s="114">
        <f>tblAquisições[[#This Row],[VALOR UNITARIO COMPRADO]]*tblAquisições[[#This Row],[QUANTIDADE COMPRADA]]</f>
        <v>0</v>
      </c>
      <c r="N4930" s="110">
        <f>K4930-tblAquisições[[#This Row],[QUANTIDADE PLANEJADA]]</f>
        <v>-2</v>
      </c>
      <c r="O4930" s="106" t="str">
        <f t="shared" ref="O4930:O4993" si="155">IF(K4930=E4930,"OK",IF(K4930&lt;E4930,"Faltando Comprar","Excedente"))</f>
        <v>Faltando Comprar</v>
      </c>
    </row>
    <row r="4931" spans="1:15" ht="47.25">
      <c r="A4931" s="16" t="s">
        <v>2710</v>
      </c>
      <c r="B4931" s="16" t="s">
        <v>2715</v>
      </c>
      <c r="C4931" s="17" t="s">
        <v>19</v>
      </c>
      <c r="D4931" s="18" t="s">
        <v>2778</v>
      </c>
      <c r="E4931" s="18">
        <v>20</v>
      </c>
      <c r="F4931" s="18" t="s">
        <v>96</v>
      </c>
      <c r="G4931" s="18" t="s">
        <v>39</v>
      </c>
      <c r="H4931" s="18" t="s">
        <v>65</v>
      </c>
      <c r="I4931" s="24">
        <v>256.43</v>
      </c>
      <c r="J4931" s="40">
        <f t="shared" si="154"/>
        <v>5128.6000000000004</v>
      </c>
      <c r="K4931" s="106"/>
      <c r="L4931" s="114"/>
      <c r="M4931" s="114">
        <f>tblAquisições[[#This Row],[VALOR UNITARIO COMPRADO]]*tblAquisições[[#This Row],[QUANTIDADE COMPRADA]]</f>
        <v>0</v>
      </c>
      <c r="N4931" s="110">
        <f>K4931-tblAquisições[[#This Row],[QUANTIDADE PLANEJADA]]</f>
        <v>-20</v>
      </c>
      <c r="O4931" s="106" t="str">
        <f t="shared" si="155"/>
        <v>Faltando Comprar</v>
      </c>
    </row>
    <row r="4932" spans="1:15" ht="31.5">
      <c r="A4932" s="16" t="s">
        <v>2710</v>
      </c>
      <c r="B4932" s="16" t="s">
        <v>2722</v>
      </c>
      <c r="C4932" s="17" t="s">
        <v>19</v>
      </c>
      <c r="D4932" s="18" t="s">
        <v>790</v>
      </c>
      <c r="E4932" s="18">
        <v>12</v>
      </c>
      <c r="F4932" s="18" t="s">
        <v>38</v>
      </c>
      <c r="G4932" s="18" t="s">
        <v>39</v>
      </c>
      <c r="H4932" s="18" t="s">
        <v>23</v>
      </c>
      <c r="I4932" s="19">
        <v>1.61</v>
      </c>
      <c r="J4932" s="40">
        <f t="shared" si="154"/>
        <v>19.32</v>
      </c>
      <c r="K4932" s="106"/>
      <c r="L4932" s="114"/>
      <c r="M4932" s="114">
        <f>tblAquisições[[#This Row],[VALOR UNITARIO COMPRADO]]*tblAquisições[[#This Row],[QUANTIDADE COMPRADA]]</f>
        <v>0</v>
      </c>
      <c r="N4932" s="110">
        <f>K4932-tblAquisições[[#This Row],[QUANTIDADE PLANEJADA]]</f>
        <v>-12</v>
      </c>
      <c r="O4932" s="106" t="str">
        <f t="shared" si="155"/>
        <v>Faltando Comprar</v>
      </c>
    </row>
    <row r="4933" spans="1:15" ht="47.25">
      <c r="A4933" s="16" t="s">
        <v>2710</v>
      </c>
      <c r="B4933" s="16" t="s">
        <v>2710</v>
      </c>
      <c r="C4933" s="17" t="s">
        <v>19</v>
      </c>
      <c r="D4933" s="18" t="s">
        <v>826</v>
      </c>
      <c r="E4933" s="18">
        <v>5</v>
      </c>
      <c r="F4933" s="18" t="s">
        <v>96</v>
      </c>
      <c r="G4933" s="18" t="s">
        <v>39</v>
      </c>
      <c r="H4933" s="18" t="s">
        <v>65</v>
      </c>
      <c r="I4933" s="19">
        <v>21.48</v>
      </c>
      <c r="J4933" s="40">
        <f t="shared" si="154"/>
        <v>107.4</v>
      </c>
      <c r="K4933" s="106"/>
      <c r="L4933" s="114"/>
      <c r="M4933" s="114">
        <f>tblAquisições[[#This Row],[VALOR UNITARIO COMPRADO]]*tblAquisições[[#This Row],[QUANTIDADE COMPRADA]]</f>
        <v>0</v>
      </c>
      <c r="N4933" s="110">
        <f>K4933-tblAquisições[[#This Row],[QUANTIDADE PLANEJADA]]</f>
        <v>-5</v>
      </c>
      <c r="O4933" s="106" t="str">
        <f t="shared" si="155"/>
        <v>Faltando Comprar</v>
      </c>
    </row>
    <row r="4934" spans="1:15" ht="47.25">
      <c r="A4934" s="16" t="s">
        <v>2710</v>
      </c>
      <c r="B4934" s="16" t="s">
        <v>2711</v>
      </c>
      <c r="C4934" s="17" t="s">
        <v>19</v>
      </c>
      <c r="D4934" s="18" t="s">
        <v>2779</v>
      </c>
      <c r="E4934" s="18">
        <v>5</v>
      </c>
      <c r="F4934" s="18" t="s">
        <v>96</v>
      </c>
      <c r="G4934" s="18" t="s">
        <v>39</v>
      </c>
      <c r="H4934" s="18" t="s">
        <v>23</v>
      </c>
      <c r="I4934" s="19">
        <v>12.76</v>
      </c>
      <c r="J4934" s="40">
        <f t="shared" si="154"/>
        <v>63.8</v>
      </c>
      <c r="K4934" s="106"/>
      <c r="L4934" s="114"/>
      <c r="M4934" s="114">
        <f>tblAquisições[[#This Row],[VALOR UNITARIO COMPRADO]]*tblAquisições[[#This Row],[QUANTIDADE COMPRADA]]</f>
        <v>0</v>
      </c>
      <c r="N4934" s="110">
        <f>K4934-tblAquisições[[#This Row],[QUANTIDADE PLANEJADA]]</f>
        <v>-5</v>
      </c>
      <c r="O4934" s="106" t="str">
        <f t="shared" si="155"/>
        <v>Faltando Comprar</v>
      </c>
    </row>
    <row r="4935" spans="1:15" ht="47.25">
      <c r="A4935" s="16" t="s">
        <v>2710</v>
      </c>
      <c r="B4935" s="16" t="s">
        <v>2713</v>
      </c>
      <c r="C4935" s="17" t="s">
        <v>19</v>
      </c>
      <c r="D4935" s="18" t="s">
        <v>2779</v>
      </c>
      <c r="E4935" s="18">
        <v>5</v>
      </c>
      <c r="F4935" s="18" t="s">
        <v>96</v>
      </c>
      <c r="G4935" s="18" t="s">
        <v>39</v>
      </c>
      <c r="H4935" s="18" t="s">
        <v>23</v>
      </c>
      <c r="I4935" s="19">
        <v>12.76</v>
      </c>
      <c r="J4935" s="40">
        <f t="shared" si="154"/>
        <v>63.8</v>
      </c>
      <c r="K4935" s="106"/>
      <c r="L4935" s="114"/>
      <c r="M4935" s="114">
        <f>tblAquisições[[#This Row],[VALOR UNITARIO COMPRADO]]*tblAquisições[[#This Row],[QUANTIDADE COMPRADA]]</f>
        <v>0</v>
      </c>
      <c r="N4935" s="110">
        <f>K4935-tblAquisições[[#This Row],[QUANTIDADE PLANEJADA]]</f>
        <v>-5</v>
      </c>
      <c r="O4935" s="106" t="str">
        <f t="shared" si="155"/>
        <v>Faltando Comprar</v>
      </c>
    </row>
    <row r="4936" spans="1:15" ht="47.25">
      <c r="A4936" s="16" t="s">
        <v>2710</v>
      </c>
      <c r="B4936" s="16" t="s">
        <v>2710</v>
      </c>
      <c r="C4936" s="17" t="s">
        <v>19</v>
      </c>
      <c r="D4936" s="18" t="s">
        <v>2780</v>
      </c>
      <c r="E4936" s="18">
        <v>2</v>
      </c>
      <c r="F4936" s="18" t="s">
        <v>96</v>
      </c>
      <c r="G4936" s="18" t="s">
        <v>39</v>
      </c>
      <c r="H4936" s="18" t="s">
        <v>23</v>
      </c>
      <c r="I4936" s="19">
        <v>6.85</v>
      </c>
      <c r="J4936" s="40">
        <f t="shared" si="154"/>
        <v>13.7</v>
      </c>
      <c r="K4936" s="106"/>
      <c r="L4936" s="114"/>
      <c r="M4936" s="114">
        <f>tblAquisições[[#This Row],[VALOR UNITARIO COMPRADO]]*tblAquisições[[#This Row],[QUANTIDADE COMPRADA]]</f>
        <v>0</v>
      </c>
      <c r="N4936" s="110">
        <f>K4936-tblAquisições[[#This Row],[QUANTIDADE PLANEJADA]]</f>
        <v>-2</v>
      </c>
      <c r="O4936" s="106" t="str">
        <f t="shared" si="155"/>
        <v>Faltando Comprar</v>
      </c>
    </row>
    <row r="4937" spans="1:15" ht="47.25">
      <c r="A4937" s="16" t="s">
        <v>2710</v>
      </c>
      <c r="B4937" s="16" t="s">
        <v>2711</v>
      </c>
      <c r="C4937" s="17" t="s">
        <v>19</v>
      </c>
      <c r="D4937" s="18" t="s">
        <v>2781</v>
      </c>
      <c r="E4937" s="18">
        <v>5</v>
      </c>
      <c r="F4937" s="18" t="s">
        <v>147</v>
      </c>
      <c r="G4937" s="18" t="s">
        <v>39</v>
      </c>
      <c r="H4937" s="18" t="s">
        <v>23</v>
      </c>
      <c r="I4937" s="19">
        <v>7.06</v>
      </c>
      <c r="J4937" s="40">
        <f t="shared" si="154"/>
        <v>35.299999999999997</v>
      </c>
      <c r="K4937" s="106"/>
      <c r="L4937" s="114"/>
      <c r="M4937" s="114">
        <f>tblAquisições[[#This Row],[VALOR UNITARIO COMPRADO]]*tblAquisições[[#This Row],[QUANTIDADE COMPRADA]]</f>
        <v>0</v>
      </c>
      <c r="N4937" s="110">
        <f>K4937-tblAquisições[[#This Row],[QUANTIDADE PLANEJADA]]</f>
        <v>-5</v>
      </c>
      <c r="O4937" s="106" t="str">
        <f t="shared" si="155"/>
        <v>Faltando Comprar</v>
      </c>
    </row>
    <row r="4938" spans="1:15" ht="47.25">
      <c r="A4938" s="16" t="s">
        <v>2710</v>
      </c>
      <c r="B4938" s="16" t="s">
        <v>2713</v>
      </c>
      <c r="C4938" s="17" t="s">
        <v>19</v>
      </c>
      <c r="D4938" s="18" t="s">
        <v>2781</v>
      </c>
      <c r="E4938" s="18">
        <v>10</v>
      </c>
      <c r="F4938" s="18" t="s">
        <v>147</v>
      </c>
      <c r="G4938" s="18" t="s">
        <v>39</v>
      </c>
      <c r="H4938" s="18" t="s">
        <v>23</v>
      </c>
      <c r="I4938" s="19">
        <v>7.06</v>
      </c>
      <c r="J4938" s="40">
        <f t="shared" si="154"/>
        <v>70.599999999999994</v>
      </c>
      <c r="K4938" s="106"/>
      <c r="L4938" s="114"/>
      <c r="M4938" s="114">
        <f>tblAquisições[[#This Row],[VALOR UNITARIO COMPRADO]]*tblAquisições[[#This Row],[QUANTIDADE COMPRADA]]</f>
        <v>0</v>
      </c>
      <c r="N4938" s="110">
        <f>K4938-tblAquisições[[#This Row],[QUANTIDADE PLANEJADA]]</f>
        <v>-10</v>
      </c>
      <c r="O4938" s="106" t="str">
        <f t="shared" si="155"/>
        <v>Faltando Comprar</v>
      </c>
    </row>
    <row r="4939" spans="1:15" ht="47.25">
      <c r="A4939" s="16" t="s">
        <v>2710</v>
      </c>
      <c r="B4939" s="16" t="s">
        <v>2711</v>
      </c>
      <c r="C4939" s="17" t="s">
        <v>19</v>
      </c>
      <c r="D4939" s="18" t="s">
        <v>2782</v>
      </c>
      <c r="E4939" s="18">
        <v>7</v>
      </c>
      <c r="F4939" s="18" t="s">
        <v>96</v>
      </c>
      <c r="G4939" s="18" t="s">
        <v>39</v>
      </c>
      <c r="H4939" s="18" t="s">
        <v>23</v>
      </c>
      <c r="I4939" s="19">
        <v>26.05</v>
      </c>
      <c r="J4939" s="40">
        <f t="shared" si="154"/>
        <v>182.35</v>
      </c>
      <c r="K4939" s="106"/>
      <c r="L4939" s="114"/>
      <c r="M4939" s="114">
        <f>tblAquisições[[#This Row],[VALOR UNITARIO COMPRADO]]*tblAquisições[[#This Row],[QUANTIDADE COMPRADA]]</f>
        <v>0</v>
      </c>
      <c r="N4939" s="110">
        <f>K4939-tblAquisições[[#This Row],[QUANTIDADE PLANEJADA]]</f>
        <v>-7</v>
      </c>
      <c r="O4939" s="106" t="str">
        <f t="shared" si="155"/>
        <v>Faltando Comprar</v>
      </c>
    </row>
    <row r="4940" spans="1:15" ht="47.25">
      <c r="A4940" s="16" t="s">
        <v>2710</v>
      </c>
      <c r="B4940" s="16" t="s">
        <v>2713</v>
      </c>
      <c r="C4940" s="17" t="s">
        <v>19</v>
      </c>
      <c r="D4940" s="18" t="s">
        <v>2782</v>
      </c>
      <c r="E4940" s="18">
        <v>4</v>
      </c>
      <c r="F4940" s="18" t="s">
        <v>96</v>
      </c>
      <c r="G4940" s="18" t="s">
        <v>39</v>
      </c>
      <c r="H4940" s="18" t="s">
        <v>23</v>
      </c>
      <c r="I4940" s="19">
        <v>26.05</v>
      </c>
      <c r="J4940" s="40">
        <f t="shared" si="154"/>
        <v>104.2</v>
      </c>
      <c r="K4940" s="106"/>
      <c r="L4940" s="114"/>
      <c r="M4940" s="114">
        <f>tblAquisições[[#This Row],[VALOR UNITARIO COMPRADO]]*tblAquisições[[#This Row],[QUANTIDADE COMPRADA]]</f>
        <v>0</v>
      </c>
      <c r="N4940" s="110">
        <f>K4940-tblAquisições[[#This Row],[QUANTIDADE PLANEJADA]]</f>
        <v>-4</v>
      </c>
      <c r="O4940" s="106" t="str">
        <f t="shared" si="155"/>
        <v>Faltando Comprar</v>
      </c>
    </row>
    <row r="4941" spans="1:15" ht="47.25">
      <c r="A4941" s="16" t="s">
        <v>2710</v>
      </c>
      <c r="B4941" s="16" t="s">
        <v>2715</v>
      </c>
      <c r="C4941" s="17" t="s">
        <v>19</v>
      </c>
      <c r="D4941" s="18" t="s">
        <v>2783</v>
      </c>
      <c r="E4941" s="18">
        <v>2</v>
      </c>
      <c r="F4941" s="18" t="s">
        <v>96</v>
      </c>
      <c r="G4941" s="18" t="s">
        <v>39</v>
      </c>
      <c r="H4941" s="18" t="s">
        <v>65</v>
      </c>
      <c r="I4941" s="24">
        <v>21.48</v>
      </c>
      <c r="J4941" s="40">
        <f t="shared" si="154"/>
        <v>42.96</v>
      </c>
      <c r="K4941" s="106"/>
      <c r="L4941" s="114"/>
      <c r="M4941" s="114">
        <f>tblAquisições[[#This Row],[VALOR UNITARIO COMPRADO]]*tblAquisições[[#This Row],[QUANTIDADE COMPRADA]]</f>
        <v>0</v>
      </c>
      <c r="N4941" s="110">
        <f>K4941-tblAquisições[[#This Row],[QUANTIDADE PLANEJADA]]</f>
        <v>-2</v>
      </c>
      <c r="O4941" s="106" t="str">
        <f t="shared" si="155"/>
        <v>Faltando Comprar</v>
      </c>
    </row>
    <row r="4942" spans="1:15" ht="47.25">
      <c r="A4942" s="16" t="s">
        <v>2710</v>
      </c>
      <c r="B4942" s="16" t="s">
        <v>2711</v>
      </c>
      <c r="C4942" s="17" t="s">
        <v>19</v>
      </c>
      <c r="D4942" s="18" t="s">
        <v>2784</v>
      </c>
      <c r="E4942" s="18">
        <v>5</v>
      </c>
      <c r="F4942" s="18" t="s">
        <v>147</v>
      </c>
      <c r="G4942" s="18" t="s">
        <v>39</v>
      </c>
      <c r="H4942" s="18" t="s">
        <v>23</v>
      </c>
      <c r="I4942" s="19">
        <v>37.83</v>
      </c>
      <c r="J4942" s="40">
        <f t="shared" si="154"/>
        <v>189.14999999999998</v>
      </c>
      <c r="K4942" s="106"/>
      <c r="L4942" s="114"/>
      <c r="M4942" s="114">
        <f>tblAquisições[[#This Row],[VALOR UNITARIO COMPRADO]]*tblAquisições[[#This Row],[QUANTIDADE COMPRADA]]</f>
        <v>0</v>
      </c>
      <c r="N4942" s="110">
        <f>K4942-tblAquisições[[#This Row],[QUANTIDADE PLANEJADA]]</f>
        <v>-5</v>
      </c>
      <c r="O4942" s="106" t="str">
        <f t="shared" si="155"/>
        <v>Faltando Comprar</v>
      </c>
    </row>
    <row r="4943" spans="1:15" ht="47.25">
      <c r="A4943" s="16" t="s">
        <v>2710</v>
      </c>
      <c r="B4943" s="16" t="s">
        <v>2713</v>
      </c>
      <c r="C4943" s="17" t="s">
        <v>19</v>
      </c>
      <c r="D4943" s="18" t="s">
        <v>2784</v>
      </c>
      <c r="E4943" s="18">
        <v>5</v>
      </c>
      <c r="F4943" s="18" t="s">
        <v>147</v>
      </c>
      <c r="G4943" s="18" t="s">
        <v>39</v>
      </c>
      <c r="H4943" s="18" t="s">
        <v>23</v>
      </c>
      <c r="I4943" s="19">
        <v>37.83</v>
      </c>
      <c r="J4943" s="40">
        <f t="shared" si="154"/>
        <v>189.14999999999998</v>
      </c>
      <c r="K4943" s="106"/>
      <c r="L4943" s="114"/>
      <c r="M4943" s="114">
        <f>tblAquisições[[#This Row],[VALOR UNITARIO COMPRADO]]*tblAquisições[[#This Row],[QUANTIDADE COMPRADA]]</f>
        <v>0</v>
      </c>
      <c r="N4943" s="110">
        <f>K4943-tblAquisições[[#This Row],[QUANTIDADE PLANEJADA]]</f>
        <v>-5</v>
      </c>
      <c r="O4943" s="106" t="str">
        <f t="shared" si="155"/>
        <v>Faltando Comprar</v>
      </c>
    </row>
    <row r="4944" spans="1:15" ht="31.5">
      <c r="A4944" s="16" t="s">
        <v>2710</v>
      </c>
      <c r="B4944" s="16" t="s">
        <v>2711</v>
      </c>
      <c r="C4944" s="17" t="s">
        <v>19</v>
      </c>
      <c r="D4944" s="18" t="s">
        <v>2785</v>
      </c>
      <c r="E4944" s="18">
        <v>15</v>
      </c>
      <c r="F4944" s="18" t="s">
        <v>56</v>
      </c>
      <c r="G4944" s="18" t="s">
        <v>39</v>
      </c>
      <c r="H4944" s="18" t="s">
        <v>23</v>
      </c>
      <c r="I4944" s="19">
        <v>674.92</v>
      </c>
      <c r="J4944" s="40">
        <f t="shared" si="154"/>
        <v>10123.799999999999</v>
      </c>
      <c r="K4944" s="106"/>
      <c r="L4944" s="114"/>
      <c r="M4944" s="114">
        <f>tblAquisições[[#This Row],[VALOR UNITARIO COMPRADO]]*tblAquisições[[#This Row],[QUANTIDADE COMPRADA]]</f>
        <v>0</v>
      </c>
      <c r="N4944" s="110">
        <f>K4944-tblAquisições[[#This Row],[QUANTIDADE PLANEJADA]]</f>
        <v>-15</v>
      </c>
      <c r="O4944" s="106" t="str">
        <f t="shared" si="155"/>
        <v>Faltando Comprar</v>
      </c>
    </row>
    <row r="4945" spans="1:15" ht="31.5">
      <c r="A4945" s="16" t="s">
        <v>2710</v>
      </c>
      <c r="B4945" s="16" t="s">
        <v>2713</v>
      </c>
      <c r="C4945" s="17" t="s">
        <v>19</v>
      </c>
      <c r="D4945" s="18" t="s">
        <v>2785</v>
      </c>
      <c r="E4945" s="18">
        <v>12</v>
      </c>
      <c r="F4945" s="18" t="s">
        <v>56</v>
      </c>
      <c r="G4945" s="18" t="s">
        <v>39</v>
      </c>
      <c r="H4945" s="18" t="s">
        <v>23</v>
      </c>
      <c r="I4945" s="19">
        <v>674.92</v>
      </c>
      <c r="J4945" s="40">
        <f t="shared" si="154"/>
        <v>8099.0399999999991</v>
      </c>
      <c r="K4945" s="106"/>
      <c r="L4945" s="114"/>
      <c r="M4945" s="114">
        <f>tblAquisições[[#This Row],[VALOR UNITARIO COMPRADO]]*tblAquisições[[#This Row],[QUANTIDADE COMPRADA]]</f>
        <v>0</v>
      </c>
      <c r="N4945" s="110">
        <f>K4945-tblAquisições[[#This Row],[QUANTIDADE PLANEJADA]]</f>
        <v>-12</v>
      </c>
      <c r="O4945" s="106" t="str">
        <f t="shared" si="155"/>
        <v>Faltando Comprar</v>
      </c>
    </row>
    <row r="4946" spans="1:15" ht="47.25">
      <c r="A4946" s="16" t="s">
        <v>2710</v>
      </c>
      <c r="B4946" s="16" t="s">
        <v>2711</v>
      </c>
      <c r="C4946" s="17" t="s">
        <v>19</v>
      </c>
      <c r="D4946" s="18" t="s">
        <v>2786</v>
      </c>
      <c r="E4946" s="18">
        <v>20</v>
      </c>
      <c r="F4946" s="18" t="s">
        <v>2762</v>
      </c>
      <c r="G4946" s="18" t="s">
        <v>39</v>
      </c>
      <c r="H4946" s="18" t="s">
        <v>23</v>
      </c>
      <c r="I4946" s="19">
        <v>45</v>
      </c>
      <c r="J4946" s="40">
        <f t="shared" si="154"/>
        <v>900</v>
      </c>
      <c r="K4946" s="106"/>
      <c r="L4946" s="114"/>
      <c r="M4946" s="114">
        <f>tblAquisições[[#This Row],[VALOR UNITARIO COMPRADO]]*tblAquisições[[#This Row],[QUANTIDADE COMPRADA]]</f>
        <v>0</v>
      </c>
      <c r="N4946" s="110">
        <f>K4946-tblAquisições[[#This Row],[QUANTIDADE PLANEJADA]]</f>
        <v>-20</v>
      </c>
      <c r="O4946" s="106" t="str">
        <f t="shared" si="155"/>
        <v>Faltando Comprar</v>
      </c>
    </row>
    <row r="4947" spans="1:15" ht="47.25">
      <c r="A4947" s="16" t="s">
        <v>2710</v>
      </c>
      <c r="B4947" s="16" t="s">
        <v>2713</v>
      </c>
      <c r="C4947" s="17" t="s">
        <v>19</v>
      </c>
      <c r="D4947" s="18" t="s">
        <v>2786</v>
      </c>
      <c r="E4947" s="18">
        <v>20</v>
      </c>
      <c r="F4947" s="18" t="s">
        <v>2762</v>
      </c>
      <c r="G4947" s="18" t="s">
        <v>39</v>
      </c>
      <c r="H4947" s="18" t="s">
        <v>23</v>
      </c>
      <c r="I4947" s="19">
        <v>45</v>
      </c>
      <c r="J4947" s="40">
        <f t="shared" si="154"/>
        <v>900</v>
      </c>
      <c r="K4947" s="106"/>
      <c r="L4947" s="114"/>
      <c r="M4947" s="114">
        <f>tblAquisições[[#This Row],[VALOR UNITARIO COMPRADO]]*tblAquisições[[#This Row],[QUANTIDADE COMPRADA]]</f>
        <v>0</v>
      </c>
      <c r="N4947" s="110">
        <f>K4947-tblAquisições[[#This Row],[QUANTIDADE PLANEJADA]]</f>
        <v>-20</v>
      </c>
      <c r="O4947" s="106" t="str">
        <f t="shared" si="155"/>
        <v>Faltando Comprar</v>
      </c>
    </row>
    <row r="4948" spans="1:15" ht="47.25">
      <c r="A4948" s="16" t="s">
        <v>2710</v>
      </c>
      <c r="B4948" s="16" t="s">
        <v>2710</v>
      </c>
      <c r="C4948" s="17" t="s">
        <v>19</v>
      </c>
      <c r="D4948" s="18" t="s">
        <v>2787</v>
      </c>
      <c r="E4948" s="18">
        <v>12</v>
      </c>
      <c r="F4948" s="18" t="s">
        <v>191</v>
      </c>
      <c r="G4948" s="18" t="s">
        <v>39</v>
      </c>
      <c r="H4948" s="18" t="s">
        <v>23</v>
      </c>
      <c r="I4948" s="19">
        <v>2029.35</v>
      </c>
      <c r="J4948" s="40">
        <f t="shared" si="154"/>
        <v>24352.199999999997</v>
      </c>
      <c r="K4948" s="106"/>
      <c r="L4948" s="114"/>
      <c r="M4948" s="114">
        <f>tblAquisições[[#This Row],[VALOR UNITARIO COMPRADO]]*tblAquisições[[#This Row],[QUANTIDADE COMPRADA]]</f>
        <v>0</v>
      </c>
      <c r="N4948" s="110">
        <f>K4948-tblAquisições[[#This Row],[QUANTIDADE PLANEJADA]]</f>
        <v>-12</v>
      </c>
      <c r="O4948" s="106" t="str">
        <f t="shared" si="155"/>
        <v>Faltando Comprar</v>
      </c>
    </row>
    <row r="4949" spans="1:15" ht="47.25">
      <c r="A4949" s="16" t="s">
        <v>2710</v>
      </c>
      <c r="B4949" s="16" t="s">
        <v>2711</v>
      </c>
      <c r="C4949" s="17" t="s">
        <v>19</v>
      </c>
      <c r="D4949" s="18" t="s">
        <v>2788</v>
      </c>
      <c r="E4949" s="18">
        <v>5</v>
      </c>
      <c r="F4949" s="18" t="s">
        <v>96</v>
      </c>
      <c r="G4949" s="18" t="s">
        <v>39</v>
      </c>
      <c r="H4949" s="18" t="s">
        <v>23</v>
      </c>
      <c r="I4949" s="19">
        <v>8.1</v>
      </c>
      <c r="J4949" s="40">
        <f t="shared" si="154"/>
        <v>40.5</v>
      </c>
      <c r="K4949" s="106"/>
      <c r="L4949" s="114"/>
      <c r="M4949" s="114">
        <f>tblAquisições[[#This Row],[VALOR UNITARIO COMPRADO]]*tblAquisições[[#This Row],[QUANTIDADE COMPRADA]]</f>
        <v>0</v>
      </c>
      <c r="N4949" s="110">
        <f>K4949-tblAquisições[[#This Row],[QUANTIDADE PLANEJADA]]</f>
        <v>-5</v>
      </c>
      <c r="O4949" s="106" t="str">
        <f t="shared" si="155"/>
        <v>Faltando Comprar</v>
      </c>
    </row>
    <row r="4950" spans="1:15" ht="47.25">
      <c r="A4950" s="16" t="s">
        <v>2710</v>
      </c>
      <c r="B4950" s="16" t="s">
        <v>2713</v>
      </c>
      <c r="C4950" s="17" t="s">
        <v>19</v>
      </c>
      <c r="D4950" s="18" t="s">
        <v>2788</v>
      </c>
      <c r="E4950" s="18">
        <v>5</v>
      </c>
      <c r="F4950" s="18" t="s">
        <v>96</v>
      </c>
      <c r="G4950" s="18" t="s">
        <v>39</v>
      </c>
      <c r="H4950" s="18" t="s">
        <v>23</v>
      </c>
      <c r="I4950" s="19">
        <v>8.1</v>
      </c>
      <c r="J4950" s="40">
        <f t="shared" si="154"/>
        <v>40.5</v>
      </c>
      <c r="K4950" s="106"/>
      <c r="L4950" s="114"/>
      <c r="M4950" s="114">
        <f>tblAquisições[[#This Row],[VALOR UNITARIO COMPRADO]]*tblAquisições[[#This Row],[QUANTIDADE COMPRADA]]</f>
        <v>0</v>
      </c>
      <c r="N4950" s="110">
        <f>K4950-tblAquisições[[#This Row],[QUANTIDADE PLANEJADA]]</f>
        <v>-5</v>
      </c>
      <c r="O4950" s="106" t="str">
        <f t="shared" si="155"/>
        <v>Faltando Comprar</v>
      </c>
    </row>
    <row r="4951" spans="1:15" ht="31.5">
      <c r="A4951" s="16" t="s">
        <v>2710</v>
      </c>
      <c r="B4951" s="16" t="s">
        <v>2711</v>
      </c>
      <c r="C4951" s="17" t="s">
        <v>19</v>
      </c>
      <c r="D4951" s="18" t="s">
        <v>2789</v>
      </c>
      <c r="E4951" s="18">
        <v>10</v>
      </c>
      <c r="F4951" s="18" t="s">
        <v>56</v>
      </c>
      <c r="G4951" s="18" t="s">
        <v>39</v>
      </c>
      <c r="H4951" s="18" t="s">
        <v>23</v>
      </c>
      <c r="I4951" s="19">
        <v>156.66999999999999</v>
      </c>
      <c r="J4951" s="40">
        <f t="shared" si="154"/>
        <v>1566.6999999999998</v>
      </c>
      <c r="K4951" s="106"/>
      <c r="L4951" s="114"/>
      <c r="M4951" s="114">
        <f>tblAquisições[[#This Row],[VALOR UNITARIO COMPRADO]]*tblAquisições[[#This Row],[QUANTIDADE COMPRADA]]</f>
        <v>0</v>
      </c>
      <c r="N4951" s="110">
        <f>K4951-tblAquisições[[#This Row],[QUANTIDADE PLANEJADA]]</f>
        <v>-10</v>
      </c>
      <c r="O4951" s="106" t="str">
        <f t="shared" si="155"/>
        <v>Faltando Comprar</v>
      </c>
    </row>
    <row r="4952" spans="1:15" ht="31.5">
      <c r="A4952" s="16" t="s">
        <v>2710</v>
      </c>
      <c r="B4952" s="16" t="s">
        <v>2713</v>
      </c>
      <c r="C4952" s="17" t="s">
        <v>19</v>
      </c>
      <c r="D4952" s="18" t="s">
        <v>2789</v>
      </c>
      <c r="E4952" s="18">
        <v>12</v>
      </c>
      <c r="F4952" s="18" t="s">
        <v>56</v>
      </c>
      <c r="G4952" s="18" t="s">
        <v>39</v>
      </c>
      <c r="H4952" s="18" t="s">
        <v>23</v>
      </c>
      <c r="I4952" s="19">
        <v>156.66999999999999</v>
      </c>
      <c r="J4952" s="40">
        <f t="shared" si="154"/>
        <v>1880.04</v>
      </c>
      <c r="K4952" s="106"/>
      <c r="L4952" s="114"/>
      <c r="M4952" s="114">
        <f>tblAquisições[[#This Row],[VALOR UNITARIO COMPRADO]]*tblAquisições[[#This Row],[QUANTIDADE COMPRADA]]</f>
        <v>0</v>
      </c>
      <c r="N4952" s="110">
        <f>K4952-tblAquisições[[#This Row],[QUANTIDADE PLANEJADA]]</f>
        <v>-12</v>
      </c>
      <c r="O4952" s="106" t="str">
        <f t="shared" si="155"/>
        <v>Faltando Comprar</v>
      </c>
    </row>
    <row r="4953" spans="1:15" ht="63">
      <c r="A4953" s="16" t="s">
        <v>2710</v>
      </c>
      <c r="B4953" s="16" t="s">
        <v>2715</v>
      </c>
      <c r="C4953" s="17" t="s">
        <v>19</v>
      </c>
      <c r="D4953" s="18" t="s">
        <v>2790</v>
      </c>
      <c r="E4953" s="18">
        <v>1</v>
      </c>
      <c r="F4953" s="18" t="s">
        <v>2791</v>
      </c>
      <c r="G4953" s="18" t="s">
        <v>775</v>
      </c>
      <c r="H4953" s="18" t="s">
        <v>23</v>
      </c>
      <c r="I4953" s="19">
        <v>220000</v>
      </c>
      <c r="J4953" s="40">
        <f t="shared" si="154"/>
        <v>220000</v>
      </c>
      <c r="K4953" s="106"/>
      <c r="L4953" s="114"/>
      <c r="M4953" s="114">
        <f>tblAquisições[[#This Row],[VALOR UNITARIO COMPRADO]]*tblAquisições[[#This Row],[QUANTIDADE COMPRADA]]</f>
        <v>0</v>
      </c>
      <c r="N4953" s="110">
        <f>K4953-tblAquisições[[#This Row],[QUANTIDADE PLANEJADA]]</f>
        <v>-1</v>
      </c>
      <c r="O4953" s="106" t="str">
        <f t="shared" si="155"/>
        <v>Faltando Comprar</v>
      </c>
    </row>
    <row r="4954" spans="1:15" ht="47.25">
      <c r="A4954" s="16" t="s">
        <v>2710</v>
      </c>
      <c r="B4954" s="16" t="s">
        <v>2711</v>
      </c>
      <c r="C4954" s="17" t="s">
        <v>19</v>
      </c>
      <c r="D4954" s="18" t="s">
        <v>2792</v>
      </c>
      <c r="E4954" s="18">
        <v>5</v>
      </c>
      <c r="F4954" s="18" t="s">
        <v>147</v>
      </c>
      <c r="G4954" s="18" t="s">
        <v>39</v>
      </c>
      <c r="H4954" s="18" t="s">
        <v>23</v>
      </c>
      <c r="I4954" s="19">
        <v>5.0199999999999996</v>
      </c>
      <c r="J4954" s="40">
        <f t="shared" si="154"/>
        <v>25.099999999999998</v>
      </c>
      <c r="K4954" s="106"/>
      <c r="L4954" s="114"/>
      <c r="M4954" s="114">
        <f>tblAquisições[[#This Row],[VALOR UNITARIO COMPRADO]]*tblAquisições[[#This Row],[QUANTIDADE COMPRADA]]</f>
        <v>0</v>
      </c>
      <c r="N4954" s="110">
        <f>K4954-tblAquisições[[#This Row],[QUANTIDADE PLANEJADA]]</f>
        <v>-5</v>
      </c>
      <c r="O4954" s="106" t="str">
        <f t="shared" si="155"/>
        <v>Faltando Comprar</v>
      </c>
    </row>
    <row r="4955" spans="1:15" ht="47.25">
      <c r="A4955" s="16" t="s">
        <v>2710</v>
      </c>
      <c r="B4955" s="16" t="s">
        <v>2713</v>
      </c>
      <c r="C4955" s="17" t="s">
        <v>19</v>
      </c>
      <c r="D4955" s="18" t="s">
        <v>2792</v>
      </c>
      <c r="E4955" s="18">
        <v>10</v>
      </c>
      <c r="F4955" s="18" t="s">
        <v>147</v>
      </c>
      <c r="G4955" s="18" t="s">
        <v>39</v>
      </c>
      <c r="H4955" s="18" t="s">
        <v>23</v>
      </c>
      <c r="I4955" s="19">
        <v>5.0199999999999996</v>
      </c>
      <c r="J4955" s="40">
        <f t="shared" si="154"/>
        <v>50.199999999999996</v>
      </c>
      <c r="K4955" s="106"/>
      <c r="L4955" s="114"/>
      <c r="M4955" s="114">
        <f>tblAquisições[[#This Row],[VALOR UNITARIO COMPRADO]]*tblAquisições[[#This Row],[QUANTIDADE COMPRADA]]</f>
        <v>0</v>
      </c>
      <c r="N4955" s="110">
        <f>K4955-tblAquisições[[#This Row],[QUANTIDADE PLANEJADA]]</f>
        <v>-10</v>
      </c>
      <c r="O4955" s="106" t="str">
        <f t="shared" si="155"/>
        <v>Faltando Comprar</v>
      </c>
    </row>
    <row r="4956" spans="1:15" ht="47.25">
      <c r="A4956" s="16" t="s">
        <v>2710</v>
      </c>
      <c r="B4956" s="16" t="s">
        <v>2710</v>
      </c>
      <c r="C4956" s="17" t="s">
        <v>19</v>
      </c>
      <c r="D4956" s="18" t="s">
        <v>1181</v>
      </c>
      <c r="E4956" s="18">
        <v>2</v>
      </c>
      <c r="F4956" s="18" t="s">
        <v>191</v>
      </c>
      <c r="G4956" s="18" t="s">
        <v>39</v>
      </c>
      <c r="H4956" s="18" t="s">
        <v>23</v>
      </c>
      <c r="I4956" s="19">
        <v>8.66</v>
      </c>
      <c r="J4956" s="40">
        <f t="shared" si="154"/>
        <v>17.32</v>
      </c>
      <c r="K4956" s="106"/>
      <c r="L4956" s="114"/>
      <c r="M4956" s="114">
        <f>tblAquisições[[#This Row],[VALOR UNITARIO COMPRADO]]*tblAquisições[[#This Row],[QUANTIDADE COMPRADA]]</f>
        <v>0</v>
      </c>
      <c r="N4956" s="110">
        <f>K4956-tblAquisições[[#This Row],[QUANTIDADE PLANEJADA]]</f>
        <v>-2</v>
      </c>
      <c r="O4956" s="106" t="str">
        <f t="shared" si="155"/>
        <v>Faltando Comprar</v>
      </c>
    </row>
    <row r="4957" spans="1:15" ht="63">
      <c r="A4957" s="16" t="s">
        <v>2710</v>
      </c>
      <c r="B4957" s="16" t="s">
        <v>2722</v>
      </c>
      <c r="C4957" s="17" t="s">
        <v>19</v>
      </c>
      <c r="D4957" s="18" t="s">
        <v>2793</v>
      </c>
      <c r="E4957" s="18">
        <v>3</v>
      </c>
      <c r="F4957" s="18" t="s">
        <v>1158</v>
      </c>
      <c r="G4957" s="18" t="s">
        <v>775</v>
      </c>
      <c r="H4957" s="18" t="s">
        <v>23</v>
      </c>
      <c r="I4957" s="19">
        <v>11666.67</v>
      </c>
      <c r="J4957" s="40">
        <f t="shared" si="154"/>
        <v>35000.01</v>
      </c>
      <c r="K4957" s="106"/>
      <c r="L4957" s="114"/>
      <c r="M4957" s="114">
        <f>tblAquisições[[#This Row],[VALOR UNITARIO COMPRADO]]*tblAquisições[[#This Row],[QUANTIDADE COMPRADA]]</f>
        <v>0</v>
      </c>
      <c r="N4957" s="110">
        <f>K4957-tblAquisições[[#This Row],[QUANTIDADE PLANEJADA]]</f>
        <v>-3</v>
      </c>
      <c r="O4957" s="106" t="str">
        <f t="shared" si="155"/>
        <v>Faltando Comprar</v>
      </c>
    </row>
    <row r="4958" spans="1:15" ht="47.25">
      <c r="A4958" s="16" t="s">
        <v>2710</v>
      </c>
      <c r="B4958" s="16" t="s">
        <v>2711</v>
      </c>
      <c r="C4958" s="17" t="s">
        <v>19</v>
      </c>
      <c r="D4958" s="18" t="s">
        <v>1197</v>
      </c>
      <c r="E4958" s="18">
        <v>10</v>
      </c>
      <c r="F4958" s="18" t="s">
        <v>96</v>
      </c>
      <c r="G4958" s="18" t="s">
        <v>39</v>
      </c>
      <c r="H4958" s="18" t="s">
        <v>23</v>
      </c>
      <c r="I4958" s="19">
        <v>10.8</v>
      </c>
      <c r="J4958" s="40">
        <f t="shared" si="154"/>
        <v>108</v>
      </c>
      <c r="K4958" s="106"/>
      <c r="L4958" s="114"/>
      <c r="M4958" s="114">
        <f>tblAquisições[[#This Row],[VALOR UNITARIO COMPRADO]]*tblAquisições[[#This Row],[QUANTIDADE COMPRADA]]</f>
        <v>0</v>
      </c>
      <c r="N4958" s="110">
        <f>K4958-tblAquisições[[#This Row],[QUANTIDADE PLANEJADA]]</f>
        <v>-10</v>
      </c>
      <c r="O4958" s="106" t="str">
        <f t="shared" si="155"/>
        <v>Faltando Comprar</v>
      </c>
    </row>
    <row r="4959" spans="1:15" ht="47.25">
      <c r="A4959" s="16" t="s">
        <v>2710</v>
      </c>
      <c r="B4959" s="16" t="s">
        <v>2713</v>
      </c>
      <c r="C4959" s="17" t="s">
        <v>19</v>
      </c>
      <c r="D4959" s="18" t="s">
        <v>1197</v>
      </c>
      <c r="E4959" s="18">
        <v>8</v>
      </c>
      <c r="F4959" s="18" t="s">
        <v>96</v>
      </c>
      <c r="G4959" s="18" t="s">
        <v>39</v>
      </c>
      <c r="H4959" s="18" t="s">
        <v>23</v>
      </c>
      <c r="I4959" s="19">
        <v>10.8</v>
      </c>
      <c r="J4959" s="40">
        <f t="shared" si="154"/>
        <v>86.4</v>
      </c>
      <c r="K4959" s="106"/>
      <c r="L4959" s="114"/>
      <c r="M4959" s="114">
        <f>tblAquisições[[#This Row],[VALOR UNITARIO COMPRADO]]*tblAquisições[[#This Row],[QUANTIDADE COMPRADA]]</f>
        <v>0</v>
      </c>
      <c r="N4959" s="110">
        <f>K4959-tblAquisições[[#This Row],[QUANTIDADE PLANEJADA]]</f>
        <v>-8</v>
      </c>
      <c r="O4959" s="106" t="str">
        <f t="shared" si="155"/>
        <v>Faltando Comprar</v>
      </c>
    </row>
    <row r="4960" spans="1:15" ht="47.25">
      <c r="A4960" s="16" t="s">
        <v>2710</v>
      </c>
      <c r="B4960" s="16" t="s">
        <v>2711</v>
      </c>
      <c r="C4960" s="17" t="s">
        <v>19</v>
      </c>
      <c r="D4960" s="18" t="s">
        <v>2794</v>
      </c>
      <c r="E4960" s="18">
        <v>2</v>
      </c>
      <c r="F4960" s="18" t="s">
        <v>96</v>
      </c>
      <c r="G4960" s="18" t="s">
        <v>39</v>
      </c>
      <c r="H4960" s="18" t="s">
        <v>23</v>
      </c>
      <c r="I4960" s="19">
        <v>55.06</v>
      </c>
      <c r="J4960" s="40">
        <f t="shared" si="154"/>
        <v>110.12</v>
      </c>
      <c r="K4960" s="106"/>
      <c r="L4960" s="114"/>
      <c r="M4960" s="114">
        <f>tblAquisições[[#This Row],[VALOR UNITARIO COMPRADO]]*tblAquisições[[#This Row],[QUANTIDADE COMPRADA]]</f>
        <v>0</v>
      </c>
      <c r="N4960" s="110">
        <f>K4960-tblAquisições[[#This Row],[QUANTIDADE PLANEJADA]]</f>
        <v>-2</v>
      </c>
      <c r="O4960" s="106" t="str">
        <f t="shared" si="155"/>
        <v>Faltando Comprar</v>
      </c>
    </row>
    <row r="4961" spans="1:15" ht="47.25">
      <c r="A4961" s="16" t="s">
        <v>2710</v>
      </c>
      <c r="B4961" s="16" t="s">
        <v>2713</v>
      </c>
      <c r="C4961" s="17" t="s">
        <v>19</v>
      </c>
      <c r="D4961" s="18" t="s">
        <v>2794</v>
      </c>
      <c r="E4961" s="18">
        <v>3</v>
      </c>
      <c r="F4961" s="18" t="s">
        <v>96</v>
      </c>
      <c r="G4961" s="18" t="s">
        <v>39</v>
      </c>
      <c r="H4961" s="18" t="s">
        <v>23</v>
      </c>
      <c r="I4961" s="19">
        <v>55.06</v>
      </c>
      <c r="J4961" s="40">
        <f t="shared" si="154"/>
        <v>165.18</v>
      </c>
      <c r="K4961" s="106"/>
      <c r="L4961" s="114"/>
      <c r="M4961" s="114">
        <f>tblAquisições[[#This Row],[VALOR UNITARIO COMPRADO]]*tblAquisições[[#This Row],[QUANTIDADE COMPRADA]]</f>
        <v>0</v>
      </c>
      <c r="N4961" s="110">
        <f>K4961-tblAquisições[[#This Row],[QUANTIDADE PLANEJADA]]</f>
        <v>-3</v>
      </c>
      <c r="O4961" s="106" t="str">
        <f t="shared" si="155"/>
        <v>Faltando Comprar</v>
      </c>
    </row>
    <row r="4962" spans="1:15" ht="47.25">
      <c r="A4962" s="16" t="s">
        <v>2710</v>
      </c>
      <c r="B4962" s="16" t="s">
        <v>2710</v>
      </c>
      <c r="C4962" s="17" t="s">
        <v>19</v>
      </c>
      <c r="D4962" s="18" t="s">
        <v>2795</v>
      </c>
      <c r="E4962" s="18">
        <v>10</v>
      </c>
      <c r="F4962" s="18" t="s">
        <v>96</v>
      </c>
      <c r="G4962" s="18" t="s">
        <v>39</v>
      </c>
      <c r="H4962" s="18" t="s">
        <v>23</v>
      </c>
      <c r="I4962" s="19">
        <v>0.79</v>
      </c>
      <c r="J4962" s="40">
        <f t="shared" si="154"/>
        <v>7.9</v>
      </c>
      <c r="K4962" s="106"/>
      <c r="L4962" s="114"/>
      <c r="M4962" s="114">
        <f>tblAquisições[[#This Row],[VALOR UNITARIO COMPRADO]]*tblAquisições[[#This Row],[QUANTIDADE COMPRADA]]</f>
        <v>0</v>
      </c>
      <c r="N4962" s="110">
        <f>K4962-tblAquisições[[#This Row],[QUANTIDADE PLANEJADA]]</f>
        <v>-10</v>
      </c>
      <c r="O4962" s="106" t="str">
        <f t="shared" si="155"/>
        <v>Faltando Comprar</v>
      </c>
    </row>
    <row r="4963" spans="1:15" ht="47.25">
      <c r="A4963" s="16" t="s">
        <v>2710</v>
      </c>
      <c r="B4963" s="16" t="s">
        <v>2711</v>
      </c>
      <c r="C4963" s="17" t="s">
        <v>19</v>
      </c>
      <c r="D4963" s="18" t="s">
        <v>2795</v>
      </c>
      <c r="E4963" s="18">
        <v>30</v>
      </c>
      <c r="F4963" s="18" t="s">
        <v>96</v>
      </c>
      <c r="G4963" s="18" t="s">
        <v>39</v>
      </c>
      <c r="H4963" s="18" t="s">
        <v>23</v>
      </c>
      <c r="I4963" s="19">
        <v>0.79</v>
      </c>
      <c r="J4963" s="40">
        <f t="shared" si="154"/>
        <v>23.700000000000003</v>
      </c>
      <c r="K4963" s="106"/>
      <c r="L4963" s="114"/>
      <c r="M4963" s="114">
        <f>tblAquisições[[#This Row],[VALOR UNITARIO COMPRADO]]*tblAquisições[[#This Row],[QUANTIDADE COMPRADA]]</f>
        <v>0</v>
      </c>
      <c r="N4963" s="110">
        <f>K4963-tblAquisições[[#This Row],[QUANTIDADE PLANEJADA]]</f>
        <v>-30</v>
      </c>
      <c r="O4963" s="106" t="str">
        <f t="shared" si="155"/>
        <v>Faltando Comprar</v>
      </c>
    </row>
    <row r="4964" spans="1:15" ht="47.25">
      <c r="A4964" s="16" t="s">
        <v>2710</v>
      </c>
      <c r="B4964" s="16" t="s">
        <v>2713</v>
      </c>
      <c r="C4964" s="17" t="s">
        <v>19</v>
      </c>
      <c r="D4964" s="18" t="s">
        <v>2795</v>
      </c>
      <c r="E4964" s="18">
        <v>50</v>
      </c>
      <c r="F4964" s="18" t="s">
        <v>96</v>
      </c>
      <c r="G4964" s="18" t="s">
        <v>39</v>
      </c>
      <c r="H4964" s="18" t="s">
        <v>23</v>
      </c>
      <c r="I4964" s="19">
        <v>0.79</v>
      </c>
      <c r="J4964" s="40">
        <f t="shared" si="154"/>
        <v>39.5</v>
      </c>
      <c r="K4964" s="106"/>
      <c r="L4964" s="114"/>
      <c r="M4964" s="114">
        <f>tblAquisições[[#This Row],[VALOR UNITARIO COMPRADO]]*tblAquisições[[#This Row],[QUANTIDADE COMPRADA]]</f>
        <v>0</v>
      </c>
      <c r="N4964" s="110">
        <f>K4964-tblAquisições[[#This Row],[QUANTIDADE PLANEJADA]]</f>
        <v>-50</v>
      </c>
      <c r="O4964" s="106" t="str">
        <f t="shared" si="155"/>
        <v>Faltando Comprar</v>
      </c>
    </row>
    <row r="4965" spans="1:15" ht="47.25">
      <c r="A4965" s="16" t="s">
        <v>2710</v>
      </c>
      <c r="B4965" s="16" t="s">
        <v>2710</v>
      </c>
      <c r="C4965" s="17" t="s">
        <v>19</v>
      </c>
      <c r="D4965" s="18" t="s">
        <v>2796</v>
      </c>
      <c r="E4965" s="18">
        <v>100</v>
      </c>
      <c r="F4965" s="18" t="s">
        <v>96</v>
      </c>
      <c r="G4965" s="18" t="s">
        <v>39</v>
      </c>
      <c r="H4965" s="18" t="s">
        <v>23</v>
      </c>
      <c r="I4965" s="19">
        <v>1.33</v>
      </c>
      <c r="J4965" s="40">
        <f t="shared" si="154"/>
        <v>133</v>
      </c>
      <c r="K4965" s="106"/>
      <c r="L4965" s="114"/>
      <c r="M4965" s="114">
        <f>tblAquisições[[#This Row],[VALOR UNITARIO COMPRADO]]*tblAquisições[[#This Row],[QUANTIDADE COMPRADA]]</f>
        <v>0</v>
      </c>
      <c r="N4965" s="110">
        <f>K4965-tblAquisições[[#This Row],[QUANTIDADE PLANEJADA]]</f>
        <v>-100</v>
      </c>
      <c r="O4965" s="106" t="str">
        <f t="shared" si="155"/>
        <v>Faltando Comprar</v>
      </c>
    </row>
    <row r="4966" spans="1:15" ht="63">
      <c r="A4966" s="16" t="s">
        <v>2710</v>
      </c>
      <c r="B4966" s="16" t="s">
        <v>2711</v>
      </c>
      <c r="C4966" s="17" t="s">
        <v>19</v>
      </c>
      <c r="D4966" s="18" t="s">
        <v>2797</v>
      </c>
      <c r="E4966" s="18">
        <v>2</v>
      </c>
      <c r="F4966" s="18" t="s">
        <v>2678</v>
      </c>
      <c r="G4966" s="18" t="s">
        <v>775</v>
      </c>
      <c r="H4966" s="18" t="s">
        <v>23</v>
      </c>
      <c r="I4966" s="19">
        <v>190.1</v>
      </c>
      <c r="J4966" s="40">
        <f t="shared" si="154"/>
        <v>380.2</v>
      </c>
      <c r="K4966" s="106"/>
      <c r="L4966" s="114"/>
      <c r="M4966" s="114">
        <f>tblAquisições[[#This Row],[VALOR UNITARIO COMPRADO]]*tblAquisições[[#This Row],[QUANTIDADE COMPRADA]]</f>
        <v>0</v>
      </c>
      <c r="N4966" s="110">
        <f>K4966-tblAquisições[[#This Row],[QUANTIDADE PLANEJADA]]</f>
        <v>-2</v>
      </c>
      <c r="O4966" s="106" t="str">
        <f t="shared" si="155"/>
        <v>Faltando Comprar</v>
      </c>
    </row>
    <row r="4967" spans="1:15" ht="63">
      <c r="A4967" s="16" t="s">
        <v>2710</v>
      </c>
      <c r="B4967" s="16" t="s">
        <v>2713</v>
      </c>
      <c r="C4967" s="17" t="s">
        <v>19</v>
      </c>
      <c r="D4967" s="18" t="s">
        <v>2797</v>
      </c>
      <c r="E4967" s="18">
        <v>2</v>
      </c>
      <c r="F4967" s="18" t="s">
        <v>2678</v>
      </c>
      <c r="G4967" s="18" t="s">
        <v>775</v>
      </c>
      <c r="H4967" s="18" t="s">
        <v>23</v>
      </c>
      <c r="I4967" s="19">
        <v>190.1</v>
      </c>
      <c r="J4967" s="40">
        <f t="shared" si="154"/>
        <v>380.2</v>
      </c>
      <c r="K4967" s="106"/>
      <c r="L4967" s="114"/>
      <c r="M4967" s="114">
        <f>tblAquisições[[#This Row],[VALOR UNITARIO COMPRADO]]*tblAquisições[[#This Row],[QUANTIDADE COMPRADA]]</f>
        <v>0</v>
      </c>
      <c r="N4967" s="110">
        <f>K4967-tblAquisições[[#This Row],[QUANTIDADE PLANEJADA]]</f>
        <v>-2</v>
      </c>
      <c r="O4967" s="106" t="str">
        <f t="shared" si="155"/>
        <v>Faltando Comprar</v>
      </c>
    </row>
    <row r="4968" spans="1:15" ht="63">
      <c r="A4968" s="16" t="s">
        <v>2710</v>
      </c>
      <c r="B4968" s="16" t="s">
        <v>2722</v>
      </c>
      <c r="C4968" s="17" t="s">
        <v>19</v>
      </c>
      <c r="D4968" s="18" t="s">
        <v>2798</v>
      </c>
      <c r="E4968" s="18">
        <v>30</v>
      </c>
      <c r="F4968" s="18" t="s">
        <v>217</v>
      </c>
      <c r="G4968" s="18" t="s">
        <v>39</v>
      </c>
      <c r="H4968" s="18" t="s">
        <v>23</v>
      </c>
      <c r="I4968" s="19">
        <v>30.5</v>
      </c>
      <c r="J4968" s="40">
        <f t="shared" si="154"/>
        <v>915</v>
      </c>
      <c r="K4968" s="106"/>
      <c r="L4968" s="114"/>
      <c r="M4968" s="114">
        <f>tblAquisições[[#This Row],[VALOR UNITARIO COMPRADO]]*tblAquisições[[#This Row],[QUANTIDADE COMPRADA]]</f>
        <v>0</v>
      </c>
      <c r="N4968" s="110">
        <f>K4968-tblAquisições[[#This Row],[QUANTIDADE PLANEJADA]]</f>
        <v>-30</v>
      </c>
      <c r="O4968" s="106" t="str">
        <f t="shared" si="155"/>
        <v>Faltando Comprar</v>
      </c>
    </row>
    <row r="4969" spans="1:15" ht="63">
      <c r="A4969" s="16" t="s">
        <v>2710</v>
      </c>
      <c r="B4969" s="16" t="s">
        <v>2713</v>
      </c>
      <c r="C4969" s="17" t="s">
        <v>19</v>
      </c>
      <c r="D4969" s="18" t="s">
        <v>1320</v>
      </c>
      <c r="E4969" s="18">
        <v>1</v>
      </c>
      <c r="F4969" s="18" t="s">
        <v>2678</v>
      </c>
      <c r="G4969" s="18" t="s">
        <v>775</v>
      </c>
      <c r="H4969" s="18" t="s">
        <v>23</v>
      </c>
      <c r="I4969" s="19">
        <v>1575</v>
      </c>
      <c r="J4969" s="40">
        <f t="shared" si="154"/>
        <v>1575</v>
      </c>
      <c r="K4969" s="106"/>
      <c r="L4969" s="114"/>
      <c r="M4969" s="114">
        <f>tblAquisições[[#This Row],[VALOR UNITARIO COMPRADO]]*tblAquisições[[#This Row],[QUANTIDADE COMPRADA]]</f>
        <v>0</v>
      </c>
      <c r="N4969" s="110">
        <f>K4969-tblAquisições[[#This Row],[QUANTIDADE PLANEJADA]]</f>
        <v>-1</v>
      </c>
      <c r="O4969" s="106" t="str">
        <f t="shared" si="155"/>
        <v>Faltando Comprar</v>
      </c>
    </row>
    <row r="4970" spans="1:15" ht="47.25">
      <c r="A4970" s="16" t="s">
        <v>2710</v>
      </c>
      <c r="B4970" s="16" t="s">
        <v>2722</v>
      </c>
      <c r="C4970" s="17" t="s">
        <v>19</v>
      </c>
      <c r="D4970" s="18" t="s">
        <v>2799</v>
      </c>
      <c r="E4970" s="18">
        <v>3</v>
      </c>
      <c r="F4970" s="18" t="s">
        <v>595</v>
      </c>
      <c r="G4970" s="18" t="s">
        <v>39</v>
      </c>
      <c r="H4970" s="18" t="s">
        <v>23</v>
      </c>
      <c r="I4970" s="31">
        <v>380</v>
      </c>
      <c r="J4970" s="40">
        <f t="shared" si="154"/>
        <v>1140</v>
      </c>
      <c r="K4970" s="106"/>
      <c r="L4970" s="114"/>
      <c r="M4970" s="114">
        <f>tblAquisições[[#This Row],[VALOR UNITARIO COMPRADO]]*tblAquisições[[#This Row],[QUANTIDADE COMPRADA]]</f>
        <v>0</v>
      </c>
      <c r="N4970" s="110">
        <f>K4970-tblAquisições[[#This Row],[QUANTIDADE PLANEJADA]]</f>
        <v>-3</v>
      </c>
      <c r="O4970" s="106" t="str">
        <f t="shared" si="155"/>
        <v>Faltando Comprar</v>
      </c>
    </row>
    <row r="4971" spans="1:15" ht="47.25">
      <c r="A4971" s="16" t="s">
        <v>2710</v>
      </c>
      <c r="B4971" s="16" t="s">
        <v>2722</v>
      </c>
      <c r="C4971" s="17" t="s">
        <v>19</v>
      </c>
      <c r="D4971" s="18" t="s">
        <v>2800</v>
      </c>
      <c r="E4971" s="18">
        <v>5</v>
      </c>
      <c r="F4971" s="18" t="s">
        <v>595</v>
      </c>
      <c r="G4971" s="18" t="s">
        <v>39</v>
      </c>
      <c r="H4971" s="18" t="s">
        <v>23</v>
      </c>
      <c r="I4971" s="19">
        <v>17.46</v>
      </c>
      <c r="J4971" s="40">
        <f t="shared" si="154"/>
        <v>87.300000000000011</v>
      </c>
      <c r="K4971" s="106"/>
      <c r="L4971" s="114"/>
      <c r="M4971" s="114">
        <f>tblAquisições[[#This Row],[VALOR UNITARIO COMPRADO]]*tblAquisições[[#This Row],[QUANTIDADE COMPRADA]]</f>
        <v>0</v>
      </c>
      <c r="N4971" s="110">
        <f>K4971-tblAquisições[[#This Row],[QUANTIDADE PLANEJADA]]</f>
        <v>-5</v>
      </c>
      <c r="O4971" s="106" t="str">
        <f t="shared" si="155"/>
        <v>Faltando Comprar</v>
      </c>
    </row>
    <row r="4972" spans="1:15" ht="63">
      <c r="A4972" s="16" t="s">
        <v>2710</v>
      </c>
      <c r="B4972" s="16" t="s">
        <v>2711</v>
      </c>
      <c r="C4972" s="17" t="s">
        <v>19</v>
      </c>
      <c r="D4972" s="18" t="s">
        <v>2801</v>
      </c>
      <c r="E4972" s="18">
        <v>2</v>
      </c>
      <c r="F4972" s="18" t="s">
        <v>2802</v>
      </c>
      <c r="G4972" s="18" t="s">
        <v>775</v>
      </c>
      <c r="H4972" s="18" t="s">
        <v>23</v>
      </c>
      <c r="I4972" s="19">
        <v>3512.33</v>
      </c>
      <c r="J4972" s="40">
        <f t="shared" si="154"/>
        <v>7024.66</v>
      </c>
      <c r="K4972" s="106"/>
      <c r="L4972" s="114"/>
      <c r="M4972" s="114">
        <f>tblAquisições[[#This Row],[VALOR UNITARIO COMPRADO]]*tblAquisições[[#This Row],[QUANTIDADE COMPRADA]]</f>
        <v>0</v>
      </c>
      <c r="N4972" s="110">
        <f>K4972-tblAquisições[[#This Row],[QUANTIDADE PLANEJADA]]</f>
        <v>-2</v>
      </c>
      <c r="O4972" s="106" t="str">
        <f t="shared" si="155"/>
        <v>Faltando Comprar</v>
      </c>
    </row>
    <row r="4973" spans="1:15" ht="63">
      <c r="A4973" s="16" t="s">
        <v>2710</v>
      </c>
      <c r="B4973" s="16" t="s">
        <v>2713</v>
      </c>
      <c r="C4973" s="17" t="s">
        <v>19</v>
      </c>
      <c r="D4973" s="18" t="s">
        <v>2801</v>
      </c>
      <c r="E4973" s="18">
        <v>2</v>
      </c>
      <c r="F4973" s="18" t="s">
        <v>2802</v>
      </c>
      <c r="G4973" s="18" t="s">
        <v>775</v>
      </c>
      <c r="H4973" s="18" t="s">
        <v>23</v>
      </c>
      <c r="I4973" s="19">
        <v>3512.33</v>
      </c>
      <c r="J4973" s="40">
        <f t="shared" si="154"/>
        <v>7024.66</v>
      </c>
      <c r="K4973" s="106"/>
      <c r="L4973" s="114"/>
      <c r="M4973" s="114">
        <f>tblAquisições[[#This Row],[VALOR UNITARIO COMPRADO]]*tblAquisições[[#This Row],[QUANTIDADE COMPRADA]]</f>
        <v>0</v>
      </c>
      <c r="N4973" s="110">
        <f>K4973-tblAquisições[[#This Row],[QUANTIDADE PLANEJADA]]</f>
        <v>-2</v>
      </c>
      <c r="O4973" s="106" t="str">
        <f t="shared" si="155"/>
        <v>Faltando Comprar</v>
      </c>
    </row>
    <row r="4974" spans="1:15" ht="63">
      <c r="A4974" s="16" t="s">
        <v>2710</v>
      </c>
      <c r="B4974" s="16" t="s">
        <v>2722</v>
      </c>
      <c r="C4974" s="17" t="s">
        <v>19</v>
      </c>
      <c r="D4974" s="18" t="s">
        <v>2803</v>
      </c>
      <c r="E4974" s="18">
        <v>2</v>
      </c>
      <c r="F4974" s="18" t="s">
        <v>1158</v>
      </c>
      <c r="G4974" s="18" t="s">
        <v>775</v>
      </c>
      <c r="H4974" s="18" t="s">
        <v>23</v>
      </c>
      <c r="I4974" s="19">
        <v>13527.69</v>
      </c>
      <c r="J4974" s="40">
        <f t="shared" si="154"/>
        <v>27055.38</v>
      </c>
      <c r="K4974" s="106"/>
      <c r="L4974" s="114"/>
      <c r="M4974" s="114">
        <f>tblAquisições[[#This Row],[VALOR UNITARIO COMPRADO]]*tblAquisições[[#This Row],[QUANTIDADE COMPRADA]]</f>
        <v>0</v>
      </c>
      <c r="N4974" s="110">
        <f>K4974-tblAquisições[[#This Row],[QUANTIDADE PLANEJADA]]</f>
        <v>-2</v>
      </c>
      <c r="O4974" s="106" t="str">
        <f t="shared" si="155"/>
        <v>Faltando Comprar</v>
      </c>
    </row>
    <row r="4975" spans="1:15" ht="63">
      <c r="A4975" s="16" t="s">
        <v>2710</v>
      </c>
      <c r="B4975" s="16" t="s">
        <v>2722</v>
      </c>
      <c r="C4975" s="17" t="s">
        <v>19</v>
      </c>
      <c r="D4975" s="18" t="s">
        <v>2804</v>
      </c>
      <c r="E4975" s="18">
        <v>2</v>
      </c>
      <c r="F4975" s="18" t="s">
        <v>1158</v>
      </c>
      <c r="G4975" s="18" t="s">
        <v>775</v>
      </c>
      <c r="H4975" s="18" t="s">
        <v>23</v>
      </c>
      <c r="I4975" s="19">
        <v>11.25</v>
      </c>
      <c r="J4975" s="40">
        <f t="shared" si="154"/>
        <v>22.5</v>
      </c>
      <c r="K4975" s="106"/>
      <c r="L4975" s="114"/>
      <c r="M4975" s="114">
        <f>tblAquisições[[#This Row],[VALOR UNITARIO COMPRADO]]*tblAquisições[[#This Row],[QUANTIDADE COMPRADA]]</f>
        <v>0</v>
      </c>
      <c r="N4975" s="110">
        <f>K4975-tblAquisições[[#This Row],[QUANTIDADE PLANEJADA]]</f>
        <v>-2</v>
      </c>
      <c r="O4975" s="106" t="str">
        <f t="shared" si="155"/>
        <v>Faltando Comprar</v>
      </c>
    </row>
    <row r="4976" spans="1:15" ht="31.5">
      <c r="A4976" s="16" t="s">
        <v>2710</v>
      </c>
      <c r="B4976" s="16" t="s">
        <v>2722</v>
      </c>
      <c r="C4976" s="17" t="s">
        <v>19</v>
      </c>
      <c r="D4976" s="18" t="s">
        <v>2805</v>
      </c>
      <c r="E4976" s="18">
        <v>6</v>
      </c>
      <c r="F4976" s="18" t="s">
        <v>82</v>
      </c>
      <c r="G4976" s="18" t="s">
        <v>39</v>
      </c>
      <c r="H4976" s="18" t="s">
        <v>23</v>
      </c>
      <c r="I4976" s="19">
        <v>1.5</v>
      </c>
      <c r="J4976" s="40">
        <f t="shared" si="154"/>
        <v>9</v>
      </c>
      <c r="K4976" s="106"/>
      <c r="L4976" s="114"/>
      <c r="M4976" s="114">
        <f>tblAquisições[[#This Row],[VALOR UNITARIO COMPRADO]]*tblAquisições[[#This Row],[QUANTIDADE COMPRADA]]</f>
        <v>0</v>
      </c>
      <c r="N4976" s="110">
        <f>K4976-tblAquisições[[#This Row],[QUANTIDADE PLANEJADA]]</f>
        <v>-6</v>
      </c>
      <c r="O4976" s="106" t="str">
        <f t="shared" si="155"/>
        <v>Faltando Comprar</v>
      </c>
    </row>
    <row r="4977" spans="1:15" ht="63">
      <c r="A4977" s="16" t="s">
        <v>2710</v>
      </c>
      <c r="B4977" s="16" t="s">
        <v>2711</v>
      </c>
      <c r="C4977" s="17" t="s">
        <v>19</v>
      </c>
      <c r="D4977" s="18" t="s">
        <v>2806</v>
      </c>
      <c r="E4977" s="18">
        <v>3</v>
      </c>
      <c r="F4977" s="18" t="s">
        <v>2678</v>
      </c>
      <c r="G4977" s="18" t="s">
        <v>775</v>
      </c>
      <c r="H4977" s="18" t="s">
        <v>23</v>
      </c>
      <c r="I4977" s="19">
        <v>701.25</v>
      </c>
      <c r="J4977" s="40">
        <f t="shared" si="154"/>
        <v>2103.75</v>
      </c>
      <c r="K4977" s="106"/>
      <c r="L4977" s="114"/>
      <c r="M4977" s="114">
        <f>tblAquisições[[#This Row],[VALOR UNITARIO COMPRADO]]*tblAquisições[[#This Row],[QUANTIDADE COMPRADA]]</f>
        <v>0</v>
      </c>
      <c r="N4977" s="110">
        <f>K4977-tblAquisições[[#This Row],[QUANTIDADE PLANEJADA]]</f>
        <v>-3</v>
      </c>
      <c r="O4977" s="106" t="str">
        <f t="shared" si="155"/>
        <v>Faltando Comprar</v>
      </c>
    </row>
    <row r="4978" spans="1:15" ht="63">
      <c r="A4978" s="16" t="s">
        <v>2710</v>
      </c>
      <c r="B4978" s="16" t="s">
        <v>2713</v>
      </c>
      <c r="C4978" s="17" t="s">
        <v>19</v>
      </c>
      <c r="D4978" s="18" t="s">
        <v>2806</v>
      </c>
      <c r="E4978" s="18">
        <v>3</v>
      </c>
      <c r="F4978" s="18" t="s">
        <v>2678</v>
      </c>
      <c r="G4978" s="18" t="s">
        <v>775</v>
      </c>
      <c r="H4978" s="18" t="s">
        <v>23</v>
      </c>
      <c r="I4978" s="19">
        <v>701.25</v>
      </c>
      <c r="J4978" s="40">
        <f t="shared" si="154"/>
        <v>2103.75</v>
      </c>
      <c r="K4978" s="106"/>
      <c r="L4978" s="114"/>
      <c r="M4978" s="114">
        <f>tblAquisições[[#This Row],[VALOR UNITARIO COMPRADO]]*tblAquisições[[#This Row],[QUANTIDADE COMPRADA]]</f>
        <v>0</v>
      </c>
      <c r="N4978" s="110">
        <f>K4978-tblAquisições[[#This Row],[QUANTIDADE PLANEJADA]]</f>
        <v>-3</v>
      </c>
      <c r="O4978" s="106" t="str">
        <f t="shared" si="155"/>
        <v>Faltando Comprar</v>
      </c>
    </row>
    <row r="4979" spans="1:15" ht="31.5">
      <c r="A4979" s="16" t="s">
        <v>2710</v>
      </c>
      <c r="B4979" s="16" t="s">
        <v>2711</v>
      </c>
      <c r="C4979" s="17" t="s">
        <v>19</v>
      </c>
      <c r="D4979" s="18" t="s">
        <v>1586</v>
      </c>
      <c r="E4979" s="18">
        <v>5</v>
      </c>
      <c r="F4979" s="18" t="s">
        <v>56</v>
      </c>
      <c r="G4979" s="18" t="s">
        <v>39</v>
      </c>
      <c r="H4979" s="18" t="s">
        <v>23</v>
      </c>
      <c r="I4979" s="19">
        <v>86.29</v>
      </c>
      <c r="J4979" s="40">
        <f t="shared" si="154"/>
        <v>431.45000000000005</v>
      </c>
      <c r="K4979" s="106"/>
      <c r="L4979" s="114"/>
      <c r="M4979" s="114">
        <f>tblAquisições[[#This Row],[VALOR UNITARIO COMPRADO]]*tblAquisições[[#This Row],[QUANTIDADE COMPRADA]]</f>
        <v>0</v>
      </c>
      <c r="N4979" s="110">
        <f>K4979-tblAquisições[[#This Row],[QUANTIDADE PLANEJADA]]</f>
        <v>-5</v>
      </c>
      <c r="O4979" s="106" t="str">
        <f t="shared" si="155"/>
        <v>Faltando Comprar</v>
      </c>
    </row>
    <row r="4980" spans="1:15" ht="31.5">
      <c r="A4980" s="16" t="s">
        <v>2710</v>
      </c>
      <c r="B4980" s="16" t="s">
        <v>2713</v>
      </c>
      <c r="C4980" s="17" t="s">
        <v>19</v>
      </c>
      <c r="D4980" s="18" t="s">
        <v>1586</v>
      </c>
      <c r="E4980" s="18">
        <v>4</v>
      </c>
      <c r="F4980" s="18" t="s">
        <v>56</v>
      </c>
      <c r="G4980" s="18" t="s">
        <v>39</v>
      </c>
      <c r="H4980" s="18" t="s">
        <v>23</v>
      </c>
      <c r="I4980" s="19">
        <v>86.29</v>
      </c>
      <c r="J4980" s="40">
        <f t="shared" si="154"/>
        <v>345.16</v>
      </c>
      <c r="K4980" s="106"/>
      <c r="L4980" s="114"/>
      <c r="M4980" s="114">
        <f>tblAquisições[[#This Row],[VALOR UNITARIO COMPRADO]]*tblAquisições[[#This Row],[QUANTIDADE COMPRADA]]</f>
        <v>0</v>
      </c>
      <c r="N4980" s="110">
        <f>K4980-tblAquisições[[#This Row],[QUANTIDADE PLANEJADA]]</f>
        <v>-4</v>
      </c>
      <c r="O4980" s="106" t="str">
        <f t="shared" si="155"/>
        <v>Faltando Comprar</v>
      </c>
    </row>
    <row r="4981" spans="1:15" ht="31.5">
      <c r="A4981" s="16" t="s">
        <v>2710</v>
      </c>
      <c r="B4981" s="16" t="s">
        <v>2715</v>
      </c>
      <c r="C4981" s="17" t="s">
        <v>19</v>
      </c>
      <c r="D4981" s="18" t="s">
        <v>1586</v>
      </c>
      <c r="E4981" s="18">
        <v>1</v>
      </c>
      <c r="F4981" s="18" t="s">
        <v>56</v>
      </c>
      <c r="G4981" s="18" t="s">
        <v>39</v>
      </c>
      <c r="H4981" s="18" t="s">
        <v>23</v>
      </c>
      <c r="I4981" s="19">
        <v>86.29</v>
      </c>
      <c r="J4981" s="40">
        <f t="shared" si="154"/>
        <v>86.29</v>
      </c>
      <c r="K4981" s="106"/>
      <c r="L4981" s="114"/>
      <c r="M4981" s="114">
        <f>tblAquisições[[#This Row],[VALOR UNITARIO COMPRADO]]*tblAquisições[[#This Row],[QUANTIDADE COMPRADA]]</f>
        <v>0</v>
      </c>
      <c r="N4981" s="110">
        <f>K4981-tblAquisições[[#This Row],[QUANTIDADE PLANEJADA]]</f>
        <v>-1</v>
      </c>
      <c r="O4981" s="106" t="str">
        <f t="shared" si="155"/>
        <v>Faltando Comprar</v>
      </c>
    </row>
    <row r="4982" spans="1:15" ht="31.5">
      <c r="A4982" s="16" t="s">
        <v>2710</v>
      </c>
      <c r="B4982" s="16" t="s">
        <v>2711</v>
      </c>
      <c r="C4982" s="17" t="s">
        <v>19</v>
      </c>
      <c r="D4982" s="18" t="s">
        <v>2807</v>
      </c>
      <c r="E4982" s="18">
        <v>3</v>
      </c>
      <c r="F4982" s="18" t="s">
        <v>56</v>
      </c>
      <c r="G4982" s="18" t="s">
        <v>39</v>
      </c>
      <c r="H4982" s="18" t="s">
        <v>23</v>
      </c>
      <c r="I4982" s="19">
        <v>22</v>
      </c>
      <c r="J4982" s="40">
        <f t="shared" si="154"/>
        <v>66</v>
      </c>
      <c r="K4982" s="106"/>
      <c r="L4982" s="114"/>
      <c r="M4982" s="114">
        <f>tblAquisições[[#This Row],[VALOR UNITARIO COMPRADO]]*tblAquisições[[#This Row],[QUANTIDADE COMPRADA]]</f>
        <v>0</v>
      </c>
      <c r="N4982" s="110">
        <f>K4982-tblAquisições[[#This Row],[QUANTIDADE PLANEJADA]]</f>
        <v>-3</v>
      </c>
      <c r="O4982" s="106" t="str">
        <f t="shared" si="155"/>
        <v>Faltando Comprar</v>
      </c>
    </row>
    <row r="4983" spans="1:15" ht="31.5">
      <c r="A4983" s="16" t="s">
        <v>2710</v>
      </c>
      <c r="B4983" s="16" t="s">
        <v>2713</v>
      </c>
      <c r="C4983" s="17" t="s">
        <v>19</v>
      </c>
      <c r="D4983" s="18" t="s">
        <v>2807</v>
      </c>
      <c r="E4983" s="18">
        <v>3</v>
      </c>
      <c r="F4983" s="18" t="s">
        <v>56</v>
      </c>
      <c r="G4983" s="18" t="s">
        <v>39</v>
      </c>
      <c r="H4983" s="18" t="s">
        <v>23</v>
      </c>
      <c r="I4983" s="19">
        <v>22</v>
      </c>
      <c r="J4983" s="40">
        <f t="shared" si="154"/>
        <v>66</v>
      </c>
      <c r="K4983" s="106"/>
      <c r="L4983" s="114"/>
      <c r="M4983" s="114">
        <f>tblAquisições[[#This Row],[VALOR UNITARIO COMPRADO]]*tblAquisições[[#This Row],[QUANTIDADE COMPRADA]]</f>
        <v>0</v>
      </c>
      <c r="N4983" s="110">
        <f>K4983-tblAquisições[[#This Row],[QUANTIDADE PLANEJADA]]</f>
        <v>-3</v>
      </c>
      <c r="O4983" s="106" t="str">
        <f t="shared" si="155"/>
        <v>Faltando Comprar</v>
      </c>
    </row>
    <row r="4984" spans="1:15" ht="47.25">
      <c r="A4984" s="16" t="s">
        <v>2710</v>
      </c>
      <c r="B4984" s="16" t="s">
        <v>2711</v>
      </c>
      <c r="C4984" s="17" t="s">
        <v>19</v>
      </c>
      <c r="D4984" s="18" t="s">
        <v>2808</v>
      </c>
      <c r="E4984" s="18">
        <v>10</v>
      </c>
      <c r="F4984" s="18" t="s">
        <v>96</v>
      </c>
      <c r="G4984" s="18" t="s">
        <v>39</v>
      </c>
      <c r="H4984" s="18" t="s">
        <v>23</v>
      </c>
      <c r="I4984" s="19">
        <v>17</v>
      </c>
      <c r="J4984" s="40">
        <f t="shared" si="154"/>
        <v>170</v>
      </c>
      <c r="K4984" s="106"/>
      <c r="L4984" s="114"/>
      <c r="M4984" s="114">
        <f>tblAquisições[[#This Row],[VALOR UNITARIO COMPRADO]]*tblAquisições[[#This Row],[QUANTIDADE COMPRADA]]</f>
        <v>0</v>
      </c>
      <c r="N4984" s="110">
        <f>K4984-tblAquisições[[#This Row],[QUANTIDADE PLANEJADA]]</f>
        <v>-10</v>
      </c>
      <c r="O4984" s="106" t="str">
        <f t="shared" si="155"/>
        <v>Faltando Comprar</v>
      </c>
    </row>
    <row r="4985" spans="1:15" ht="47.25">
      <c r="A4985" s="16" t="s">
        <v>2710</v>
      </c>
      <c r="B4985" s="16" t="s">
        <v>2713</v>
      </c>
      <c r="C4985" s="17" t="s">
        <v>19</v>
      </c>
      <c r="D4985" s="18" t="s">
        <v>2808</v>
      </c>
      <c r="E4985" s="18">
        <v>10</v>
      </c>
      <c r="F4985" s="18" t="s">
        <v>96</v>
      </c>
      <c r="G4985" s="18" t="s">
        <v>39</v>
      </c>
      <c r="H4985" s="18" t="s">
        <v>23</v>
      </c>
      <c r="I4985" s="19">
        <v>17</v>
      </c>
      <c r="J4985" s="40">
        <f t="shared" si="154"/>
        <v>170</v>
      </c>
      <c r="K4985" s="106"/>
      <c r="L4985" s="114"/>
      <c r="M4985" s="114">
        <f>tblAquisições[[#This Row],[VALOR UNITARIO COMPRADO]]*tblAquisições[[#This Row],[QUANTIDADE COMPRADA]]</f>
        <v>0</v>
      </c>
      <c r="N4985" s="110">
        <f>K4985-tblAquisições[[#This Row],[QUANTIDADE PLANEJADA]]</f>
        <v>-10</v>
      </c>
      <c r="O4985" s="106" t="str">
        <f t="shared" si="155"/>
        <v>Faltando Comprar</v>
      </c>
    </row>
    <row r="4986" spans="1:15" ht="47.25">
      <c r="A4986" s="16" t="s">
        <v>2710</v>
      </c>
      <c r="B4986" s="16" t="s">
        <v>2711</v>
      </c>
      <c r="C4986" s="17" t="s">
        <v>19</v>
      </c>
      <c r="D4986" s="18" t="s">
        <v>1594</v>
      </c>
      <c r="E4986" s="18">
        <v>10</v>
      </c>
      <c r="F4986" s="18" t="s">
        <v>96</v>
      </c>
      <c r="G4986" s="18" t="s">
        <v>39</v>
      </c>
      <c r="H4986" s="18" t="s">
        <v>65</v>
      </c>
      <c r="I4986" s="24">
        <v>18.13</v>
      </c>
      <c r="J4986" s="40">
        <f t="shared" si="154"/>
        <v>181.29999999999998</v>
      </c>
      <c r="K4986" s="106"/>
      <c r="L4986" s="114"/>
      <c r="M4986" s="114">
        <f>tblAquisições[[#This Row],[VALOR UNITARIO COMPRADO]]*tblAquisições[[#This Row],[QUANTIDADE COMPRADA]]</f>
        <v>0</v>
      </c>
      <c r="N4986" s="110">
        <f>K4986-tblAquisições[[#This Row],[QUANTIDADE PLANEJADA]]</f>
        <v>-10</v>
      </c>
      <c r="O4986" s="106" t="str">
        <f t="shared" si="155"/>
        <v>Faltando Comprar</v>
      </c>
    </row>
    <row r="4987" spans="1:15" ht="47.25">
      <c r="A4987" s="16" t="s">
        <v>2710</v>
      </c>
      <c r="B4987" s="16" t="s">
        <v>2713</v>
      </c>
      <c r="C4987" s="17" t="s">
        <v>19</v>
      </c>
      <c r="D4987" s="18" t="s">
        <v>1594</v>
      </c>
      <c r="E4987" s="18">
        <v>20</v>
      </c>
      <c r="F4987" s="18" t="s">
        <v>96</v>
      </c>
      <c r="G4987" s="18" t="s">
        <v>39</v>
      </c>
      <c r="H4987" s="18" t="s">
        <v>65</v>
      </c>
      <c r="I4987" s="24">
        <v>18.13</v>
      </c>
      <c r="J4987" s="40">
        <f t="shared" si="154"/>
        <v>362.59999999999997</v>
      </c>
      <c r="K4987" s="106"/>
      <c r="L4987" s="114"/>
      <c r="M4987" s="114">
        <f>tblAquisições[[#This Row],[VALOR UNITARIO COMPRADO]]*tblAquisições[[#This Row],[QUANTIDADE COMPRADA]]</f>
        <v>0</v>
      </c>
      <c r="N4987" s="110">
        <f>K4987-tblAquisições[[#This Row],[QUANTIDADE PLANEJADA]]</f>
        <v>-20</v>
      </c>
      <c r="O4987" s="106" t="str">
        <f t="shared" si="155"/>
        <v>Faltando Comprar</v>
      </c>
    </row>
    <row r="4988" spans="1:15" ht="47.25">
      <c r="A4988" s="16" t="s">
        <v>2710</v>
      </c>
      <c r="B4988" s="16" t="s">
        <v>2715</v>
      </c>
      <c r="C4988" s="17" t="s">
        <v>19</v>
      </c>
      <c r="D4988" s="18" t="s">
        <v>2809</v>
      </c>
      <c r="E4988" s="18">
        <v>5</v>
      </c>
      <c r="F4988" s="18" t="s">
        <v>96</v>
      </c>
      <c r="G4988" s="18" t="s">
        <v>39</v>
      </c>
      <c r="H4988" s="18" t="s">
        <v>23</v>
      </c>
      <c r="I4988" s="19">
        <v>27.96</v>
      </c>
      <c r="J4988" s="40">
        <f t="shared" si="154"/>
        <v>139.80000000000001</v>
      </c>
      <c r="K4988" s="106"/>
      <c r="L4988" s="114"/>
      <c r="M4988" s="114">
        <f>tblAquisições[[#This Row],[VALOR UNITARIO COMPRADO]]*tblAquisições[[#This Row],[QUANTIDADE COMPRADA]]</f>
        <v>0</v>
      </c>
      <c r="N4988" s="110">
        <f>K4988-tblAquisições[[#This Row],[QUANTIDADE PLANEJADA]]</f>
        <v>-5</v>
      </c>
      <c r="O4988" s="106" t="str">
        <f t="shared" si="155"/>
        <v>Faltando Comprar</v>
      </c>
    </row>
    <row r="4989" spans="1:15" ht="47.25">
      <c r="A4989" s="16" t="s">
        <v>2710</v>
      </c>
      <c r="B4989" s="16" t="s">
        <v>2715</v>
      </c>
      <c r="C4989" s="17" t="s">
        <v>19</v>
      </c>
      <c r="D4989" s="18" t="s">
        <v>2810</v>
      </c>
      <c r="E4989" s="18">
        <v>1</v>
      </c>
      <c r="F4989" s="18" t="s">
        <v>96</v>
      </c>
      <c r="G4989" s="18" t="s">
        <v>39</v>
      </c>
      <c r="H4989" s="18" t="s">
        <v>65</v>
      </c>
      <c r="I4989" s="24">
        <v>64.03</v>
      </c>
      <c r="J4989" s="40">
        <f t="shared" si="154"/>
        <v>64.03</v>
      </c>
      <c r="K4989" s="106"/>
      <c r="L4989" s="114"/>
      <c r="M4989" s="114">
        <f>tblAquisições[[#This Row],[VALOR UNITARIO COMPRADO]]*tblAquisições[[#This Row],[QUANTIDADE COMPRADA]]</f>
        <v>0</v>
      </c>
      <c r="N4989" s="110">
        <f>K4989-tblAquisições[[#This Row],[QUANTIDADE PLANEJADA]]</f>
        <v>-1</v>
      </c>
      <c r="O4989" s="106" t="str">
        <f t="shared" si="155"/>
        <v>Faltando Comprar</v>
      </c>
    </row>
    <row r="4990" spans="1:15" ht="47.25">
      <c r="A4990" s="16" t="s">
        <v>2710</v>
      </c>
      <c r="B4990" s="16" t="s">
        <v>2711</v>
      </c>
      <c r="C4990" s="17" t="s">
        <v>19</v>
      </c>
      <c r="D4990" s="18" t="s">
        <v>2811</v>
      </c>
      <c r="E4990" s="18">
        <v>5</v>
      </c>
      <c r="F4990" s="18" t="s">
        <v>96</v>
      </c>
      <c r="G4990" s="18" t="s">
        <v>39</v>
      </c>
      <c r="H4990" s="18" t="s">
        <v>23</v>
      </c>
      <c r="I4990" s="19">
        <v>18.579999999999998</v>
      </c>
      <c r="J4990" s="40">
        <f t="shared" si="154"/>
        <v>92.899999999999991</v>
      </c>
      <c r="K4990" s="106"/>
      <c r="L4990" s="114"/>
      <c r="M4990" s="114">
        <f>tblAquisições[[#This Row],[VALOR UNITARIO COMPRADO]]*tblAquisições[[#This Row],[QUANTIDADE COMPRADA]]</f>
        <v>0</v>
      </c>
      <c r="N4990" s="110">
        <f>K4990-tblAquisições[[#This Row],[QUANTIDADE PLANEJADA]]</f>
        <v>-5</v>
      </c>
      <c r="O4990" s="106" t="str">
        <f t="shared" si="155"/>
        <v>Faltando Comprar</v>
      </c>
    </row>
    <row r="4991" spans="1:15" ht="47.25">
      <c r="A4991" s="16" t="s">
        <v>2710</v>
      </c>
      <c r="B4991" s="16" t="s">
        <v>2713</v>
      </c>
      <c r="C4991" s="17" t="s">
        <v>19</v>
      </c>
      <c r="D4991" s="18" t="s">
        <v>2811</v>
      </c>
      <c r="E4991" s="18">
        <v>10</v>
      </c>
      <c r="F4991" s="18" t="s">
        <v>96</v>
      </c>
      <c r="G4991" s="18" t="s">
        <v>39</v>
      </c>
      <c r="H4991" s="18" t="s">
        <v>23</v>
      </c>
      <c r="I4991" s="19">
        <v>18.579999999999998</v>
      </c>
      <c r="J4991" s="40">
        <f t="shared" si="154"/>
        <v>185.79999999999998</v>
      </c>
      <c r="K4991" s="106"/>
      <c r="L4991" s="114"/>
      <c r="M4991" s="114">
        <f>tblAquisições[[#This Row],[VALOR UNITARIO COMPRADO]]*tblAquisições[[#This Row],[QUANTIDADE COMPRADA]]</f>
        <v>0</v>
      </c>
      <c r="N4991" s="110">
        <f>K4991-tblAquisições[[#This Row],[QUANTIDADE PLANEJADA]]</f>
        <v>-10</v>
      </c>
      <c r="O4991" s="106" t="str">
        <f t="shared" si="155"/>
        <v>Faltando Comprar</v>
      </c>
    </row>
    <row r="4992" spans="1:15" ht="63">
      <c r="A4992" s="16" t="s">
        <v>2710</v>
      </c>
      <c r="B4992" s="16" t="s">
        <v>2711</v>
      </c>
      <c r="C4992" s="17" t="s">
        <v>19</v>
      </c>
      <c r="D4992" s="18" t="s">
        <v>2812</v>
      </c>
      <c r="E4992" s="18">
        <v>3</v>
      </c>
      <c r="F4992" s="18" t="s">
        <v>2678</v>
      </c>
      <c r="G4992" s="18" t="s">
        <v>775</v>
      </c>
      <c r="H4992" s="18" t="s">
        <v>23</v>
      </c>
      <c r="I4992" s="19">
        <v>210.03</v>
      </c>
      <c r="J4992" s="40">
        <f t="shared" si="154"/>
        <v>630.09</v>
      </c>
      <c r="K4992" s="106"/>
      <c r="L4992" s="114"/>
      <c r="M4992" s="114">
        <f>tblAquisições[[#This Row],[VALOR UNITARIO COMPRADO]]*tblAquisições[[#This Row],[QUANTIDADE COMPRADA]]</f>
        <v>0</v>
      </c>
      <c r="N4992" s="110">
        <f>K4992-tblAquisições[[#This Row],[QUANTIDADE PLANEJADA]]</f>
        <v>-3</v>
      </c>
      <c r="O4992" s="106" t="str">
        <f t="shared" si="155"/>
        <v>Faltando Comprar</v>
      </c>
    </row>
    <row r="4993" spans="1:15" ht="63">
      <c r="A4993" s="16" t="s">
        <v>2710</v>
      </c>
      <c r="B4993" s="16" t="s">
        <v>2722</v>
      </c>
      <c r="C4993" s="17" t="s">
        <v>19</v>
      </c>
      <c r="D4993" s="18" t="s">
        <v>2812</v>
      </c>
      <c r="E4993" s="18">
        <v>15</v>
      </c>
      <c r="F4993" s="18" t="s">
        <v>2678</v>
      </c>
      <c r="G4993" s="18" t="s">
        <v>775</v>
      </c>
      <c r="H4993" s="18" t="s">
        <v>23</v>
      </c>
      <c r="I4993" s="19">
        <v>210.03</v>
      </c>
      <c r="J4993" s="40">
        <f t="shared" si="154"/>
        <v>3150.45</v>
      </c>
      <c r="K4993" s="106"/>
      <c r="L4993" s="114"/>
      <c r="M4993" s="114">
        <f>tblAquisições[[#This Row],[VALOR UNITARIO COMPRADO]]*tblAquisições[[#This Row],[QUANTIDADE COMPRADA]]</f>
        <v>0</v>
      </c>
      <c r="N4993" s="110">
        <f>K4993-tblAquisições[[#This Row],[QUANTIDADE PLANEJADA]]</f>
        <v>-15</v>
      </c>
      <c r="O4993" s="106" t="str">
        <f t="shared" si="155"/>
        <v>Faltando Comprar</v>
      </c>
    </row>
    <row r="4994" spans="1:15" ht="63">
      <c r="A4994" s="16" t="s">
        <v>2710</v>
      </c>
      <c r="B4994" s="16" t="s">
        <v>2715</v>
      </c>
      <c r="C4994" s="17" t="s">
        <v>19</v>
      </c>
      <c r="D4994" s="18" t="s">
        <v>2812</v>
      </c>
      <c r="E4994" s="18">
        <v>15</v>
      </c>
      <c r="F4994" s="18" t="s">
        <v>2678</v>
      </c>
      <c r="G4994" s="18" t="s">
        <v>775</v>
      </c>
      <c r="H4994" s="18" t="s">
        <v>23</v>
      </c>
      <c r="I4994" s="19">
        <v>210.03</v>
      </c>
      <c r="J4994" s="40">
        <f t="shared" ref="J4994:J5057" si="156">E4994*I4994</f>
        <v>3150.45</v>
      </c>
      <c r="K4994" s="106"/>
      <c r="L4994" s="114"/>
      <c r="M4994" s="114">
        <f>tblAquisições[[#This Row],[VALOR UNITARIO COMPRADO]]*tblAquisições[[#This Row],[QUANTIDADE COMPRADA]]</f>
        <v>0</v>
      </c>
      <c r="N4994" s="110">
        <f>K4994-tblAquisições[[#This Row],[QUANTIDADE PLANEJADA]]</f>
        <v>-15</v>
      </c>
      <c r="O4994" s="106" t="str">
        <f t="shared" ref="O4994:O5057" si="157">IF(K4994=E4994,"OK",IF(K4994&lt;E4994,"Faltando Comprar","Excedente"))</f>
        <v>Faltando Comprar</v>
      </c>
    </row>
    <row r="4995" spans="1:15" ht="31.5">
      <c r="A4995" s="16" t="s">
        <v>2710</v>
      </c>
      <c r="B4995" s="16" t="s">
        <v>2722</v>
      </c>
      <c r="C4995" s="17" t="s">
        <v>19</v>
      </c>
      <c r="D4995" s="18" t="s">
        <v>1624</v>
      </c>
      <c r="E4995" s="18">
        <v>6</v>
      </c>
      <c r="F4995" s="18" t="s">
        <v>56</v>
      </c>
      <c r="G4995" s="18" t="s">
        <v>39</v>
      </c>
      <c r="H4995" s="18" t="s">
        <v>23</v>
      </c>
      <c r="I4995" s="19">
        <v>25.52</v>
      </c>
      <c r="J4995" s="40">
        <f t="shared" si="156"/>
        <v>153.12</v>
      </c>
      <c r="K4995" s="106"/>
      <c r="L4995" s="114"/>
      <c r="M4995" s="114">
        <f>tblAquisições[[#This Row],[VALOR UNITARIO COMPRADO]]*tblAquisições[[#This Row],[QUANTIDADE COMPRADA]]</f>
        <v>0</v>
      </c>
      <c r="N4995" s="110">
        <f>K4995-tblAquisições[[#This Row],[QUANTIDADE PLANEJADA]]</f>
        <v>-6</v>
      </c>
      <c r="O4995" s="106" t="str">
        <f t="shared" si="157"/>
        <v>Faltando Comprar</v>
      </c>
    </row>
    <row r="4996" spans="1:15" ht="63">
      <c r="A4996" s="16" t="s">
        <v>2710</v>
      </c>
      <c r="B4996" s="16" t="s">
        <v>2711</v>
      </c>
      <c r="C4996" s="17" t="s">
        <v>19</v>
      </c>
      <c r="D4996" s="18" t="s">
        <v>2813</v>
      </c>
      <c r="E4996" s="18">
        <v>1</v>
      </c>
      <c r="F4996" s="18" t="s">
        <v>2802</v>
      </c>
      <c r="G4996" s="18" t="s">
        <v>775</v>
      </c>
      <c r="H4996" s="18" t="s">
        <v>23</v>
      </c>
      <c r="I4996" s="19">
        <v>1099</v>
      </c>
      <c r="J4996" s="40">
        <f t="shared" si="156"/>
        <v>1099</v>
      </c>
      <c r="K4996" s="106"/>
      <c r="L4996" s="114"/>
      <c r="M4996" s="114">
        <f>tblAquisições[[#This Row],[VALOR UNITARIO COMPRADO]]*tblAquisições[[#This Row],[QUANTIDADE COMPRADA]]</f>
        <v>0</v>
      </c>
      <c r="N4996" s="110">
        <f>K4996-tblAquisições[[#This Row],[QUANTIDADE PLANEJADA]]</f>
        <v>-1</v>
      </c>
      <c r="O4996" s="106" t="str">
        <f t="shared" si="157"/>
        <v>Faltando Comprar</v>
      </c>
    </row>
    <row r="4997" spans="1:15" ht="63">
      <c r="A4997" s="16" t="s">
        <v>2710</v>
      </c>
      <c r="B4997" s="16" t="s">
        <v>2722</v>
      </c>
      <c r="C4997" s="17" t="s">
        <v>19</v>
      </c>
      <c r="D4997" s="18" t="s">
        <v>2813</v>
      </c>
      <c r="E4997" s="18">
        <v>1</v>
      </c>
      <c r="F4997" s="18" t="s">
        <v>2802</v>
      </c>
      <c r="G4997" s="18" t="s">
        <v>775</v>
      </c>
      <c r="H4997" s="18" t="s">
        <v>23</v>
      </c>
      <c r="I4997" s="19">
        <v>1099</v>
      </c>
      <c r="J4997" s="40">
        <f t="shared" si="156"/>
        <v>1099</v>
      </c>
      <c r="K4997" s="106"/>
      <c r="L4997" s="114"/>
      <c r="M4997" s="114">
        <f>tblAquisições[[#This Row],[VALOR UNITARIO COMPRADO]]*tblAquisições[[#This Row],[QUANTIDADE COMPRADA]]</f>
        <v>0</v>
      </c>
      <c r="N4997" s="110">
        <f>K4997-tblAquisições[[#This Row],[QUANTIDADE PLANEJADA]]</f>
        <v>-1</v>
      </c>
      <c r="O4997" s="106" t="str">
        <f t="shared" si="157"/>
        <v>Faltando Comprar</v>
      </c>
    </row>
    <row r="4998" spans="1:15" ht="47.25">
      <c r="A4998" s="16" t="s">
        <v>2710</v>
      </c>
      <c r="B4998" s="16" t="s">
        <v>2722</v>
      </c>
      <c r="C4998" s="17" t="s">
        <v>19</v>
      </c>
      <c r="D4998" s="18" t="s">
        <v>1629</v>
      </c>
      <c r="E4998" s="18">
        <v>6</v>
      </c>
      <c r="F4998" s="18" t="s">
        <v>191</v>
      </c>
      <c r="G4998" s="18" t="s">
        <v>39</v>
      </c>
      <c r="H4998" s="18" t="s">
        <v>23</v>
      </c>
      <c r="I4998" s="19">
        <v>33.19</v>
      </c>
      <c r="J4998" s="40">
        <f t="shared" si="156"/>
        <v>199.14</v>
      </c>
      <c r="K4998" s="106"/>
      <c r="L4998" s="114"/>
      <c r="M4998" s="114">
        <f>tblAquisições[[#This Row],[VALOR UNITARIO COMPRADO]]*tblAquisições[[#This Row],[QUANTIDADE COMPRADA]]</f>
        <v>0</v>
      </c>
      <c r="N4998" s="110">
        <f>K4998-tblAquisições[[#This Row],[QUANTIDADE PLANEJADA]]</f>
        <v>-6</v>
      </c>
      <c r="O4998" s="106" t="str">
        <f t="shared" si="157"/>
        <v>Faltando Comprar</v>
      </c>
    </row>
    <row r="4999" spans="1:15" ht="47.25">
      <c r="A4999" s="16" t="s">
        <v>2710</v>
      </c>
      <c r="B4999" s="16" t="s">
        <v>2715</v>
      </c>
      <c r="C4999" s="17" t="s">
        <v>19</v>
      </c>
      <c r="D4999" s="18" t="s">
        <v>2814</v>
      </c>
      <c r="E4999" s="18">
        <v>2</v>
      </c>
      <c r="F4999" s="18" t="s">
        <v>217</v>
      </c>
      <c r="G4999" s="18" t="s">
        <v>39</v>
      </c>
      <c r="H4999" s="18" t="s">
        <v>23</v>
      </c>
      <c r="I4999" s="19">
        <v>215.3</v>
      </c>
      <c r="J4999" s="40">
        <f t="shared" si="156"/>
        <v>430.6</v>
      </c>
      <c r="K4999" s="106"/>
      <c r="L4999" s="114"/>
      <c r="M4999" s="114">
        <f>tblAquisições[[#This Row],[VALOR UNITARIO COMPRADO]]*tblAquisições[[#This Row],[QUANTIDADE COMPRADA]]</f>
        <v>0</v>
      </c>
      <c r="N4999" s="110">
        <f>K4999-tblAquisições[[#This Row],[QUANTIDADE PLANEJADA]]</f>
        <v>-2</v>
      </c>
      <c r="O4999" s="106" t="str">
        <f t="shared" si="157"/>
        <v>Faltando Comprar</v>
      </c>
    </row>
    <row r="5000" spans="1:15" ht="47.25">
      <c r="A5000" s="16" t="s">
        <v>2710</v>
      </c>
      <c r="B5000" s="16" t="s">
        <v>2711</v>
      </c>
      <c r="C5000" s="17" t="s">
        <v>19</v>
      </c>
      <c r="D5000" s="18" t="s">
        <v>2815</v>
      </c>
      <c r="E5000" s="18">
        <v>3</v>
      </c>
      <c r="F5000" s="18" t="s">
        <v>2762</v>
      </c>
      <c r="G5000" s="18" t="s">
        <v>39</v>
      </c>
      <c r="H5000" s="18" t="s">
        <v>23</v>
      </c>
      <c r="I5000" s="19">
        <v>176.73</v>
      </c>
      <c r="J5000" s="40">
        <f t="shared" si="156"/>
        <v>530.18999999999994</v>
      </c>
      <c r="K5000" s="106"/>
      <c r="L5000" s="114"/>
      <c r="M5000" s="114">
        <f>tblAquisições[[#This Row],[VALOR UNITARIO COMPRADO]]*tblAquisições[[#This Row],[QUANTIDADE COMPRADA]]</f>
        <v>0</v>
      </c>
      <c r="N5000" s="110">
        <f>K5000-tblAquisições[[#This Row],[QUANTIDADE PLANEJADA]]</f>
        <v>-3</v>
      </c>
      <c r="O5000" s="106" t="str">
        <f t="shared" si="157"/>
        <v>Faltando Comprar</v>
      </c>
    </row>
    <row r="5001" spans="1:15" ht="47.25">
      <c r="A5001" s="16" t="s">
        <v>2710</v>
      </c>
      <c r="B5001" s="16" t="s">
        <v>2713</v>
      </c>
      <c r="C5001" s="17" t="s">
        <v>19</v>
      </c>
      <c r="D5001" s="18" t="s">
        <v>2815</v>
      </c>
      <c r="E5001" s="18">
        <v>3</v>
      </c>
      <c r="F5001" s="18" t="s">
        <v>2762</v>
      </c>
      <c r="G5001" s="18" t="s">
        <v>39</v>
      </c>
      <c r="H5001" s="18" t="s">
        <v>23</v>
      </c>
      <c r="I5001" s="19">
        <v>176.73</v>
      </c>
      <c r="J5001" s="40">
        <f t="shared" si="156"/>
        <v>530.18999999999994</v>
      </c>
      <c r="K5001" s="106"/>
      <c r="L5001" s="114"/>
      <c r="M5001" s="114">
        <f>tblAquisições[[#This Row],[VALOR UNITARIO COMPRADO]]*tblAquisições[[#This Row],[QUANTIDADE COMPRADA]]</f>
        <v>0</v>
      </c>
      <c r="N5001" s="110">
        <f>K5001-tblAquisições[[#This Row],[QUANTIDADE PLANEJADA]]</f>
        <v>-3</v>
      </c>
      <c r="O5001" s="106" t="str">
        <f t="shared" si="157"/>
        <v>Faltando Comprar</v>
      </c>
    </row>
    <row r="5002" spans="1:15" ht="47.25">
      <c r="A5002" s="16" t="s">
        <v>2710</v>
      </c>
      <c r="B5002" s="16" t="s">
        <v>2711</v>
      </c>
      <c r="C5002" s="17" t="s">
        <v>19</v>
      </c>
      <c r="D5002" s="18" t="s">
        <v>2816</v>
      </c>
      <c r="E5002" s="18">
        <v>7</v>
      </c>
      <c r="F5002" s="18" t="s">
        <v>147</v>
      </c>
      <c r="G5002" s="18" t="s">
        <v>39</v>
      </c>
      <c r="H5002" s="18" t="s">
        <v>23</v>
      </c>
      <c r="I5002" s="19">
        <v>10.11</v>
      </c>
      <c r="J5002" s="40">
        <f t="shared" si="156"/>
        <v>70.77</v>
      </c>
      <c r="K5002" s="106"/>
      <c r="L5002" s="114"/>
      <c r="M5002" s="114">
        <f>tblAquisições[[#This Row],[VALOR UNITARIO COMPRADO]]*tblAquisições[[#This Row],[QUANTIDADE COMPRADA]]</f>
        <v>0</v>
      </c>
      <c r="N5002" s="110">
        <f>K5002-tblAquisições[[#This Row],[QUANTIDADE PLANEJADA]]</f>
        <v>-7</v>
      </c>
      <c r="O5002" s="106" t="str">
        <f t="shared" si="157"/>
        <v>Faltando Comprar</v>
      </c>
    </row>
    <row r="5003" spans="1:15" ht="47.25">
      <c r="A5003" s="16" t="s">
        <v>2710</v>
      </c>
      <c r="B5003" s="16" t="s">
        <v>2722</v>
      </c>
      <c r="C5003" s="17" t="s">
        <v>19</v>
      </c>
      <c r="D5003" s="18" t="s">
        <v>2816</v>
      </c>
      <c r="E5003" s="18">
        <v>12</v>
      </c>
      <c r="F5003" s="18" t="s">
        <v>147</v>
      </c>
      <c r="G5003" s="18" t="s">
        <v>39</v>
      </c>
      <c r="H5003" s="18" t="s">
        <v>23</v>
      </c>
      <c r="I5003" s="19">
        <v>10.11</v>
      </c>
      <c r="J5003" s="40">
        <f t="shared" si="156"/>
        <v>121.32</v>
      </c>
      <c r="K5003" s="106"/>
      <c r="L5003" s="114"/>
      <c r="M5003" s="114">
        <f>tblAquisições[[#This Row],[VALOR UNITARIO COMPRADO]]*tblAquisições[[#This Row],[QUANTIDADE COMPRADA]]</f>
        <v>0</v>
      </c>
      <c r="N5003" s="110">
        <f>K5003-tblAquisições[[#This Row],[QUANTIDADE PLANEJADA]]</f>
        <v>-12</v>
      </c>
      <c r="O5003" s="106" t="str">
        <f t="shared" si="157"/>
        <v>Faltando Comprar</v>
      </c>
    </row>
    <row r="5004" spans="1:15" ht="47.25">
      <c r="A5004" s="16" t="s">
        <v>2710</v>
      </c>
      <c r="B5004" s="16" t="s">
        <v>2722</v>
      </c>
      <c r="C5004" s="17" t="s">
        <v>19</v>
      </c>
      <c r="D5004" s="18" t="s">
        <v>2817</v>
      </c>
      <c r="E5004" s="18">
        <v>24</v>
      </c>
      <c r="F5004" s="18" t="s">
        <v>147</v>
      </c>
      <c r="G5004" s="18" t="s">
        <v>39</v>
      </c>
      <c r="H5004" s="18" t="s">
        <v>23</v>
      </c>
      <c r="I5004" s="19">
        <v>5.5</v>
      </c>
      <c r="J5004" s="40">
        <f t="shared" si="156"/>
        <v>132</v>
      </c>
      <c r="K5004" s="106"/>
      <c r="L5004" s="114"/>
      <c r="M5004" s="114">
        <f>tblAquisições[[#This Row],[VALOR UNITARIO COMPRADO]]*tblAquisições[[#This Row],[QUANTIDADE COMPRADA]]</f>
        <v>0</v>
      </c>
      <c r="N5004" s="110">
        <f>K5004-tblAquisições[[#This Row],[QUANTIDADE PLANEJADA]]</f>
        <v>-24</v>
      </c>
      <c r="O5004" s="106" t="str">
        <f t="shared" si="157"/>
        <v>Faltando Comprar</v>
      </c>
    </row>
    <row r="5005" spans="1:15" ht="31.5">
      <c r="A5005" s="16" t="s">
        <v>2710</v>
      </c>
      <c r="B5005" s="16" t="s">
        <v>2711</v>
      </c>
      <c r="C5005" s="17" t="s">
        <v>19</v>
      </c>
      <c r="D5005" s="18" t="s">
        <v>2818</v>
      </c>
      <c r="E5005" s="18">
        <v>48</v>
      </c>
      <c r="F5005" s="18" t="s">
        <v>252</v>
      </c>
      <c r="G5005" s="18" t="s">
        <v>39</v>
      </c>
      <c r="H5005" s="18" t="s">
        <v>23</v>
      </c>
      <c r="I5005" s="19">
        <v>16.16</v>
      </c>
      <c r="J5005" s="40">
        <f t="shared" si="156"/>
        <v>775.68000000000006</v>
      </c>
      <c r="K5005" s="106"/>
      <c r="L5005" s="114"/>
      <c r="M5005" s="114">
        <f>tblAquisições[[#This Row],[VALOR UNITARIO COMPRADO]]*tblAquisições[[#This Row],[QUANTIDADE COMPRADA]]</f>
        <v>0</v>
      </c>
      <c r="N5005" s="110">
        <f>K5005-tblAquisições[[#This Row],[QUANTIDADE PLANEJADA]]</f>
        <v>-48</v>
      </c>
      <c r="O5005" s="106" t="str">
        <f t="shared" si="157"/>
        <v>Faltando Comprar</v>
      </c>
    </row>
    <row r="5006" spans="1:15" ht="31.5">
      <c r="A5006" s="16" t="s">
        <v>2710</v>
      </c>
      <c r="B5006" s="16" t="s">
        <v>2722</v>
      </c>
      <c r="C5006" s="17" t="s">
        <v>19</v>
      </c>
      <c r="D5006" s="18" t="s">
        <v>2818</v>
      </c>
      <c r="E5006" s="18">
        <v>12</v>
      </c>
      <c r="F5006" s="18" t="s">
        <v>252</v>
      </c>
      <c r="G5006" s="18" t="s">
        <v>39</v>
      </c>
      <c r="H5006" s="18" t="s">
        <v>23</v>
      </c>
      <c r="I5006" s="19">
        <v>16.16</v>
      </c>
      <c r="J5006" s="40">
        <f t="shared" si="156"/>
        <v>193.92000000000002</v>
      </c>
      <c r="K5006" s="106"/>
      <c r="L5006" s="114"/>
      <c r="M5006" s="114">
        <f>tblAquisições[[#This Row],[VALOR UNITARIO COMPRADO]]*tblAquisições[[#This Row],[QUANTIDADE COMPRADA]]</f>
        <v>0</v>
      </c>
      <c r="N5006" s="110">
        <f>K5006-tblAquisições[[#This Row],[QUANTIDADE PLANEJADA]]</f>
        <v>-12</v>
      </c>
      <c r="O5006" s="106" t="str">
        <f t="shared" si="157"/>
        <v>Faltando Comprar</v>
      </c>
    </row>
    <row r="5007" spans="1:15" ht="31.5">
      <c r="A5007" s="16" t="s">
        <v>2710</v>
      </c>
      <c r="B5007" s="16" t="s">
        <v>2722</v>
      </c>
      <c r="C5007" s="17" t="s">
        <v>19</v>
      </c>
      <c r="D5007" s="18" t="s">
        <v>2819</v>
      </c>
      <c r="E5007" s="18">
        <v>10</v>
      </c>
      <c r="F5007" s="18" t="s">
        <v>166</v>
      </c>
      <c r="G5007" s="18" t="s">
        <v>39</v>
      </c>
      <c r="H5007" s="18" t="s">
        <v>23</v>
      </c>
      <c r="I5007" s="19">
        <v>200</v>
      </c>
      <c r="J5007" s="40">
        <f t="shared" si="156"/>
        <v>2000</v>
      </c>
      <c r="K5007" s="106"/>
      <c r="L5007" s="114"/>
      <c r="M5007" s="114">
        <f>tblAquisições[[#This Row],[VALOR UNITARIO COMPRADO]]*tblAquisições[[#This Row],[QUANTIDADE COMPRADA]]</f>
        <v>0</v>
      </c>
      <c r="N5007" s="110">
        <f>K5007-tblAquisições[[#This Row],[QUANTIDADE PLANEJADA]]</f>
        <v>-10</v>
      </c>
      <c r="O5007" s="106" t="str">
        <f t="shared" si="157"/>
        <v>Faltando Comprar</v>
      </c>
    </row>
    <row r="5008" spans="1:15" ht="47.25">
      <c r="A5008" s="16" t="s">
        <v>2710</v>
      </c>
      <c r="B5008" s="16" t="s">
        <v>2711</v>
      </c>
      <c r="C5008" s="17" t="s">
        <v>19</v>
      </c>
      <c r="D5008" s="18" t="s">
        <v>2820</v>
      </c>
      <c r="E5008" s="18">
        <v>2</v>
      </c>
      <c r="F5008" s="18" t="s">
        <v>147</v>
      </c>
      <c r="G5008" s="18" t="s">
        <v>39</v>
      </c>
      <c r="H5008" s="18" t="s">
        <v>23</v>
      </c>
      <c r="I5008" s="19">
        <v>59.53</v>
      </c>
      <c r="J5008" s="40">
        <f t="shared" si="156"/>
        <v>119.06</v>
      </c>
      <c r="K5008" s="106"/>
      <c r="L5008" s="114"/>
      <c r="M5008" s="114">
        <f>tblAquisições[[#This Row],[VALOR UNITARIO COMPRADO]]*tblAquisições[[#This Row],[QUANTIDADE COMPRADA]]</f>
        <v>0</v>
      </c>
      <c r="N5008" s="110">
        <f>K5008-tblAquisições[[#This Row],[QUANTIDADE PLANEJADA]]</f>
        <v>-2</v>
      </c>
      <c r="O5008" s="106" t="str">
        <f t="shared" si="157"/>
        <v>Faltando Comprar</v>
      </c>
    </row>
    <row r="5009" spans="1:15" ht="47.25">
      <c r="A5009" s="16" t="s">
        <v>2710</v>
      </c>
      <c r="B5009" s="16" t="s">
        <v>2713</v>
      </c>
      <c r="C5009" s="17" t="s">
        <v>19</v>
      </c>
      <c r="D5009" s="18" t="s">
        <v>2820</v>
      </c>
      <c r="E5009" s="18">
        <v>3</v>
      </c>
      <c r="F5009" s="18" t="s">
        <v>147</v>
      </c>
      <c r="G5009" s="18" t="s">
        <v>39</v>
      </c>
      <c r="H5009" s="18" t="s">
        <v>23</v>
      </c>
      <c r="I5009" s="19">
        <v>59.53</v>
      </c>
      <c r="J5009" s="40">
        <f t="shared" si="156"/>
        <v>178.59</v>
      </c>
      <c r="K5009" s="106"/>
      <c r="L5009" s="114"/>
      <c r="M5009" s="114">
        <f>tblAquisições[[#This Row],[VALOR UNITARIO COMPRADO]]*tblAquisições[[#This Row],[QUANTIDADE COMPRADA]]</f>
        <v>0</v>
      </c>
      <c r="N5009" s="110">
        <f>K5009-tblAquisições[[#This Row],[QUANTIDADE PLANEJADA]]</f>
        <v>-3</v>
      </c>
      <c r="O5009" s="106" t="str">
        <f t="shared" si="157"/>
        <v>Faltando Comprar</v>
      </c>
    </row>
    <row r="5010" spans="1:15" ht="47.25">
      <c r="A5010" s="16" t="s">
        <v>2710</v>
      </c>
      <c r="B5010" s="16" t="s">
        <v>2722</v>
      </c>
      <c r="C5010" s="17" t="s">
        <v>19</v>
      </c>
      <c r="D5010" s="18" t="s">
        <v>2821</v>
      </c>
      <c r="E5010" s="18">
        <v>16</v>
      </c>
      <c r="F5010" s="18" t="s">
        <v>595</v>
      </c>
      <c r="G5010" s="18" t="s">
        <v>39</v>
      </c>
      <c r="H5010" s="18" t="s">
        <v>23</v>
      </c>
      <c r="I5010" s="19">
        <v>77.83</v>
      </c>
      <c r="J5010" s="40">
        <f t="shared" si="156"/>
        <v>1245.28</v>
      </c>
      <c r="K5010" s="106"/>
      <c r="L5010" s="114"/>
      <c r="M5010" s="114">
        <f>tblAquisições[[#This Row],[VALOR UNITARIO COMPRADO]]*tblAquisições[[#This Row],[QUANTIDADE COMPRADA]]</f>
        <v>0</v>
      </c>
      <c r="N5010" s="110">
        <f>K5010-tblAquisições[[#This Row],[QUANTIDADE PLANEJADA]]</f>
        <v>-16</v>
      </c>
      <c r="O5010" s="106" t="str">
        <f t="shared" si="157"/>
        <v>Faltando Comprar</v>
      </c>
    </row>
    <row r="5011" spans="1:15" ht="31.5">
      <c r="A5011" s="16" t="s">
        <v>2710</v>
      </c>
      <c r="B5011" s="16" t="s">
        <v>2722</v>
      </c>
      <c r="C5011" s="17" t="s">
        <v>19</v>
      </c>
      <c r="D5011" s="18" t="s">
        <v>2822</v>
      </c>
      <c r="E5011" s="18">
        <v>12</v>
      </c>
      <c r="F5011" s="18" t="s">
        <v>252</v>
      </c>
      <c r="G5011" s="18" t="s">
        <v>39</v>
      </c>
      <c r="H5011" s="18" t="s">
        <v>23</v>
      </c>
      <c r="I5011" s="19">
        <v>9.42</v>
      </c>
      <c r="J5011" s="40">
        <f t="shared" si="156"/>
        <v>113.03999999999999</v>
      </c>
      <c r="K5011" s="106"/>
      <c r="L5011" s="114"/>
      <c r="M5011" s="114">
        <f>tblAquisições[[#This Row],[VALOR UNITARIO COMPRADO]]*tblAquisições[[#This Row],[QUANTIDADE COMPRADA]]</f>
        <v>0</v>
      </c>
      <c r="N5011" s="110">
        <f>K5011-tblAquisições[[#This Row],[QUANTIDADE PLANEJADA]]</f>
        <v>-12</v>
      </c>
      <c r="O5011" s="106" t="str">
        <f t="shared" si="157"/>
        <v>Faltando Comprar</v>
      </c>
    </row>
    <row r="5012" spans="1:15" ht="47.25">
      <c r="A5012" s="16" t="s">
        <v>2710</v>
      </c>
      <c r="B5012" s="16" t="s">
        <v>2710</v>
      </c>
      <c r="C5012" s="17" t="s">
        <v>19</v>
      </c>
      <c r="D5012" s="18" t="s">
        <v>2823</v>
      </c>
      <c r="E5012" s="18">
        <v>24</v>
      </c>
      <c r="F5012" s="18" t="s">
        <v>191</v>
      </c>
      <c r="G5012" s="18" t="s">
        <v>39</v>
      </c>
      <c r="H5012" s="18" t="s">
        <v>23</v>
      </c>
      <c r="I5012" s="19">
        <v>5.49</v>
      </c>
      <c r="J5012" s="40">
        <f t="shared" si="156"/>
        <v>131.76</v>
      </c>
      <c r="K5012" s="106"/>
      <c r="L5012" s="114"/>
      <c r="M5012" s="114">
        <f>tblAquisições[[#This Row],[VALOR UNITARIO COMPRADO]]*tblAquisições[[#This Row],[QUANTIDADE COMPRADA]]</f>
        <v>0</v>
      </c>
      <c r="N5012" s="110">
        <f>K5012-tblAquisições[[#This Row],[QUANTIDADE PLANEJADA]]</f>
        <v>-24</v>
      </c>
      <c r="O5012" s="106" t="str">
        <f t="shared" si="157"/>
        <v>Faltando Comprar</v>
      </c>
    </row>
    <row r="5013" spans="1:15" ht="47.25">
      <c r="A5013" s="16" t="s">
        <v>2710</v>
      </c>
      <c r="B5013" s="16" t="s">
        <v>2722</v>
      </c>
      <c r="C5013" s="17" t="s">
        <v>19</v>
      </c>
      <c r="D5013" s="18" t="s">
        <v>2823</v>
      </c>
      <c r="E5013" s="18">
        <v>24</v>
      </c>
      <c r="F5013" s="18" t="s">
        <v>191</v>
      </c>
      <c r="G5013" s="18" t="s">
        <v>39</v>
      </c>
      <c r="H5013" s="18" t="s">
        <v>23</v>
      </c>
      <c r="I5013" s="19">
        <v>5.49</v>
      </c>
      <c r="J5013" s="40">
        <f t="shared" si="156"/>
        <v>131.76</v>
      </c>
      <c r="K5013" s="106"/>
      <c r="L5013" s="114"/>
      <c r="M5013" s="114">
        <f>tblAquisições[[#This Row],[VALOR UNITARIO COMPRADO]]*tblAquisições[[#This Row],[QUANTIDADE COMPRADA]]</f>
        <v>0</v>
      </c>
      <c r="N5013" s="110">
        <f>K5013-tblAquisições[[#This Row],[QUANTIDADE PLANEJADA]]</f>
        <v>-24</v>
      </c>
      <c r="O5013" s="106" t="str">
        <f t="shared" si="157"/>
        <v>Faltando Comprar</v>
      </c>
    </row>
    <row r="5014" spans="1:15" ht="47.25">
      <c r="A5014" s="16" t="s">
        <v>2710</v>
      </c>
      <c r="B5014" s="16" t="s">
        <v>2710</v>
      </c>
      <c r="C5014" s="17" t="s">
        <v>19</v>
      </c>
      <c r="D5014" s="18" t="s">
        <v>2824</v>
      </c>
      <c r="E5014" s="18">
        <v>24</v>
      </c>
      <c r="F5014" s="18" t="s">
        <v>191</v>
      </c>
      <c r="G5014" s="18" t="s">
        <v>39</v>
      </c>
      <c r="H5014" s="18" t="s">
        <v>23</v>
      </c>
      <c r="I5014" s="19">
        <v>7.22</v>
      </c>
      <c r="J5014" s="40">
        <f t="shared" si="156"/>
        <v>173.28</v>
      </c>
      <c r="K5014" s="106"/>
      <c r="L5014" s="114"/>
      <c r="M5014" s="114">
        <f>tblAquisições[[#This Row],[VALOR UNITARIO COMPRADO]]*tblAquisições[[#This Row],[QUANTIDADE COMPRADA]]</f>
        <v>0</v>
      </c>
      <c r="N5014" s="110">
        <f>K5014-tblAquisições[[#This Row],[QUANTIDADE PLANEJADA]]</f>
        <v>-24</v>
      </c>
      <c r="O5014" s="106" t="str">
        <f t="shared" si="157"/>
        <v>Faltando Comprar</v>
      </c>
    </row>
    <row r="5015" spans="1:15" ht="47.25">
      <c r="A5015" s="16" t="s">
        <v>2710</v>
      </c>
      <c r="B5015" s="16" t="s">
        <v>2722</v>
      </c>
      <c r="C5015" s="17" t="s">
        <v>19</v>
      </c>
      <c r="D5015" s="18" t="s">
        <v>2825</v>
      </c>
      <c r="E5015" s="18">
        <v>6</v>
      </c>
      <c r="F5015" s="18" t="s">
        <v>191</v>
      </c>
      <c r="G5015" s="18" t="s">
        <v>39</v>
      </c>
      <c r="H5015" s="18" t="s">
        <v>23</v>
      </c>
      <c r="I5015" s="19">
        <v>14.44</v>
      </c>
      <c r="J5015" s="40">
        <f t="shared" si="156"/>
        <v>86.64</v>
      </c>
      <c r="K5015" s="106"/>
      <c r="L5015" s="114"/>
      <c r="M5015" s="114">
        <f>tblAquisições[[#This Row],[VALOR UNITARIO COMPRADO]]*tblAquisições[[#This Row],[QUANTIDADE COMPRADA]]</f>
        <v>0</v>
      </c>
      <c r="N5015" s="110">
        <f>K5015-tblAquisições[[#This Row],[QUANTIDADE PLANEJADA]]</f>
        <v>-6</v>
      </c>
      <c r="O5015" s="106" t="str">
        <f t="shared" si="157"/>
        <v>Faltando Comprar</v>
      </c>
    </row>
    <row r="5016" spans="1:15" ht="47.25">
      <c r="A5016" s="16" t="s">
        <v>2710</v>
      </c>
      <c r="B5016" s="16" t="s">
        <v>2710</v>
      </c>
      <c r="C5016" s="17" t="s">
        <v>19</v>
      </c>
      <c r="D5016" s="18" t="s">
        <v>2826</v>
      </c>
      <c r="E5016" s="18">
        <v>12</v>
      </c>
      <c r="F5016" s="18" t="s">
        <v>191</v>
      </c>
      <c r="G5016" s="18" t="s">
        <v>39</v>
      </c>
      <c r="H5016" s="18" t="s">
        <v>23</v>
      </c>
      <c r="I5016" s="19">
        <v>6.12</v>
      </c>
      <c r="J5016" s="40">
        <f t="shared" si="156"/>
        <v>73.44</v>
      </c>
      <c r="K5016" s="106"/>
      <c r="L5016" s="114"/>
      <c r="M5016" s="114">
        <f>tblAquisições[[#This Row],[VALOR UNITARIO COMPRADO]]*tblAquisições[[#This Row],[QUANTIDADE COMPRADA]]</f>
        <v>0</v>
      </c>
      <c r="N5016" s="110">
        <f>K5016-tblAquisições[[#This Row],[QUANTIDADE PLANEJADA]]</f>
        <v>-12</v>
      </c>
      <c r="O5016" s="106" t="str">
        <f t="shared" si="157"/>
        <v>Faltando Comprar</v>
      </c>
    </row>
    <row r="5017" spans="1:15" ht="47.25">
      <c r="A5017" s="16" t="s">
        <v>2710</v>
      </c>
      <c r="B5017" s="16" t="s">
        <v>2722</v>
      </c>
      <c r="C5017" s="17" t="s">
        <v>19</v>
      </c>
      <c r="D5017" s="18" t="s">
        <v>2827</v>
      </c>
      <c r="E5017" s="18">
        <v>24</v>
      </c>
      <c r="F5017" s="18" t="s">
        <v>147</v>
      </c>
      <c r="G5017" s="18" t="s">
        <v>39</v>
      </c>
      <c r="H5017" s="18" t="s">
        <v>23</v>
      </c>
      <c r="I5017" s="19">
        <v>6.22</v>
      </c>
      <c r="J5017" s="40">
        <f t="shared" si="156"/>
        <v>149.28</v>
      </c>
      <c r="K5017" s="106"/>
      <c r="L5017" s="114"/>
      <c r="M5017" s="114">
        <f>tblAquisições[[#This Row],[VALOR UNITARIO COMPRADO]]*tblAquisições[[#This Row],[QUANTIDADE COMPRADA]]</f>
        <v>0</v>
      </c>
      <c r="N5017" s="110">
        <f>K5017-tblAquisições[[#This Row],[QUANTIDADE PLANEJADA]]</f>
        <v>-24</v>
      </c>
      <c r="O5017" s="106" t="str">
        <f t="shared" si="157"/>
        <v>Faltando Comprar</v>
      </c>
    </row>
    <row r="5018" spans="1:15" ht="31.5">
      <c r="A5018" s="16" t="s">
        <v>2710</v>
      </c>
      <c r="B5018" s="16" t="s">
        <v>2710</v>
      </c>
      <c r="C5018" s="17" t="s">
        <v>19</v>
      </c>
      <c r="D5018" s="18" t="s">
        <v>2828</v>
      </c>
      <c r="E5018" s="18">
        <v>12</v>
      </c>
      <c r="F5018" s="18" t="s">
        <v>252</v>
      </c>
      <c r="G5018" s="18" t="s">
        <v>39</v>
      </c>
      <c r="H5018" s="18" t="s">
        <v>23</v>
      </c>
      <c r="I5018" s="19">
        <v>4.93</v>
      </c>
      <c r="J5018" s="40">
        <f t="shared" si="156"/>
        <v>59.16</v>
      </c>
      <c r="K5018" s="106"/>
      <c r="L5018" s="114"/>
      <c r="M5018" s="114">
        <f>tblAquisições[[#This Row],[VALOR UNITARIO COMPRADO]]*tblAquisições[[#This Row],[QUANTIDADE COMPRADA]]</f>
        <v>0</v>
      </c>
      <c r="N5018" s="110">
        <f>K5018-tblAquisições[[#This Row],[QUANTIDADE PLANEJADA]]</f>
        <v>-12</v>
      </c>
      <c r="O5018" s="106" t="str">
        <f t="shared" si="157"/>
        <v>Faltando Comprar</v>
      </c>
    </row>
    <row r="5019" spans="1:15" ht="31.5">
      <c r="A5019" s="16" t="s">
        <v>2710</v>
      </c>
      <c r="B5019" s="16" t="s">
        <v>2722</v>
      </c>
      <c r="C5019" s="17" t="s">
        <v>19</v>
      </c>
      <c r="D5019" s="18" t="s">
        <v>2828</v>
      </c>
      <c r="E5019" s="18">
        <v>12</v>
      </c>
      <c r="F5019" s="18" t="s">
        <v>252</v>
      </c>
      <c r="G5019" s="18" t="s">
        <v>39</v>
      </c>
      <c r="H5019" s="18" t="s">
        <v>23</v>
      </c>
      <c r="I5019" s="19">
        <v>4.93</v>
      </c>
      <c r="J5019" s="40">
        <f t="shared" si="156"/>
        <v>59.16</v>
      </c>
      <c r="K5019" s="106"/>
      <c r="L5019" s="114"/>
      <c r="M5019" s="114">
        <f>tblAquisições[[#This Row],[VALOR UNITARIO COMPRADO]]*tblAquisições[[#This Row],[QUANTIDADE COMPRADA]]</f>
        <v>0</v>
      </c>
      <c r="N5019" s="110">
        <f>K5019-tblAquisições[[#This Row],[QUANTIDADE PLANEJADA]]</f>
        <v>-12</v>
      </c>
      <c r="O5019" s="106" t="str">
        <f t="shared" si="157"/>
        <v>Faltando Comprar</v>
      </c>
    </row>
    <row r="5020" spans="1:15" ht="31.5">
      <c r="A5020" s="16" t="s">
        <v>2710</v>
      </c>
      <c r="B5020" s="16" t="s">
        <v>2722</v>
      </c>
      <c r="C5020" s="17" t="s">
        <v>19</v>
      </c>
      <c r="D5020" s="18" t="s">
        <v>2829</v>
      </c>
      <c r="E5020" s="18">
        <v>6</v>
      </c>
      <c r="F5020" s="18" t="s">
        <v>82</v>
      </c>
      <c r="G5020" s="18" t="s">
        <v>39</v>
      </c>
      <c r="H5020" s="18" t="s">
        <v>23</v>
      </c>
      <c r="I5020" s="19">
        <v>2.5299999999999998</v>
      </c>
      <c r="J5020" s="40">
        <f t="shared" si="156"/>
        <v>15.18</v>
      </c>
      <c r="K5020" s="106"/>
      <c r="L5020" s="114"/>
      <c r="M5020" s="114">
        <f>tblAquisições[[#This Row],[VALOR UNITARIO COMPRADO]]*tblAquisições[[#This Row],[QUANTIDADE COMPRADA]]</f>
        <v>0</v>
      </c>
      <c r="N5020" s="110">
        <f>K5020-tblAquisições[[#This Row],[QUANTIDADE PLANEJADA]]</f>
        <v>-6</v>
      </c>
      <c r="O5020" s="106" t="str">
        <f t="shared" si="157"/>
        <v>Faltando Comprar</v>
      </c>
    </row>
    <row r="5021" spans="1:15" ht="47.25">
      <c r="A5021" s="16" t="s">
        <v>2710</v>
      </c>
      <c r="B5021" s="16" t="s">
        <v>2711</v>
      </c>
      <c r="C5021" s="17" t="s">
        <v>19</v>
      </c>
      <c r="D5021" s="18" t="s">
        <v>2830</v>
      </c>
      <c r="E5021" s="18">
        <v>10</v>
      </c>
      <c r="F5021" s="18" t="s">
        <v>96</v>
      </c>
      <c r="G5021" s="18" t="s">
        <v>39</v>
      </c>
      <c r="H5021" s="18" t="s">
        <v>23</v>
      </c>
      <c r="I5021" s="19">
        <v>46.36</v>
      </c>
      <c r="J5021" s="40">
        <f t="shared" si="156"/>
        <v>463.6</v>
      </c>
      <c r="K5021" s="106"/>
      <c r="L5021" s="114"/>
      <c r="M5021" s="114">
        <f>tblAquisições[[#This Row],[VALOR UNITARIO COMPRADO]]*tblAquisições[[#This Row],[QUANTIDADE COMPRADA]]</f>
        <v>0</v>
      </c>
      <c r="N5021" s="110">
        <f>K5021-tblAquisições[[#This Row],[QUANTIDADE PLANEJADA]]</f>
        <v>-10</v>
      </c>
      <c r="O5021" s="106" t="str">
        <f t="shared" si="157"/>
        <v>Faltando Comprar</v>
      </c>
    </row>
    <row r="5022" spans="1:15" ht="47.25">
      <c r="A5022" s="16" t="s">
        <v>2710</v>
      </c>
      <c r="B5022" s="16" t="s">
        <v>2713</v>
      </c>
      <c r="C5022" s="17" t="s">
        <v>19</v>
      </c>
      <c r="D5022" s="18" t="s">
        <v>2830</v>
      </c>
      <c r="E5022" s="18">
        <v>20</v>
      </c>
      <c r="F5022" s="18" t="s">
        <v>96</v>
      </c>
      <c r="G5022" s="18" t="s">
        <v>39</v>
      </c>
      <c r="H5022" s="18" t="s">
        <v>23</v>
      </c>
      <c r="I5022" s="19">
        <v>46.36</v>
      </c>
      <c r="J5022" s="40">
        <f t="shared" si="156"/>
        <v>927.2</v>
      </c>
      <c r="K5022" s="106"/>
      <c r="L5022" s="114"/>
      <c r="M5022" s="114">
        <f>tblAquisições[[#This Row],[VALOR UNITARIO COMPRADO]]*tblAquisições[[#This Row],[QUANTIDADE COMPRADA]]</f>
        <v>0</v>
      </c>
      <c r="N5022" s="110">
        <f>K5022-tblAquisições[[#This Row],[QUANTIDADE PLANEJADA]]</f>
        <v>-20</v>
      </c>
      <c r="O5022" s="106" t="str">
        <f t="shared" si="157"/>
        <v>Faltando Comprar</v>
      </c>
    </row>
    <row r="5023" spans="1:15" ht="63">
      <c r="A5023" s="16" t="s">
        <v>2710</v>
      </c>
      <c r="B5023" s="16" t="s">
        <v>2711</v>
      </c>
      <c r="C5023" s="17" t="s">
        <v>19</v>
      </c>
      <c r="D5023" s="18" t="s">
        <v>2831</v>
      </c>
      <c r="E5023" s="18">
        <v>2</v>
      </c>
      <c r="F5023" s="18" t="s">
        <v>2802</v>
      </c>
      <c r="G5023" s="18" t="s">
        <v>775</v>
      </c>
      <c r="H5023" s="18" t="s">
        <v>23</v>
      </c>
      <c r="I5023" s="19">
        <v>889.14</v>
      </c>
      <c r="J5023" s="40">
        <f t="shared" si="156"/>
        <v>1778.28</v>
      </c>
      <c r="K5023" s="106"/>
      <c r="L5023" s="114"/>
      <c r="M5023" s="114">
        <f>tblAquisições[[#This Row],[VALOR UNITARIO COMPRADO]]*tblAquisições[[#This Row],[QUANTIDADE COMPRADA]]</f>
        <v>0</v>
      </c>
      <c r="N5023" s="110">
        <f>K5023-tblAquisições[[#This Row],[QUANTIDADE PLANEJADA]]</f>
        <v>-2</v>
      </c>
      <c r="O5023" s="106" t="str">
        <f t="shared" si="157"/>
        <v>Faltando Comprar</v>
      </c>
    </row>
    <row r="5024" spans="1:15" ht="63">
      <c r="A5024" s="16" t="s">
        <v>2710</v>
      </c>
      <c r="B5024" s="16" t="s">
        <v>2713</v>
      </c>
      <c r="C5024" s="17" t="s">
        <v>19</v>
      </c>
      <c r="D5024" s="18" t="s">
        <v>2831</v>
      </c>
      <c r="E5024" s="18">
        <v>2</v>
      </c>
      <c r="F5024" s="18" t="s">
        <v>2802</v>
      </c>
      <c r="G5024" s="18" t="s">
        <v>775</v>
      </c>
      <c r="H5024" s="18" t="s">
        <v>23</v>
      </c>
      <c r="I5024" s="19">
        <v>889.14</v>
      </c>
      <c r="J5024" s="40">
        <f t="shared" si="156"/>
        <v>1778.28</v>
      </c>
      <c r="K5024" s="106"/>
      <c r="L5024" s="114"/>
      <c r="M5024" s="114">
        <f>tblAquisições[[#This Row],[VALOR UNITARIO COMPRADO]]*tblAquisições[[#This Row],[QUANTIDADE COMPRADA]]</f>
        <v>0</v>
      </c>
      <c r="N5024" s="110">
        <f>K5024-tblAquisições[[#This Row],[QUANTIDADE PLANEJADA]]</f>
        <v>-2</v>
      </c>
      <c r="O5024" s="106" t="str">
        <f t="shared" si="157"/>
        <v>Faltando Comprar</v>
      </c>
    </row>
    <row r="5025" spans="1:15" ht="47.25">
      <c r="A5025" s="16" t="s">
        <v>2710</v>
      </c>
      <c r="B5025" s="16" t="s">
        <v>2710</v>
      </c>
      <c r="C5025" s="17" t="s">
        <v>19</v>
      </c>
      <c r="D5025" s="18" t="s">
        <v>2832</v>
      </c>
      <c r="E5025" s="18">
        <v>6</v>
      </c>
      <c r="F5025" s="18" t="s">
        <v>191</v>
      </c>
      <c r="G5025" s="18" t="s">
        <v>39</v>
      </c>
      <c r="H5025" s="18" t="s">
        <v>23</v>
      </c>
      <c r="I5025" s="19">
        <v>18</v>
      </c>
      <c r="J5025" s="40">
        <f t="shared" si="156"/>
        <v>108</v>
      </c>
      <c r="K5025" s="106"/>
      <c r="L5025" s="114"/>
      <c r="M5025" s="114">
        <f>tblAquisições[[#This Row],[VALOR UNITARIO COMPRADO]]*tblAquisições[[#This Row],[QUANTIDADE COMPRADA]]</f>
        <v>0</v>
      </c>
      <c r="N5025" s="110">
        <f>K5025-tblAquisições[[#This Row],[QUANTIDADE PLANEJADA]]</f>
        <v>-6</v>
      </c>
      <c r="O5025" s="106" t="str">
        <f t="shared" si="157"/>
        <v>Faltando Comprar</v>
      </c>
    </row>
    <row r="5026" spans="1:15" ht="47.25">
      <c r="A5026" s="16" t="s">
        <v>2710</v>
      </c>
      <c r="B5026" s="16" t="s">
        <v>2711</v>
      </c>
      <c r="C5026" s="17" t="s">
        <v>19</v>
      </c>
      <c r="D5026" s="18" t="s">
        <v>2319</v>
      </c>
      <c r="E5026" s="18">
        <v>24</v>
      </c>
      <c r="F5026" s="18" t="s">
        <v>191</v>
      </c>
      <c r="G5026" s="18" t="s">
        <v>39</v>
      </c>
      <c r="H5026" s="18" t="s">
        <v>23</v>
      </c>
      <c r="I5026" s="19">
        <v>5.46</v>
      </c>
      <c r="J5026" s="40">
        <f t="shared" si="156"/>
        <v>131.04</v>
      </c>
      <c r="K5026" s="106"/>
      <c r="L5026" s="114"/>
      <c r="M5026" s="114">
        <f>tblAquisições[[#This Row],[VALOR UNITARIO COMPRADO]]*tblAquisições[[#This Row],[QUANTIDADE COMPRADA]]</f>
        <v>0</v>
      </c>
      <c r="N5026" s="110">
        <f>K5026-tblAquisições[[#This Row],[QUANTIDADE PLANEJADA]]</f>
        <v>-24</v>
      </c>
      <c r="O5026" s="106" t="str">
        <f t="shared" si="157"/>
        <v>Faltando Comprar</v>
      </c>
    </row>
    <row r="5027" spans="1:15" ht="47.25">
      <c r="A5027" s="16" t="s">
        <v>2710</v>
      </c>
      <c r="B5027" s="16" t="s">
        <v>2722</v>
      </c>
      <c r="C5027" s="17" t="s">
        <v>19</v>
      </c>
      <c r="D5027" s="18" t="s">
        <v>2319</v>
      </c>
      <c r="E5027" s="18">
        <v>24</v>
      </c>
      <c r="F5027" s="18" t="s">
        <v>191</v>
      </c>
      <c r="G5027" s="18" t="s">
        <v>39</v>
      </c>
      <c r="H5027" s="18" t="s">
        <v>23</v>
      </c>
      <c r="I5027" s="19">
        <v>5.46</v>
      </c>
      <c r="J5027" s="40">
        <f t="shared" si="156"/>
        <v>131.04</v>
      </c>
      <c r="K5027" s="106"/>
      <c r="L5027" s="114"/>
      <c r="M5027" s="114">
        <f>tblAquisições[[#This Row],[VALOR UNITARIO COMPRADO]]*tblAquisições[[#This Row],[QUANTIDADE COMPRADA]]</f>
        <v>0</v>
      </c>
      <c r="N5027" s="110">
        <f>K5027-tblAquisições[[#This Row],[QUANTIDADE PLANEJADA]]</f>
        <v>-24</v>
      </c>
      <c r="O5027" s="106" t="str">
        <f t="shared" si="157"/>
        <v>Faltando Comprar</v>
      </c>
    </row>
    <row r="5028" spans="1:15" ht="63">
      <c r="A5028" s="16" t="s">
        <v>2710</v>
      </c>
      <c r="B5028" s="16" t="s">
        <v>2715</v>
      </c>
      <c r="C5028" s="17" t="s">
        <v>19</v>
      </c>
      <c r="D5028" s="18" t="s">
        <v>2833</v>
      </c>
      <c r="E5028" s="18">
        <v>5</v>
      </c>
      <c r="F5028" s="18" t="s">
        <v>2802</v>
      </c>
      <c r="G5028" s="18" t="s">
        <v>775</v>
      </c>
      <c r="H5028" s="18" t="s">
        <v>23</v>
      </c>
      <c r="I5028" s="19">
        <v>4622.63</v>
      </c>
      <c r="J5028" s="40">
        <f t="shared" si="156"/>
        <v>23113.15</v>
      </c>
      <c r="K5028" s="106"/>
      <c r="L5028" s="114"/>
      <c r="M5028" s="114">
        <f>tblAquisições[[#This Row],[VALOR UNITARIO COMPRADO]]*tblAquisições[[#This Row],[QUANTIDADE COMPRADA]]</f>
        <v>0</v>
      </c>
      <c r="N5028" s="110">
        <f>K5028-tblAquisições[[#This Row],[QUANTIDADE PLANEJADA]]</f>
        <v>-5</v>
      </c>
      <c r="O5028" s="106" t="str">
        <f t="shared" si="157"/>
        <v>Faltando Comprar</v>
      </c>
    </row>
    <row r="5029" spans="1:15" ht="63">
      <c r="A5029" s="16" t="s">
        <v>2710</v>
      </c>
      <c r="B5029" s="16" t="s">
        <v>2715</v>
      </c>
      <c r="C5029" s="17" t="s">
        <v>19</v>
      </c>
      <c r="D5029" s="18" t="s">
        <v>2834</v>
      </c>
      <c r="E5029" s="18">
        <v>2</v>
      </c>
      <c r="F5029" s="18" t="s">
        <v>2802</v>
      </c>
      <c r="G5029" s="18" t="s">
        <v>775</v>
      </c>
      <c r="H5029" s="18" t="s">
        <v>23</v>
      </c>
      <c r="I5029" s="19">
        <v>3000</v>
      </c>
      <c r="J5029" s="40">
        <f t="shared" si="156"/>
        <v>6000</v>
      </c>
      <c r="K5029" s="106"/>
      <c r="L5029" s="114"/>
      <c r="M5029" s="114">
        <f>tblAquisições[[#This Row],[VALOR UNITARIO COMPRADO]]*tblAquisições[[#This Row],[QUANTIDADE COMPRADA]]</f>
        <v>0</v>
      </c>
      <c r="N5029" s="110">
        <f>K5029-tblAquisições[[#This Row],[QUANTIDADE PLANEJADA]]</f>
        <v>-2</v>
      </c>
      <c r="O5029" s="106" t="str">
        <f t="shared" si="157"/>
        <v>Faltando Comprar</v>
      </c>
    </row>
    <row r="5030" spans="1:15" ht="47.25">
      <c r="A5030" s="16" t="s">
        <v>2710</v>
      </c>
      <c r="B5030" s="16" t="s">
        <v>2711</v>
      </c>
      <c r="C5030" s="17" t="s">
        <v>19</v>
      </c>
      <c r="D5030" s="18" t="s">
        <v>2835</v>
      </c>
      <c r="E5030" s="18">
        <v>3</v>
      </c>
      <c r="F5030" s="18" t="s">
        <v>96</v>
      </c>
      <c r="G5030" s="18" t="s">
        <v>39</v>
      </c>
      <c r="H5030" s="18" t="s">
        <v>23</v>
      </c>
      <c r="I5030" s="19">
        <v>11.71</v>
      </c>
      <c r="J5030" s="40">
        <f t="shared" si="156"/>
        <v>35.130000000000003</v>
      </c>
      <c r="K5030" s="106"/>
      <c r="L5030" s="114"/>
      <c r="M5030" s="114">
        <f>tblAquisições[[#This Row],[VALOR UNITARIO COMPRADO]]*tblAquisições[[#This Row],[QUANTIDADE COMPRADA]]</f>
        <v>0</v>
      </c>
      <c r="N5030" s="110">
        <f>K5030-tblAquisições[[#This Row],[QUANTIDADE PLANEJADA]]</f>
        <v>-3</v>
      </c>
      <c r="O5030" s="106" t="str">
        <f t="shared" si="157"/>
        <v>Faltando Comprar</v>
      </c>
    </row>
    <row r="5031" spans="1:15" ht="47.25">
      <c r="A5031" s="16" t="s">
        <v>2710</v>
      </c>
      <c r="B5031" s="16" t="s">
        <v>2713</v>
      </c>
      <c r="C5031" s="17" t="s">
        <v>19</v>
      </c>
      <c r="D5031" s="18" t="s">
        <v>2835</v>
      </c>
      <c r="E5031" s="18">
        <v>5</v>
      </c>
      <c r="F5031" s="18" t="s">
        <v>96</v>
      </c>
      <c r="G5031" s="18" t="s">
        <v>39</v>
      </c>
      <c r="H5031" s="18" t="s">
        <v>23</v>
      </c>
      <c r="I5031" s="19">
        <v>11.71</v>
      </c>
      <c r="J5031" s="40">
        <f t="shared" si="156"/>
        <v>58.550000000000004</v>
      </c>
      <c r="K5031" s="106"/>
      <c r="L5031" s="114"/>
      <c r="M5031" s="114">
        <f>tblAquisições[[#This Row],[VALOR UNITARIO COMPRADO]]*tblAquisições[[#This Row],[QUANTIDADE COMPRADA]]</f>
        <v>0</v>
      </c>
      <c r="N5031" s="110">
        <f>K5031-tblAquisições[[#This Row],[QUANTIDADE PLANEJADA]]</f>
        <v>-5</v>
      </c>
      <c r="O5031" s="106" t="str">
        <f t="shared" si="157"/>
        <v>Faltando Comprar</v>
      </c>
    </row>
    <row r="5032" spans="1:15" ht="47.25">
      <c r="A5032" s="16" t="s">
        <v>2710</v>
      </c>
      <c r="B5032" s="16" t="s">
        <v>2710</v>
      </c>
      <c r="C5032" s="17" t="s">
        <v>19</v>
      </c>
      <c r="D5032" s="18" t="s">
        <v>2836</v>
      </c>
      <c r="E5032" s="18">
        <v>2</v>
      </c>
      <c r="F5032" s="18" t="s">
        <v>96</v>
      </c>
      <c r="G5032" s="18" t="s">
        <v>39</v>
      </c>
      <c r="H5032" s="18" t="s">
        <v>23</v>
      </c>
      <c r="I5032" s="19">
        <v>24.63</v>
      </c>
      <c r="J5032" s="40">
        <f t="shared" si="156"/>
        <v>49.26</v>
      </c>
      <c r="K5032" s="106"/>
      <c r="L5032" s="114"/>
      <c r="M5032" s="114">
        <f>tblAquisições[[#This Row],[VALOR UNITARIO COMPRADO]]*tblAquisições[[#This Row],[QUANTIDADE COMPRADA]]</f>
        <v>0</v>
      </c>
      <c r="N5032" s="110">
        <f>K5032-tblAquisições[[#This Row],[QUANTIDADE PLANEJADA]]</f>
        <v>-2</v>
      </c>
      <c r="O5032" s="106" t="str">
        <f t="shared" si="157"/>
        <v>Faltando Comprar</v>
      </c>
    </row>
    <row r="5033" spans="1:15" ht="47.25">
      <c r="A5033" s="16" t="s">
        <v>2710</v>
      </c>
      <c r="B5033" s="16" t="s">
        <v>2711</v>
      </c>
      <c r="C5033" s="17" t="s">
        <v>19</v>
      </c>
      <c r="D5033" s="18" t="s">
        <v>2836</v>
      </c>
      <c r="E5033" s="18">
        <v>5</v>
      </c>
      <c r="F5033" s="18" t="s">
        <v>96</v>
      </c>
      <c r="G5033" s="18" t="s">
        <v>39</v>
      </c>
      <c r="H5033" s="18" t="s">
        <v>23</v>
      </c>
      <c r="I5033" s="19">
        <v>24.63</v>
      </c>
      <c r="J5033" s="40">
        <f t="shared" si="156"/>
        <v>123.14999999999999</v>
      </c>
      <c r="K5033" s="106"/>
      <c r="L5033" s="114"/>
      <c r="M5033" s="114">
        <f>tblAquisições[[#This Row],[VALOR UNITARIO COMPRADO]]*tblAquisições[[#This Row],[QUANTIDADE COMPRADA]]</f>
        <v>0</v>
      </c>
      <c r="N5033" s="110">
        <f>K5033-tblAquisições[[#This Row],[QUANTIDADE PLANEJADA]]</f>
        <v>-5</v>
      </c>
      <c r="O5033" s="106" t="str">
        <f t="shared" si="157"/>
        <v>Faltando Comprar</v>
      </c>
    </row>
    <row r="5034" spans="1:15" ht="47.25">
      <c r="A5034" s="16" t="s">
        <v>2710</v>
      </c>
      <c r="B5034" s="16" t="s">
        <v>2722</v>
      </c>
      <c r="C5034" s="17" t="s">
        <v>19</v>
      </c>
      <c r="D5034" s="18" t="s">
        <v>2836</v>
      </c>
      <c r="E5034" s="18">
        <v>5</v>
      </c>
      <c r="F5034" s="18" t="s">
        <v>96</v>
      </c>
      <c r="G5034" s="18" t="s">
        <v>39</v>
      </c>
      <c r="H5034" s="18" t="s">
        <v>23</v>
      </c>
      <c r="I5034" s="19">
        <v>24.63</v>
      </c>
      <c r="J5034" s="40">
        <f t="shared" si="156"/>
        <v>123.14999999999999</v>
      </c>
      <c r="K5034" s="106"/>
      <c r="L5034" s="114"/>
      <c r="M5034" s="114">
        <f>tblAquisições[[#This Row],[VALOR UNITARIO COMPRADO]]*tblAquisições[[#This Row],[QUANTIDADE COMPRADA]]</f>
        <v>0</v>
      </c>
      <c r="N5034" s="110">
        <f>K5034-tblAquisições[[#This Row],[QUANTIDADE PLANEJADA]]</f>
        <v>-5</v>
      </c>
      <c r="O5034" s="106" t="str">
        <f t="shared" si="157"/>
        <v>Faltando Comprar</v>
      </c>
    </row>
    <row r="5035" spans="1:15" ht="31.5">
      <c r="A5035" s="16" t="s">
        <v>2710</v>
      </c>
      <c r="B5035" s="16" t="s">
        <v>2722</v>
      </c>
      <c r="C5035" s="17" t="s">
        <v>19</v>
      </c>
      <c r="D5035" s="18" t="s">
        <v>2837</v>
      </c>
      <c r="E5035" s="18">
        <v>6</v>
      </c>
      <c r="F5035" s="18" t="s">
        <v>38</v>
      </c>
      <c r="G5035" s="18" t="s">
        <v>39</v>
      </c>
      <c r="H5035" s="18" t="s">
        <v>23</v>
      </c>
      <c r="I5035" s="19">
        <v>1.0109999999999999</v>
      </c>
      <c r="J5035" s="40">
        <f t="shared" si="156"/>
        <v>6.0659999999999989</v>
      </c>
      <c r="K5035" s="106"/>
      <c r="L5035" s="114"/>
      <c r="M5035" s="114">
        <f>tblAquisições[[#This Row],[VALOR UNITARIO COMPRADO]]*tblAquisições[[#This Row],[QUANTIDADE COMPRADA]]</f>
        <v>0</v>
      </c>
      <c r="N5035" s="110">
        <f>K5035-tblAquisições[[#This Row],[QUANTIDADE PLANEJADA]]</f>
        <v>-6</v>
      </c>
      <c r="O5035" s="106" t="str">
        <f t="shared" si="157"/>
        <v>Faltando Comprar</v>
      </c>
    </row>
    <row r="5036" spans="1:15" ht="31.5">
      <c r="A5036" s="16" t="s">
        <v>2710</v>
      </c>
      <c r="B5036" s="16" t="s">
        <v>2711</v>
      </c>
      <c r="C5036" s="17" t="s">
        <v>19</v>
      </c>
      <c r="D5036" s="18" t="s">
        <v>2838</v>
      </c>
      <c r="E5036" s="18">
        <v>3</v>
      </c>
      <c r="F5036" s="18" t="s">
        <v>56</v>
      </c>
      <c r="G5036" s="18" t="s">
        <v>39</v>
      </c>
      <c r="H5036" s="18" t="s">
        <v>23</v>
      </c>
      <c r="I5036" s="19">
        <v>304.67</v>
      </c>
      <c r="J5036" s="40">
        <f t="shared" si="156"/>
        <v>914.01</v>
      </c>
      <c r="K5036" s="106"/>
      <c r="L5036" s="114"/>
      <c r="M5036" s="114">
        <f>tblAquisições[[#This Row],[VALOR UNITARIO COMPRADO]]*tblAquisições[[#This Row],[QUANTIDADE COMPRADA]]</f>
        <v>0</v>
      </c>
      <c r="N5036" s="110">
        <f>K5036-tblAquisições[[#This Row],[QUANTIDADE PLANEJADA]]</f>
        <v>-3</v>
      </c>
      <c r="O5036" s="106" t="str">
        <f t="shared" si="157"/>
        <v>Faltando Comprar</v>
      </c>
    </row>
    <row r="5037" spans="1:15" ht="31.5">
      <c r="A5037" s="16" t="s">
        <v>2710</v>
      </c>
      <c r="B5037" s="16" t="s">
        <v>2722</v>
      </c>
      <c r="C5037" s="17" t="s">
        <v>19</v>
      </c>
      <c r="D5037" s="18" t="s">
        <v>2838</v>
      </c>
      <c r="E5037" s="18">
        <v>3</v>
      </c>
      <c r="F5037" s="18" t="s">
        <v>56</v>
      </c>
      <c r="G5037" s="18" t="s">
        <v>39</v>
      </c>
      <c r="H5037" s="18" t="s">
        <v>23</v>
      </c>
      <c r="I5037" s="19">
        <v>304.67</v>
      </c>
      <c r="J5037" s="40">
        <f t="shared" si="156"/>
        <v>914.01</v>
      </c>
      <c r="K5037" s="106"/>
      <c r="L5037" s="114"/>
      <c r="M5037" s="114">
        <f>tblAquisições[[#This Row],[VALOR UNITARIO COMPRADO]]*tblAquisições[[#This Row],[QUANTIDADE COMPRADA]]</f>
        <v>0</v>
      </c>
      <c r="N5037" s="110">
        <f>K5037-tblAquisições[[#This Row],[QUANTIDADE PLANEJADA]]</f>
        <v>-3</v>
      </c>
      <c r="O5037" s="106" t="str">
        <f t="shared" si="157"/>
        <v>Faltando Comprar</v>
      </c>
    </row>
    <row r="5038" spans="1:15" ht="47.25">
      <c r="A5038" s="16" t="s">
        <v>2710</v>
      </c>
      <c r="B5038" s="16" t="s">
        <v>2722</v>
      </c>
      <c r="C5038" s="17" t="s">
        <v>19</v>
      </c>
      <c r="D5038" s="18" t="s">
        <v>2839</v>
      </c>
      <c r="E5038" s="18">
        <v>5</v>
      </c>
      <c r="F5038" s="18" t="s">
        <v>217</v>
      </c>
      <c r="G5038" s="18" t="s">
        <v>39</v>
      </c>
      <c r="H5038" s="18" t="s">
        <v>23</v>
      </c>
      <c r="I5038" s="19">
        <v>11.66</v>
      </c>
      <c r="J5038" s="40">
        <f t="shared" si="156"/>
        <v>58.3</v>
      </c>
      <c r="K5038" s="106"/>
      <c r="L5038" s="114"/>
      <c r="M5038" s="114">
        <f>tblAquisições[[#This Row],[VALOR UNITARIO COMPRADO]]*tblAquisições[[#This Row],[QUANTIDADE COMPRADA]]</f>
        <v>0</v>
      </c>
      <c r="N5038" s="110">
        <f>K5038-tblAquisições[[#This Row],[QUANTIDADE PLANEJADA]]</f>
        <v>-5</v>
      </c>
      <c r="O5038" s="106" t="str">
        <f t="shared" si="157"/>
        <v>Faltando Comprar</v>
      </c>
    </row>
    <row r="5039" spans="1:15" ht="31.5">
      <c r="A5039" s="16" t="s">
        <v>2710</v>
      </c>
      <c r="B5039" s="16" t="s">
        <v>2715</v>
      </c>
      <c r="C5039" s="17" t="s">
        <v>19</v>
      </c>
      <c r="D5039" s="18" t="s">
        <v>2840</v>
      </c>
      <c r="E5039" s="18">
        <v>2</v>
      </c>
      <c r="F5039" s="18" t="s">
        <v>56</v>
      </c>
      <c r="G5039" s="18" t="s">
        <v>39</v>
      </c>
      <c r="H5039" s="18" t="s">
        <v>23</v>
      </c>
      <c r="I5039" s="19">
        <v>92.44</v>
      </c>
      <c r="J5039" s="40">
        <f t="shared" si="156"/>
        <v>184.88</v>
      </c>
      <c r="K5039" s="106"/>
      <c r="L5039" s="114"/>
      <c r="M5039" s="114">
        <f>tblAquisições[[#This Row],[VALOR UNITARIO COMPRADO]]*tblAquisições[[#This Row],[QUANTIDADE COMPRADA]]</f>
        <v>0</v>
      </c>
      <c r="N5039" s="110">
        <f>K5039-tblAquisições[[#This Row],[QUANTIDADE PLANEJADA]]</f>
        <v>-2</v>
      </c>
      <c r="O5039" s="106" t="str">
        <f t="shared" si="157"/>
        <v>Faltando Comprar</v>
      </c>
    </row>
    <row r="5040" spans="1:15" ht="63">
      <c r="A5040" s="16" t="s">
        <v>2710</v>
      </c>
      <c r="B5040" s="16" t="s">
        <v>2711</v>
      </c>
      <c r="C5040" s="17" t="s">
        <v>19</v>
      </c>
      <c r="D5040" s="18" t="s">
        <v>2841</v>
      </c>
      <c r="E5040" s="18">
        <v>7</v>
      </c>
      <c r="F5040" s="18" t="s">
        <v>1468</v>
      </c>
      <c r="G5040" s="18" t="s">
        <v>775</v>
      </c>
      <c r="H5040" s="18" t="s">
        <v>23</v>
      </c>
      <c r="I5040" s="19">
        <v>4925.53</v>
      </c>
      <c r="J5040" s="40">
        <f t="shared" si="156"/>
        <v>34478.71</v>
      </c>
      <c r="K5040" s="106"/>
      <c r="L5040" s="114"/>
      <c r="M5040" s="114">
        <f>tblAquisições[[#This Row],[VALOR UNITARIO COMPRADO]]*tblAquisições[[#This Row],[QUANTIDADE COMPRADA]]</f>
        <v>0</v>
      </c>
      <c r="N5040" s="110">
        <f>K5040-tblAquisições[[#This Row],[QUANTIDADE PLANEJADA]]</f>
        <v>-7</v>
      </c>
      <c r="O5040" s="106" t="str">
        <f t="shared" si="157"/>
        <v>Faltando Comprar</v>
      </c>
    </row>
    <row r="5041" spans="1:15" ht="63">
      <c r="A5041" s="16" t="s">
        <v>2710</v>
      </c>
      <c r="B5041" s="16" t="s">
        <v>2713</v>
      </c>
      <c r="C5041" s="17" t="s">
        <v>19</v>
      </c>
      <c r="D5041" s="18" t="s">
        <v>2841</v>
      </c>
      <c r="E5041" s="18">
        <v>8</v>
      </c>
      <c r="F5041" s="18" t="s">
        <v>1468</v>
      </c>
      <c r="G5041" s="18" t="s">
        <v>775</v>
      </c>
      <c r="H5041" s="18" t="s">
        <v>23</v>
      </c>
      <c r="I5041" s="19">
        <v>4925.53</v>
      </c>
      <c r="J5041" s="40">
        <f t="shared" si="156"/>
        <v>39404.239999999998</v>
      </c>
      <c r="K5041" s="106"/>
      <c r="L5041" s="114"/>
      <c r="M5041" s="114">
        <f>tblAquisições[[#This Row],[VALOR UNITARIO COMPRADO]]*tblAquisições[[#This Row],[QUANTIDADE COMPRADA]]</f>
        <v>0</v>
      </c>
      <c r="N5041" s="110">
        <f>K5041-tblAquisições[[#This Row],[QUANTIDADE PLANEJADA]]</f>
        <v>-8</v>
      </c>
      <c r="O5041" s="106" t="str">
        <f t="shared" si="157"/>
        <v>Faltando Comprar</v>
      </c>
    </row>
    <row r="5042" spans="1:15" ht="47.25">
      <c r="A5042" s="16" t="s">
        <v>2710</v>
      </c>
      <c r="B5042" s="16" t="s">
        <v>2722</v>
      </c>
      <c r="C5042" s="17" t="s">
        <v>19</v>
      </c>
      <c r="D5042" s="18" t="s">
        <v>2842</v>
      </c>
      <c r="E5042" s="18">
        <v>1</v>
      </c>
      <c r="F5042" s="18" t="s">
        <v>595</v>
      </c>
      <c r="G5042" s="18" t="s">
        <v>39</v>
      </c>
      <c r="H5042" s="18" t="s">
        <v>23</v>
      </c>
      <c r="I5042" s="19">
        <v>34.58</v>
      </c>
      <c r="J5042" s="40">
        <f t="shared" si="156"/>
        <v>34.58</v>
      </c>
      <c r="K5042" s="106"/>
      <c r="L5042" s="114"/>
      <c r="M5042" s="114">
        <f>tblAquisições[[#This Row],[VALOR UNITARIO COMPRADO]]*tblAquisições[[#This Row],[QUANTIDADE COMPRADA]]</f>
        <v>0</v>
      </c>
      <c r="N5042" s="110">
        <f>K5042-tblAquisições[[#This Row],[QUANTIDADE PLANEJADA]]</f>
        <v>-1</v>
      </c>
      <c r="O5042" s="106" t="str">
        <f t="shared" si="157"/>
        <v>Faltando Comprar</v>
      </c>
    </row>
    <row r="5043" spans="1:15" ht="47.25">
      <c r="A5043" s="16" t="s">
        <v>2710</v>
      </c>
      <c r="B5043" s="16" t="s">
        <v>2722</v>
      </c>
      <c r="C5043" s="17" t="s">
        <v>19</v>
      </c>
      <c r="D5043" s="18" t="s">
        <v>2843</v>
      </c>
      <c r="E5043" s="18">
        <v>12</v>
      </c>
      <c r="F5043" s="18" t="s">
        <v>217</v>
      </c>
      <c r="G5043" s="18" t="s">
        <v>39</v>
      </c>
      <c r="H5043" s="18" t="s">
        <v>23</v>
      </c>
      <c r="I5043" s="19">
        <v>22.9</v>
      </c>
      <c r="J5043" s="40">
        <f t="shared" si="156"/>
        <v>274.79999999999995</v>
      </c>
      <c r="K5043" s="106"/>
      <c r="L5043" s="114"/>
      <c r="M5043" s="114">
        <f>tblAquisições[[#This Row],[VALOR UNITARIO COMPRADO]]*tblAquisições[[#This Row],[QUANTIDADE COMPRADA]]</f>
        <v>0</v>
      </c>
      <c r="N5043" s="110">
        <f>K5043-tblAquisições[[#This Row],[QUANTIDADE PLANEJADA]]</f>
        <v>-12</v>
      </c>
      <c r="O5043" s="106" t="str">
        <f t="shared" si="157"/>
        <v>Faltando Comprar</v>
      </c>
    </row>
    <row r="5044" spans="1:15" ht="47.25">
      <c r="A5044" s="16" t="s">
        <v>2710</v>
      </c>
      <c r="B5044" s="16" t="s">
        <v>2722</v>
      </c>
      <c r="C5044" s="17" t="s">
        <v>19</v>
      </c>
      <c r="D5044" s="18" t="s">
        <v>2844</v>
      </c>
      <c r="E5044" s="18">
        <v>3</v>
      </c>
      <c r="F5044" s="18" t="s">
        <v>147</v>
      </c>
      <c r="G5044" s="18" t="s">
        <v>39</v>
      </c>
      <c r="H5044" s="18" t="s">
        <v>23</v>
      </c>
      <c r="I5044" s="19">
        <v>27.33</v>
      </c>
      <c r="J5044" s="40">
        <f t="shared" si="156"/>
        <v>81.99</v>
      </c>
      <c r="K5044" s="106"/>
      <c r="L5044" s="114"/>
      <c r="M5044" s="114">
        <f>tblAquisições[[#This Row],[VALOR UNITARIO COMPRADO]]*tblAquisições[[#This Row],[QUANTIDADE COMPRADA]]</f>
        <v>0</v>
      </c>
      <c r="N5044" s="110">
        <f>K5044-tblAquisições[[#This Row],[QUANTIDADE PLANEJADA]]</f>
        <v>-3</v>
      </c>
      <c r="O5044" s="106" t="str">
        <f t="shared" si="157"/>
        <v>Faltando Comprar</v>
      </c>
    </row>
    <row r="5045" spans="1:15" ht="47.25">
      <c r="A5045" s="16" t="s">
        <v>2710</v>
      </c>
      <c r="B5045" s="16" t="s">
        <v>2711</v>
      </c>
      <c r="C5045" s="17" t="s">
        <v>19</v>
      </c>
      <c r="D5045" s="18" t="s">
        <v>2845</v>
      </c>
      <c r="E5045" s="18">
        <v>5</v>
      </c>
      <c r="F5045" s="18" t="s">
        <v>147</v>
      </c>
      <c r="G5045" s="18" t="s">
        <v>39</v>
      </c>
      <c r="H5045" s="18" t="s">
        <v>23</v>
      </c>
      <c r="I5045" s="19">
        <v>119.39</v>
      </c>
      <c r="J5045" s="40">
        <f t="shared" si="156"/>
        <v>596.95000000000005</v>
      </c>
      <c r="K5045" s="106"/>
      <c r="L5045" s="114"/>
      <c r="M5045" s="114">
        <f>tblAquisições[[#This Row],[VALOR UNITARIO COMPRADO]]*tblAquisições[[#This Row],[QUANTIDADE COMPRADA]]</f>
        <v>0</v>
      </c>
      <c r="N5045" s="110">
        <f>K5045-tblAquisições[[#This Row],[QUANTIDADE PLANEJADA]]</f>
        <v>-5</v>
      </c>
      <c r="O5045" s="106" t="str">
        <f t="shared" si="157"/>
        <v>Faltando Comprar</v>
      </c>
    </row>
    <row r="5046" spans="1:15" ht="47.25">
      <c r="A5046" s="16" t="s">
        <v>2710</v>
      </c>
      <c r="B5046" s="16" t="s">
        <v>2722</v>
      </c>
      <c r="C5046" s="17" t="s">
        <v>19</v>
      </c>
      <c r="D5046" s="18" t="s">
        <v>2845</v>
      </c>
      <c r="E5046" s="18">
        <v>5</v>
      </c>
      <c r="F5046" s="18" t="s">
        <v>147</v>
      </c>
      <c r="G5046" s="18" t="s">
        <v>39</v>
      </c>
      <c r="H5046" s="18" t="s">
        <v>23</v>
      </c>
      <c r="I5046" s="19">
        <v>119.39</v>
      </c>
      <c r="J5046" s="40">
        <f t="shared" si="156"/>
        <v>596.95000000000005</v>
      </c>
      <c r="K5046" s="106"/>
      <c r="L5046" s="114"/>
      <c r="M5046" s="114">
        <f>tblAquisições[[#This Row],[VALOR UNITARIO COMPRADO]]*tblAquisições[[#This Row],[QUANTIDADE COMPRADA]]</f>
        <v>0</v>
      </c>
      <c r="N5046" s="110">
        <f>K5046-tblAquisições[[#This Row],[QUANTIDADE PLANEJADA]]</f>
        <v>-5</v>
      </c>
      <c r="O5046" s="106" t="str">
        <f t="shared" si="157"/>
        <v>Faltando Comprar</v>
      </c>
    </row>
    <row r="5047" spans="1:15" ht="31.5">
      <c r="A5047" s="16" t="s">
        <v>2710</v>
      </c>
      <c r="B5047" s="16" t="s">
        <v>2722</v>
      </c>
      <c r="C5047" s="17" t="s">
        <v>19</v>
      </c>
      <c r="D5047" s="18" t="s">
        <v>2846</v>
      </c>
      <c r="E5047" s="18">
        <v>4</v>
      </c>
      <c r="F5047" s="18" t="s">
        <v>56</v>
      </c>
      <c r="G5047" s="18" t="s">
        <v>39</v>
      </c>
      <c r="H5047" s="18" t="s">
        <v>23</v>
      </c>
      <c r="I5047" s="19">
        <v>63.27</v>
      </c>
      <c r="J5047" s="40">
        <f t="shared" si="156"/>
        <v>253.08</v>
      </c>
      <c r="K5047" s="106"/>
      <c r="L5047" s="114"/>
      <c r="M5047" s="114">
        <f>tblAquisições[[#This Row],[VALOR UNITARIO COMPRADO]]*tblAquisições[[#This Row],[QUANTIDADE COMPRADA]]</f>
        <v>0</v>
      </c>
      <c r="N5047" s="110">
        <f>K5047-tblAquisições[[#This Row],[QUANTIDADE PLANEJADA]]</f>
        <v>-4</v>
      </c>
      <c r="O5047" s="106" t="str">
        <f t="shared" si="157"/>
        <v>Faltando Comprar</v>
      </c>
    </row>
    <row r="5048" spans="1:15" ht="31.5">
      <c r="A5048" s="16" t="s">
        <v>2710</v>
      </c>
      <c r="B5048" s="16" t="s">
        <v>2722</v>
      </c>
      <c r="C5048" s="17" t="s">
        <v>19</v>
      </c>
      <c r="D5048" s="18" t="s">
        <v>2847</v>
      </c>
      <c r="E5048" s="18">
        <v>3</v>
      </c>
      <c r="F5048" s="18" t="s">
        <v>38</v>
      </c>
      <c r="G5048" s="18" t="s">
        <v>39</v>
      </c>
      <c r="H5048" s="18" t="s">
        <v>23</v>
      </c>
      <c r="I5048" s="19">
        <v>685.94</v>
      </c>
      <c r="J5048" s="40">
        <f t="shared" si="156"/>
        <v>2057.8200000000002</v>
      </c>
      <c r="K5048" s="106"/>
      <c r="L5048" s="114"/>
      <c r="M5048" s="114">
        <f>tblAquisições[[#This Row],[VALOR UNITARIO COMPRADO]]*tblAquisições[[#This Row],[QUANTIDADE COMPRADA]]</f>
        <v>0</v>
      </c>
      <c r="N5048" s="110">
        <f>K5048-tblAquisições[[#This Row],[QUANTIDADE PLANEJADA]]</f>
        <v>-3</v>
      </c>
      <c r="O5048" s="106" t="str">
        <f t="shared" si="157"/>
        <v>Faltando Comprar</v>
      </c>
    </row>
    <row r="5049" spans="1:15" ht="31.5">
      <c r="A5049" s="16" t="s">
        <v>2710</v>
      </c>
      <c r="B5049" s="16" t="s">
        <v>2722</v>
      </c>
      <c r="C5049" s="17" t="s">
        <v>19</v>
      </c>
      <c r="D5049" s="18" t="s">
        <v>2848</v>
      </c>
      <c r="E5049" s="18">
        <v>6</v>
      </c>
      <c r="F5049" s="18" t="s">
        <v>56</v>
      </c>
      <c r="G5049" s="18" t="s">
        <v>39</v>
      </c>
      <c r="H5049" s="18" t="s">
        <v>23</v>
      </c>
      <c r="I5049" s="19">
        <v>40.090000000000003</v>
      </c>
      <c r="J5049" s="40">
        <f t="shared" si="156"/>
        <v>240.54000000000002</v>
      </c>
      <c r="K5049" s="106"/>
      <c r="L5049" s="114"/>
      <c r="M5049" s="114">
        <f>tblAquisições[[#This Row],[VALOR UNITARIO COMPRADO]]*tblAquisições[[#This Row],[QUANTIDADE COMPRADA]]</f>
        <v>0</v>
      </c>
      <c r="N5049" s="110">
        <f>K5049-tblAquisições[[#This Row],[QUANTIDADE PLANEJADA]]</f>
        <v>-6</v>
      </c>
      <c r="O5049" s="106" t="str">
        <f t="shared" si="157"/>
        <v>Faltando Comprar</v>
      </c>
    </row>
    <row r="5050" spans="1:15" ht="31.5">
      <c r="A5050" s="16" t="s">
        <v>2710</v>
      </c>
      <c r="B5050" s="16" t="s">
        <v>2711</v>
      </c>
      <c r="C5050" s="17" t="s">
        <v>19</v>
      </c>
      <c r="D5050" s="18" t="s">
        <v>2849</v>
      </c>
      <c r="E5050" s="18">
        <v>3</v>
      </c>
      <c r="F5050" s="18" t="s">
        <v>82</v>
      </c>
      <c r="G5050" s="18" t="s">
        <v>39</v>
      </c>
      <c r="H5050" s="18" t="s">
        <v>23</v>
      </c>
      <c r="I5050" s="19">
        <v>25.42</v>
      </c>
      <c r="J5050" s="40">
        <f t="shared" si="156"/>
        <v>76.260000000000005</v>
      </c>
      <c r="K5050" s="106"/>
      <c r="L5050" s="114"/>
      <c r="M5050" s="114">
        <f>tblAquisições[[#This Row],[VALOR UNITARIO COMPRADO]]*tblAquisições[[#This Row],[QUANTIDADE COMPRADA]]</f>
        <v>0</v>
      </c>
      <c r="N5050" s="110">
        <f>K5050-tblAquisições[[#This Row],[QUANTIDADE PLANEJADA]]</f>
        <v>-3</v>
      </c>
      <c r="O5050" s="106" t="str">
        <f t="shared" si="157"/>
        <v>Faltando Comprar</v>
      </c>
    </row>
    <row r="5051" spans="1:15" ht="31.5">
      <c r="A5051" s="16" t="s">
        <v>2710</v>
      </c>
      <c r="B5051" s="16" t="s">
        <v>2722</v>
      </c>
      <c r="C5051" s="17" t="s">
        <v>19</v>
      </c>
      <c r="D5051" s="18" t="s">
        <v>2849</v>
      </c>
      <c r="E5051" s="18">
        <v>4</v>
      </c>
      <c r="F5051" s="18" t="s">
        <v>82</v>
      </c>
      <c r="G5051" s="18" t="s">
        <v>39</v>
      </c>
      <c r="H5051" s="18" t="s">
        <v>23</v>
      </c>
      <c r="I5051" s="19">
        <v>25.42</v>
      </c>
      <c r="J5051" s="40">
        <f t="shared" si="156"/>
        <v>101.68</v>
      </c>
      <c r="K5051" s="106"/>
      <c r="L5051" s="114"/>
      <c r="M5051" s="114">
        <f>tblAquisições[[#This Row],[VALOR UNITARIO COMPRADO]]*tblAquisições[[#This Row],[QUANTIDADE COMPRADA]]</f>
        <v>0</v>
      </c>
      <c r="N5051" s="110">
        <f>K5051-tblAquisições[[#This Row],[QUANTIDADE PLANEJADA]]</f>
        <v>-4</v>
      </c>
      <c r="O5051" s="106" t="str">
        <f t="shared" si="157"/>
        <v>Faltando Comprar</v>
      </c>
    </row>
    <row r="5052" spans="1:15" ht="47.25">
      <c r="A5052" s="16" t="s">
        <v>2710</v>
      </c>
      <c r="B5052" s="16" t="s">
        <v>2711</v>
      </c>
      <c r="C5052" s="17" t="s">
        <v>19</v>
      </c>
      <c r="D5052" s="18" t="s">
        <v>2850</v>
      </c>
      <c r="E5052" s="18">
        <v>3</v>
      </c>
      <c r="F5052" s="18" t="s">
        <v>147</v>
      </c>
      <c r="G5052" s="18" t="s">
        <v>39</v>
      </c>
      <c r="H5052" s="18" t="s">
        <v>23</v>
      </c>
      <c r="I5052" s="19">
        <v>50.72</v>
      </c>
      <c r="J5052" s="40">
        <f t="shared" si="156"/>
        <v>152.16</v>
      </c>
      <c r="K5052" s="106"/>
      <c r="L5052" s="114"/>
      <c r="M5052" s="114">
        <f>tblAquisições[[#This Row],[VALOR UNITARIO COMPRADO]]*tblAquisições[[#This Row],[QUANTIDADE COMPRADA]]</f>
        <v>0</v>
      </c>
      <c r="N5052" s="110">
        <f>K5052-tblAquisições[[#This Row],[QUANTIDADE PLANEJADA]]</f>
        <v>-3</v>
      </c>
      <c r="O5052" s="106" t="str">
        <f t="shared" si="157"/>
        <v>Faltando Comprar</v>
      </c>
    </row>
    <row r="5053" spans="1:15" ht="47.25">
      <c r="A5053" s="16" t="s">
        <v>2710</v>
      </c>
      <c r="B5053" s="16" t="s">
        <v>2722</v>
      </c>
      <c r="C5053" s="17" t="s">
        <v>19</v>
      </c>
      <c r="D5053" s="18" t="s">
        <v>2850</v>
      </c>
      <c r="E5053" s="18">
        <v>3</v>
      </c>
      <c r="F5053" s="18" t="s">
        <v>147</v>
      </c>
      <c r="G5053" s="18" t="s">
        <v>39</v>
      </c>
      <c r="H5053" s="18" t="s">
        <v>23</v>
      </c>
      <c r="I5053" s="19">
        <v>50.72</v>
      </c>
      <c r="J5053" s="40">
        <f t="shared" si="156"/>
        <v>152.16</v>
      </c>
      <c r="K5053" s="106"/>
      <c r="L5053" s="114"/>
      <c r="M5053" s="114">
        <f>tblAquisições[[#This Row],[VALOR UNITARIO COMPRADO]]*tblAquisições[[#This Row],[QUANTIDADE COMPRADA]]</f>
        <v>0</v>
      </c>
      <c r="N5053" s="110">
        <f>K5053-tblAquisições[[#This Row],[QUANTIDADE PLANEJADA]]</f>
        <v>-3</v>
      </c>
      <c r="O5053" s="106" t="str">
        <f t="shared" si="157"/>
        <v>Faltando Comprar</v>
      </c>
    </row>
    <row r="5054" spans="1:15" ht="63">
      <c r="A5054" s="16" t="s">
        <v>2710</v>
      </c>
      <c r="B5054" s="16" t="s">
        <v>2715</v>
      </c>
      <c r="C5054" s="17" t="s">
        <v>19</v>
      </c>
      <c r="D5054" s="18" t="s">
        <v>2851</v>
      </c>
      <c r="E5054" s="18">
        <v>2</v>
      </c>
      <c r="F5054" s="18" t="s">
        <v>2678</v>
      </c>
      <c r="G5054" s="18" t="s">
        <v>775</v>
      </c>
      <c r="H5054" s="18" t="s">
        <v>23</v>
      </c>
      <c r="I5054" s="19">
        <v>3876.33</v>
      </c>
      <c r="J5054" s="40">
        <f t="shared" si="156"/>
        <v>7752.66</v>
      </c>
      <c r="K5054" s="106"/>
      <c r="L5054" s="114"/>
      <c r="M5054" s="114">
        <f>tblAquisições[[#This Row],[VALOR UNITARIO COMPRADO]]*tblAquisições[[#This Row],[QUANTIDADE COMPRADA]]</f>
        <v>0</v>
      </c>
      <c r="N5054" s="110">
        <f>K5054-tblAquisições[[#This Row],[QUANTIDADE PLANEJADA]]</f>
        <v>-2</v>
      </c>
      <c r="O5054" s="106" t="str">
        <f t="shared" si="157"/>
        <v>Faltando Comprar</v>
      </c>
    </row>
    <row r="5055" spans="1:15" ht="47.25">
      <c r="A5055" s="16" t="s">
        <v>2710</v>
      </c>
      <c r="B5055" s="16" t="s">
        <v>2711</v>
      </c>
      <c r="C5055" s="17" t="s">
        <v>19</v>
      </c>
      <c r="D5055" s="18" t="s">
        <v>2852</v>
      </c>
      <c r="E5055" s="18">
        <v>3</v>
      </c>
      <c r="F5055" s="18" t="s">
        <v>96</v>
      </c>
      <c r="G5055" s="18" t="s">
        <v>39</v>
      </c>
      <c r="H5055" s="18" t="s">
        <v>65</v>
      </c>
      <c r="I5055" s="19">
        <v>301.66000000000003</v>
      </c>
      <c r="J5055" s="40">
        <f t="shared" si="156"/>
        <v>904.98</v>
      </c>
      <c r="K5055" s="106"/>
      <c r="L5055" s="114"/>
      <c r="M5055" s="114">
        <f>tblAquisições[[#This Row],[VALOR UNITARIO COMPRADO]]*tblAquisições[[#This Row],[QUANTIDADE COMPRADA]]</f>
        <v>0</v>
      </c>
      <c r="N5055" s="110">
        <f>K5055-tblAquisições[[#This Row],[QUANTIDADE PLANEJADA]]</f>
        <v>-3</v>
      </c>
      <c r="O5055" s="106" t="str">
        <f t="shared" si="157"/>
        <v>Faltando Comprar</v>
      </c>
    </row>
    <row r="5056" spans="1:15" ht="47.25">
      <c r="A5056" s="16" t="s">
        <v>2710</v>
      </c>
      <c r="B5056" s="16" t="s">
        <v>2722</v>
      </c>
      <c r="C5056" s="17" t="s">
        <v>19</v>
      </c>
      <c r="D5056" s="18" t="s">
        <v>2852</v>
      </c>
      <c r="E5056" s="18">
        <v>2</v>
      </c>
      <c r="F5056" s="18" t="s">
        <v>96</v>
      </c>
      <c r="G5056" s="18" t="s">
        <v>39</v>
      </c>
      <c r="H5056" s="18" t="s">
        <v>65</v>
      </c>
      <c r="I5056" s="19">
        <v>301.66000000000003</v>
      </c>
      <c r="J5056" s="40">
        <f t="shared" si="156"/>
        <v>603.32000000000005</v>
      </c>
      <c r="K5056" s="106"/>
      <c r="L5056" s="114"/>
      <c r="M5056" s="114">
        <f>tblAquisições[[#This Row],[VALOR UNITARIO COMPRADO]]*tblAquisições[[#This Row],[QUANTIDADE COMPRADA]]</f>
        <v>0</v>
      </c>
      <c r="N5056" s="110">
        <f>K5056-tblAquisições[[#This Row],[QUANTIDADE PLANEJADA]]</f>
        <v>-2</v>
      </c>
      <c r="O5056" s="106" t="str">
        <f t="shared" si="157"/>
        <v>Faltando Comprar</v>
      </c>
    </row>
    <row r="5057" spans="1:15" ht="47.25">
      <c r="A5057" s="16" t="s">
        <v>2710</v>
      </c>
      <c r="B5057" s="16" t="s">
        <v>2713</v>
      </c>
      <c r="C5057" s="17" t="s">
        <v>19</v>
      </c>
      <c r="D5057" s="18" t="s">
        <v>2852</v>
      </c>
      <c r="E5057" s="18">
        <v>8</v>
      </c>
      <c r="F5057" s="18" t="s">
        <v>96</v>
      </c>
      <c r="G5057" s="18" t="s">
        <v>39</v>
      </c>
      <c r="H5057" s="18" t="s">
        <v>65</v>
      </c>
      <c r="I5057" s="19">
        <v>301.66000000000003</v>
      </c>
      <c r="J5057" s="40">
        <f t="shared" si="156"/>
        <v>2413.2800000000002</v>
      </c>
      <c r="K5057" s="106"/>
      <c r="L5057" s="114"/>
      <c r="M5057" s="114">
        <f>tblAquisições[[#This Row],[VALOR UNITARIO COMPRADO]]*tblAquisições[[#This Row],[QUANTIDADE COMPRADA]]</f>
        <v>0</v>
      </c>
      <c r="N5057" s="110">
        <f>K5057-tblAquisições[[#This Row],[QUANTIDADE PLANEJADA]]</f>
        <v>-8</v>
      </c>
      <c r="O5057" s="106" t="str">
        <f t="shared" si="157"/>
        <v>Faltando Comprar</v>
      </c>
    </row>
    <row r="5058" spans="1:15" ht="63">
      <c r="A5058" s="16" t="s">
        <v>2710</v>
      </c>
      <c r="B5058" s="16" t="s">
        <v>2711</v>
      </c>
      <c r="C5058" s="17" t="s">
        <v>19</v>
      </c>
      <c r="D5058" s="18" t="s">
        <v>2853</v>
      </c>
      <c r="E5058" s="18">
        <v>14</v>
      </c>
      <c r="F5058" s="18" t="s">
        <v>2678</v>
      </c>
      <c r="G5058" s="18" t="s">
        <v>775</v>
      </c>
      <c r="H5058" s="18" t="s">
        <v>23</v>
      </c>
      <c r="I5058" s="19">
        <v>462.47</v>
      </c>
      <c r="J5058" s="40">
        <f t="shared" ref="J5058:J5121" si="158">E5058*I5058</f>
        <v>6474.58</v>
      </c>
      <c r="K5058" s="106"/>
      <c r="L5058" s="114"/>
      <c r="M5058" s="114">
        <f>tblAquisições[[#This Row],[VALOR UNITARIO COMPRADO]]*tblAquisições[[#This Row],[QUANTIDADE COMPRADA]]</f>
        <v>0</v>
      </c>
      <c r="N5058" s="110">
        <f>K5058-tblAquisições[[#This Row],[QUANTIDADE PLANEJADA]]</f>
        <v>-14</v>
      </c>
      <c r="O5058" s="106" t="str">
        <f t="shared" ref="O5058:O5121" si="159">IF(K5058=E5058,"OK",IF(K5058&lt;E5058,"Faltando Comprar","Excedente"))</f>
        <v>Faltando Comprar</v>
      </c>
    </row>
    <row r="5059" spans="1:15" ht="63">
      <c r="A5059" s="16" t="s">
        <v>2710</v>
      </c>
      <c r="B5059" s="16" t="s">
        <v>2713</v>
      </c>
      <c r="C5059" s="17" t="s">
        <v>19</v>
      </c>
      <c r="D5059" s="18" t="s">
        <v>2853</v>
      </c>
      <c r="E5059" s="18">
        <v>14</v>
      </c>
      <c r="F5059" s="18" t="s">
        <v>2678</v>
      </c>
      <c r="G5059" s="18" t="s">
        <v>775</v>
      </c>
      <c r="H5059" s="18" t="s">
        <v>23</v>
      </c>
      <c r="I5059" s="19">
        <v>462.47</v>
      </c>
      <c r="J5059" s="40">
        <f t="shared" si="158"/>
        <v>6474.58</v>
      </c>
      <c r="K5059" s="106"/>
      <c r="L5059" s="114"/>
      <c r="M5059" s="114">
        <f>tblAquisições[[#This Row],[VALOR UNITARIO COMPRADO]]*tblAquisições[[#This Row],[QUANTIDADE COMPRADA]]</f>
        <v>0</v>
      </c>
      <c r="N5059" s="110">
        <f>K5059-tblAquisições[[#This Row],[QUANTIDADE PLANEJADA]]</f>
        <v>-14</v>
      </c>
      <c r="O5059" s="106" t="str">
        <f t="shared" si="159"/>
        <v>Faltando Comprar</v>
      </c>
    </row>
    <row r="5060" spans="1:15" ht="31.5">
      <c r="A5060" s="16" t="s">
        <v>2710</v>
      </c>
      <c r="B5060" s="16" t="s">
        <v>2722</v>
      </c>
      <c r="C5060" s="17" t="s">
        <v>19</v>
      </c>
      <c r="D5060" s="18" t="s">
        <v>2854</v>
      </c>
      <c r="E5060" s="18">
        <v>6</v>
      </c>
      <c r="F5060" s="18" t="s">
        <v>38</v>
      </c>
      <c r="G5060" s="18" t="s">
        <v>39</v>
      </c>
      <c r="H5060" s="18" t="s">
        <v>23</v>
      </c>
      <c r="I5060" s="19">
        <v>36.590000000000003</v>
      </c>
      <c r="J5060" s="40">
        <f t="shared" si="158"/>
        <v>219.54000000000002</v>
      </c>
      <c r="K5060" s="106"/>
      <c r="L5060" s="114"/>
      <c r="M5060" s="114">
        <f>tblAquisições[[#This Row],[VALOR UNITARIO COMPRADO]]*tblAquisições[[#This Row],[QUANTIDADE COMPRADA]]</f>
        <v>0</v>
      </c>
      <c r="N5060" s="110">
        <f>K5060-tblAquisições[[#This Row],[QUANTIDADE PLANEJADA]]</f>
        <v>-6</v>
      </c>
      <c r="O5060" s="106" t="str">
        <f t="shared" si="159"/>
        <v>Faltando Comprar</v>
      </c>
    </row>
    <row r="5061" spans="1:15" ht="78.75">
      <c r="A5061" s="16" t="s">
        <v>2710</v>
      </c>
      <c r="B5061" s="16" t="s">
        <v>2715</v>
      </c>
      <c r="C5061" s="17" t="s">
        <v>19</v>
      </c>
      <c r="D5061" s="18" t="s">
        <v>2855</v>
      </c>
      <c r="E5061" s="18">
        <v>1</v>
      </c>
      <c r="F5061" s="18" t="s">
        <v>2856</v>
      </c>
      <c r="G5061" s="18" t="s">
        <v>39</v>
      </c>
      <c r="H5061" s="18" t="s">
        <v>23</v>
      </c>
      <c r="I5061" s="19">
        <v>245</v>
      </c>
      <c r="J5061" s="40">
        <f t="shared" si="158"/>
        <v>245</v>
      </c>
      <c r="K5061" s="106"/>
      <c r="L5061" s="114"/>
      <c r="M5061" s="114">
        <f>tblAquisições[[#This Row],[VALOR UNITARIO COMPRADO]]*tblAquisições[[#This Row],[QUANTIDADE COMPRADA]]</f>
        <v>0</v>
      </c>
      <c r="N5061" s="110">
        <f>K5061-tblAquisições[[#This Row],[QUANTIDADE PLANEJADA]]</f>
        <v>-1</v>
      </c>
      <c r="O5061" s="106" t="str">
        <f t="shared" si="159"/>
        <v>Faltando Comprar</v>
      </c>
    </row>
    <row r="5062" spans="1:15" ht="31.5">
      <c r="A5062" s="16" t="s">
        <v>2710</v>
      </c>
      <c r="B5062" s="16" t="s">
        <v>2722</v>
      </c>
      <c r="C5062" s="17" t="s">
        <v>19</v>
      </c>
      <c r="D5062" s="18" t="s">
        <v>2857</v>
      </c>
      <c r="E5062" s="18">
        <v>12</v>
      </c>
      <c r="F5062" s="18" t="s">
        <v>82</v>
      </c>
      <c r="G5062" s="18" t="s">
        <v>39</v>
      </c>
      <c r="H5062" s="18" t="s">
        <v>23</v>
      </c>
      <c r="I5062" s="19">
        <v>12.19</v>
      </c>
      <c r="J5062" s="40">
        <f t="shared" si="158"/>
        <v>146.28</v>
      </c>
      <c r="K5062" s="106"/>
      <c r="L5062" s="114"/>
      <c r="M5062" s="114">
        <f>tblAquisições[[#This Row],[VALOR UNITARIO COMPRADO]]*tblAquisições[[#This Row],[QUANTIDADE COMPRADA]]</f>
        <v>0</v>
      </c>
      <c r="N5062" s="110">
        <f>K5062-tblAquisições[[#This Row],[QUANTIDADE PLANEJADA]]</f>
        <v>-12</v>
      </c>
      <c r="O5062" s="106" t="str">
        <f t="shared" si="159"/>
        <v>Faltando Comprar</v>
      </c>
    </row>
    <row r="5063" spans="1:15" ht="31.5">
      <c r="A5063" s="16" t="s">
        <v>2710</v>
      </c>
      <c r="B5063" s="16" t="s">
        <v>2711</v>
      </c>
      <c r="C5063" s="17" t="s">
        <v>19</v>
      </c>
      <c r="D5063" s="18" t="s">
        <v>2858</v>
      </c>
      <c r="E5063" s="18">
        <v>3</v>
      </c>
      <c r="F5063" s="18" t="s">
        <v>56</v>
      </c>
      <c r="G5063" s="18" t="s">
        <v>39</v>
      </c>
      <c r="H5063" s="18" t="s">
        <v>23</v>
      </c>
      <c r="I5063" s="19">
        <v>30.28</v>
      </c>
      <c r="J5063" s="40">
        <f t="shared" si="158"/>
        <v>90.84</v>
      </c>
      <c r="K5063" s="106"/>
      <c r="L5063" s="114"/>
      <c r="M5063" s="114">
        <f>tblAquisições[[#This Row],[VALOR UNITARIO COMPRADO]]*tblAquisições[[#This Row],[QUANTIDADE COMPRADA]]</f>
        <v>0</v>
      </c>
      <c r="N5063" s="110">
        <f>K5063-tblAquisições[[#This Row],[QUANTIDADE PLANEJADA]]</f>
        <v>-3</v>
      </c>
      <c r="O5063" s="106" t="str">
        <f t="shared" si="159"/>
        <v>Faltando Comprar</v>
      </c>
    </row>
    <row r="5064" spans="1:15" ht="31.5">
      <c r="A5064" s="16" t="s">
        <v>2710</v>
      </c>
      <c r="B5064" s="16" t="s">
        <v>2713</v>
      </c>
      <c r="C5064" s="17" t="s">
        <v>19</v>
      </c>
      <c r="D5064" s="18" t="s">
        <v>2858</v>
      </c>
      <c r="E5064" s="18">
        <v>3</v>
      </c>
      <c r="F5064" s="18" t="s">
        <v>56</v>
      </c>
      <c r="G5064" s="18" t="s">
        <v>39</v>
      </c>
      <c r="H5064" s="18" t="s">
        <v>23</v>
      </c>
      <c r="I5064" s="19">
        <v>30.28</v>
      </c>
      <c r="J5064" s="40">
        <f t="shared" si="158"/>
        <v>90.84</v>
      </c>
      <c r="K5064" s="106"/>
      <c r="L5064" s="114"/>
      <c r="M5064" s="114">
        <f>tblAquisições[[#This Row],[VALOR UNITARIO COMPRADO]]*tblAquisições[[#This Row],[QUANTIDADE COMPRADA]]</f>
        <v>0</v>
      </c>
      <c r="N5064" s="110">
        <f>K5064-tblAquisições[[#This Row],[QUANTIDADE PLANEJADA]]</f>
        <v>-3</v>
      </c>
      <c r="O5064" s="106" t="str">
        <f t="shared" si="159"/>
        <v>Faltando Comprar</v>
      </c>
    </row>
    <row r="5065" spans="1:15" ht="31.5">
      <c r="A5065" s="16" t="s">
        <v>2710</v>
      </c>
      <c r="B5065" s="16" t="s">
        <v>2711</v>
      </c>
      <c r="C5065" s="17" t="s">
        <v>19</v>
      </c>
      <c r="D5065" s="18" t="s">
        <v>2859</v>
      </c>
      <c r="E5065" s="18">
        <v>3</v>
      </c>
      <c r="F5065" s="18" t="s">
        <v>56</v>
      </c>
      <c r="G5065" s="18" t="s">
        <v>39</v>
      </c>
      <c r="H5065" s="18" t="s">
        <v>23</v>
      </c>
      <c r="I5065" s="19">
        <v>23.15</v>
      </c>
      <c r="J5065" s="40">
        <f t="shared" si="158"/>
        <v>69.449999999999989</v>
      </c>
      <c r="K5065" s="106"/>
      <c r="L5065" s="114"/>
      <c r="M5065" s="114">
        <f>tblAquisições[[#This Row],[VALOR UNITARIO COMPRADO]]*tblAquisições[[#This Row],[QUANTIDADE COMPRADA]]</f>
        <v>0</v>
      </c>
      <c r="N5065" s="110">
        <f>K5065-tblAquisições[[#This Row],[QUANTIDADE PLANEJADA]]</f>
        <v>-3</v>
      </c>
      <c r="O5065" s="106" t="str">
        <f t="shared" si="159"/>
        <v>Faltando Comprar</v>
      </c>
    </row>
    <row r="5066" spans="1:15" ht="31.5">
      <c r="A5066" s="16" t="s">
        <v>2710</v>
      </c>
      <c r="B5066" s="16" t="s">
        <v>2713</v>
      </c>
      <c r="C5066" s="17" t="s">
        <v>19</v>
      </c>
      <c r="D5066" s="18" t="s">
        <v>2859</v>
      </c>
      <c r="E5066" s="18">
        <v>8</v>
      </c>
      <c r="F5066" s="18" t="s">
        <v>56</v>
      </c>
      <c r="G5066" s="18" t="s">
        <v>39</v>
      </c>
      <c r="H5066" s="18" t="s">
        <v>23</v>
      </c>
      <c r="I5066" s="19">
        <v>23.15</v>
      </c>
      <c r="J5066" s="40">
        <f t="shared" si="158"/>
        <v>185.2</v>
      </c>
      <c r="K5066" s="106"/>
      <c r="L5066" s="114"/>
      <c r="M5066" s="114">
        <f>tblAquisições[[#This Row],[VALOR UNITARIO COMPRADO]]*tblAquisições[[#This Row],[QUANTIDADE COMPRADA]]</f>
        <v>0</v>
      </c>
      <c r="N5066" s="110">
        <f>K5066-tblAquisições[[#This Row],[QUANTIDADE PLANEJADA]]</f>
        <v>-8</v>
      </c>
      <c r="O5066" s="106" t="str">
        <f t="shared" si="159"/>
        <v>Faltando Comprar</v>
      </c>
    </row>
    <row r="5067" spans="1:15" ht="31.5">
      <c r="A5067" s="16" t="s">
        <v>2710</v>
      </c>
      <c r="B5067" s="16" t="s">
        <v>2722</v>
      </c>
      <c r="C5067" s="17" t="s">
        <v>19</v>
      </c>
      <c r="D5067" s="18" t="s">
        <v>2577</v>
      </c>
      <c r="E5067" s="18">
        <v>4</v>
      </c>
      <c r="F5067" s="18" t="s">
        <v>38</v>
      </c>
      <c r="G5067" s="18" t="s">
        <v>39</v>
      </c>
      <c r="H5067" s="18" t="s">
        <v>23</v>
      </c>
      <c r="I5067" s="19">
        <v>1.31</v>
      </c>
      <c r="J5067" s="40">
        <f t="shared" si="158"/>
        <v>5.24</v>
      </c>
      <c r="K5067" s="106"/>
      <c r="L5067" s="114"/>
      <c r="M5067" s="114">
        <f>tblAquisições[[#This Row],[VALOR UNITARIO COMPRADO]]*tblAquisições[[#This Row],[QUANTIDADE COMPRADA]]</f>
        <v>0</v>
      </c>
      <c r="N5067" s="110">
        <f>K5067-tblAquisições[[#This Row],[QUANTIDADE PLANEJADA]]</f>
        <v>-4</v>
      </c>
      <c r="O5067" s="106" t="str">
        <f t="shared" si="159"/>
        <v>Faltando Comprar</v>
      </c>
    </row>
    <row r="5068" spans="1:15" ht="47.25">
      <c r="A5068" s="16" t="s">
        <v>2710</v>
      </c>
      <c r="B5068" s="16" t="s">
        <v>2711</v>
      </c>
      <c r="C5068" s="17" t="s">
        <v>19</v>
      </c>
      <c r="D5068" s="18" t="s">
        <v>2860</v>
      </c>
      <c r="E5068" s="18">
        <v>10</v>
      </c>
      <c r="F5068" s="18" t="s">
        <v>96</v>
      </c>
      <c r="G5068" s="18" t="s">
        <v>39</v>
      </c>
      <c r="H5068" s="18" t="s">
        <v>65</v>
      </c>
      <c r="I5068" s="19">
        <v>23.59</v>
      </c>
      <c r="J5068" s="40">
        <f t="shared" si="158"/>
        <v>235.9</v>
      </c>
      <c r="K5068" s="106"/>
      <c r="L5068" s="114"/>
      <c r="M5068" s="114">
        <f>tblAquisições[[#This Row],[VALOR UNITARIO COMPRADO]]*tblAquisições[[#This Row],[QUANTIDADE COMPRADA]]</f>
        <v>0</v>
      </c>
      <c r="N5068" s="110">
        <f>K5068-tblAquisições[[#This Row],[QUANTIDADE PLANEJADA]]</f>
        <v>-10</v>
      </c>
      <c r="O5068" s="106" t="str">
        <f t="shared" si="159"/>
        <v>Faltando Comprar</v>
      </c>
    </row>
    <row r="5069" spans="1:15" ht="47.25">
      <c r="A5069" s="16" t="s">
        <v>2710</v>
      </c>
      <c r="B5069" s="16" t="s">
        <v>2713</v>
      </c>
      <c r="C5069" s="17" t="s">
        <v>19</v>
      </c>
      <c r="D5069" s="18" t="s">
        <v>2860</v>
      </c>
      <c r="E5069" s="18">
        <v>10</v>
      </c>
      <c r="F5069" s="18" t="s">
        <v>96</v>
      </c>
      <c r="G5069" s="18" t="s">
        <v>39</v>
      </c>
      <c r="H5069" s="18" t="s">
        <v>65</v>
      </c>
      <c r="I5069" s="19">
        <v>23.59</v>
      </c>
      <c r="J5069" s="40">
        <f t="shared" si="158"/>
        <v>235.9</v>
      </c>
      <c r="K5069" s="106"/>
      <c r="L5069" s="114"/>
      <c r="M5069" s="114">
        <f>tblAquisições[[#This Row],[VALOR UNITARIO COMPRADO]]*tblAquisições[[#This Row],[QUANTIDADE COMPRADA]]</f>
        <v>0</v>
      </c>
      <c r="N5069" s="110">
        <f>K5069-tblAquisições[[#This Row],[QUANTIDADE PLANEJADA]]</f>
        <v>-10</v>
      </c>
      <c r="O5069" s="106" t="str">
        <f t="shared" si="159"/>
        <v>Faltando Comprar</v>
      </c>
    </row>
    <row r="5070" spans="1:15" ht="47.25">
      <c r="A5070" s="16" t="s">
        <v>2710</v>
      </c>
      <c r="B5070" s="16" t="s">
        <v>2711</v>
      </c>
      <c r="C5070" s="17" t="s">
        <v>19</v>
      </c>
      <c r="D5070" s="18" t="s">
        <v>2861</v>
      </c>
      <c r="E5070" s="18">
        <v>10</v>
      </c>
      <c r="F5070" s="18" t="s">
        <v>96</v>
      </c>
      <c r="G5070" s="18" t="s">
        <v>39</v>
      </c>
      <c r="H5070" s="18" t="s">
        <v>65</v>
      </c>
      <c r="I5070" s="19">
        <v>3.47</v>
      </c>
      <c r="J5070" s="40">
        <f t="shared" si="158"/>
        <v>34.700000000000003</v>
      </c>
      <c r="K5070" s="106"/>
      <c r="L5070" s="114"/>
      <c r="M5070" s="114">
        <f>tblAquisições[[#This Row],[VALOR UNITARIO COMPRADO]]*tblAquisições[[#This Row],[QUANTIDADE COMPRADA]]</f>
        <v>0</v>
      </c>
      <c r="N5070" s="110">
        <f>K5070-tblAquisições[[#This Row],[QUANTIDADE PLANEJADA]]</f>
        <v>-10</v>
      </c>
      <c r="O5070" s="106" t="str">
        <f t="shared" si="159"/>
        <v>Faltando Comprar</v>
      </c>
    </row>
    <row r="5071" spans="1:15" ht="47.25">
      <c r="A5071" s="16" t="s">
        <v>2710</v>
      </c>
      <c r="B5071" s="16" t="s">
        <v>2713</v>
      </c>
      <c r="C5071" s="17" t="s">
        <v>19</v>
      </c>
      <c r="D5071" s="18" t="s">
        <v>2861</v>
      </c>
      <c r="E5071" s="18">
        <v>10</v>
      </c>
      <c r="F5071" s="18" t="s">
        <v>96</v>
      </c>
      <c r="G5071" s="18" t="s">
        <v>39</v>
      </c>
      <c r="H5071" s="18" t="s">
        <v>65</v>
      </c>
      <c r="I5071" s="24">
        <v>19.97</v>
      </c>
      <c r="J5071" s="40">
        <f t="shared" si="158"/>
        <v>199.7</v>
      </c>
      <c r="K5071" s="106"/>
      <c r="L5071" s="114"/>
      <c r="M5071" s="114">
        <f>tblAquisições[[#This Row],[VALOR UNITARIO COMPRADO]]*tblAquisições[[#This Row],[QUANTIDADE COMPRADA]]</f>
        <v>0</v>
      </c>
      <c r="N5071" s="110">
        <f>K5071-tblAquisições[[#This Row],[QUANTIDADE PLANEJADA]]</f>
        <v>-10</v>
      </c>
      <c r="O5071" s="106" t="str">
        <f t="shared" si="159"/>
        <v>Faltando Comprar</v>
      </c>
    </row>
    <row r="5072" spans="1:15" ht="47.25">
      <c r="A5072" s="16" t="s">
        <v>2710</v>
      </c>
      <c r="B5072" s="16" t="s">
        <v>2711</v>
      </c>
      <c r="C5072" s="17" t="s">
        <v>19</v>
      </c>
      <c r="D5072" s="18" t="s">
        <v>2862</v>
      </c>
      <c r="E5072" s="18">
        <v>15</v>
      </c>
      <c r="F5072" s="18" t="s">
        <v>96</v>
      </c>
      <c r="G5072" s="18" t="s">
        <v>39</v>
      </c>
      <c r="H5072" s="18" t="s">
        <v>65</v>
      </c>
      <c r="I5072" s="19">
        <v>20.78</v>
      </c>
      <c r="J5072" s="40">
        <f t="shared" si="158"/>
        <v>311.70000000000005</v>
      </c>
      <c r="K5072" s="106"/>
      <c r="L5072" s="114"/>
      <c r="M5072" s="114">
        <f>tblAquisições[[#This Row],[VALOR UNITARIO COMPRADO]]*tblAquisições[[#This Row],[QUANTIDADE COMPRADA]]</f>
        <v>0</v>
      </c>
      <c r="N5072" s="110">
        <f>K5072-tblAquisições[[#This Row],[QUANTIDADE PLANEJADA]]</f>
        <v>-15</v>
      </c>
      <c r="O5072" s="106" t="str">
        <f t="shared" si="159"/>
        <v>Faltando Comprar</v>
      </c>
    </row>
    <row r="5073" spans="1:15" ht="47.25">
      <c r="A5073" s="16" t="s">
        <v>2710</v>
      </c>
      <c r="B5073" s="16" t="s">
        <v>2713</v>
      </c>
      <c r="C5073" s="17" t="s">
        <v>19</v>
      </c>
      <c r="D5073" s="18" t="s">
        <v>2862</v>
      </c>
      <c r="E5073" s="18">
        <v>15</v>
      </c>
      <c r="F5073" s="18" t="s">
        <v>96</v>
      </c>
      <c r="G5073" s="18" t="s">
        <v>39</v>
      </c>
      <c r="H5073" s="18" t="s">
        <v>65</v>
      </c>
      <c r="I5073" s="24">
        <v>21.73</v>
      </c>
      <c r="J5073" s="40">
        <f t="shared" si="158"/>
        <v>325.95</v>
      </c>
      <c r="K5073" s="106"/>
      <c r="L5073" s="114"/>
      <c r="M5073" s="114">
        <f>tblAquisições[[#This Row],[VALOR UNITARIO COMPRADO]]*tblAquisições[[#This Row],[QUANTIDADE COMPRADA]]</f>
        <v>0</v>
      </c>
      <c r="N5073" s="110">
        <f>K5073-tblAquisições[[#This Row],[QUANTIDADE PLANEJADA]]</f>
        <v>-15</v>
      </c>
      <c r="O5073" s="106" t="str">
        <f t="shared" si="159"/>
        <v>Faltando Comprar</v>
      </c>
    </row>
    <row r="5074" spans="1:15" ht="47.25">
      <c r="A5074" s="16" t="s">
        <v>2710</v>
      </c>
      <c r="B5074" s="16" t="s">
        <v>2710</v>
      </c>
      <c r="C5074" s="17" t="s">
        <v>19</v>
      </c>
      <c r="D5074" s="18" t="s">
        <v>2863</v>
      </c>
      <c r="E5074" s="18">
        <v>12</v>
      </c>
      <c r="F5074" s="18" t="s">
        <v>191</v>
      </c>
      <c r="G5074" s="18" t="s">
        <v>39</v>
      </c>
      <c r="H5074" s="18" t="s">
        <v>23</v>
      </c>
      <c r="I5074" s="19">
        <v>5.29</v>
      </c>
      <c r="J5074" s="40">
        <f t="shared" si="158"/>
        <v>63.480000000000004</v>
      </c>
      <c r="K5074" s="106"/>
      <c r="L5074" s="114"/>
      <c r="M5074" s="114">
        <f>tblAquisições[[#This Row],[VALOR UNITARIO COMPRADO]]*tblAquisições[[#This Row],[QUANTIDADE COMPRADA]]</f>
        <v>0</v>
      </c>
      <c r="N5074" s="110">
        <f>K5074-tblAquisições[[#This Row],[QUANTIDADE PLANEJADA]]</f>
        <v>-12</v>
      </c>
      <c r="O5074" s="106" t="str">
        <f t="shared" si="159"/>
        <v>Faltando Comprar</v>
      </c>
    </row>
    <row r="5075" spans="1:15" ht="31.5">
      <c r="A5075" s="16" t="s">
        <v>2710</v>
      </c>
      <c r="B5075" s="16" t="s">
        <v>2711</v>
      </c>
      <c r="C5075" s="17" t="s">
        <v>19</v>
      </c>
      <c r="D5075" s="18" t="s">
        <v>2864</v>
      </c>
      <c r="E5075" s="18">
        <v>3</v>
      </c>
      <c r="F5075" s="18" t="s">
        <v>2865</v>
      </c>
      <c r="G5075" s="18" t="s">
        <v>39</v>
      </c>
      <c r="H5075" s="18" t="s">
        <v>23</v>
      </c>
      <c r="I5075" s="19">
        <v>160.76</v>
      </c>
      <c r="J5075" s="40">
        <f t="shared" si="158"/>
        <v>482.28</v>
      </c>
      <c r="K5075" s="106"/>
      <c r="L5075" s="114"/>
      <c r="M5075" s="114">
        <f>tblAquisições[[#This Row],[VALOR UNITARIO COMPRADO]]*tblAquisições[[#This Row],[QUANTIDADE COMPRADA]]</f>
        <v>0</v>
      </c>
      <c r="N5075" s="110">
        <f>K5075-tblAquisições[[#This Row],[QUANTIDADE PLANEJADA]]</f>
        <v>-3</v>
      </c>
      <c r="O5075" s="106" t="str">
        <f t="shared" si="159"/>
        <v>Faltando Comprar</v>
      </c>
    </row>
    <row r="5076" spans="1:15" ht="31.5">
      <c r="A5076" s="16" t="s">
        <v>2710</v>
      </c>
      <c r="B5076" s="16" t="s">
        <v>2713</v>
      </c>
      <c r="C5076" s="17" t="s">
        <v>19</v>
      </c>
      <c r="D5076" s="18" t="s">
        <v>2864</v>
      </c>
      <c r="E5076" s="18">
        <v>3</v>
      </c>
      <c r="F5076" s="18" t="s">
        <v>2865</v>
      </c>
      <c r="G5076" s="18" t="s">
        <v>39</v>
      </c>
      <c r="H5076" s="18" t="s">
        <v>23</v>
      </c>
      <c r="I5076" s="19">
        <v>160.76</v>
      </c>
      <c r="J5076" s="40">
        <f t="shared" si="158"/>
        <v>482.28</v>
      </c>
      <c r="K5076" s="106"/>
      <c r="L5076" s="114"/>
      <c r="M5076" s="114">
        <f>tblAquisições[[#This Row],[VALOR UNITARIO COMPRADO]]*tblAquisições[[#This Row],[QUANTIDADE COMPRADA]]</f>
        <v>0</v>
      </c>
      <c r="N5076" s="110">
        <f>K5076-tblAquisições[[#This Row],[QUANTIDADE PLANEJADA]]</f>
        <v>-3</v>
      </c>
      <c r="O5076" s="106" t="str">
        <f t="shared" si="159"/>
        <v>Faltando Comprar</v>
      </c>
    </row>
    <row r="5077" spans="1:15" ht="31.5">
      <c r="A5077" s="16" t="s">
        <v>2710</v>
      </c>
      <c r="B5077" s="16" t="s">
        <v>2711</v>
      </c>
      <c r="C5077" s="17" t="s">
        <v>19</v>
      </c>
      <c r="D5077" s="18" t="s">
        <v>2866</v>
      </c>
      <c r="E5077" s="18">
        <v>3</v>
      </c>
      <c r="F5077" s="18" t="s">
        <v>56</v>
      </c>
      <c r="G5077" s="18" t="s">
        <v>39</v>
      </c>
      <c r="H5077" s="18" t="s">
        <v>23</v>
      </c>
      <c r="I5077" s="19">
        <v>79.77</v>
      </c>
      <c r="J5077" s="40">
        <f t="shared" si="158"/>
        <v>239.31</v>
      </c>
      <c r="K5077" s="106"/>
      <c r="L5077" s="114"/>
      <c r="M5077" s="114">
        <f>tblAquisições[[#This Row],[VALOR UNITARIO COMPRADO]]*tblAquisições[[#This Row],[QUANTIDADE COMPRADA]]</f>
        <v>0</v>
      </c>
      <c r="N5077" s="110">
        <f>K5077-tblAquisições[[#This Row],[QUANTIDADE PLANEJADA]]</f>
        <v>-3</v>
      </c>
      <c r="O5077" s="106" t="str">
        <f t="shared" si="159"/>
        <v>Faltando Comprar</v>
      </c>
    </row>
    <row r="5078" spans="1:15" ht="31.5">
      <c r="A5078" s="16" t="s">
        <v>2710</v>
      </c>
      <c r="B5078" s="16" t="s">
        <v>2713</v>
      </c>
      <c r="C5078" s="17" t="s">
        <v>19</v>
      </c>
      <c r="D5078" s="18" t="s">
        <v>2866</v>
      </c>
      <c r="E5078" s="18">
        <v>3</v>
      </c>
      <c r="F5078" s="18" t="s">
        <v>56</v>
      </c>
      <c r="G5078" s="18" t="s">
        <v>39</v>
      </c>
      <c r="H5078" s="18" t="s">
        <v>23</v>
      </c>
      <c r="I5078" s="19">
        <v>79.77</v>
      </c>
      <c r="J5078" s="40">
        <f t="shared" si="158"/>
        <v>239.31</v>
      </c>
      <c r="K5078" s="106"/>
      <c r="L5078" s="114"/>
      <c r="M5078" s="114">
        <f>tblAquisições[[#This Row],[VALOR UNITARIO COMPRADO]]*tblAquisições[[#This Row],[QUANTIDADE COMPRADA]]</f>
        <v>0</v>
      </c>
      <c r="N5078" s="110">
        <f>K5078-tblAquisições[[#This Row],[QUANTIDADE PLANEJADA]]</f>
        <v>-3</v>
      </c>
      <c r="O5078" s="106" t="str">
        <f t="shared" si="159"/>
        <v>Faltando Comprar</v>
      </c>
    </row>
    <row r="5079" spans="1:15" ht="63">
      <c r="A5079" s="16" t="s">
        <v>2710</v>
      </c>
      <c r="B5079" s="16" t="s">
        <v>2711</v>
      </c>
      <c r="C5079" s="17" t="s">
        <v>19</v>
      </c>
      <c r="D5079" s="18" t="s">
        <v>2867</v>
      </c>
      <c r="E5079" s="18">
        <v>2</v>
      </c>
      <c r="F5079" s="18" t="s">
        <v>2802</v>
      </c>
      <c r="G5079" s="18" t="s">
        <v>775</v>
      </c>
      <c r="H5079" s="18" t="s">
        <v>23</v>
      </c>
      <c r="I5079" s="19">
        <v>565</v>
      </c>
      <c r="J5079" s="40">
        <f t="shared" si="158"/>
        <v>1130</v>
      </c>
      <c r="K5079" s="106"/>
      <c r="L5079" s="114"/>
      <c r="M5079" s="114">
        <f>tblAquisições[[#This Row],[VALOR UNITARIO COMPRADO]]*tblAquisições[[#This Row],[QUANTIDADE COMPRADA]]</f>
        <v>0</v>
      </c>
      <c r="N5079" s="110">
        <f>K5079-tblAquisições[[#This Row],[QUANTIDADE PLANEJADA]]</f>
        <v>-2</v>
      </c>
      <c r="O5079" s="106" t="str">
        <f t="shared" si="159"/>
        <v>Faltando Comprar</v>
      </c>
    </row>
    <row r="5080" spans="1:15" ht="63">
      <c r="A5080" s="16" t="s">
        <v>2710</v>
      </c>
      <c r="B5080" s="16" t="s">
        <v>2713</v>
      </c>
      <c r="C5080" s="17" t="s">
        <v>19</v>
      </c>
      <c r="D5080" s="18" t="s">
        <v>2867</v>
      </c>
      <c r="E5080" s="18">
        <v>2</v>
      </c>
      <c r="F5080" s="18" t="s">
        <v>2802</v>
      </c>
      <c r="G5080" s="18" t="s">
        <v>775</v>
      </c>
      <c r="H5080" s="18" t="s">
        <v>23</v>
      </c>
      <c r="I5080" s="19">
        <v>565</v>
      </c>
      <c r="J5080" s="40">
        <f t="shared" si="158"/>
        <v>1130</v>
      </c>
      <c r="K5080" s="106"/>
      <c r="L5080" s="114"/>
      <c r="M5080" s="114">
        <f>tblAquisições[[#This Row],[VALOR UNITARIO COMPRADO]]*tblAquisições[[#This Row],[QUANTIDADE COMPRADA]]</f>
        <v>0</v>
      </c>
      <c r="N5080" s="110">
        <f>K5080-tblAquisições[[#This Row],[QUANTIDADE PLANEJADA]]</f>
        <v>-2</v>
      </c>
      <c r="O5080" s="106" t="str">
        <f t="shared" si="159"/>
        <v>Faltando Comprar</v>
      </c>
    </row>
    <row r="5081" spans="1:15" ht="47.25">
      <c r="A5081" s="16" t="s">
        <v>2710</v>
      </c>
      <c r="B5081" s="16" t="s">
        <v>2713</v>
      </c>
      <c r="C5081" s="17" t="s">
        <v>19</v>
      </c>
      <c r="D5081" s="18" t="s">
        <v>2868</v>
      </c>
      <c r="E5081" s="18">
        <v>2</v>
      </c>
      <c r="F5081" s="18" t="s">
        <v>191</v>
      </c>
      <c r="G5081" s="18" t="s">
        <v>39</v>
      </c>
      <c r="H5081" s="18" t="s">
        <v>23</v>
      </c>
      <c r="I5081" s="19">
        <v>117.27</v>
      </c>
      <c r="J5081" s="40">
        <f t="shared" si="158"/>
        <v>234.54</v>
      </c>
      <c r="K5081" s="106"/>
      <c r="L5081" s="114"/>
      <c r="M5081" s="114">
        <f>tblAquisições[[#This Row],[VALOR UNITARIO COMPRADO]]*tblAquisições[[#This Row],[QUANTIDADE COMPRADA]]</f>
        <v>0</v>
      </c>
      <c r="N5081" s="110">
        <f>K5081-tblAquisições[[#This Row],[QUANTIDADE PLANEJADA]]</f>
        <v>-2</v>
      </c>
      <c r="O5081" s="106" t="str">
        <f t="shared" si="159"/>
        <v>Faltando Comprar</v>
      </c>
    </row>
    <row r="5082" spans="1:15" ht="47.25">
      <c r="A5082" s="16" t="s">
        <v>2710</v>
      </c>
      <c r="B5082" s="16" t="s">
        <v>2722</v>
      </c>
      <c r="C5082" s="17" t="s">
        <v>19</v>
      </c>
      <c r="D5082" s="18" t="s">
        <v>2869</v>
      </c>
      <c r="E5082" s="18">
        <v>2</v>
      </c>
      <c r="F5082" s="18" t="s">
        <v>147</v>
      </c>
      <c r="G5082" s="18" t="s">
        <v>39</v>
      </c>
      <c r="H5082" s="18" t="s">
        <v>83</v>
      </c>
      <c r="I5082" s="19">
        <v>166.4</v>
      </c>
      <c r="J5082" s="40">
        <f t="shared" si="158"/>
        <v>332.8</v>
      </c>
      <c r="K5082" s="106"/>
      <c r="L5082" s="114"/>
      <c r="M5082" s="114">
        <f>tblAquisições[[#This Row],[VALOR UNITARIO COMPRADO]]*tblAquisições[[#This Row],[QUANTIDADE COMPRADA]]</f>
        <v>0</v>
      </c>
      <c r="N5082" s="110">
        <f>K5082-tblAquisições[[#This Row],[QUANTIDADE PLANEJADA]]</f>
        <v>-2</v>
      </c>
      <c r="O5082" s="106" t="str">
        <f t="shared" si="159"/>
        <v>Faltando Comprar</v>
      </c>
    </row>
    <row r="5083" spans="1:15" ht="47.25">
      <c r="A5083" s="16" t="s">
        <v>2710</v>
      </c>
      <c r="B5083" s="16" t="s">
        <v>2711</v>
      </c>
      <c r="C5083" s="17" t="s">
        <v>19</v>
      </c>
      <c r="D5083" s="18" t="s">
        <v>2870</v>
      </c>
      <c r="E5083" s="18">
        <v>10</v>
      </c>
      <c r="F5083" s="18" t="s">
        <v>96</v>
      </c>
      <c r="G5083" s="18" t="s">
        <v>39</v>
      </c>
      <c r="H5083" s="18" t="s">
        <v>23</v>
      </c>
      <c r="I5083" s="19">
        <v>15.2</v>
      </c>
      <c r="J5083" s="40">
        <f t="shared" si="158"/>
        <v>152</v>
      </c>
      <c r="K5083" s="106"/>
      <c r="L5083" s="114"/>
      <c r="M5083" s="114">
        <f>tblAquisições[[#This Row],[VALOR UNITARIO COMPRADO]]*tblAquisições[[#This Row],[QUANTIDADE COMPRADA]]</f>
        <v>0</v>
      </c>
      <c r="N5083" s="110">
        <f>K5083-tblAquisições[[#This Row],[QUANTIDADE PLANEJADA]]</f>
        <v>-10</v>
      </c>
      <c r="O5083" s="106" t="str">
        <f t="shared" si="159"/>
        <v>Faltando Comprar</v>
      </c>
    </row>
    <row r="5084" spans="1:15" ht="47.25">
      <c r="A5084" s="16" t="s">
        <v>2710</v>
      </c>
      <c r="B5084" s="16" t="s">
        <v>2713</v>
      </c>
      <c r="C5084" s="17" t="s">
        <v>19</v>
      </c>
      <c r="D5084" s="18" t="s">
        <v>2870</v>
      </c>
      <c r="E5084" s="18">
        <v>10</v>
      </c>
      <c r="F5084" s="18" t="s">
        <v>96</v>
      </c>
      <c r="G5084" s="18" t="s">
        <v>39</v>
      </c>
      <c r="H5084" s="18" t="s">
        <v>23</v>
      </c>
      <c r="I5084" s="19">
        <v>15.2</v>
      </c>
      <c r="J5084" s="40">
        <f t="shared" si="158"/>
        <v>152</v>
      </c>
      <c r="K5084" s="106"/>
      <c r="L5084" s="114"/>
      <c r="M5084" s="114">
        <f>tblAquisições[[#This Row],[VALOR UNITARIO COMPRADO]]*tblAquisições[[#This Row],[QUANTIDADE COMPRADA]]</f>
        <v>0</v>
      </c>
      <c r="N5084" s="110">
        <f>K5084-tblAquisições[[#This Row],[QUANTIDADE PLANEJADA]]</f>
        <v>-10</v>
      </c>
      <c r="O5084" s="106" t="str">
        <f t="shared" si="159"/>
        <v>Faltando Comprar</v>
      </c>
    </row>
    <row r="5085" spans="1:15" ht="47.25">
      <c r="A5085" s="16" t="s">
        <v>2710</v>
      </c>
      <c r="B5085" s="16" t="s">
        <v>2722</v>
      </c>
      <c r="C5085" s="17" t="s">
        <v>19</v>
      </c>
      <c r="D5085" s="18" t="s">
        <v>2871</v>
      </c>
      <c r="E5085" s="18">
        <v>15</v>
      </c>
      <c r="F5085" s="18" t="s">
        <v>147</v>
      </c>
      <c r="G5085" s="18" t="s">
        <v>39</v>
      </c>
      <c r="H5085" s="18" t="s">
        <v>23</v>
      </c>
      <c r="I5085" s="19">
        <v>236.63</v>
      </c>
      <c r="J5085" s="40">
        <f t="shared" si="158"/>
        <v>3549.45</v>
      </c>
      <c r="K5085" s="106"/>
      <c r="L5085" s="114"/>
      <c r="M5085" s="114">
        <f>tblAquisições[[#This Row],[VALOR UNITARIO COMPRADO]]*tblAquisições[[#This Row],[QUANTIDADE COMPRADA]]</f>
        <v>0</v>
      </c>
      <c r="N5085" s="110">
        <f>K5085-tblAquisições[[#This Row],[QUANTIDADE PLANEJADA]]</f>
        <v>-15</v>
      </c>
      <c r="O5085" s="106" t="str">
        <f t="shared" si="159"/>
        <v>Faltando Comprar</v>
      </c>
    </row>
    <row r="5086" spans="1:15" ht="47.25">
      <c r="A5086" s="16" t="s">
        <v>2710</v>
      </c>
      <c r="B5086" s="16" t="s">
        <v>2711</v>
      </c>
      <c r="C5086" s="17" t="s">
        <v>19</v>
      </c>
      <c r="D5086" s="18" t="s">
        <v>2872</v>
      </c>
      <c r="E5086" s="18">
        <v>2</v>
      </c>
      <c r="F5086" s="18" t="s">
        <v>96</v>
      </c>
      <c r="G5086" s="18" t="s">
        <v>39</v>
      </c>
      <c r="H5086" s="18" t="s">
        <v>23</v>
      </c>
      <c r="I5086" s="19">
        <v>56.35</v>
      </c>
      <c r="J5086" s="40">
        <f t="shared" si="158"/>
        <v>112.7</v>
      </c>
      <c r="K5086" s="106"/>
      <c r="L5086" s="114"/>
      <c r="M5086" s="114">
        <f>tblAquisições[[#This Row],[VALOR UNITARIO COMPRADO]]*tblAquisições[[#This Row],[QUANTIDADE COMPRADA]]</f>
        <v>0</v>
      </c>
      <c r="N5086" s="110">
        <f>K5086-tblAquisições[[#This Row],[QUANTIDADE PLANEJADA]]</f>
        <v>-2</v>
      </c>
      <c r="O5086" s="106" t="str">
        <f t="shared" si="159"/>
        <v>Faltando Comprar</v>
      </c>
    </row>
    <row r="5087" spans="1:15" ht="47.25">
      <c r="A5087" s="16" t="s">
        <v>2710</v>
      </c>
      <c r="B5087" s="16" t="s">
        <v>2713</v>
      </c>
      <c r="C5087" s="17" t="s">
        <v>19</v>
      </c>
      <c r="D5087" s="18" t="s">
        <v>2872</v>
      </c>
      <c r="E5087" s="18">
        <v>2</v>
      </c>
      <c r="F5087" s="18" t="s">
        <v>96</v>
      </c>
      <c r="G5087" s="18" t="s">
        <v>39</v>
      </c>
      <c r="H5087" s="18" t="s">
        <v>23</v>
      </c>
      <c r="I5087" s="19">
        <v>56.35</v>
      </c>
      <c r="J5087" s="40">
        <f t="shared" si="158"/>
        <v>112.7</v>
      </c>
      <c r="K5087" s="106"/>
      <c r="L5087" s="114"/>
      <c r="M5087" s="114">
        <f>tblAquisições[[#This Row],[VALOR UNITARIO COMPRADO]]*tblAquisições[[#This Row],[QUANTIDADE COMPRADA]]</f>
        <v>0</v>
      </c>
      <c r="N5087" s="110">
        <f>K5087-tblAquisições[[#This Row],[QUANTIDADE PLANEJADA]]</f>
        <v>-2</v>
      </c>
      <c r="O5087" s="106" t="str">
        <f t="shared" si="159"/>
        <v>Faltando Comprar</v>
      </c>
    </row>
    <row r="5088" spans="1:15" ht="346.5">
      <c r="A5088" s="16" t="s">
        <v>2710</v>
      </c>
      <c r="B5088" s="16" t="s">
        <v>2710</v>
      </c>
      <c r="C5088" s="17" t="s">
        <v>19</v>
      </c>
      <c r="D5088" s="18" t="s">
        <v>2873</v>
      </c>
      <c r="E5088" s="18">
        <v>5</v>
      </c>
      <c r="F5088" s="18" t="s">
        <v>2802</v>
      </c>
      <c r="G5088" s="18" t="s">
        <v>775</v>
      </c>
      <c r="H5088" s="18" t="s">
        <v>23</v>
      </c>
      <c r="I5088" s="19">
        <v>7799</v>
      </c>
      <c r="J5088" s="40">
        <f t="shared" si="158"/>
        <v>38995</v>
      </c>
      <c r="K5088" s="106"/>
      <c r="L5088" s="114"/>
      <c r="M5088" s="114">
        <f>tblAquisições[[#This Row],[VALOR UNITARIO COMPRADO]]*tblAquisições[[#This Row],[QUANTIDADE COMPRADA]]</f>
        <v>0</v>
      </c>
      <c r="N5088" s="110">
        <f>K5088-tblAquisições[[#This Row],[QUANTIDADE PLANEJADA]]</f>
        <v>-5</v>
      </c>
      <c r="O5088" s="106" t="str">
        <f t="shared" si="159"/>
        <v>Faltando Comprar</v>
      </c>
    </row>
    <row r="5089" spans="1:15" ht="346.5">
      <c r="A5089" s="16" t="s">
        <v>2710</v>
      </c>
      <c r="B5089" s="16" t="s">
        <v>2711</v>
      </c>
      <c r="C5089" s="17" t="s">
        <v>19</v>
      </c>
      <c r="D5089" s="18" t="s">
        <v>2873</v>
      </c>
      <c r="E5089" s="18">
        <v>5</v>
      </c>
      <c r="F5089" s="18" t="s">
        <v>2802</v>
      </c>
      <c r="G5089" s="18" t="s">
        <v>775</v>
      </c>
      <c r="H5089" s="18" t="s">
        <v>23</v>
      </c>
      <c r="I5089" s="19">
        <v>7799</v>
      </c>
      <c r="J5089" s="40">
        <f t="shared" si="158"/>
        <v>38995</v>
      </c>
      <c r="K5089" s="106"/>
      <c r="L5089" s="114"/>
      <c r="M5089" s="114">
        <f>tblAquisições[[#This Row],[VALOR UNITARIO COMPRADO]]*tblAquisições[[#This Row],[QUANTIDADE COMPRADA]]</f>
        <v>0</v>
      </c>
      <c r="N5089" s="110">
        <f>K5089-tblAquisições[[#This Row],[QUANTIDADE PLANEJADA]]</f>
        <v>-5</v>
      </c>
      <c r="O5089" s="106" t="str">
        <f t="shared" si="159"/>
        <v>Faltando Comprar</v>
      </c>
    </row>
    <row r="5090" spans="1:15" ht="346.5">
      <c r="A5090" s="16" t="s">
        <v>2710</v>
      </c>
      <c r="B5090" s="16" t="s">
        <v>2722</v>
      </c>
      <c r="C5090" s="17" t="s">
        <v>19</v>
      </c>
      <c r="D5090" s="18" t="s">
        <v>2873</v>
      </c>
      <c r="E5090" s="18">
        <v>5</v>
      </c>
      <c r="F5090" s="18" t="s">
        <v>2802</v>
      </c>
      <c r="G5090" s="18" t="s">
        <v>775</v>
      </c>
      <c r="H5090" s="18" t="s">
        <v>23</v>
      </c>
      <c r="I5090" s="19">
        <v>7799</v>
      </c>
      <c r="J5090" s="40">
        <f t="shared" si="158"/>
        <v>38995</v>
      </c>
      <c r="K5090" s="106"/>
      <c r="L5090" s="114"/>
      <c r="M5090" s="114">
        <f>tblAquisições[[#This Row],[VALOR UNITARIO COMPRADO]]*tblAquisições[[#This Row],[QUANTIDADE COMPRADA]]</f>
        <v>0</v>
      </c>
      <c r="N5090" s="110">
        <f>K5090-tblAquisições[[#This Row],[QUANTIDADE PLANEJADA]]</f>
        <v>-5</v>
      </c>
      <c r="O5090" s="106" t="str">
        <f t="shared" si="159"/>
        <v>Faltando Comprar</v>
      </c>
    </row>
    <row r="5091" spans="1:15" ht="346.5">
      <c r="A5091" s="16" t="s">
        <v>2710</v>
      </c>
      <c r="B5091" s="16" t="s">
        <v>2713</v>
      </c>
      <c r="C5091" s="17" t="s">
        <v>19</v>
      </c>
      <c r="D5091" s="18" t="s">
        <v>2873</v>
      </c>
      <c r="E5091" s="41">
        <v>5</v>
      </c>
      <c r="F5091" s="18" t="s">
        <v>2802</v>
      </c>
      <c r="G5091" s="18" t="s">
        <v>775</v>
      </c>
      <c r="H5091" s="22" t="s">
        <v>23</v>
      </c>
      <c r="I5091" s="19">
        <v>7799</v>
      </c>
      <c r="J5091" s="40">
        <f t="shared" si="158"/>
        <v>38995</v>
      </c>
      <c r="K5091" s="106"/>
      <c r="L5091" s="114"/>
      <c r="M5091" s="114">
        <f>tblAquisições[[#This Row],[VALOR UNITARIO COMPRADO]]*tblAquisições[[#This Row],[QUANTIDADE COMPRADA]]</f>
        <v>0</v>
      </c>
      <c r="N5091" s="110">
        <f>K5091-tblAquisições[[#This Row],[QUANTIDADE PLANEJADA]]</f>
        <v>-5</v>
      </c>
      <c r="O5091" s="106" t="str">
        <f t="shared" si="159"/>
        <v>Faltando Comprar</v>
      </c>
    </row>
    <row r="5092" spans="1:15" ht="346.5">
      <c r="A5092" s="16" t="s">
        <v>2710</v>
      </c>
      <c r="B5092" s="16" t="s">
        <v>2715</v>
      </c>
      <c r="C5092" s="17" t="s">
        <v>19</v>
      </c>
      <c r="D5092" s="18" t="s">
        <v>2873</v>
      </c>
      <c r="E5092" s="18">
        <v>5</v>
      </c>
      <c r="F5092" s="18" t="s">
        <v>2802</v>
      </c>
      <c r="G5092" s="18" t="s">
        <v>775</v>
      </c>
      <c r="H5092" s="18" t="s">
        <v>23</v>
      </c>
      <c r="I5092" s="19">
        <v>7799</v>
      </c>
      <c r="J5092" s="40">
        <f t="shared" si="158"/>
        <v>38995</v>
      </c>
      <c r="K5092" s="106"/>
      <c r="L5092" s="114"/>
      <c r="M5092" s="114">
        <f>tblAquisições[[#This Row],[VALOR UNITARIO COMPRADO]]*tblAquisições[[#This Row],[QUANTIDADE COMPRADA]]</f>
        <v>0</v>
      </c>
      <c r="N5092" s="110">
        <f>K5092-tblAquisições[[#This Row],[QUANTIDADE PLANEJADA]]</f>
        <v>-5</v>
      </c>
      <c r="O5092" s="106" t="str">
        <f t="shared" si="159"/>
        <v>Faltando Comprar</v>
      </c>
    </row>
    <row r="5093" spans="1:15" ht="63">
      <c r="A5093" s="16" t="s">
        <v>2710</v>
      </c>
      <c r="B5093" s="16" t="s">
        <v>2715</v>
      </c>
      <c r="C5093" s="17" t="s">
        <v>19</v>
      </c>
      <c r="D5093" s="18" t="s">
        <v>2874</v>
      </c>
      <c r="E5093" s="18">
        <v>12</v>
      </c>
      <c r="F5093" s="18" t="s">
        <v>2875</v>
      </c>
      <c r="G5093" s="18" t="s">
        <v>775</v>
      </c>
      <c r="H5093" s="18" t="s">
        <v>23</v>
      </c>
      <c r="I5093" s="19">
        <v>30</v>
      </c>
      <c r="J5093" s="40">
        <f t="shared" si="158"/>
        <v>360</v>
      </c>
      <c r="K5093" s="106"/>
      <c r="L5093" s="114"/>
      <c r="M5093" s="114">
        <f>tblAquisições[[#This Row],[VALOR UNITARIO COMPRADO]]*tblAquisições[[#This Row],[QUANTIDADE COMPRADA]]</f>
        <v>0</v>
      </c>
      <c r="N5093" s="110">
        <f>K5093-tblAquisições[[#This Row],[QUANTIDADE PLANEJADA]]</f>
        <v>-12</v>
      </c>
      <c r="O5093" s="106" t="str">
        <f t="shared" si="159"/>
        <v>Faltando Comprar</v>
      </c>
    </row>
    <row r="5094" spans="1:15" ht="63">
      <c r="A5094" s="16" t="s">
        <v>2710</v>
      </c>
      <c r="B5094" s="16" t="s">
        <v>2715</v>
      </c>
      <c r="C5094" s="17" t="s">
        <v>19</v>
      </c>
      <c r="D5094" s="18" t="s">
        <v>2876</v>
      </c>
      <c r="E5094" s="18">
        <v>100</v>
      </c>
      <c r="F5094" s="18" t="s">
        <v>2875</v>
      </c>
      <c r="G5094" s="18" t="s">
        <v>775</v>
      </c>
      <c r="H5094" s="18" t="s">
        <v>83</v>
      </c>
      <c r="I5094" s="19">
        <v>282</v>
      </c>
      <c r="J5094" s="40">
        <f t="shared" si="158"/>
        <v>28200</v>
      </c>
      <c r="K5094" s="106"/>
      <c r="L5094" s="114"/>
      <c r="M5094" s="114">
        <f>tblAquisições[[#This Row],[VALOR UNITARIO COMPRADO]]*tblAquisições[[#This Row],[QUANTIDADE COMPRADA]]</f>
        <v>0</v>
      </c>
      <c r="N5094" s="110">
        <f>K5094-tblAquisições[[#This Row],[QUANTIDADE PLANEJADA]]</f>
        <v>-100</v>
      </c>
      <c r="O5094" s="106" t="str">
        <f t="shared" si="159"/>
        <v>Faltando Comprar</v>
      </c>
    </row>
    <row r="5095" spans="1:15" ht="78.75">
      <c r="A5095" s="16" t="s">
        <v>2710</v>
      </c>
      <c r="B5095" s="16" t="s">
        <v>2715</v>
      </c>
      <c r="C5095" s="17" t="s">
        <v>19</v>
      </c>
      <c r="D5095" s="18" t="s">
        <v>2877</v>
      </c>
      <c r="E5095" s="18">
        <v>1</v>
      </c>
      <c r="F5095" s="18" t="s">
        <v>2878</v>
      </c>
      <c r="G5095" s="18" t="s">
        <v>39</v>
      </c>
      <c r="H5095" s="18" t="s">
        <v>100</v>
      </c>
      <c r="I5095" s="24">
        <v>26.91</v>
      </c>
      <c r="J5095" s="40">
        <f t="shared" si="158"/>
        <v>26.91</v>
      </c>
      <c r="K5095" s="106"/>
      <c r="L5095" s="114"/>
      <c r="M5095" s="114">
        <f>tblAquisições[[#This Row],[VALOR UNITARIO COMPRADO]]*tblAquisições[[#This Row],[QUANTIDADE COMPRADA]]</f>
        <v>0</v>
      </c>
      <c r="N5095" s="110">
        <f>K5095-tblAquisições[[#This Row],[QUANTIDADE PLANEJADA]]</f>
        <v>-1</v>
      </c>
      <c r="O5095" s="106" t="str">
        <f t="shared" si="159"/>
        <v>Faltando Comprar</v>
      </c>
    </row>
    <row r="5096" spans="1:15" ht="78.75">
      <c r="A5096" s="16" t="s">
        <v>2710</v>
      </c>
      <c r="B5096" s="16" t="s">
        <v>2715</v>
      </c>
      <c r="C5096" s="17" t="s">
        <v>19</v>
      </c>
      <c r="D5096" s="18" t="s">
        <v>2879</v>
      </c>
      <c r="E5096" s="18">
        <v>1</v>
      </c>
      <c r="F5096" s="18" t="s">
        <v>2878</v>
      </c>
      <c r="G5096" s="18" t="s">
        <v>39</v>
      </c>
      <c r="H5096" s="18" t="s">
        <v>275</v>
      </c>
      <c r="I5096" s="19">
        <v>32.1</v>
      </c>
      <c r="J5096" s="40">
        <f t="shared" si="158"/>
        <v>32.1</v>
      </c>
      <c r="K5096" s="106"/>
      <c r="L5096" s="114"/>
      <c r="M5096" s="114">
        <f>tblAquisições[[#This Row],[VALOR UNITARIO COMPRADO]]*tblAquisições[[#This Row],[QUANTIDADE COMPRADA]]</f>
        <v>0</v>
      </c>
      <c r="N5096" s="110">
        <f>K5096-tblAquisições[[#This Row],[QUANTIDADE PLANEJADA]]</f>
        <v>-1</v>
      </c>
      <c r="O5096" s="106" t="str">
        <f t="shared" si="159"/>
        <v>Faltando Comprar</v>
      </c>
    </row>
    <row r="5097" spans="1:15" ht="63">
      <c r="A5097" s="16" t="s">
        <v>2710</v>
      </c>
      <c r="B5097" s="16" t="s">
        <v>2715</v>
      </c>
      <c r="C5097" s="17" t="s">
        <v>19</v>
      </c>
      <c r="D5097" s="18" t="s">
        <v>2880</v>
      </c>
      <c r="E5097" s="18">
        <v>5</v>
      </c>
      <c r="F5097" s="18" t="s">
        <v>2881</v>
      </c>
      <c r="G5097" s="18" t="s">
        <v>775</v>
      </c>
      <c r="H5097" s="18" t="s">
        <v>23</v>
      </c>
      <c r="I5097" s="24">
        <v>75.92</v>
      </c>
      <c r="J5097" s="40">
        <f t="shared" si="158"/>
        <v>379.6</v>
      </c>
      <c r="K5097" s="106"/>
      <c r="L5097" s="114"/>
      <c r="M5097" s="114">
        <f>tblAquisições[[#This Row],[VALOR UNITARIO COMPRADO]]*tblAquisições[[#This Row],[QUANTIDADE COMPRADA]]</f>
        <v>0</v>
      </c>
      <c r="N5097" s="110">
        <f>K5097-tblAquisições[[#This Row],[QUANTIDADE PLANEJADA]]</f>
        <v>-5</v>
      </c>
      <c r="O5097" s="106" t="str">
        <f t="shared" si="159"/>
        <v>Faltando Comprar</v>
      </c>
    </row>
    <row r="5098" spans="1:15" ht="63">
      <c r="A5098" s="16" t="s">
        <v>2710</v>
      </c>
      <c r="B5098" s="16" t="s">
        <v>2715</v>
      </c>
      <c r="C5098" s="17" t="s">
        <v>19</v>
      </c>
      <c r="D5098" s="18" t="s">
        <v>2882</v>
      </c>
      <c r="E5098" s="18">
        <v>100</v>
      </c>
      <c r="F5098" s="18" t="s">
        <v>2883</v>
      </c>
      <c r="G5098" s="18" t="s">
        <v>39</v>
      </c>
      <c r="H5098" s="18" t="s">
        <v>83</v>
      </c>
      <c r="I5098" s="19">
        <v>69.900000000000006</v>
      </c>
      <c r="J5098" s="40">
        <f t="shared" si="158"/>
        <v>6990.0000000000009</v>
      </c>
      <c r="K5098" s="106"/>
      <c r="L5098" s="114"/>
      <c r="M5098" s="114">
        <f>tblAquisições[[#This Row],[VALOR UNITARIO COMPRADO]]*tblAquisições[[#This Row],[QUANTIDADE COMPRADA]]</f>
        <v>0</v>
      </c>
      <c r="N5098" s="110">
        <f>K5098-tblAquisições[[#This Row],[QUANTIDADE PLANEJADA]]</f>
        <v>-100</v>
      </c>
      <c r="O5098" s="106" t="str">
        <f t="shared" si="159"/>
        <v>Faltando Comprar</v>
      </c>
    </row>
    <row r="5099" spans="1:15" ht="94.5">
      <c r="A5099" s="16" t="s">
        <v>2710</v>
      </c>
      <c r="B5099" s="16" t="s">
        <v>2715</v>
      </c>
      <c r="C5099" s="17" t="s">
        <v>19</v>
      </c>
      <c r="D5099" s="18" t="s">
        <v>2884</v>
      </c>
      <c r="E5099" s="18">
        <v>80</v>
      </c>
      <c r="F5099" s="18" t="s">
        <v>2885</v>
      </c>
      <c r="G5099" s="18" t="s">
        <v>775</v>
      </c>
      <c r="H5099" s="18" t="s">
        <v>23</v>
      </c>
      <c r="I5099" s="19">
        <v>0.16</v>
      </c>
      <c r="J5099" s="40">
        <f t="shared" si="158"/>
        <v>12.8</v>
      </c>
      <c r="K5099" s="106"/>
      <c r="L5099" s="114"/>
      <c r="M5099" s="114">
        <f>tblAquisições[[#This Row],[VALOR UNITARIO COMPRADO]]*tblAquisições[[#This Row],[QUANTIDADE COMPRADA]]</f>
        <v>0</v>
      </c>
      <c r="N5099" s="110">
        <f>K5099-tblAquisições[[#This Row],[QUANTIDADE PLANEJADA]]</f>
        <v>-80</v>
      </c>
      <c r="O5099" s="106" t="str">
        <f t="shared" si="159"/>
        <v>Faltando Comprar</v>
      </c>
    </row>
    <row r="5100" spans="1:15" ht="94.5">
      <c r="A5100" s="16" t="s">
        <v>2710</v>
      </c>
      <c r="B5100" s="16" t="s">
        <v>2715</v>
      </c>
      <c r="C5100" s="17" t="s">
        <v>19</v>
      </c>
      <c r="D5100" s="18" t="s">
        <v>2886</v>
      </c>
      <c r="E5100" s="18">
        <v>20</v>
      </c>
      <c r="F5100" s="18" t="s">
        <v>2885</v>
      </c>
      <c r="G5100" s="18" t="s">
        <v>775</v>
      </c>
      <c r="H5100" s="18" t="s">
        <v>23</v>
      </c>
      <c r="I5100" s="19">
        <v>0.44</v>
      </c>
      <c r="J5100" s="40">
        <f t="shared" si="158"/>
        <v>8.8000000000000007</v>
      </c>
      <c r="K5100" s="106"/>
      <c r="L5100" s="114"/>
      <c r="M5100" s="114">
        <f>tblAquisições[[#This Row],[VALOR UNITARIO COMPRADO]]*tblAquisições[[#This Row],[QUANTIDADE COMPRADA]]</f>
        <v>0</v>
      </c>
      <c r="N5100" s="110">
        <f>K5100-tblAquisições[[#This Row],[QUANTIDADE PLANEJADA]]</f>
        <v>-20</v>
      </c>
      <c r="O5100" s="106" t="str">
        <f t="shared" si="159"/>
        <v>Faltando Comprar</v>
      </c>
    </row>
    <row r="5101" spans="1:15" ht="63">
      <c r="A5101" s="16" t="s">
        <v>2710</v>
      </c>
      <c r="B5101" s="16" t="s">
        <v>2715</v>
      </c>
      <c r="C5101" s="17" t="s">
        <v>19</v>
      </c>
      <c r="D5101" s="18" t="s">
        <v>2887</v>
      </c>
      <c r="E5101" s="18">
        <v>2</v>
      </c>
      <c r="F5101" s="18" t="s">
        <v>2888</v>
      </c>
      <c r="G5101" s="18" t="s">
        <v>39</v>
      </c>
      <c r="H5101" s="18" t="s">
        <v>23</v>
      </c>
      <c r="I5101" s="19">
        <v>16.75</v>
      </c>
      <c r="J5101" s="40">
        <f t="shared" si="158"/>
        <v>33.5</v>
      </c>
      <c r="K5101" s="106"/>
      <c r="L5101" s="114"/>
      <c r="M5101" s="114">
        <f>tblAquisições[[#This Row],[VALOR UNITARIO COMPRADO]]*tblAquisições[[#This Row],[QUANTIDADE COMPRADA]]</f>
        <v>0</v>
      </c>
      <c r="N5101" s="110">
        <f>K5101-tblAquisições[[#This Row],[QUANTIDADE PLANEJADA]]</f>
        <v>-2</v>
      </c>
      <c r="O5101" s="106" t="str">
        <f t="shared" si="159"/>
        <v>Faltando Comprar</v>
      </c>
    </row>
    <row r="5102" spans="1:15" ht="63">
      <c r="A5102" s="16" t="s">
        <v>2710</v>
      </c>
      <c r="B5102" s="16" t="s">
        <v>2715</v>
      </c>
      <c r="C5102" s="17" t="s">
        <v>19</v>
      </c>
      <c r="D5102" s="18" t="s">
        <v>2889</v>
      </c>
      <c r="E5102" s="18">
        <v>1</v>
      </c>
      <c r="F5102" s="18" t="s">
        <v>2890</v>
      </c>
      <c r="G5102" s="18" t="s">
        <v>775</v>
      </c>
      <c r="H5102" s="18" t="s">
        <v>23</v>
      </c>
      <c r="I5102" s="19">
        <v>240</v>
      </c>
      <c r="J5102" s="40">
        <f t="shared" si="158"/>
        <v>240</v>
      </c>
      <c r="K5102" s="106"/>
      <c r="L5102" s="114"/>
      <c r="M5102" s="114">
        <f>tblAquisições[[#This Row],[VALOR UNITARIO COMPRADO]]*tblAquisições[[#This Row],[QUANTIDADE COMPRADA]]</f>
        <v>0</v>
      </c>
      <c r="N5102" s="110">
        <f>K5102-tblAquisições[[#This Row],[QUANTIDADE PLANEJADA]]</f>
        <v>-1</v>
      </c>
      <c r="O5102" s="106" t="str">
        <f t="shared" si="159"/>
        <v>Faltando Comprar</v>
      </c>
    </row>
    <row r="5103" spans="1:15" ht="47.25">
      <c r="A5103" s="16" t="s">
        <v>2710</v>
      </c>
      <c r="B5103" s="16" t="s">
        <v>2715</v>
      </c>
      <c r="C5103" s="17" t="s">
        <v>19</v>
      </c>
      <c r="D5103" s="18" t="s">
        <v>2891</v>
      </c>
      <c r="E5103" s="23">
        <v>1000</v>
      </c>
      <c r="F5103" s="18" t="s">
        <v>2892</v>
      </c>
      <c r="G5103" s="18" t="s">
        <v>39</v>
      </c>
      <c r="H5103" s="18" t="s">
        <v>23</v>
      </c>
      <c r="I5103" s="19">
        <v>0.3</v>
      </c>
      <c r="J5103" s="40">
        <f t="shared" si="158"/>
        <v>300</v>
      </c>
      <c r="K5103" s="106"/>
      <c r="L5103" s="114"/>
      <c r="M5103" s="114">
        <f>tblAquisições[[#This Row],[VALOR UNITARIO COMPRADO]]*tblAquisições[[#This Row],[QUANTIDADE COMPRADA]]</f>
        <v>0</v>
      </c>
      <c r="N5103" s="110">
        <f>K5103-tblAquisições[[#This Row],[QUANTIDADE PLANEJADA]]</f>
        <v>-1000</v>
      </c>
      <c r="O5103" s="106" t="str">
        <f t="shared" si="159"/>
        <v>Faltando Comprar</v>
      </c>
    </row>
    <row r="5104" spans="1:15" ht="47.25">
      <c r="A5104" s="16" t="s">
        <v>2710</v>
      </c>
      <c r="B5104" s="16" t="s">
        <v>2715</v>
      </c>
      <c r="C5104" s="17" t="s">
        <v>19</v>
      </c>
      <c r="D5104" s="18" t="s">
        <v>2893</v>
      </c>
      <c r="E5104" s="18">
        <v>12</v>
      </c>
      <c r="F5104" s="18" t="s">
        <v>2892</v>
      </c>
      <c r="G5104" s="18" t="s">
        <v>39</v>
      </c>
      <c r="H5104" s="18" t="s">
        <v>23</v>
      </c>
      <c r="I5104" s="19">
        <v>53.49</v>
      </c>
      <c r="J5104" s="40">
        <f t="shared" si="158"/>
        <v>641.88</v>
      </c>
      <c r="K5104" s="106"/>
      <c r="L5104" s="114"/>
      <c r="M5104" s="114">
        <f>tblAquisições[[#This Row],[VALOR UNITARIO COMPRADO]]*tblAquisições[[#This Row],[QUANTIDADE COMPRADA]]</f>
        <v>0</v>
      </c>
      <c r="N5104" s="110">
        <f>K5104-tblAquisições[[#This Row],[QUANTIDADE PLANEJADA]]</f>
        <v>-12</v>
      </c>
      <c r="O5104" s="106" t="str">
        <f t="shared" si="159"/>
        <v>Faltando Comprar</v>
      </c>
    </row>
    <row r="5105" spans="1:15" ht="47.25">
      <c r="A5105" s="16" t="s">
        <v>2710</v>
      </c>
      <c r="B5105" s="16" t="s">
        <v>2715</v>
      </c>
      <c r="C5105" s="17" t="s">
        <v>19</v>
      </c>
      <c r="D5105" s="18" t="s">
        <v>2894</v>
      </c>
      <c r="E5105" s="18">
        <v>6</v>
      </c>
      <c r="F5105" s="18" t="s">
        <v>1416</v>
      </c>
      <c r="G5105" s="18" t="s">
        <v>39</v>
      </c>
      <c r="H5105" s="18" t="s">
        <v>23</v>
      </c>
      <c r="I5105" s="19">
        <v>40</v>
      </c>
      <c r="J5105" s="40">
        <f t="shared" si="158"/>
        <v>240</v>
      </c>
      <c r="K5105" s="106"/>
      <c r="L5105" s="114"/>
      <c r="M5105" s="114">
        <f>tblAquisições[[#This Row],[VALOR UNITARIO COMPRADO]]*tblAquisições[[#This Row],[QUANTIDADE COMPRADA]]</f>
        <v>0</v>
      </c>
      <c r="N5105" s="110">
        <f>K5105-tblAquisições[[#This Row],[QUANTIDADE PLANEJADA]]</f>
        <v>-6</v>
      </c>
      <c r="O5105" s="106" t="str">
        <f t="shared" si="159"/>
        <v>Faltando Comprar</v>
      </c>
    </row>
    <row r="5106" spans="1:15" ht="47.25">
      <c r="A5106" s="16" t="s">
        <v>2710</v>
      </c>
      <c r="B5106" s="16" t="s">
        <v>2715</v>
      </c>
      <c r="C5106" s="17" t="s">
        <v>19</v>
      </c>
      <c r="D5106" s="18" t="s">
        <v>2895</v>
      </c>
      <c r="E5106" s="18">
        <v>2</v>
      </c>
      <c r="F5106" s="18" t="s">
        <v>1416</v>
      </c>
      <c r="G5106" s="18" t="s">
        <v>39</v>
      </c>
      <c r="H5106" s="18" t="s">
        <v>100</v>
      </c>
      <c r="I5106" s="24">
        <v>21.46</v>
      </c>
      <c r="J5106" s="40">
        <f t="shared" si="158"/>
        <v>42.92</v>
      </c>
      <c r="K5106" s="106"/>
      <c r="L5106" s="114"/>
      <c r="M5106" s="114">
        <f>tblAquisições[[#This Row],[VALOR UNITARIO COMPRADO]]*tblAquisições[[#This Row],[QUANTIDADE COMPRADA]]</f>
        <v>0</v>
      </c>
      <c r="N5106" s="110">
        <f>K5106-tblAquisições[[#This Row],[QUANTIDADE PLANEJADA]]</f>
        <v>-2</v>
      </c>
      <c r="O5106" s="106" t="str">
        <f t="shared" si="159"/>
        <v>Faltando Comprar</v>
      </c>
    </row>
    <row r="5107" spans="1:15" ht="47.25">
      <c r="A5107" s="16" t="s">
        <v>2710</v>
      </c>
      <c r="B5107" s="16" t="s">
        <v>2715</v>
      </c>
      <c r="C5107" s="17" t="s">
        <v>19</v>
      </c>
      <c r="D5107" s="18" t="s">
        <v>2896</v>
      </c>
      <c r="E5107" s="18">
        <v>2</v>
      </c>
      <c r="F5107" s="18" t="s">
        <v>1416</v>
      </c>
      <c r="G5107" s="18" t="s">
        <v>39</v>
      </c>
      <c r="H5107" s="18" t="s">
        <v>100</v>
      </c>
      <c r="I5107" s="24">
        <v>16.57</v>
      </c>
      <c r="J5107" s="40">
        <f t="shared" si="158"/>
        <v>33.14</v>
      </c>
      <c r="K5107" s="106"/>
      <c r="L5107" s="114"/>
      <c r="M5107" s="114">
        <f>tblAquisições[[#This Row],[VALOR UNITARIO COMPRADO]]*tblAquisições[[#This Row],[QUANTIDADE COMPRADA]]</f>
        <v>0</v>
      </c>
      <c r="N5107" s="110">
        <f>K5107-tblAquisições[[#This Row],[QUANTIDADE PLANEJADA]]</f>
        <v>-2</v>
      </c>
      <c r="O5107" s="106" t="str">
        <f t="shared" si="159"/>
        <v>Faltando Comprar</v>
      </c>
    </row>
    <row r="5108" spans="1:15" ht="63">
      <c r="A5108" s="16" t="s">
        <v>2710</v>
      </c>
      <c r="B5108" s="16" t="s">
        <v>2715</v>
      </c>
      <c r="C5108" s="17" t="s">
        <v>19</v>
      </c>
      <c r="D5108" s="18" t="s">
        <v>2897</v>
      </c>
      <c r="E5108" s="18">
        <v>1</v>
      </c>
      <c r="F5108" s="18" t="s">
        <v>2898</v>
      </c>
      <c r="G5108" s="18" t="s">
        <v>775</v>
      </c>
      <c r="H5108" s="18" t="s">
        <v>23</v>
      </c>
      <c r="I5108" s="19">
        <v>18.899999999999999</v>
      </c>
      <c r="J5108" s="40">
        <f t="shared" si="158"/>
        <v>18.899999999999999</v>
      </c>
      <c r="K5108" s="106"/>
      <c r="L5108" s="114"/>
      <c r="M5108" s="114">
        <f>tblAquisições[[#This Row],[VALOR UNITARIO COMPRADO]]*tblAquisições[[#This Row],[QUANTIDADE COMPRADA]]</f>
        <v>0</v>
      </c>
      <c r="N5108" s="110">
        <f>K5108-tblAquisições[[#This Row],[QUANTIDADE PLANEJADA]]</f>
        <v>-1</v>
      </c>
      <c r="O5108" s="106" t="str">
        <f t="shared" si="159"/>
        <v>Faltando Comprar</v>
      </c>
    </row>
    <row r="5109" spans="1:15" ht="63">
      <c r="A5109" s="16" t="s">
        <v>2710</v>
      </c>
      <c r="B5109" s="16" t="s">
        <v>2715</v>
      </c>
      <c r="C5109" s="17" t="s">
        <v>19</v>
      </c>
      <c r="D5109" s="18" t="s">
        <v>2899</v>
      </c>
      <c r="E5109" s="18">
        <v>1</v>
      </c>
      <c r="F5109" s="18" t="s">
        <v>2898</v>
      </c>
      <c r="G5109" s="18" t="s">
        <v>775</v>
      </c>
      <c r="H5109" s="18" t="s">
        <v>23</v>
      </c>
      <c r="I5109" s="19">
        <v>85.45</v>
      </c>
      <c r="J5109" s="40">
        <f t="shared" si="158"/>
        <v>85.45</v>
      </c>
      <c r="K5109" s="106"/>
      <c r="L5109" s="114"/>
      <c r="M5109" s="114">
        <f>tblAquisições[[#This Row],[VALOR UNITARIO COMPRADO]]*tblAquisições[[#This Row],[QUANTIDADE COMPRADA]]</f>
        <v>0</v>
      </c>
      <c r="N5109" s="110">
        <f>K5109-tblAquisições[[#This Row],[QUANTIDADE PLANEJADA]]</f>
        <v>-1</v>
      </c>
      <c r="O5109" s="106" t="str">
        <f t="shared" si="159"/>
        <v>Faltando Comprar</v>
      </c>
    </row>
    <row r="5110" spans="1:15" ht="47.25">
      <c r="A5110" s="16" t="s">
        <v>2900</v>
      </c>
      <c r="B5110" s="16" t="s">
        <v>2901</v>
      </c>
      <c r="C5110" s="17" t="s">
        <v>19</v>
      </c>
      <c r="D5110" s="18" t="s">
        <v>2902</v>
      </c>
      <c r="E5110" s="18">
        <v>6</v>
      </c>
      <c r="F5110" s="18" t="s">
        <v>96</v>
      </c>
      <c r="G5110" s="18" t="s">
        <v>39</v>
      </c>
      <c r="H5110" s="18" t="s">
        <v>23</v>
      </c>
      <c r="I5110" s="19">
        <v>44.86</v>
      </c>
      <c r="J5110" s="40">
        <f t="shared" si="158"/>
        <v>269.15999999999997</v>
      </c>
      <c r="K5110" s="106"/>
      <c r="L5110" s="114"/>
      <c r="M5110" s="114">
        <f>tblAquisições[[#This Row],[VALOR UNITARIO COMPRADO]]*tblAquisições[[#This Row],[QUANTIDADE COMPRADA]]</f>
        <v>0</v>
      </c>
      <c r="N5110" s="110">
        <f>K5110-tblAquisições[[#This Row],[QUANTIDADE PLANEJADA]]</f>
        <v>-6</v>
      </c>
      <c r="O5110" s="106" t="str">
        <f t="shared" si="159"/>
        <v>Faltando Comprar</v>
      </c>
    </row>
    <row r="5111" spans="1:15" ht="47.25">
      <c r="A5111" s="16" t="s">
        <v>2900</v>
      </c>
      <c r="B5111" s="16" t="s">
        <v>2903</v>
      </c>
      <c r="C5111" s="17" t="s">
        <v>19</v>
      </c>
      <c r="D5111" s="18" t="s">
        <v>2902</v>
      </c>
      <c r="E5111" s="18">
        <v>5</v>
      </c>
      <c r="F5111" s="18" t="s">
        <v>96</v>
      </c>
      <c r="G5111" s="18" t="s">
        <v>39</v>
      </c>
      <c r="H5111" s="18" t="s">
        <v>65</v>
      </c>
      <c r="I5111" s="19">
        <v>44.86</v>
      </c>
      <c r="J5111" s="40">
        <f t="shared" si="158"/>
        <v>224.3</v>
      </c>
      <c r="K5111" s="106"/>
      <c r="L5111" s="114"/>
      <c r="M5111" s="114">
        <f>tblAquisições[[#This Row],[VALOR UNITARIO COMPRADO]]*tblAquisições[[#This Row],[QUANTIDADE COMPRADA]]</f>
        <v>0</v>
      </c>
      <c r="N5111" s="110">
        <f>K5111-tblAquisições[[#This Row],[QUANTIDADE PLANEJADA]]</f>
        <v>-5</v>
      </c>
      <c r="O5111" s="106" t="str">
        <f t="shared" si="159"/>
        <v>Faltando Comprar</v>
      </c>
    </row>
    <row r="5112" spans="1:15" ht="47.25">
      <c r="A5112" s="16" t="s">
        <v>2900</v>
      </c>
      <c r="B5112" s="16" t="s">
        <v>2904</v>
      </c>
      <c r="C5112" s="17" t="s">
        <v>19</v>
      </c>
      <c r="D5112" s="18" t="s">
        <v>2902</v>
      </c>
      <c r="E5112" s="18">
        <v>1</v>
      </c>
      <c r="F5112" s="18" t="s">
        <v>96</v>
      </c>
      <c r="G5112" s="18" t="s">
        <v>39</v>
      </c>
      <c r="H5112" s="18" t="s">
        <v>65</v>
      </c>
      <c r="I5112" s="19">
        <v>44.86</v>
      </c>
      <c r="J5112" s="40">
        <f t="shared" si="158"/>
        <v>44.86</v>
      </c>
      <c r="K5112" s="106"/>
      <c r="L5112" s="114"/>
      <c r="M5112" s="114">
        <f>tblAquisições[[#This Row],[VALOR UNITARIO COMPRADO]]*tblAquisições[[#This Row],[QUANTIDADE COMPRADA]]</f>
        <v>0</v>
      </c>
      <c r="N5112" s="110">
        <f>K5112-tblAquisições[[#This Row],[QUANTIDADE PLANEJADA]]</f>
        <v>-1</v>
      </c>
      <c r="O5112" s="106" t="str">
        <f t="shared" si="159"/>
        <v>Faltando Comprar</v>
      </c>
    </row>
    <row r="5113" spans="1:15" ht="47.25">
      <c r="A5113" s="16" t="s">
        <v>2900</v>
      </c>
      <c r="B5113" s="16" t="s">
        <v>2901</v>
      </c>
      <c r="C5113" s="17" t="s">
        <v>19</v>
      </c>
      <c r="D5113" s="18" t="s">
        <v>2905</v>
      </c>
      <c r="E5113" s="18">
        <v>6</v>
      </c>
      <c r="F5113" s="18" t="s">
        <v>96</v>
      </c>
      <c r="G5113" s="18" t="s">
        <v>39</v>
      </c>
      <c r="H5113" s="18" t="s">
        <v>23</v>
      </c>
      <c r="I5113" s="19">
        <v>40.92</v>
      </c>
      <c r="J5113" s="40">
        <f t="shared" si="158"/>
        <v>245.52</v>
      </c>
      <c r="K5113" s="106"/>
      <c r="L5113" s="114"/>
      <c r="M5113" s="114">
        <f>tblAquisições[[#This Row],[VALOR UNITARIO COMPRADO]]*tblAquisições[[#This Row],[QUANTIDADE COMPRADA]]</f>
        <v>0</v>
      </c>
      <c r="N5113" s="110">
        <f>K5113-tblAquisições[[#This Row],[QUANTIDADE PLANEJADA]]</f>
        <v>-6</v>
      </c>
      <c r="O5113" s="106" t="str">
        <f t="shared" si="159"/>
        <v>Faltando Comprar</v>
      </c>
    </row>
    <row r="5114" spans="1:15" ht="47.25">
      <c r="A5114" s="16" t="s">
        <v>2900</v>
      </c>
      <c r="B5114" s="16" t="s">
        <v>2904</v>
      </c>
      <c r="C5114" s="17" t="s">
        <v>19</v>
      </c>
      <c r="D5114" s="18" t="s">
        <v>2712</v>
      </c>
      <c r="E5114" s="18">
        <v>5</v>
      </c>
      <c r="F5114" s="18" t="s">
        <v>96</v>
      </c>
      <c r="G5114" s="18" t="s">
        <v>39</v>
      </c>
      <c r="H5114" s="18" t="s">
        <v>23</v>
      </c>
      <c r="I5114" s="19">
        <v>21.33</v>
      </c>
      <c r="J5114" s="40">
        <f t="shared" si="158"/>
        <v>106.64999999999999</v>
      </c>
      <c r="K5114" s="106"/>
      <c r="L5114" s="114"/>
      <c r="M5114" s="114">
        <f>tblAquisições[[#This Row],[VALOR UNITARIO COMPRADO]]*tblAquisições[[#This Row],[QUANTIDADE COMPRADA]]</f>
        <v>0</v>
      </c>
      <c r="N5114" s="110">
        <f>K5114-tblAquisições[[#This Row],[QUANTIDADE PLANEJADA]]</f>
        <v>-5</v>
      </c>
      <c r="O5114" s="106" t="str">
        <f t="shared" si="159"/>
        <v>Faltando Comprar</v>
      </c>
    </row>
    <row r="5115" spans="1:15" ht="47.25">
      <c r="A5115" s="16" t="s">
        <v>2900</v>
      </c>
      <c r="B5115" s="16" t="s">
        <v>2906</v>
      </c>
      <c r="C5115" s="17" t="s">
        <v>19</v>
      </c>
      <c r="D5115" s="18" t="s">
        <v>2907</v>
      </c>
      <c r="E5115" s="18">
        <v>5</v>
      </c>
      <c r="F5115" s="18" t="s">
        <v>96</v>
      </c>
      <c r="G5115" s="18" t="s">
        <v>39</v>
      </c>
      <c r="H5115" s="18" t="s">
        <v>23</v>
      </c>
      <c r="I5115" s="19">
        <v>6.56</v>
      </c>
      <c r="J5115" s="40">
        <f t="shared" si="158"/>
        <v>32.799999999999997</v>
      </c>
      <c r="K5115" s="106"/>
      <c r="L5115" s="114"/>
      <c r="M5115" s="114">
        <f>tblAquisições[[#This Row],[VALOR UNITARIO COMPRADO]]*tblAquisições[[#This Row],[QUANTIDADE COMPRADA]]</f>
        <v>0</v>
      </c>
      <c r="N5115" s="110">
        <f>K5115-tblAquisições[[#This Row],[QUANTIDADE PLANEJADA]]</f>
        <v>-5</v>
      </c>
      <c r="O5115" s="106" t="str">
        <f t="shared" si="159"/>
        <v>Faltando Comprar</v>
      </c>
    </row>
    <row r="5116" spans="1:15" ht="47.25">
      <c r="A5116" s="16" t="s">
        <v>2900</v>
      </c>
      <c r="B5116" s="16" t="s">
        <v>2901</v>
      </c>
      <c r="C5116" s="17" t="s">
        <v>19</v>
      </c>
      <c r="D5116" s="18" t="s">
        <v>2908</v>
      </c>
      <c r="E5116" s="18">
        <v>12</v>
      </c>
      <c r="F5116" s="18" t="s">
        <v>96</v>
      </c>
      <c r="G5116" s="18" t="s">
        <v>39</v>
      </c>
      <c r="H5116" s="18" t="s">
        <v>23</v>
      </c>
      <c r="I5116" s="19">
        <v>55.63</v>
      </c>
      <c r="J5116" s="40">
        <f t="shared" si="158"/>
        <v>667.56000000000006</v>
      </c>
      <c r="K5116" s="106"/>
      <c r="L5116" s="114"/>
      <c r="M5116" s="114">
        <f>tblAquisições[[#This Row],[VALOR UNITARIO COMPRADO]]*tblAquisições[[#This Row],[QUANTIDADE COMPRADA]]</f>
        <v>0</v>
      </c>
      <c r="N5116" s="110">
        <f>K5116-tblAquisições[[#This Row],[QUANTIDADE PLANEJADA]]</f>
        <v>-12</v>
      </c>
      <c r="O5116" s="106" t="str">
        <f t="shared" si="159"/>
        <v>Faltando Comprar</v>
      </c>
    </row>
    <row r="5117" spans="1:15" ht="47.25">
      <c r="A5117" s="16" t="s">
        <v>2900</v>
      </c>
      <c r="B5117" s="16" t="s">
        <v>2904</v>
      </c>
      <c r="C5117" s="17" t="s">
        <v>19</v>
      </c>
      <c r="D5117" s="18" t="s">
        <v>2716</v>
      </c>
      <c r="E5117" s="18">
        <v>1</v>
      </c>
      <c r="F5117" s="18" t="s">
        <v>96</v>
      </c>
      <c r="G5117" s="18" t="s">
        <v>39</v>
      </c>
      <c r="H5117" s="18" t="s">
        <v>65</v>
      </c>
      <c r="I5117" s="24">
        <v>20.100000000000001</v>
      </c>
      <c r="J5117" s="40">
        <f t="shared" si="158"/>
        <v>20.100000000000001</v>
      </c>
      <c r="K5117" s="106"/>
      <c r="L5117" s="114"/>
      <c r="M5117" s="114">
        <f>tblAquisições[[#This Row],[VALOR UNITARIO COMPRADO]]*tblAquisições[[#This Row],[QUANTIDADE COMPRADA]]</f>
        <v>0</v>
      </c>
      <c r="N5117" s="110">
        <f>K5117-tblAquisições[[#This Row],[QUANTIDADE PLANEJADA]]</f>
        <v>-1</v>
      </c>
      <c r="O5117" s="106" t="str">
        <f t="shared" si="159"/>
        <v>Faltando Comprar</v>
      </c>
    </row>
    <row r="5118" spans="1:15" ht="47.25">
      <c r="A5118" s="16" t="s">
        <v>2900</v>
      </c>
      <c r="B5118" s="16" t="s">
        <v>2903</v>
      </c>
      <c r="C5118" s="17" t="s">
        <v>19</v>
      </c>
      <c r="D5118" s="18" t="s">
        <v>2909</v>
      </c>
      <c r="E5118" s="18">
        <v>50</v>
      </c>
      <c r="F5118" s="18" t="s">
        <v>96</v>
      </c>
      <c r="G5118" s="18" t="s">
        <v>39</v>
      </c>
      <c r="H5118" s="18" t="s">
        <v>23</v>
      </c>
      <c r="I5118" s="19">
        <v>9</v>
      </c>
      <c r="J5118" s="40">
        <f t="shared" si="158"/>
        <v>450</v>
      </c>
      <c r="K5118" s="106"/>
      <c r="L5118" s="114"/>
      <c r="M5118" s="114">
        <f>tblAquisições[[#This Row],[VALOR UNITARIO COMPRADO]]*tblAquisições[[#This Row],[QUANTIDADE COMPRADA]]</f>
        <v>0</v>
      </c>
      <c r="N5118" s="110">
        <f>K5118-tblAquisições[[#This Row],[QUANTIDADE PLANEJADA]]</f>
        <v>-50</v>
      </c>
      <c r="O5118" s="106" t="str">
        <f t="shared" si="159"/>
        <v>Faltando Comprar</v>
      </c>
    </row>
    <row r="5119" spans="1:15" ht="47.25">
      <c r="A5119" s="16" t="s">
        <v>2900</v>
      </c>
      <c r="B5119" s="16" t="s">
        <v>2901</v>
      </c>
      <c r="C5119" s="17" t="s">
        <v>19</v>
      </c>
      <c r="D5119" s="18" t="s">
        <v>2910</v>
      </c>
      <c r="E5119" s="18">
        <v>2</v>
      </c>
      <c r="F5119" s="18" t="s">
        <v>96</v>
      </c>
      <c r="G5119" s="18" t="s">
        <v>39</v>
      </c>
      <c r="H5119" s="18" t="s">
        <v>23</v>
      </c>
      <c r="I5119" s="19">
        <v>22.71</v>
      </c>
      <c r="J5119" s="40">
        <f t="shared" si="158"/>
        <v>45.42</v>
      </c>
      <c r="K5119" s="106"/>
      <c r="L5119" s="114"/>
      <c r="M5119" s="114">
        <f>tblAquisições[[#This Row],[VALOR UNITARIO COMPRADO]]*tblAquisições[[#This Row],[QUANTIDADE COMPRADA]]</f>
        <v>0</v>
      </c>
      <c r="N5119" s="110">
        <f>K5119-tblAquisições[[#This Row],[QUANTIDADE PLANEJADA]]</f>
        <v>-2</v>
      </c>
      <c r="O5119" s="106" t="str">
        <f t="shared" si="159"/>
        <v>Faltando Comprar</v>
      </c>
    </row>
    <row r="5120" spans="1:15" ht="47.25">
      <c r="A5120" s="16" t="s">
        <v>2900</v>
      </c>
      <c r="B5120" s="16" t="s">
        <v>2904</v>
      </c>
      <c r="C5120" s="17" t="s">
        <v>19</v>
      </c>
      <c r="D5120" s="18" t="s">
        <v>2910</v>
      </c>
      <c r="E5120" s="18">
        <v>3</v>
      </c>
      <c r="F5120" s="18" t="s">
        <v>96</v>
      </c>
      <c r="G5120" s="18" t="s">
        <v>39</v>
      </c>
      <c r="H5120" s="18" t="s">
        <v>23</v>
      </c>
      <c r="I5120" s="19">
        <v>22.71</v>
      </c>
      <c r="J5120" s="40">
        <f t="shared" si="158"/>
        <v>68.13</v>
      </c>
      <c r="K5120" s="106"/>
      <c r="L5120" s="114"/>
      <c r="M5120" s="114">
        <f>tblAquisições[[#This Row],[VALOR UNITARIO COMPRADO]]*tblAquisições[[#This Row],[QUANTIDADE COMPRADA]]</f>
        <v>0</v>
      </c>
      <c r="N5120" s="110">
        <f>K5120-tblAquisições[[#This Row],[QUANTIDADE PLANEJADA]]</f>
        <v>-3</v>
      </c>
      <c r="O5120" s="106" t="str">
        <f t="shared" si="159"/>
        <v>Faltando Comprar</v>
      </c>
    </row>
    <row r="5121" spans="1:15" ht="47.25">
      <c r="A5121" s="16" t="s">
        <v>2900</v>
      </c>
      <c r="B5121" s="16" t="s">
        <v>2906</v>
      </c>
      <c r="C5121" s="17" t="s">
        <v>19</v>
      </c>
      <c r="D5121" s="18" t="s">
        <v>2718</v>
      </c>
      <c r="E5121" s="18">
        <v>1</v>
      </c>
      <c r="F5121" s="18" t="s">
        <v>96</v>
      </c>
      <c r="G5121" s="18" t="s">
        <v>39</v>
      </c>
      <c r="H5121" s="18" t="s">
        <v>23</v>
      </c>
      <c r="I5121" s="19">
        <v>9.67</v>
      </c>
      <c r="J5121" s="40">
        <f t="shared" si="158"/>
        <v>9.67</v>
      </c>
      <c r="K5121" s="106"/>
      <c r="L5121" s="114"/>
      <c r="M5121" s="114">
        <f>tblAquisições[[#This Row],[VALOR UNITARIO COMPRADO]]*tblAquisições[[#This Row],[QUANTIDADE COMPRADA]]</f>
        <v>0</v>
      </c>
      <c r="N5121" s="110">
        <f>K5121-tblAquisições[[#This Row],[QUANTIDADE PLANEJADA]]</f>
        <v>-1</v>
      </c>
      <c r="O5121" s="106" t="str">
        <f t="shared" si="159"/>
        <v>Faltando Comprar</v>
      </c>
    </row>
    <row r="5122" spans="1:15" ht="31.5">
      <c r="A5122" s="16" t="s">
        <v>2900</v>
      </c>
      <c r="B5122" s="16" t="s">
        <v>2901</v>
      </c>
      <c r="C5122" s="17" t="s">
        <v>19</v>
      </c>
      <c r="D5122" s="18" t="s">
        <v>93</v>
      </c>
      <c r="E5122" s="18">
        <v>3</v>
      </c>
      <c r="F5122" s="18" t="s">
        <v>38</v>
      </c>
      <c r="G5122" s="18" t="s">
        <v>39</v>
      </c>
      <c r="H5122" s="18" t="s">
        <v>23</v>
      </c>
      <c r="I5122" s="19">
        <v>23.82</v>
      </c>
      <c r="J5122" s="40">
        <f t="shared" ref="J5122:J5185" si="160">E5122*I5122</f>
        <v>71.460000000000008</v>
      </c>
      <c r="K5122" s="106"/>
      <c r="L5122" s="114"/>
      <c r="M5122" s="114">
        <f>tblAquisições[[#This Row],[VALOR UNITARIO COMPRADO]]*tblAquisições[[#This Row],[QUANTIDADE COMPRADA]]</f>
        <v>0</v>
      </c>
      <c r="N5122" s="110">
        <f>K5122-tblAquisições[[#This Row],[QUANTIDADE PLANEJADA]]</f>
        <v>-3</v>
      </c>
      <c r="O5122" s="106" t="str">
        <f t="shared" ref="O5122:O5185" si="161">IF(K5122=E5122,"OK",IF(K5122&lt;E5122,"Faltando Comprar","Excedente"))</f>
        <v>Faltando Comprar</v>
      </c>
    </row>
    <row r="5123" spans="1:15" ht="47.25">
      <c r="A5123" s="16" t="s">
        <v>2900</v>
      </c>
      <c r="B5123" s="16" t="s">
        <v>2904</v>
      </c>
      <c r="C5123" s="17" t="s">
        <v>19</v>
      </c>
      <c r="D5123" s="18" t="s">
        <v>2911</v>
      </c>
      <c r="E5123" s="18">
        <v>3</v>
      </c>
      <c r="F5123" s="18" t="s">
        <v>96</v>
      </c>
      <c r="G5123" s="18" t="s">
        <v>39</v>
      </c>
      <c r="H5123" s="18" t="s">
        <v>23</v>
      </c>
      <c r="I5123" s="19">
        <v>24.46</v>
      </c>
      <c r="J5123" s="40">
        <f t="shared" si="160"/>
        <v>73.38</v>
      </c>
      <c r="K5123" s="106"/>
      <c r="L5123" s="114"/>
      <c r="M5123" s="114">
        <f>tblAquisições[[#This Row],[VALOR UNITARIO COMPRADO]]*tblAquisições[[#This Row],[QUANTIDADE COMPRADA]]</f>
        <v>0</v>
      </c>
      <c r="N5123" s="110">
        <f>K5123-tblAquisições[[#This Row],[QUANTIDADE PLANEJADA]]</f>
        <v>-3</v>
      </c>
      <c r="O5123" s="106" t="str">
        <f t="shared" si="161"/>
        <v>Faltando Comprar</v>
      </c>
    </row>
    <row r="5124" spans="1:15" ht="31.5">
      <c r="A5124" s="16" t="s">
        <v>2900</v>
      </c>
      <c r="B5124" s="16" t="s">
        <v>2906</v>
      </c>
      <c r="C5124" s="17" t="s">
        <v>19</v>
      </c>
      <c r="D5124" s="18" t="s">
        <v>2912</v>
      </c>
      <c r="E5124" s="18">
        <v>30</v>
      </c>
      <c r="F5124" s="18" t="s">
        <v>2913</v>
      </c>
      <c r="G5124" s="18" t="s">
        <v>39</v>
      </c>
      <c r="H5124" s="18" t="s">
        <v>23</v>
      </c>
      <c r="I5124" s="19">
        <v>295.66000000000003</v>
      </c>
      <c r="J5124" s="40">
        <f t="shared" si="160"/>
        <v>8869.8000000000011</v>
      </c>
      <c r="K5124" s="106"/>
      <c r="L5124" s="114"/>
      <c r="M5124" s="114">
        <f>tblAquisições[[#This Row],[VALOR UNITARIO COMPRADO]]*tblAquisições[[#This Row],[QUANTIDADE COMPRADA]]</f>
        <v>0</v>
      </c>
      <c r="N5124" s="110">
        <f>K5124-tblAquisições[[#This Row],[QUANTIDADE PLANEJADA]]</f>
        <v>-30</v>
      </c>
      <c r="O5124" s="106" t="str">
        <f t="shared" si="161"/>
        <v>Faltando Comprar</v>
      </c>
    </row>
    <row r="5125" spans="1:15" ht="47.25">
      <c r="A5125" s="16" t="s">
        <v>2900</v>
      </c>
      <c r="B5125" s="16" t="s">
        <v>2901</v>
      </c>
      <c r="C5125" s="17" t="s">
        <v>19</v>
      </c>
      <c r="D5125" s="18" t="s">
        <v>2914</v>
      </c>
      <c r="E5125" s="18">
        <v>5</v>
      </c>
      <c r="F5125" s="18" t="s">
        <v>96</v>
      </c>
      <c r="G5125" s="18" t="s">
        <v>39</v>
      </c>
      <c r="H5125" s="18" t="s">
        <v>23</v>
      </c>
      <c r="I5125" s="19">
        <v>242</v>
      </c>
      <c r="J5125" s="40">
        <f t="shared" si="160"/>
        <v>1210</v>
      </c>
      <c r="K5125" s="106"/>
      <c r="L5125" s="114"/>
      <c r="M5125" s="114">
        <f>tblAquisições[[#This Row],[VALOR UNITARIO COMPRADO]]*tblAquisições[[#This Row],[QUANTIDADE COMPRADA]]</f>
        <v>0</v>
      </c>
      <c r="N5125" s="110">
        <f>K5125-tblAquisições[[#This Row],[QUANTIDADE PLANEJADA]]</f>
        <v>-5</v>
      </c>
      <c r="O5125" s="106" t="str">
        <f t="shared" si="161"/>
        <v>Faltando Comprar</v>
      </c>
    </row>
    <row r="5126" spans="1:15" ht="47.25">
      <c r="A5126" s="16" t="s">
        <v>2900</v>
      </c>
      <c r="B5126" s="16" t="s">
        <v>2904</v>
      </c>
      <c r="C5126" s="17" t="s">
        <v>19</v>
      </c>
      <c r="D5126" s="18" t="s">
        <v>2914</v>
      </c>
      <c r="E5126" s="18">
        <v>6</v>
      </c>
      <c r="F5126" s="18" t="s">
        <v>96</v>
      </c>
      <c r="G5126" s="18" t="s">
        <v>39</v>
      </c>
      <c r="H5126" s="18" t="s">
        <v>23</v>
      </c>
      <c r="I5126" s="19">
        <v>242</v>
      </c>
      <c r="J5126" s="40">
        <f t="shared" si="160"/>
        <v>1452</v>
      </c>
      <c r="K5126" s="106"/>
      <c r="L5126" s="114"/>
      <c r="M5126" s="114">
        <f>tblAquisições[[#This Row],[VALOR UNITARIO COMPRADO]]*tblAquisições[[#This Row],[QUANTIDADE COMPRADA]]</f>
        <v>0</v>
      </c>
      <c r="N5126" s="110">
        <f>K5126-tblAquisições[[#This Row],[QUANTIDADE PLANEJADA]]</f>
        <v>-6</v>
      </c>
      <c r="O5126" s="106" t="str">
        <f t="shared" si="161"/>
        <v>Faltando Comprar</v>
      </c>
    </row>
    <row r="5127" spans="1:15" ht="47.25">
      <c r="A5127" s="16" t="s">
        <v>2900</v>
      </c>
      <c r="B5127" s="16" t="s">
        <v>2901</v>
      </c>
      <c r="C5127" s="17" t="s">
        <v>19</v>
      </c>
      <c r="D5127" s="18" t="s">
        <v>2726</v>
      </c>
      <c r="E5127" s="18">
        <v>5</v>
      </c>
      <c r="F5127" s="18" t="s">
        <v>96</v>
      </c>
      <c r="G5127" s="18" t="s">
        <v>39</v>
      </c>
      <c r="H5127" s="18" t="s">
        <v>23</v>
      </c>
      <c r="I5127" s="19">
        <v>19.75</v>
      </c>
      <c r="J5127" s="40">
        <f t="shared" si="160"/>
        <v>98.75</v>
      </c>
      <c r="K5127" s="106"/>
      <c r="L5127" s="114"/>
      <c r="M5127" s="114">
        <f>tblAquisições[[#This Row],[VALOR UNITARIO COMPRADO]]*tblAquisições[[#This Row],[QUANTIDADE COMPRADA]]</f>
        <v>0</v>
      </c>
      <c r="N5127" s="110">
        <f>K5127-tblAquisições[[#This Row],[QUANTIDADE PLANEJADA]]</f>
        <v>-5</v>
      </c>
      <c r="O5127" s="106" t="str">
        <f t="shared" si="161"/>
        <v>Faltando Comprar</v>
      </c>
    </row>
    <row r="5128" spans="1:15" ht="47.25">
      <c r="A5128" s="16" t="s">
        <v>2900</v>
      </c>
      <c r="B5128" s="16" t="s">
        <v>2904</v>
      </c>
      <c r="C5128" s="17" t="s">
        <v>19</v>
      </c>
      <c r="D5128" s="18" t="s">
        <v>2727</v>
      </c>
      <c r="E5128" s="18">
        <v>5</v>
      </c>
      <c r="F5128" s="18" t="s">
        <v>96</v>
      </c>
      <c r="G5128" s="18" t="s">
        <v>39</v>
      </c>
      <c r="H5128" s="18" t="s">
        <v>23</v>
      </c>
      <c r="I5128" s="19">
        <v>26.9</v>
      </c>
      <c r="J5128" s="40">
        <f t="shared" si="160"/>
        <v>134.5</v>
      </c>
      <c r="K5128" s="106"/>
      <c r="L5128" s="114"/>
      <c r="M5128" s="114">
        <f>tblAquisições[[#This Row],[VALOR UNITARIO COMPRADO]]*tblAquisições[[#This Row],[QUANTIDADE COMPRADA]]</f>
        <v>0</v>
      </c>
      <c r="N5128" s="110">
        <f>K5128-tblAquisições[[#This Row],[QUANTIDADE PLANEJADA]]</f>
        <v>-5</v>
      </c>
      <c r="O5128" s="106" t="str">
        <f t="shared" si="161"/>
        <v>Faltando Comprar</v>
      </c>
    </row>
    <row r="5129" spans="1:15" ht="47.25">
      <c r="A5129" s="16" t="s">
        <v>2900</v>
      </c>
      <c r="B5129" s="16" t="s">
        <v>2901</v>
      </c>
      <c r="C5129" s="17" t="s">
        <v>19</v>
      </c>
      <c r="D5129" s="18" t="s">
        <v>2728</v>
      </c>
      <c r="E5129" s="18">
        <v>3</v>
      </c>
      <c r="F5129" s="18" t="s">
        <v>96</v>
      </c>
      <c r="G5129" s="18" t="s">
        <v>39</v>
      </c>
      <c r="H5129" s="18" t="s">
        <v>23</v>
      </c>
      <c r="I5129" s="19">
        <v>7.06</v>
      </c>
      <c r="J5129" s="40">
        <f t="shared" si="160"/>
        <v>21.18</v>
      </c>
      <c r="K5129" s="106"/>
      <c r="L5129" s="114"/>
      <c r="M5129" s="114">
        <f>tblAquisições[[#This Row],[VALOR UNITARIO COMPRADO]]*tblAquisições[[#This Row],[QUANTIDADE COMPRADA]]</f>
        <v>0</v>
      </c>
      <c r="N5129" s="110">
        <f>K5129-tblAquisições[[#This Row],[QUANTIDADE PLANEJADA]]</f>
        <v>-3</v>
      </c>
      <c r="O5129" s="106" t="str">
        <f t="shared" si="161"/>
        <v>Faltando Comprar</v>
      </c>
    </row>
    <row r="5130" spans="1:15" ht="47.25">
      <c r="A5130" s="16" t="s">
        <v>2900</v>
      </c>
      <c r="B5130" s="16" t="s">
        <v>2901</v>
      </c>
      <c r="C5130" s="17" t="s">
        <v>19</v>
      </c>
      <c r="D5130" s="18" t="s">
        <v>2915</v>
      </c>
      <c r="E5130" s="18">
        <v>6</v>
      </c>
      <c r="F5130" s="18" t="s">
        <v>96</v>
      </c>
      <c r="G5130" s="18" t="s">
        <v>39</v>
      </c>
      <c r="H5130" s="18" t="s">
        <v>23</v>
      </c>
      <c r="I5130" s="19">
        <v>5.9</v>
      </c>
      <c r="J5130" s="40">
        <f t="shared" si="160"/>
        <v>35.400000000000006</v>
      </c>
      <c r="K5130" s="106"/>
      <c r="L5130" s="114"/>
      <c r="M5130" s="114">
        <f>tblAquisições[[#This Row],[VALOR UNITARIO COMPRADO]]*tblAquisições[[#This Row],[QUANTIDADE COMPRADA]]</f>
        <v>0</v>
      </c>
      <c r="N5130" s="110">
        <f>K5130-tblAquisições[[#This Row],[QUANTIDADE PLANEJADA]]</f>
        <v>-6</v>
      </c>
      <c r="O5130" s="106" t="str">
        <f t="shared" si="161"/>
        <v>Faltando Comprar</v>
      </c>
    </row>
    <row r="5131" spans="1:15" ht="31.5">
      <c r="A5131" s="16" t="s">
        <v>2900</v>
      </c>
      <c r="B5131" s="16" t="s">
        <v>2916</v>
      </c>
      <c r="C5131" s="17" t="s">
        <v>19</v>
      </c>
      <c r="D5131" s="18" t="s">
        <v>2917</v>
      </c>
      <c r="E5131" s="18">
        <v>10</v>
      </c>
      <c r="F5131" s="18" t="s">
        <v>56</v>
      </c>
      <c r="G5131" s="18" t="s">
        <v>39</v>
      </c>
      <c r="H5131" s="18" t="s">
        <v>23</v>
      </c>
      <c r="I5131" s="19">
        <v>6.8</v>
      </c>
      <c r="J5131" s="40">
        <f t="shared" si="160"/>
        <v>68</v>
      </c>
      <c r="K5131" s="106"/>
      <c r="L5131" s="114"/>
      <c r="M5131" s="114">
        <f>tblAquisições[[#This Row],[VALOR UNITARIO COMPRADO]]*tblAquisições[[#This Row],[QUANTIDADE COMPRADA]]</f>
        <v>0</v>
      </c>
      <c r="N5131" s="110">
        <f>K5131-tblAquisições[[#This Row],[QUANTIDADE PLANEJADA]]</f>
        <v>-10</v>
      </c>
      <c r="O5131" s="106" t="str">
        <f t="shared" si="161"/>
        <v>Faltando Comprar</v>
      </c>
    </row>
    <row r="5132" spans="1:15" ht="31.5">
      <c r="A5132" s="16" t="s">
        <v>2900</v>
      </c>
      <c r="B5132" s="16" t="s">
        <v>2906</v>
      </c>
      <c r="C5132" s="17" t="s">
        <v>19</v>
      </c>
      <c r="D5132" s="18" t="s">
        <v>2917</v>
      </c>
      <c r="E5132" s="18">
        <v>20</v>
      </c>
      <c r="F5132" s="18" t="s">
        <v>56</v>
      </c>
      <c r="G5132" s="18" t="s">
        <v>39</v>
      </c>
      <c r="H5132" s="18" t="s">
        <v>23</v>
      </c>
      <c r="I5132" s="19">
        <v>6.8</v>
      </c>
      <c r="J5132" s="40">
        <f t="shared" si="160"/>
        <v>136</v>
      </c>
      <c r="K5132" s="106"/>
      <c r="L5132" s="114"/>
      <c r="M5132" s="114">
        <f>tblAquisições[[#This Row],[VALOR UNITARIO COMPRADO]]*tblAquisições[[#This Row],[QUANTIDADE COMPRADA]]</f>
        <v>0</v>
      </c>
      <c r="N5132" s="110">
        <f>K5132-tblAquisições[[#This Row],[QUANTIDADE PLANEJADA]]</f>
        <v>-20</v>
      </c>
      <c r="O5132" s="106" t="str">
        <f t="shared" si="161"/>
        <v>Faltando Comprar</v>
      </c>
    </row>
    <row r="5133" spans="1:15" ht="47.25">
      <c r="A5133" s="16" t="s">
        <v>2900</v>
      </c>
      <c r="B5133" s="16" t="s">
        <v>2901</v>
      </c>
      <c r="C5133" s="17" t="s">
        <v>19</v>
      </c>
      <c r="D5133" s="18" t="s">
        <v>2730</v>
      </c>
      <c r="E5133" s="18">
        <v>3</v>
      </c>
      <c r="F5133" s="18" t="s">
        <v>96</v>
      </c>
      <c r="G5133" s="18" t="s">
        <v>39</v>
      </c>
      <c r="H5133" s="18" t="s">
        <v>23</v>
      </c>
      <c r="I5133" s="19">
        <v>56.5</v>
      </c>
      <c r="J5133" s="40">
        <f t="shared" si="160"/>
        <v>169.5</v>
      </c>
      <c r="K5133" s="106"/>
      <c r="L5133" s="114"/>
      <c r="M5133" s="114">
        <f>tblAquisições[[#This Row],[VALOR UNITARIO COMPRADO]]*tblAquisições[[#This Row],[QUANTIDADE COMPRADA]]</f>
        <v>0</v>
      </c>
      <c r="N5133" s="110">
        <f>K5133-tblAquisições[[#This Row],[QUANTIDADE PLANEJADA]]</f>
        <v>-3</v>
      </c>
      <c r="O5133" s="106" t="str">
        <f t="shared" si="161"/>
        <v>Faltando Comprar</v>
      </c>
    </row>
    <row r="5134" spans="1:15" ht="47.25">
      <c r="A5134" s="16" t="s">
        <v>2900</v>
      </c>
      <c r="B5134" s="16" t="s">
        <v>2904</v>
      </c>
      <c r="C5134" s="17" t="s">
        <v>19</v>
      </c>
      <c r="D5134" s="18" t="s">
        <v>2731</v>
      </c>
      <c r="E5134" s="18">
        <v>10</v>
      </c>
      <c r="F5134" s="18" t="s">
        <v>96</v>
      </c>
      <c r="G5134" s="18" t="s">
        <v>39</v>
      </c>
      <c r="H5134" s="18" t="s">
        <v>23</v>
      </c>
      <c r="I5134" s="19">
        <v>15.25</v>
      </c>
      <c r="J5134" s="40">
        <f t="shared" si="160"/>
        <v>152.5</v>
      </c>
      <c r="K5134" s="106"/>
      <c r="L5134" s="114"/>
      <c r="M5134" s="114">
        <f>tblAquisições[[#This Row],[VALOR UNITARIO COMPRADO]]*tblAquisições[[#This Row],[QUANTIDADE COMPRADA]]</f>
        <v>0</v>
      </c>
      <c r="N5134" s="110">
        <f>K5134-tblAquisições[[#This Row],[QUANTIDADE PLANEJADA]]</f>
        <v>-10</v>
      </c>
      <c r="O5134" s="106" t="str">
        <f t="shared" si="161"/>
        <v>Faltando Comprar</v>
      </c>
    </row>
    <row r="5135" spans="1:15" ht="47.25">
      <c r="A5135" s="16" t="s">
        <v>2900</v>
      </c>
      <c r="B5135" s="16" t="s">
        <v>2916</v>
      </c>
      <c r="C5135" s="17" t="s">
        <v>19</v>
      </c>
      <c r="D5135" s="18" t="s">
        <v>2731</v>
      </c>
      <c r="E5135" s="18">
        <v>12</v>
      </c>
      <c r="F5135" s="18" t="s">
        <v>96</v>
      </c>
      <c r="G5135" s="18" t="s">
        <v>39</v>
      </c>
      <c r="H5135" s="18" t="s">
        <v>23</v>
      </c>
      <c r="I5135" s="19">
        <v>15.25</v>
      </c>
      <c r="J5135" s="40">
        <f t="shared" si="160"/>
        <v>183</v>
      </c>
      <c r="K5135" s="106"/>
      <c r="L5135" s="114"/>
      <c r="M5135" s="114">
        <f>tblAquisições[[#This Row],[VALOR UNITARIO COMPRADO]]*tblAquisições[[#This Row],[QUANTIDADE COMPRADA]]</f>
        <v>0</v>
      </c>
      <c r="N5135" s="110">
        <f>K5135-tblAquisições[[#This Row],[QUANTIDADE PLANEJADA]]</f>
        <v>-12</v>
      </c>
      <c r="O5135" s="106" t="str">
        <f t="shared" si="161"/>
        <v>Faltando Comprar</v>
      </c>
    </row>
    <row r="5136" spans="1:15" ht="47.25">
      <c r="A5136" s="16" t="s">
        <v>2900</v>
      </c>
      <c r="B5136" s="16" t="s">
        <v>2906</v>
      </c>
      <c r="C5136" s="17" t="s">
        <v>19</v>
      </c>
      <c r="D5136" s="18" t="s">
        <v>2731</v>
      </c>
      <c r="E5136" s="18">
        <v>5</v>
      </c>
      <c r="F5136" s="18" t="s">
        <v>96</v>
      </c>
      <c r="G5136" s="18" t="s">
        <v>39</v>
      </c>
      <c r="H5136" s="18" t="s">
        <v>23</v>
      </c>
      <c r="I5136" s="19">
        <v>15.25</v>
      </c>
      <c r="J5136" s="40">
        <f t="shared" si="160"/>
        <v>76.25</v>
      </c>
      <c r="K5136" s="106"/>
      <c r="L5136" s="114"/>
      <c r="M5136" s="114">
        <f>tblAquisições[[#This Row],[VALOR UNITARIO COMPRADO]]*tblAquisições[[#This Row],[QUANTIDADE COMPRADA]]</f>
        <v>0</v>
      </c>
      <c r="N5136" s="110">
        <f>K5136-tblAquisições[[#This Row],[QUANTIDADE PLANEJADA]]</f>
        <v>-5</v>
      </c>
      <c r="O5136" s="106" t="str">
        <f t="shared" si="161"/>
        <v>Faltando Comprar</v>
      </c>
    </row>
    <row r="5137" spans="1:15" ht="31.5">
      <c r="A5137" s="16" t="s">
        <v>2900</v>
      </c>
      <c r="B5137" s="16" t="s">
        <v>2906</v>
      </c>
      <c r="C5137" s="17" t="s">
        <v>19</v>
      </c>
      <c r="D5137" s="18" t="s">
        <v>2918</v>
      </c>
      <c r="E5137" s="18">
        <v>50</v>
      </c>
      <c r="F5137" s="18" t="s">
        <v>56</v>
      </c>
      <c r="G5137" s="18" t="s">
        <v>39</v>
      </c>
      <c r="H5137" s="18" t="s">
        <v>23</v>
      </c>
      <c r="I5137" s="19">
        <v>342</v>
      </c>
      <c r="J5137" s="40">
        <f t="shared" si="160"/>
        <v>17100</v>
      </c>
      <c r="K5137" s="106"/>
      <c r="L5137" s="114"/>
      <c r="M5137" s="114">
        <f>tblAquisições[[#This Row],[VALOR UNITARIO COMPRADO]]*tblAquisições[[#This Row],[QUANTIDADE COMPRADA]]</f>
        <v>0</v>
      </c>
      <c r="N5137" s="110">
        <f>K5137-tblAquisições[[#This Row],[QUANTIDADE PLANEJADA]]</f>
        <v>-50</v>
      </c>
      <c r="O5137" s="106" t="str">
        <f t="shared" si="161"/>
        <v>Faltando Comprar</v>
      </c>
    </row>
    <row r="5138" spans="1:15" ht="31.5">
      <c r="A5138" s="16" t="s">
        <v>2900</v>
      </c>
      <c r="B5138" s="16" t="s">
        <v>2919</v>
      </c>
      <c r="C5138" s="17" t="s">
        <v>19</v>
      </c>
      <c r="D5138" s="18" t="s">
        <v>2920</v>
      </c>
      <c r="E5138" s="18">
        <v>3</v>
      </c>
      <c r="F5138" s="18" t="s">
        <v>56</v>
      </c>
      <c r="G5138" s="18" t="s">
        <v>39</v>
      </c>
      <c r="H5138" s="18" t="s">
        <v>23</v>
      </c>
      <c r="I5138" s="19">
        <v>99.96</v>
      </c>
      <c r="J5138" s="40">
        <f t="shared" si="160"/>
        <v>299.88</v>
      </c>
      <c r="K5138" s="106"/>
      <c r="L5138" s="114"/>
      <c r="M5138" s="114">
        <f>tblAquisições[[#This Row],[VALOR UNITARIO COMPRADO]]*tblAquisições[[#This Row],[QUANTIDADE COMPRADA]]</f>
        <v>0</v>
      </c>
      <c r="N5138" s="110">
        <f>K5138-tblAquisições[[#This Row],[QUANTIDADE PLANEJADA]]</f>
        <v>-3</v>
      </c>
      <c r="O5138" s="106" t="str">
        <f t="shared" si="161"/>
        <v>Faltando Comprar</v>
      </c>
    </row>
    <row r="5139" spans="1:15" ht="31.5">
      <c r="A5139" s="16" t="s">
        <v>2900</v>
      </c>
      <c r="B5139" s="16" t="s">
        <v>2906</v>
      </c>
      <c r="C5139" s="17" t="s">
        <v>19</v>
      </c>
      <c r="D5139" s="18" t="s">
        <v>2920</v>
      </c>
      <c r="E5139" s="18">
        <v>30</v>
      </c>
      <c r="F5139" s="18" t="s">
        <v>56</v>
      </c>
      <c r="G5139" s="18" t="s">
        <v>39</v>
      </c>
      <c r="H5139" s="18" t="s">
        <v>23</v>
      </c>
      <c r="I5139" s="19">
        <v>99.96</v>
      </c>
      <c r="J5139" s="40">
        <f t="shared" si="160"/>
        <v>2998.7999999999997</v>
      </c>
      <c r="K5139" s="106"/>
      <c r="L5139" s="114"/>
      <c r="M5139" s="114">
        <f>tblAquisições[[#This Row],[VALOR UNITARIO COMPRADO]]*tblAquisições[[#This Row],[QUANTIDADE COMPRADA]]</f>
        <v>0</v>
      </c>
      <c r="N5139" s="110">
        <f>K5139-tblAquisições[[#This Row],[QUANTIDADE PLANEJADA]]</f>
        <v>-30</v>
      </c>
      <c r="O5139" s="106" t="str">
        <f t="shared" si="161"/>
        <v>Faltando Comprar</v>
      </c>
    </row>
    <row r="5140" spans="1:15" ht="47.25">
      <c r="A5140" s="16" t="s">
        <v>2900</v>
      </c>
      <c r="B5140" s="16" t="s">
        <v>2901</v>
      </c>
      <c r="C5140" s="17" t="s">
        <v>19</v>
      </c>
      <c r="D5140" s="18" t="s">
        <v>2921</v>
      </c>
      <c r="E5140" s="18">
        <v>5</v>
      </c>
      <c r="F5140" s="18" t="s">
        <v>96</v>
      </c>
      <c r="G5140" s="18" t="s">
        <v>39</v>
      </c>
      <c r="H5140" s="18" t="s">
        <v>23</v>
      </c>
      <c r="I5140" s="19">
        <v>4.5</v>
      </c>
      <c r="J5140" s="40">
        <f t="shared" si="160"/>
        <v>22.5</v>
      </c>
      <c r="K5140" s="106"/>
      <c r="L5140" s="114"/>
      <c r="M5140" s="114">
        <f>tblAquisições[[#This Row],[VALOR UNITARIO COMPRADO]]*tblAquisições[[#This Row],[QUANTIDADE COMPRADA]]</f>
        <v>0</v>
      </c>
      <c r="N5140" s="110">
        <f>K5140-tblAquisições[[#This Row],[QUANTIDADE PLANEJADA]]</f>
        <v>-5</v>
      </c>
      <c r="O5140" s="106" t="str">
        <f t="shared" si="161"/>
        <v>Faltando Comprar</v>
      </c>
    </row>
    <row r="5141" spans="1:15" ht="31.5">
      <c r="A5141" s="16" t="s">
        <v>2900</v>
      </c>
      <c r="B5141" s="16" t="s">
        <v>2906</v>
      </c>
      <c r="C5141" s="17" t="s">
        <v>19</v>
      </c>
      <c r="D5141" s="18" t="s">
        <v>2922</v>
      </c>
      <c r="E5141" s="18">
        <v>10</v>
      </c>
      <c r="F5141" s="18" t="s">
        <v>56</v>
      </c>
      <c r="G5141" s="18" t="s">
        <v>39</v>
      </c>
      <c r="H5141" s="18" t="s">
        <v>23</v>
      </c>
      <c r="I5141" s="19">
        <v>492.56</v>
      </c>
      <c r="J5141" s="40">
        <f t="shared" si="160"/>
        <v>4925.6000000000004</v>
      </c>
      <c r="K5141" s="106"/>
      <c r="L5141" s="114"/>
      <c r="M5141" s="114">
        <f>tblAquisições[[#This Row],[VALOR UNITARIO COMPRADO]]*tblAquisições[[#This Row],[QUANTIDADE COMPRADA]]</f>
        <v>0</v>
      </c>
      <c r="N5141" s="110">
        <f>K5141-tblAquisições[[#This Row],[QUANTIDADE PLANEJADA]]</f>
        <v>-10</v>
      </c>
      <c r="O5141" s="106" t="str">
        <f t="shared" si="161"/>
        <v>Faltando Comprar</v>
      </c>
    </row>
    <row r="5142" spans="1:15" ht="47.25">
      <c r="A5142" s="16" t="s">
        <v>2900</v>
      </c>
      <c r="B5142" s="16" t="s">
        <v>2901</v>
      </c>
      <c r="C5142" s="17" t="s">
        <v>19</v>
      </c>
      <c r="D5142" s="18" t="s">
        <v>2739</v>
      </c>
      <c r="E5142" s="18">
        <v>12</v>
      </c>
      <c r="F5142" s="18" t="s">
        <v>191</v>
      </c>
      <c r="G5142" s="18" t="s">
        <v>39</v>
      </c>
      <c r="H5142" s="18" t="s">
        <v>23</v>
      </c>
      <c r="I5142" s="19">
        <v>9.85</v>
      </c>
      <c r="J5142" s="40">
        <f t="shared" si="160"/>
        <v>118.19999999999999</v>
      </c>
      <c r="K5142" s="106"/>
      <c r="L5142" s="114"/>
      <c r="M5142" s="114">
        <f>tblAquisições[[#This Row],[VALOR UNITARIO COMPRADO]]*tblAquisições[[#This Row],[QUANTIDADE COMPRADA]]</f>
        <v>0</v>
      </c>
      <c r="N5142" s="110">
        <f>K5142-tblAquisições[[#This Row],[QUANTIDADE PLANEJADA]]</f>
        <v>-12</v>
      </c>
      <c r="O5142" s="106" t="str">
        <f t="shared" si="161"/>
        <v>Faltando Comprar</v>
      </c>
    </row>
    <row r="5143" spans="1:15" ht="47.25">
      <c r="A5143" s="16" t="s">
        <v>2900</v>
      </c>
      <c r="B5143" s="16" t="s">
        <v>2901</v>
      </c>
      <c r="C5143" s="17" t="s">
        <v>19</v>
      </c>
      <c r="D5143" s="18" t="s">
        <v>2923</v>
      </c>
      <c r="E5143" s="18">
        <v>30</v>
      </c>
      <c r="F5143" s="18" t="s">
        <v>96</v>
      </c>
      <c r="G5143" s="18" t="s">
        <v>39</v>
      </c>
      <c r="H5143" s="18" t="s">
        <v>23</v>
      </c>
      <c r="I5143" s="19">
        <v>4.75</v>
      </c>
      <c r="J5143" s="40">
        <f t="shared" si="160"/>
        <v>142.5</v>
      </c>
      <c r="K5143" s="106"/>
      <c r="L5143" s="114"/>
      <c r="M5143" s="114">
        <f>tblAquisições[[#This Row],[VALOR UNITARIO COMPRADO]]*tblAquisições[[#This Row],[QUANTIDADE COMPRADA]]</f>
        <v>0</v>
      </c>
      <c r="N5143" s="110">
        <f>K5143-tblAquisições[[#This Row],[QUANTIDADE PLANEJADA]]</f>
        <v>-30</v>
      </c>
      <c r="O5143" s="106" t="str">
        <f t="shared" si="161"/>
        <v>Faltando Comprar</v>
      </c>
    </row>
    <row r="5144" spans="1:15" ht="47.25">
      <c r="A5144" s="16" t="s">
        <v>2900</v>
      </c>
      <c r="B5144" s="16" t="s">
        <v>2901</v>
      </c>
      <c r="C5144" s="17" t="s">
        <v>19</v>
      </c>
      <c r="D5144" s="18" t="s">
        <v>2924</v>
      </c>
      <c r="E5144" s="18">
        <v>10</v>
      </c>
      <c r="F5144" s="18" t="s">
        <v>96</v>
      </c>
      <c r="G5144" s="18" t="s">
        <v>39</v>
      </c>
      <c r="H5144" s="18" t="s">
        <v>23</v>
      </c>
      <c r="I5144" s="19">
        <v>35.56</v>
      </c>
      <c r="J5144" s="40">
        <f t="shared" si="160"/>
        <v>355.6</v>
      </c>
      <c r="K5144" s="106"/>
      <c r="L5144" s="114"/>
      <c r="M5144" s="114">
        <f>tblAquisições[[#This Row],[VALOR UNITARIO COMPRADO]]*tblAquisições[[#This Row],[QUANTIDADE COMPRADA]]</f>
        <v>0</v>
      </c>
      <c r="N5144" s="110">
        <f>K5144-tblAquisições[[#This Row],[QUANTIDADE PLANEJADA]]</f>
        <v>-10</v>
      </c>
      <c r="O5144" s="106" t="str">
        <f t="shared" si="161"/>
        <v>Faltando Comprar</v>
      </c>
    </row>
    <row r="5145" spans="1:15" ht="31.5">
      <c r="A5145" s="16" t="s">
        <v>2900</v>
      </c>
      <c r="B5145" s="16" t="s">
        <v>2906</v>
      </c>
      <c r="C5145" s="17" t="s">
        <v>19</v>
      </c>
      <c r="D5145" s="18" t="s">
        <v>2925</v>
      </c>
      <c r="E5145" s="18">
        <v>100</v>
      </c>
      <c r="F5145" s="18" t="s">
        <v>56</v>
      </c>
      <c r="G5145" s="18" t="s">
        <v>39</v>
      </c>
      <c r="H5145" s="18" t="s">
        <v>23</v>
      </c>
      <c r="I5145" s="19">
        <v>119.66</v>
      </c>
      <c r="J5145" s="40">
        <f t="shared" si="160"/>
        <v>11966</v>
      </c>
      <c r="K5145" s="106"/>
      <c r="L5145" s="114"/>
      <c r="M5145" s="114">
        <f>tblAquisições[[#This Row],[VALOR UNITARIO COMPRADO]]*tblAquisições[[#This Row],[QUANTIDADE COMPRADA]]</f>
        <v>0</v>
      </c>
      <c r="N5145" s="110">
        <f>K5145-tblAquisições[[#This Row],[QUANTIDADE PLANEJADA]]</f>
        <v>-100</v>
      </c>
      <c r="O5145" s="106" t="str">
        <f t="shared" si="161"/>
        <v>Faltando Comprar</v>
      </c>
    </row>
    <row r="5146" spans="1:15" ht="31.5">
      <c r="A5146" s="16" t="s">
        <v>2900</v>
      </c>
      <c r="B5146" s="16" t="s">
        <v>2906</v>
      </c>
      <c r="C5146" s="17" t="s">
        <v>19</v>
      </c>
      <c r="D5146" s="18" t="s">
        <v>2926</v>
      </c>
      <c r="E5146" s="18">
        <v>10</v>
      </c>
      <c r="F5146" s="18" t="s">
        <v>56</v>
      </c>
      <c r="G5146" s="18" t="s">
        <v>39</v>
      </c>
      <c r="H5146" s="18" t="s">
        <v>23</v>
      </c>
      <c r="I5146" s="19">
        <v>2972</v>
      </c>
      <c r="J5146" s="40">
        <f t="shared" si="160"/>
        <v>29720</v>
      </c>
      <c r="K5146" s="106"/>
      <c r="L5146" s="114"/>
      <c r="M5146" s="114">
        <f>tblAquisições[[#This Row],[VALOR UNITARIO COMPRADO]]*tblAquisições[[#This Row],[QUANTIDADE COMPRADA]]</f>
        <v>0</v>
      </c>
      <c r="N5146" s="110">
        <f>K5146-tblAquisições[[#This Row],[QUANTIDADE PLANEJADA]]</f>
        <v>-10</v>
      </c>
      <c r="O5146" s="106" t="str">
        <f t="shared" si="161"/>
        <v>Faltando Comprar</v>
      </c>
    </row>
    <row r="5147" spans="1:15" ht="47.25">
      <c r="A5147" s="16" t="s">
        <v>2900</v>
      </c>
      <c r="B5147" s="16" t="s">
        <v>2901</v>
      </c>
      <c r="C5147" s="17" t="s">
        <v>19</v>
      </c>
      <c r="D5147" s="18" t="s">
        <v>333</v>
      </c>
      <c r="E5147" s="18">
        <v>1</v>
      </c>
      <c r="F5147" s="18" t="s">
        <v>191</v>
      </c>
      <c r="G5147" s="18" t="s">
        <v>39</v>
      </c>
      <c r="H5147" s="18" t="s">
        <v>23</v>
      </c>
      <c r="I5147" s="19">
        <v>72.3</v>
      </c>
      <c r="J5147" s="40">
        <f t="shared" si="160"/>
        <v>72.3</v>
      </c>
      <c r="K5147" s="106"/>
      <c r="L5147" s="114"/>
      <c r="M5147" s="114">
        <f>tblAquisições[[#This Row],[VALOR UNITARIO COMPRADO]]*tblAquisições[[#This Row],[QUANTIDADE COMPRADA]]</f>
        <v>0</v>
      </c>
      <c r="N5147" s="110">
        <f>K5147-tblAquisições[[#This Row],[QUANTIDADE PLANEJADA]]</f>
        <v>-1</v>
      </c>
      <c r="O5147" s="106" t="str">
        <f t="shared" si="161"/>
        <v>Faltando Comprar</v>
      </c>
    </row>
    <row r="5148" spans="1:15" ht="47.25">
      <c r="A5148" s="16" t="s">
        <v>2900</v>
      </c>
      <c r="B5148" s="16" t="s">
        <v>2916</v>
      </c>
      <c r="C5148" s="17" t="s">
        <v>19</v>
      </c>
      <c r="D5148" s="18" t="s">
        <v>2749</v>
      </c>
      <c r="E5148" s="18">
        <v>20</v>
      </c>
      <c r="F5148" s="18" t="s">
        <v>2750</v>
      </c>
      <c r="G5148" s="18" t="s">
        <v>39</v>
      </c>
      <c r="H5148" s="18" t="s">
        <v>23</v>
      </c>
      <c r="I5148" s="19">
        <v>1.57</v>
      </c>
      <c r="J5148" s="40">
        <f t="shared" si="160"/>
        <v>31.400000000000002</v>
      </c>
      <c r="K5148" s="106"/>
      <c r="L5148" s="114"/>
      <c r="M5148" s="114">
        <f>tblAquisições[[#This Row],[VALOR UNITARIO COMPRADO]]*tblAquisições[[#This Row],[QUANTIDADE COMPRADA]]</f>
        <v>0</v>
      </c>
      <c r="N5148" s="110">
        <f>K5148-tblAquisições[[#This Row],[QUANTIDADE PLANEJADA]]</f>
        <v>-20</v>
      </c>
      <c r="O5148" s="106" t="str">
        <f t="shared" si="161"/>
        <v>Faltando Comprar</v>
      </c>
    </row>
    <row r="5149" spans="1:15" ht="47.25">
      <c r="A5149" s="16" t="s">
        <v>2900</v>
      </c>
      <c r="B5149" s="16" t="s">
        <v>2906</v>
      </c>
      <c r="C5149" s="17" t="s">
        <v>19</v>
      </c>
      <c r="D5149" s="18" t="s">
        <v>2749</v>
      </c>
      <c r="E5149" s="18">
        <v>10</v>
      </c>
      <c r="F5149" s="18" t="s">
        <v>2750</v>
      </c>
      <c r="G5149" s="18" t="s">
        <v>39</v>
      </c>
      <c r="H5149" s="18" t="s">
        <v>23</v>
      </c>
      <c r="I5149" s="19">
        <v>1.57</v>
      </c>
      <c r="J5149" s="40">
        <f t="shared" si="160"/>
        <v>15.700000000000001</v>
      </c>
      <c r="K5149" s="106"/>
      <c r="L5149" s="114"/>
      <c r="M5149" s="114">
        <f>tblAquisições[[#This Row],[VALOR UNITARIO COMPRADO]]*tblAquisições[[#This Row],[QUANTIDADE COMPRADA]]</f>
        <v>0</v>
      </c>
      <c r="N5149" s="110">
        <f>K5149-tblAquisições[[#This Row],[QUANTIDADE PLANEJADA]]</f>
        <v>-10</v>
      </c>
      <c r="O5149" s="106" t="str">
        <f t="shared" si="161"/>
        <v>Faltando Comprar</v>
      </c>
    </row>
    <row r="5150" spans="1:15" ht="47.25">
      <c r="A5150" s="16" t="s">
        <v>2900</v>
      </c>
      <c r="B5150" s="16" t="s">
        <v>2901</v>
      </c>
      <c r="C5150" s="17" t="s">
        <v>19</v>
      </c>
      <c r="D5150" s="18" t="s">
        <v>2927</v>
      </c>
      <c r="E5150" s="18">
        <v>5</v>
      </c>
      <c r="F5150" s="18" t="s">
        <v>191</v>
      </c>
      <c r="G5150" s="18" t="s">
        <v>39</v>
      </c>
      <c r="H5150" s="18" t="s">
        <v>23</v>
      </c>
      <c r="I5150" s="19">
        <v>6.52</v>
      </c>
      <c r="J5150" s="40">
        <f t="shared" si="160"/>
        <v>32.599999999999994</v>
      </c>
      <c r="K5150" s="106"/>
      <c r="L5150" s="114"/>
      <c r="M5150" s="114">
        <f>tblAquisições[[#This Row],[VALOR UNITARIO COMPRADO]]*tblAquisições[[#This Row],[QUANTIDADE COMPRADA]]</f>
        <v>0</v>
      </c>
      <c r="N5150" s="110">
        <f>K5150-tblAquisições[[#This Row],[QUANTIDADE PLANEJADA]]</f>
        <v>-5</v>
      </c>
      <c r="O5150" s="106" t="str">
        <f t="shared" si="161"/>
        <v>Faltando Comprar</v>
      </c>
    </row>
    <row r="5151" spans="1:15" ht="47.25">
      <c r="A5151" s="16" t="s">
        <v>2900</v>
      </c>
      <c r="B5151" s="16" t="s">
        <v>2901</v>
      </c>
      <c r="C5151" s="17" t="s">
        <v>19</v>
      </c>
      <c r="D5151" s="18" t="s">
        <v>2757</v>
      </c>
      <c r="E5151" s="18">
        <v>4</v>
      </c>
      <c r="F5151" s="18" t="s">
        <v>2750</v>
      </c>
      <c r="G5151" s="18" t="s">
        <v>39</v>
      </c>
      <c r="H5151" s="18" t="s">
        <v>65</v>
      </c>
      <c r="I5151" s="19">
        <v>14.16</v>
      </c>
      <c r="J5151" s="40">
        <f t="shared" si="160"/>
        <v>56.64</v>
      </c>
      <c r="K5151" s="106"/>
      <c r="L5151" s="114"/>
      <c r="M5151" s="114">
        <f>tblAquisições[[#This Row],[VALOR UNITARIO COMPRADO]]*tblAquisições[[#This Row],[QUANTIDADE COMPRADA]]</f>
        <v>0</v>
      </c>
      <c r="N5151" s="110">
        <f>K5151-tblAquisições[[#This Row],[QUANTIDADE PLANEJADA]]</f>
        <v>-4</v>
      </c>
      <c r="O5151" s="106" t="str">
        <f t="shared" si="161"/>
        <v>Faltando Comprar</v>
      </c>
    </row>
    <row r="5152" spans="1:15" ht="47.25">
      <c r="A5152" s="16" t="s">
        <v>2900</v>
      </c>
      <c r="B5152" s="16" t="s">
        <v>2901</v>
      </c>
      <c r="C5152" s="17" t="s">
        <v>19</v>
      </c>
      <c r="D5152" s="18" t="s">
        <v>2928</v>
      </c>
      <c r="E5152" s="18">
        <v>3</v>
      </c>
      <c r="F5152" s="18" t="s">
        <v>96</v>
      </c>
      <c r="G5152" s="18" t="s">
        <v>39</v>
      </c>
      <c r="H5152" s="18" t="s">
        <v>23</v>
      </c>
      <c r="I5152" s="19">
        <v>12.5</v>
      </c>
      <c r="J5152" s="40">
        <f t="shared" si="160"/>
        <v>37.5</v>
      </c>
      <c r="K5152" s="106"/>
      <c r="L5152" s="114"/>
      <c r="M5152" s="114">
        <f>tblAquisições[[#This Row],[VALOR UNITARIO COMPRADO]]*tblAquisições[[#This Row],[QUANTIDADE COMPRADA]]</f>
        <v>0</v>
      </c>
      <c r="N5152" s="110">
        <f>K5152-tblAquisições[[#This Row],[QUANTIDADE PLANEJADA]]</f>
        <v>-3</v>
      </c>
      <c r="O5152" s="106" t="str">
        <f t="shared" si="161"/>
        <v>Faltando Comprar</v>
      </c>
    </row>
    <row r="5153" spans="1:15" ht="47.25">
      <c r="A5153" s="16" t="s">
        <v>2900</v>
      </c>
      <c r="B5153" s="16" t="s">
        <v>2901</v>
      </c>
      <c r="C5153" s="17" t="s">
        <v>19</v>
      </c>
      <c r="D5153" s="18" t="s">
        <v>2760</v>
      </c>
      <c r="E5153" s="18">
        <v>12</v>
      </c>
      <c r="F5153" s="18" t="s">
        <v>96</v>
      </c>
      <c r="G5153" s="18" t="s">
        <v>39</v>
      </c>
      <c r="H5153" s="18" t="s">
        <v>23</v>
      </c>
      <c r="I5153" s="19">
        <v>7.39</v>
      </c>
      <c r="J5153" s="40">
        <f t="shared" si="160"/>
        <v>88.679999999999993</v>
      </c>
      <c r="K5153" s="106"/>
      <c r="L5153" s="114"/>
      <c r="M5153" s="114">
        <f>tblAquisições[[#This Row],[VALOR UNITARIO COMPRADO]]*tblAquisições[[#This Row],[QUANTIDADE COMPRADA]]</f>
        <v>0</v>
      </c>
      <c r="N5153" s="110">
        <f>K5153-tblAquisições[[#This Row],[QUANTIDADE PLANEJADA]]</f>
        <v>-12</v>
      </c>
      <c r="O5153" s="106" t="str">
        <f t="shared" si="161"/>
        <v>Faltando Comprar</v>
      </c>
    </row>
    <row r="5154" spans="1:15" ht="31.5">
      <c r="A5154" s="16" t="s">
        <v>2900</v>
      </c>
      <c r="B5154" s="16" t="s">
        <v>2906</v>
      </c>
      <c r="C5154" s="17" t="s">
        <v>19</v>
      </c>
      <c r="D5154" s="18" t="s">
        <v>2929</v>
      </c>
      <c r="E5154" s="18">
        <v>100</v>
      </c>
      <c r="F5154" s="18" t="s">
        <v>56</v>
      </c>
      <c r="G5154" s="18" t="s">
        <v>39</v>
      </c>
      <c r="H5154" s="18" t="s">
        <v>23</v>
      </c>
      <c r="I5154" s="19">
        <v>154.63</v>
      </c>
      <c r="J5154" s="40">
        <f t="shared" si="160"/>
        <v>15463</v>
      </c>
      <c r="K5154" s="106"/>
      <c r="L5154" s="114"/>
      <c r="M5154" s="114">
        <f>tblAquisições[[#This Row],[VALOR UNITARIO COMPRADO]]*tblAquisições[[#This Row],[QUANTIDADE COMPRADA]]</f>
        <v>0</v>
      </c>
      <c r="N5154" s="110">
        <f>K5154-tblAquisições[[#This Row],[QUANTIDADE PLANEJADA]]</f>
        <v>-100</v>
      </c>
      <c r="O5154" s="106" t="str">
        <f t="shared" si="161"/>
        <v>Faltando Comprar</v>
      </c>
    </row>
    <row r="5155" spans="1:15" ht="31.5">
      <c r="A5155" s="16" t="s">
        <v>2900</v>
      </c>
      <c r="B5155" s="16" t="s">
        <v>2906</v>
      </c>
      <c r="C5155" s="17" t="s">
        <v>19</v>
      </c>
      <c r="D5155" s="18" t="s">
        <v>2930</v>
      </c>
      <c r="E5155" s="18">
        <v>100</v>
      </c>
      <c r="F5155" s="18" t="s">
        <v>56</v>
      </c>
      <c r="G5155" s="18" t="s">
        <v>39</v>
      </c>
      <c r="H5155" s="18" t="s">
        <v>23</v>
      </c>
      <c r="I5155" s="19">
        <v>10.44</v>
      </c>
      <c r="J5155" s="40">
        <f t="shared" si="160"/>
        <v>1044</v>
      </c>
      <c r="K5155" s="106"/>
      <c r="L5155" s="114"/>
      <c r="M5155" s="114">
        <f>tblAquisições[[#This Row],[VALOR UNITARIO COMPRADO]]*tblAquisições[[#This Row],[QUANTIDADE COMPRADA]]</f>
        <v>0</v>
      </c>
      <c r="N5155" s="110">
        <f>K5155-tblAquisições[[#This Row],[QUANTIDADE PLANEJADA]]</f>
        <v>-100</v>
      </c>
      <c r="O5155" s="106" t="str">
        <f t="shared" si="161"/>
        <v>Faltando Comprar</v>
      </c>
    </row>
    <row r="5156" spans="1:15" ht="31.5">
      <c r="A5156" s="16" t="s">
        <v>2900</v>
      </c>
      <c r="B5156" s="16" t="s">
        <v>2906</v>
      </c>
      <c r="C5156" s="17" t="s">
        <v>19</v>
      </c>
      <c r="D5156" s="18" t="s">
        <v>2931</v>
      </c>
      <c r="E5156" s="18">
        <v>20</v>
      </c>
      <c r="F5156" s="18" t="s">
        <v>82</v>
      </c>
      <c r="G5156" s="18" t="s">
        <v>39</v>
      </c>
      <c r="H5156" s="18" t="s">
        <v>23</v>
      </c>
      <c r="I5156" s="19">
        <v>597.95000000000005</v>
      </c>
      <c r="J5156" s="40">
        <f t="shared" si="160"/>
        <v>11959</v>
      </c>
      <c r="K5156" s="106"/>
      <c r="L5156" s="114"/>
      <c r="M5156" s="114">
        <f>tblAquisições[[#This Row],[VALOR UNITARIO COMPRADO]]*tblAquisições[[#This Row],[QUANTIDADE COMPRADA]]</f>
        <v>0</v>
      </c>
      <c r="N5156" s="110">
        <f>K5156-tblAquisições[[#This Row],[QUANTIDADE PLANEJADA]]</f>
        <v>-20</v>
      </c>
      <c r="O5156" s="106" t="str">
        <f t="shared" si="161"/>
        <v>Faltando Comprar</v>
      </c>
    </row>
    <row r="5157" spans="1:15" ht="47.25">
      <c r="A5157" s="16" t="s">
        <v>2900</v>
      </c>
      <c r="B5157" s="16" t="s">
        <v>2901</v>
      </c>
      <c r="C5157" s="17" t="s">
        <v>19</v>
      </c>
      <c r="D5157" s="18" t="s">
        <v>2932</v>
      </c>
      <c r="E5157" s="18">
        <v>12</v>
      </c>
      <c r="F5157" s="18" t="s">
        <v>96</v>
      </c>
      <c r="G5157" s="18" t="s">
        <v>39</v>
      </c>
      <c r="H5157" s="18" t="s">
        <v>23</v>
      </c>
      <c r="I5157" s="19">
        <v>16.510000000000002</v>
      </c>
      <c r="J5157" s="40">
        <f t="shared" si="160"/>
        <v>198.12</v>
      </c>
      <c r="K5157" s="106"/>
      <c r="L5157" s="114"/>
      <c r="M5157" s="114">
        <f>tblAquisições[[#This Row],[VALOR UNITARIO COMPRADO]]*tblAquisições[[#This Row],[QUANTIDADE COMPRADA]]</f>
        <v>0</v>
      </c>
      <c r="N5157" s="110">
        <f>K5157-tblAquisições[[#This Row],[QUANTIDADE PLANEJADA]]</f>
        <v>-12</v>
      </c>
      <c r="O5157" s="106" t="str">
        <f t="shared" si="161"/>
        <v>Faltando Comprar</v>
      </c>
    </row>
    <row r="5158" spans="1:15" ht="47.25">
      <c r="A5158" s="16" t="s">
        <v>2900</v>
      </c>
      <c r="B5158" s="16" t="s">
        <v>2903</v>
      </c>
      <c r="C5158" s="17" t="s">
        <v>19</v>
      </c>
      <c r="D5158" s="18" t="s">
        <v>2932</v>
      </c>
      <c r="E5158" s="18">
        <v>120</v>
      </c>
      <c r="F5158" s="18" t="s">
        <v>96</v>
      </c>
      <c r="G5158" s="18" t="s">
        <v>39</v>
      </c>
      <c r="H5158" s="18" t="s">
        <v>23</v>
      </c>
      <c r="I5158" s="19">
        <v>16.510000000000002</v>
      </c>
      <c r="J5158" s="40">
        <f t="shared" si="160"/>
        <v>1981.2000000000003</v>
      </c>
      <c r="K5158" s="106"/>
      <c r="L5158" s="114"/>
      <c r="M5158" s="114">
        <f>tblAquisições[[#This Row],[VALOR UNITARIO COMPRADO]]*tblAquisições[[#This Row],[QUANTIDADE COMPRADA]]</f>
        <v>0</v>
      </c>
      <c r="N5158" s="110">
        <f>K5158-tblAquisições[[#This Row],[QUANTIDADE PLANEJADA]]</f>
        <v>-120</v>
      </c>
      <c r="O5158" s="106" t="str">
        <f t="shared" si="161"/>
        <v>Faltando Comprar</v>
      </c>
    </row>
    <row r="5159" spans="1:15" ht="47.25">
      <c r="A5159" s="16" t="s">
        <v>2900</v>
      </c>
      <c r="B5159" s="16" t="s">
        <v>2904</v>
      </c>
      <c r="C5159" s="17" t="s">
        <v>19</v>
      </c>
      <c r="D5159" s="18" t="s">
        <v>2768</v>
      </c>
      <c r="E5159" s="18">
        <v>6</v>
      </c>
      <c r="F5159" s="18" t="s">
        <v>96</v>
      </c>
      <c r="G5159" s="18" t="s">
        <v>39</v>
      </c>
      <c r="H5159" s="18" t="s">
        <v>23</v>
      </c>
      <c r="I5159" s="19">
        <v>1.63</v>
      </c>
      <c r="J5159" s="40">
        <f t="shared" si="160"/>
        <v>9.7799999999999994</v>
      </c>
      <c r="K5159" s="106"/>
      <c r="L5159" s="114"/>
      <c r="M5159" s="114">
        <f>tblAquisições[[#This Row],[VALOR UNITARIO COMPRADO]]*tblAquisições[[#This Row],[QUANTIDADE COMPRADA]]</f>
        <v>0</v>
      </c>
      <c r="N5159" s="110">
        <f>K5159-tblAquisições[[#This Row],[QUANTIDADE PLANEJADA]]</f>
        <v>-6</v>
      </c>
      <c r="O5159" s="106" t="str">
        <f t="shared" si="161"/>
        <v>Faltando Comprar</v>
      </c>
    </row>
    <row r="5160" spans="1:15" ht="47.25">
      <c r="A5160" s="16" t="s">
        <v>2900</v>
      </c>
      <c r="B5160" s="16" t="s">
        <v>2901</v>
      </c>
      <c r="C5160" s="17" t="s">
        <v>19</v>
      </c>
      <c r="D5160" s="18" t="s">
        <v>2933</v>
      </c>
      <c r="E5160" s="18">
        <v>2</v>
      </c>
      <c r="F5160" s="18" t="s">
        <v>2750</v>
      </c>
      <c r="G5160" s="18" t="s">
        <v>39</v>
      </c>
      <c r="H5160" s="18" t="s">
        <v>65</v>
      </c>
      <c r="I5160" s="19">
        <v>7</v>
      </c>
      <c r="J5160" s="40">
        <f t="shared" si="160"/>
        <v>14</v>
      </c>
      <c r="K5160" s="106"/>
      <c r="L5160" s="114"/>
      <c r="M5160" s="114">
        <f>tblAquisições[[#This Row],[VALOR UNITARIO COMPRADO]]*tblAquisições[[#This Row],[QUANTIDADE COMPRADA]]</f>
        <v>0</v>
      </c>
      <c r="N5160" s="110">
        <f>K5160-tblAquisições[[#This Row],[QUANTIDADE PLANEJADA]]</f>
        <v>-2</v>
      </c>
      <c r="O5160" s="106" t="str">
        <f t="shared" si="161"/>
        <v>Faltando Comprar</v>
      </c>
    </row>
    <row r="5161" spans="1:15" ht="47.25">
      <c r="A5161" s="16" t="s">
        <v>2900</v>
      </c>
      <c r="B5161" s="16" t="s">
        <v>2901</v>
      </c>
      <c r="C5161" s="17" t="s">
        <v>19</v>
      </c>
      <c r="D5161" s="18" t="s">
        <v>2934</v>
      </c>
      <c r="E5161" s="18">
        <v>2</v>
      </c>
      <c r="F5161" s="18" t="s">
        <v>2750</v>
      </c>
      <c r="G5161" s="18" t="s">
        <v>39</v>
      </c>
      <c r="H5161" s="18" t="s">
        <v>65</v>
      </c>
      <c r="I5161" s="19">
        <v>5.34</v>
      </c>
      <c r="J5161" s="40">
        <f t="shared" si="160"/>
        <v>10.68</v>
      </c>
      <c r="K5161" s="106"/>
      <c r="L5161" s="114"/>
      <c r="M5161" s="114">
        <f>tblAquisições[[#This Row],[VALOR UNITARIO COMPRADO]]*tblAquisições[[#This Row],[QUANTIDADE COMPRADA]]</f>
        <v>0</v>
      </c>
      <c r="N5161" s="110">
        <f>K5161-tblAquisições[[#This Row],[QUANTIDADE PLANEJADA]]</f>
        <v>-2</v>
      </c>
      <c r="O5161" s="106" t="str">
        <f t="shared" si="161"/>
        <v>Faltando Comprar</v>
      </c>
    </row>
    <row r="5162" spans="1:15" ht="31.5">
      <c r="A5162" s="16" t="s">
        <v>2900</v>
      </c>
      <c r="B5162" s="16" t="s">
        <v>2906</v>
      </c>
      <c r="C5162" s="17" t="s">
        <v>19</v>
      </c>
      <c r="D5162" s="18" t="s">
        <v>2935</v>
      </c>
      <c r="E5162" s="18">
        <v>100</v>
      </c>
      <c r="F5162" s="18" t="s">
        <v>56</v>
      </c>
      <c r="G5162" s="18" t="s">
        <v>39</v>
      </c>
      <c r="H5162" s="18" t="s">
        <v>23</v>
      </c>
      <c r="I5162" s="19">
        <v>30</v>
      </c>
      <c r="J5162" s="40">
        <f t="shared" si="160"/>
        <v>3000</v>
      </c>
      <c r="K5162" s="106"/>
      <c r="L5162" s="114"/>
      <c r="M5162" s="114">
        <f>tblAquisições[[#This Row],[VALOR UNITARIO COMPRADO]]*tblAquisições[[#This Row],[QUANTIDADE COMPRADA]]</f>
        <v>0</v>
      </c>
      <c r="N5162" s="110">
        <f>K5162-tblAquisições[[#This Row],[QUANTIDADE PLANEJADA]]</f>
        <v>-100</v>
      </c>
      <c r="O5162" s="106" t="str">
        <f t="shared" si="161"/>
        <v>Faltando Comprar</v>
      </c>
    </row>
    <row r="5163" spans="1:15" ht="31.5">
      <c r="A5163" s="16" t="s">
        <v>2900</v>
      </c>
      <c r="B5163" s="16" t="s">
        <v>2906</v>
      </c>
      <c r="C5163" s="17" t="s">
        <v>19</v>
      </c>
      <c r="D5163" s="18" t="s">
        <v>2936</v>
      </c>
      <c r="E5163" s="18">
        <v>50</v>
      </c>
      <c r="F5163" s="18" t="s">
        <v>56</v>
      </c>
      <c r="G5163" s="18" t="s">
        <v>39</v>
      </c>
      <c r="H5163" s="18" t="s">
        <v>23</v>
      </c>
      <c r="I5163" s="19">
        <v>286.67</v>
      </c>
      <c r="J5163" s="40">
        <f t="shared" si="160"/>
        <v>14333.5</v>
      </c>
      <c r="K5163" s="106"/>
      <c r="L5163" s="114"/>
      <c r="M5163" s="114">
        <f>tblAquisições[[#This Row],[VALOR UNITARIO COMPRADO]]*tblAquisições[[#This Row],[QUANTIDADE COMPRADA]]</f>
        <v>0</v>
      </c>
      <c r="N5163" s="110">
        <f>K5163-tblAquisições[[#This Row],[QUANTIDADE PLANEJADA]]</f>
        <v>-50</v>
      </c>
      <c r="O5163" s="106" t="str">
        <f t="shared" si="161"/>
        <v>Faltando Comprar</v>
      </c>
    </row>
    <row r="5164" spans="1:15" ht="47.25">
      <c r="A5164" s="16" t="s">
        <v>2900</v>
      </c>
      <c r="B5164" s="16" t="s">
        <v>2906</v>
      </c>
      <c r="C5164" s="17" t="s">
        <v>19</v>
      </c>
      <c r="D5164" s="18" t="s">
        <v>2937</v>
      </c>
      <c r="E5164" s="18">
        <v>3</v>
      </c>
      <c r="F5164" s="18" t="s">
        <v>96</v>
      </c>
      <c r="G5164" s="18" t="s">
        <v>39</v>
      </c>
      <c r="H5164" s="18" t="s">
        <v>23</v>
      </c>
      <c r="I5164" s="19">
        <v>180.17</v>
      </c>
      <c r="J5164" s="40">
        <f t="shared" si="160"/>
        <v>540.51</v>
      </c>
      <c r="K5164" s="106"/>
      <c r="L5164" s="114"/>
      <c r="M5164" s="114">
        <f>tblAquisições[[#This Row],[VALOR UNITARIO COMPRADO]]*tblAquisições[[#This Row],[QUANTIDADE COMPRADA]]</f>
        <v>0</v>
      </c>
      <c r="N5164" s="110">
        <f>K5164-tblAquisições[[#This Row],[QUANTIDADE PLANEJADA]]</f>
        <v>-3</v>
      </c>
      <c r="O5164" s="106" t="str">
        <f t="shared" si="161"/>
        <v>Faltando Comprar</v>
      </c>
    </row>
    <row r="5165" spans="1:15" ht="47.25">
      <c r="A5165" s="16" t="s">
        <v>2900</v>
      </c>
      <c r="B5165" s="16" t="s">
        <v>2906</v>
      </c>
      <c r="C5165" s="17" t="s">
        <v>19</v>
      </c>
      <c r="D5165" s="18" t="s">
        <v>2938</v>
      </c>
      <c r="E5165" s="18">
        <v>3</v>
      </c>
      <c r="F5165" s="18" t="s">
        <v>96</v>
      </c>
      <c r="G5165" s="18" t="s">
        <v>39</v>
      </c>
      <c r="H5165" s="18" t="s">
        <v>23</v>
      </c>
      <c r="I5165" s="19">
        <v>130.69999999999999</v>
      </c>
      <c r="J5165" s="40">
        <f t="shared" si="160"/>
        <v>392.09999999999997</v>
      </c>
      <c r="K5165" s="106"/>
      <c r="L5165" s="114"/>
      <c r="M5165" s="114">
        <f>tblAquisições[[#This Row],[VALOR UNITARIO COMPRADO]]*tblAquisições[[#This Row],[QUANTIDADE COMPRADA]]</f>
        <v>0</v>
      </c>
      <c r="N5165" s="110">
        <f>K5165-tblAquisições[[#This Row],[QUANTIDADE PLANEJADA]]</f>
        <v>-3</v>
      </c>
      <c r="O5165" s="106" t="str">
        <f t="shared" si="161"/>
        <v>Faltando Comprar</v>
      </c>
    </row>
    <row r="5166" spans="1:15" ht="31.5">
      <c r="A5166" s="16" t="s">
        <v>2900</v>
      </c>
      <c r="B5166" s="16" t="s">
        <v>2906</v>
      </c>
      <c r="C5166" s="17" t="s">
        <v>19</v>
      </c>
      <c r="D5166" s="18" t="s">
        <v>2939</v>
      </c>
      <c r="E5166" s="18">
        <v>30</v>
      </c>
      <c r="F5166" s="18" t="s">
        <v>56</v>
      </c>
      <c r="G5166" s="18" t="s">
        <v>39</v>
      </c>
      <c r="H5166" s="18" t="s">
        <v>23</v>
      </c>
      <c r="I5166" s="19">
        <v>32.299999999999997</v>
      </c>
      <c r="J5166" s="40">
        <f t="shared" si="160"/>
        <v>968.99999999999989</v>
      </c>
      <c r="K5166" s="106"/>
      <c r="L5166" s="114"/>
      <c r="M5166" s="114">
        <f>tblAquisições[[#This Row],[VALOR UNITARIO COMPRADO]]*tblAquisições[[#This Row],[QUANTIDADE COMPRADA]]</f>
        <v>0</v>
      </c>
      <c r="N5166" s="110">
        <f>K5166-tblAquisições[[#This Row],[QUANTIDADE PLANEJADA]]</f>
        <v>-30</v>
      </c>
      <c r="O5166" s="106" t="str">
        <f t="shared" si="161"/>
        <v>Faltando Comprar</v>
      </c>
    </row>
    <row r="5167" spans="1:15" ht="47.25">
      <c r="A5167" s="16" t="s">
        <v>2900</v>
      </c>
      <c r="B5167" s="16" t="s">
        <v>2901</v>
      </c>
      <c r="C5167" s="17" t="s">
        <v>19</v>
      </c>
      <c r="D5167" s="18" t="s">
        <v>2940</v>
      </c>
      <c r="E5167" s="18">
        <v>5</v>
      </c>
      <c r="F5167" s="18" t="s">
        <v>96</v>
      </c>
      <c r="G5167" s="18" t="s">
        <v>39</v>
      </c>
      <c r="H5167" s="18" t="s">
        <v>23</v>
      </c>
      <c r="I5167" s="19">
        <v>19.91</v>
      </c>
      <c r="J5167" s="40">
        <f t="shared" si="160"/>
        <v>99.55</v>
      </c>
      <c r="K5167" s="106"/>
      <c r="L5167" s="114"/>
      <c r="M5167" s="114">
        <f>tblAquisições[[#This Row],[VALOR UNITARIO COMPRADO]]*tblAquisições[[#This Row],[QUANTIDADE COMPRADA]]</f>
        <v>0</v>
      </c>
      <c r="N5167" s="110">
        <f>K5167-tblAquisições[[#This Row],[QUANTIDADE PLANEJADA]]</f>
        <v>-5</v>
      </c>
      <c r="O5167" s="106" t="str">
        <f t="shared" si="161"/>
        <v>Faltando Comprar</v>
      </c>
    </row>
    <row r="5168" spans="1:15" ht="47.25">
      <c r="A5168" s="16" t="s">
        <v>2900</v>
      </c>
      <c r="B5168" s="16" t="s">
        <v>2916</v>
      </c>
      <c r="C5168" s="17" t="s">
        <v>19</v>
      </c>
      <c r="D5168" s="18" t="s">
        <v>2941</v>
      </c>
      <c r="E5168" s="18">
        <v>1</v>
      </c>
      <c r="F5168" s="18" t="s">
        <v>147</v>
      </c>
      <c r="G5168" s="18" t="s">
        <v>39</v>
      </c>
      <c r="H5168" s="18" t="s">
        <v>23</v>
      </c>
      <c r="I5168" s="19">
        <v>80.540000000000006</v>
      </c>
      <c r="J5168" s="40">
        <f t="shared" si="160"/>
        <v>80.540000000000006</v>
      </c>
      <c r="K5168" s="106"/>
      <c r="L5168" s="114"/>
      <c r="M5168" s="114">
        <f>tblAquisições[[#This Row],[VALOR UNITARIO COMPRADO]]*tblAquisições[[#This Row],[QUANTIDADE COMPRADA]]</f>
        <v>0</v>
      </c>
      <c r="N5168" s="110">
        <f>K5168-tblAquisições[[#This Row],[QUANTIDADE PLANEJADA]]</f>
        <v>-1</v>
      </c>
      <c r="O5168" s="106" t="str">
        <f t="shared" si="161"/>
        <v>Faltando Comprar</v>
      </c>
    </row>
    <row r="5169" spans="1:15" ht="47.25">
      <c r="A5169" s="16" t="s">
        <v>2900</v>
      </c>
      <c r="B5169" s="16" t="s">
        <v>2906</v>
      </c>
      <c r="C5169" s="17" t="s">
        <v>19</v>
      </c>
      <c r="D5169" s="18" t="s">
        <v>2941</v>
      </c>
      <c r="E5169" s="18">
        <v>1</v>
      </c>
      <c r="F5169" s="18" t="s">
        <v>147</v>
      </c>
      <c r="G5169" s="18" t="s">
        <v>39</v>
      </c>
      <c r="H5169" s="18" t="s">
        <v>23</v>
      </c>
      <c r="I5169" s="19">
        <v>80.540000000000006</v>
      </c>
      <c r="J5169" s="40">
        <f t="shared" si="160"/>
        <v>80.540000000000006</v>
      </c>
      <c r="K5169" s="106"/>
      <c r="L5169" s="114"/>
      <c r="M5169" s="114">
        <f>tblAquisições[[#This Row],[VALOR UNITARIO COMPRADO]]*tblAquisições[[#This Row],[QUANTIDADE COMPRADA]]</f>
        <v>0</v>
      </c>
      <c r="N5169" s="110">
        <f>K5169-tblAquisições[[#This Row],[QUANTIDADE PLANEJADA]]</f>
        <v>-1</v>
      </c>
      <c r="O5169" s="106" t="str">
        <f t="shared" si="161"/>
        <v>Faltando Comprar</v>
      </c>
    </row>
    <row r="5170" spans="1:15" ht="47.25">
      <c r="A5170" s="16" t="s">
        <v>2900</v>
      </c>
      <c r="B5170" s="16" t="s">
        <v>2919</v>
      </c>
      <c r="C5170" s="17" t="s">
        <v>19</v>
      </c>
      <c r="D5170" s="18" t="s">
        <v>2942</v>
      </c>
      <c r="E5170" s="18">
        <v>5</v>
      </c>
      <c r="F5170" s="18" t="s">
        <v>96</v>
      </c>
      <c r="G5170" s="18" t="s">
        <v>39</v>
      </c>
      <c r="H5170" s="18" t="s">
        <v>23</v>
      </c>
      <c r="I5170" s="19">
        <v>312.67</v>
      </c>
      <c r="J5170" s="40">
        <f t="shared" si="160"/>
        <v>1563.3500000000001</v>
      </c>
      <c r="K5170" s="106"/>
      <c r="L5170" s="114"/>
      <c r="M5170" s="114">
        <f>tblAquisições[[#This Row],[VALOR UNITARIO COMPRADO]]*tblAquisições[[#This Row],[QUANTIDADE COMPRADA]]</f>
        <v>0</v>
      </c>
      <c r="N5170" s="110">
        <f>K5170-tblAquisições[[#This Row],[QUANTIDADE PLANEJADA]]</f>
        <v>-5</v>
      </c>
      <c r="O5170" s="106" t="str">
        <f t="shared" si="161"/>
        <v>Faltando Comprar</v>
      </c>
    </row>
    <row r="5171" spans="1:15" ht="47.25">
      <c r="A5171" s="16" t="s">
        <v>2900</v>
      </c>
      <c r="B5171" s="16" t="s">
        <v>2906</v>
      </c>
      <c r="C5171" s="17" t="s">
        <v>19</v>
      </c>
      <c r="D5171" s="18" t="s">
        <v>761</v>
      </c>
      <c r="E5171" s="18">
        <v>1</v>
      </c>
      <c r="F5171" s="18" t="s">
        <v>96</v>
      </c>
      <c r="G5171" s="18" t="s">
        <v>39</v>
      </c>
      <c r="H5171" s="18" t="s">
        <v>23</v>
      </c>
      <c r="I5171" s="19">
        <v>46.02</v>
      </c>
      <c r="J5171" s="40">
        <f t="shared" si="160"/>
        <v>46.02</v>
      </c>
      <c r="K5171" s="106"/>
      <c r="L5171" s="114"/>
      <c r="M5171" s="114">
        <f>tblAquisições[[#This Row],[VALOR UNITARIO COMPRADO]]*tblAquisições[[#This Row],[QUANTIDADE COMPRADA]]</f>
        <v>0</v>
      </c>
      <c r="N5171" s="110">
        <f>K5171-tblAquisições[[#This Row],[QUANTIDADE PLANEJADA]]</f>
        <v>-1</v>
      </c>
      <c r="O5171" s="106" t="str">
        <f t="shared" si="161"/>
        <v>Faltando Comprar</v>
      </c>
    </row>
    <row r="5172" spans="1:15" ht="47.25">
      <c r="A5172" s="16" t="s">
        <v>2900</v>
      </c>
      <c r="B5172" s="16" t="s">
        <v>2919</v>
      </c>
      <c r="C5172" s="17" t="s">
        <v>19</v>
      </c>
      <c r="D5172" s="18" t="s">
        <v>2778</v>
      </c>
      <c r="E5172" s="18">
        <v>3</v>
      </c>
      <c r="F5172" s="18" t="s">
        <v>96</v>
      </c>
      <c r="G5172" s="18" t="s">
        <v>39</v>
      </c>
      <c r="H5172" s="18" t="s">
        <v>23</v>
      </c>
      <c r="I5172" s="19">
        <v>169.91</v>
      </c>
      <c r="J5172" s="40">
        <f t="shared" si="160"/>
        <v>509.73</v>
      </c>
      <c r="K5172" s="106"/>
      <c r="L5172" s="114"/>
      <c r="M5172" s="114">
        <f>tblAquisições[[#This Row],[VALOR UNITARIO COMPRADO]]*tblAquisições[[#This Row],[QUANTIDADE COMPRADA]]</f>
        <v>0</v>
      </c>
      <c r="N5172" s="110">
        <f>K5172-tblAquisições[[#This Row],[QUANTIDADE PLANEJADA]]</f>
        <v>-3</v>
      </c>
      <c r="O5172" s="106" t="str">
        <f t="shared" si="161"/>
        <v>Faltando Comprar</v>
      </c>
    </row>
    <row r="5173" spans="1:15" ht="47.25">
      <c r="A5173" s="16" t="s">
        <v>2900</v>
      </c>
      <c r="B5173" s="16" t="s">
        <v>2901</v>
      </c>
      <c r="C5173" s="17" t="s">
        <v>19</v>
      </c>
      <c r="D5173" s="18" t="s">
        <v>2943</v>
      </c>
      <c r="E5173" s="18">
        <v>3</v>
      </c>
      <c r="F5173" s="18" t="s">
        <v>96</v>
      </c>
      <c r="G5173" s="18" t="s">
        <v>39</v>
      </c>
      <c r="H5173" s="18" t="s">
        <v>23</v>
      </c>
      <c r="I5173" s="19">
        <v>29.89</v>
      </c>
      <c r="J5173" s="40">
        <f t="shared" si="160"/>
        <v>89.67</v>
      </c>
      <c r="K5173" s="106"/>
      <c r="L5173" s="114"/>
      <c r="M5173" s="114">
        <f>tblAquisições[[#This Row],[VALOR UNITARIO COMPRADO]]*tblAquisições[[#This Row],[QUANTIDADE COMPRADA]]</f>
        <v>0</v>
      </c>
      <c r="N5173" s="110">
        <f>K5173-tblAquisições[[#This Row],[QUANTIDADE PLANEJADA]]</f>
        <v>-3</v>
      </c>
      <c r="O5173" s="106" t="str">
        <f t="shared" si="161"/>
        <v>Faltando Comprar</v>
      </c>
    </row>
    <row r="5174" spans="1:15" ht="31.5">
      <c r="A5174" s="16" t="s">
        <v>2900</v>
      </c>
      <c r="B5174" s="16" t="s">
        <v>2906</v>
      </c>
      <c r="C5174" s="17" t="s">
        <v>19</v>
      </c>
      <c r="D5174" s="18" t="s">
        <v>2944</v>
      </c>
      <c r="E5174" s="18">
        <v>100</v>
      </c>
      <c r="F5174" s="18" t="s">
        <v>56</v>
      </c>
      <c r="G5174" s="18" t="s">
        <v>39</v>
      </c>
      <c r="H5174" s="18" t="s">
        <v>23</v>
      </c>
      <c r="I5174" s="19">
        <v>9.32</v>
      </c>
      <c r="J5174" s="40">
        <f t="shared" si="160"/>
        <v>932</v>
      </c>
      <c r="K5174" s="106"/>
      <c r="L5174" s="114"/>
      <c r="M5174" s="114">
        <f>tblAquisições[[#This Row],[VALOR UNITARIO COMPRADO]]*tblAquisições[[#This Row],[QUANTIDADE COMPRADA]]</f>
        <v>0</v>
      </c>
      <c r="N5174" s="110">
        <f>K5174-tblAquisições[[#This Row],[QUANTIDADE PLANEJADA]]</f>
        <v>-100</v>
      </c>
      <c r="O5174" s="106" t="str">
        <f t="shared" si="161"/>
        <v>Faltando Comprar</v>
      </c>
    </row>
    <row r="5175" spans="1:15" ht="47.25">
      <c r="A5175" s="16" t="s">
        <v>2900</v>
      </c>
      <c r="B5175" s="16" t="s">
        <v>2901</v>
      </c>
      <c r="C5175" s="17" t="s">
        <v>19</v>
      </c>
      <c r="D5175" s="18" t="s">
        <v>2780</v>
      </c>
      <c r="E5175" s="18">
        <v>3</v>
      </c>
      <c r="F5175" s="18" t="s">
        <v>96</v>
      </c>
      <c r="G5175" s="18" t="s">
        <v>39</v>
      </c>
      <c r="H5175" s="18" t="s">
        <v>23</v>
      </c>
      <c r="I5175" s="19">
        <v>6.85</v>
      </c>
      <c r="J5175" s="40">
        <f t="shared" si="160"/>
        <v>20.549999999999997</v>
      </c>
      <c r="K5175" s="106"/>
      <c r="L5175" s="114"/>
      <c r="M5175" s="114">
        <f>tblAquisições[[#This Row],[VALOR UNITARIO COMPRADO]]*tblAquisições[[#This Row],[QUANTIDADE COMPRADA]]</f>
        <v>0</v>
      </c>
      <c r="N5175" s="110">
        <f>K5175-tblAquisições[[#This Row],[QUANTIDADE PLANEJADA]]</f>
        <v>-3</v>
      </c>
      <c r="O5175" s="106" t="str">
        <f t="shared" si="161"/>
        <v>Faltando Comprar</v>
      </c>
    </row>
    <row r="5176" spans="1:15" ht="31.5">
      <c r="A5176" s="16" t="s">
        <v>2900</v>
      </c>
      <c r="B5176" s="16" t="s">
        <v>2906</v>
      </c>
      <c r="C5176" s="17" t="s">
        <v>19</v>
      </c>
      <c r="D5176" s="18" t="s">
        <v>2945</v>
      </c>
      <c r="E5176" s="18">
        <v>50</v>
      </c>
      <c r="F5176" s="18" t="s">
        <v>56</v>
      </c>
      <c r="G5176" s="18" t="s">
        <v>39</v>
      </c>
      <c r="H5176" s="18" t="s">
        <v>23</v>
      </c>
      <c r="I5176" s="19">
        <v>60.99</v>
      </c>
      <c r="J5176" s="40">
        <f t="shared" si="160"/>
        <v>3049.5</v>
      </c>
      <c r="K5176" s="106"/>
      <c r="L5176" s="114"/>
      <c r="M5176" s="114">
        <f>tblAquisições[[#This Row],[VALOR UNITARIO COMPRADO]]*tblAquisições[[#This Row],[QUANTIDADE COMPRADA]]</f>
        <v>0</v>
      </c>
      <c r="N5176" s="110">
        <f>K5176-tblAquisições[[#This Row],[QUANTIDADE PLANEJADA]]</f>
        <v>-50</v>
      </c>
      <c r="O5176" s="106" t="str">
        <f t="shared" si="161"/>
        <v>Faltando Comprar</v>
      </c>
    </row>
    <row r="5177" spans="1:15" ht="47.25">
      <c r="A5177" s="16" t="s">
        <v>2900</v>
      </c>
      <c r="B5177" s="16" t="s">
        <v>2919</v>
      </c>
      <c r="C5177" s="17" t="s">
        <v>19</v>
      </c>
      <c r="D5177" s="18" t="s">
        <v>2946</v>
      </c>
      <c r="E5177" s="18">
        <v>6</v>
      </c>
      <c r="F5177" s="18" t="s">
        <v>2750</v>
      </c>
      <c r="G5177" s="18" t="s">
        <v>39</v>
      </c>
      <c r="H5177" s="18" t="s">
        <v>23</v>
      </c>
      <c r="I5177" s="19">
        <v>61.99</v>
      </c>
      <c r="J5177" s="40">
        <f t="shared" si="160"/>
        <v>371.94</v>
      </c>
      <c r="K5177" s="106"/>
      <c r="L5177" s="114"/>
      <c r="M5177" s="114">
        <f>tblAquisições[[#This Row],[VALOR UNITARIO COMPRADO]]*tblAquisições[[#This Row],[QUANTIDADE COMPRADA]]</f>
        <v>0</v>
      </c>
      <c r="N5177" s="110">
        <f>K5177-tblAquisições[[#This Row],[QUANTIDADE PLANEJADA]]</f>
        <v>-6</v>
      </c>
      <c r="O5177" s="106" t="str">
        <f t="shared" si="161"/>
        <v>Faltando Comprar</v>
      </c>
    </row>
    <row r="5178" spans="1:15" ht="31.5">
      <c r="A5178" s="16" t="s">
        <v>2900</v>
      </c>
      <c r="B5178" s="16" t="s">
        <v>2904</v>
      </c>
      <c r="C5178" s="17" t="s">
        <v>19</v>
      </c>
      <c r="D5178" s="18" t="s">
        <v>2947</v>
      </c>
      <c r="E5178" s="18">
        <v>1</v>
      </c>
      <c r="F5178" s="18" t="s">
        <v>38</v>
      </c>
      <c r="G5178" s="18" t="s">
        <v>39</v>
      </c>
      <c r="H5178" s="18" t="s">
        <v>65</v>
      </c>
      <c r="I5178" s="24">
        <v>48.37</v>
      </c>
      <c r="J5178" s="40">
        <f t="shared" si="160"/>
        <v>48.37</v>
      </c>
      <c r="K5178" s="106"/>
      <c r="L5178" s="114"/>
      <c r="M5178" s="114">
        <f>tblAquisições[[#This Row],[VALOR UNITARIO COMPRADO]]*tblAquisições[[#This Row],[QUANTIDADE COMPRADA]]</f>
        <v>0</v>
      </c>
      <c r="N5178" s="110">
        <f>K5178-tblAquisições[[#This Row],[QUANTIDADE PLANEJADA]]</f>
        <v>-1</v>
      </c>
      <c r="O5178" s="106" t="str">
        <f t="shared" si="161"/>
        <v>Faltando Comprar</v>
      </c>
    </row>
    <row r="5179" spans="1:15" ht="47.25">
      <c r="A5179" s="16" t="s">
        <v>2900</v>
      </c>
      <c r="B5179" s="16" t="s">
        <v>2904</v>
      </c>
      <c r="C5179" s="17" t="s">
        <v>19</v>
      </c>
      <c r="D5179" s="18" t="s">
        <v>2783</v>
      </c>
      <c r="E5179" s="18">
        <v>5</v>
      </c>
      <c r="F5179" s="18" t="s">
        <v>96</v>
      </c>
      <c r="G5179" s="18" t="s">
        <v>39</v>
      </c>
      <c r="H5179" s="18" t="s">
        <v>65</v>
      </c>
      <c r="I5179" s="24">
        <v>48.37</v>
      </c>
      <c r="J5179" s="40">
        <f t="shared" si="160"/>
        <v>241.85</v>
      </c>
      <c r="K5179" s="106"/>
      <c r="L5179" s="114"/>
      <c r="M5179" s="114">
        <f>tblAquisições[[#This Row],[VALOR UNITARIO COMPRADO]]*tblAquisições[[#This Row],[QUANTIDADE COMPRADA]]</f>
        <v>0</v>
      </c>
      <c r="N5179" s="110">
        <f>K5179-tblAquisições[[#This Row],[QUANTIDADE PLANEJADA]]</f>
        <v>-5</v>
      </c>
      <c r="O5179" s="106" t="str">
        <f t="shared" si="161"/>
        <v>Faltando Comprar</v>
      </c>
    </row>
    <row r="5180" spans="1:15" ht="47.25">
      <c r="A5180" s="16" t="s">
        <v>2900</v>
      </c>
      <c r="B5180" s="16" t="s">
        <v>2901</v>
      </c>
      <c r="C5180" s="17" t="s">
        <v>19</v>
      </c>
      <c r="D5180" s="18" t="s">
        <v>2948</v>
      </c>
      <c r="E5180" s="18">
        <v>2</v>
      </c>
      <c r="F5180" s="18" t="s">
        <v>96</v>
      </c>
      <c r="G5180" s="18" t="s">
        <v>39</v>
      </c>
      <c r="H5180" s="18" t="s">
        <v>65</v>
      </c>
      <c r="I5180" s="19">
        <v>19.27</v>
      </c>
      <c r="J5180" s="40">
        <f t="shared" si="160"/>
        <v>38.54</v>
      </c>
      <c r="K5180" s="106"/>
      <c r="L5180" s="114"/>
      <c r="M5180" s="114">
        <f>tblAquisições[[#This Row],[VALOR UNITARIO COMPRADO]]*tblAquisições[[#This Row],[QUANTIDADE COMPRADA]]</f>
        <v>0</v>
      </c>
      <c r="N5180" s="110">
        <f>K5180-tblAquisições[[#This Row],[QUANTIDADE PLANEJADA]]</f>
        <v>-2</v>
      </c>
      <c r="O5180" s="106" t="str">
        <f t="shared" si="161"/>
        <v>Faltando Comprar</v>
      </c>
    </row>
    <row r="5181" spans="1:15" ht="31.5">
      <c r="A5181" s="16" t="s">
        <v>2900</v>
      </c>
      <c r="B5181" s="16" t="s">
        <v>2906</v>
      </c>
      <c r="C5181" s="17" t="s">
        <v>19</v>
      </c>
      <c r="D5181" s="18" t="s">
        <v>2785</v>
      </c>
      <c r="E5181" s="18">
        <v>20</v>
      </c>
      <c r="F5181" s="18" t="s">
        <v>56</v>
      </c>
      <c r="G5181" s="18" t="s">
        <v>39</v>
      </c>
      <c r="H5181" s="18" t="s">
        <v>23</v>
      </c>
      <c r="I5181" s="19">
        <v>674.92</v>
      </c>
      <c r="J5181" s="40">
        <f t="shared" si="160"/>
        <v>13498.4</v>
      </c>
      <c r="K5181" s="106"/>
      <c r="L5181" s="114"/>
      <c r="M5181" s="114">
        <f>tblAquisições[[#This Row],[VALOR UNITARIO COMPRADO]]*tblAquisições[[#This Row],[QUANTIDADE COMPRADA]]</f>
        <v>0</v>
      </c>
      <c r="N5181" s="110">
        <f>K5181-tblAquisições[[#This Row],[QUANTIDADE PLANEJADA]]</f>
        <v>-20</v>
      </c>
      <c r="O5181" s="106" t="str">
        <f t="shared" si="161"/>
        <v>Faltando Comprar</v>
      </c>
    </row>
    <row r="5182" spans="1:15" ht="47.25">
      <c r="A5182" s="16" t="s">
        <v>2900</v>
      </c>
      <c r="B5182" s="16" t="s">
        <v>2904</v>
      </c>
      <c r="C5182" s="17" t="s">
        <v>19</v>
      </c>
      <c r="D5182" s="18" t="s">
        <v>2949</v>
      </c>
      <c r="E5182" s="18">
        <v>20</v>
      </c>
      <c r="F5182" s="18" t="s">
        <v>96</v>
      </c>
      <c r="G5182" s="18" t="s">
        <v>39</v>
      </c>
      <c r="H5182" s="18" t="s">
        <v>23</v>
      </c>
      <c r="I5182" s="19">
        <v>46.92</v>
      </c>
      <c r="J5182" s="40">
        <f t="shared" si="160"/>
        <v>938.40000000000009</v>
      </c>
      <c r="K5182" s="106"/>
      <c r="L5182" s="114"/>
      <c r="M5182" s="114">
        <f>tblAquisições[[#This Row],[VALOR UNITARIO COMPRADO]]*tblAquisições[[#This Row],[QUANTIDADE COMPRADA]]</f>
        <v>0</v>
      </c>
      <c r="N5182" s="110">
        <f>K5182-tblAquisições[[#This Row],[QUANTIDADE PLANEJADA]]</f>
        <v>-20</v>
      </c>
      <c r="O5182" s="106" t="str">
        <f t="shared" si="161"/>
        <v>Faltando Comprar</v>
      </c>
    </row>
    <row r="5183" spans="1:15" ht="47.25">
      <c r="A5183" s="16" t="s">
        <v>2900</v>
      </c>
      <c r="B5183" s="16" t="s">
        <v>2901</v>
      </c>
      <c r="C5183" s="17" t="s">
        <v>19</v>
      </c>
      <c r="D5183" s="18" t="s">
        <v>2950</v>
      </c>
      <c r="E5183" s="18">
        <v>10</v>
      </c>
      <c r="F5183" s="18" t="s">
        <v>96</v>
      </c>
      <c r="G5183" s="18" t="s">
        <v>39</v>
      </c>
      <c r="H5183" s="18" t="s">
        <v>23</v>
      </c>
      <c r="I5183" s="19">
        <v>27.22</v>
      </c>
      <c r="J5183" s="40">
        <f t="shared" si="160"/>
        <v>272.2</v>
      </c>
      <c r="K5183" s="106"/>
      <c r="L5183" s="114"/>
      <c r="M5183" s="114">
        <f>tblAquisições[[#This Row],[VALOR UNITARIO COMPRADO]]*tblAquisições[[#This Row],[QUANTIDADE COMPRADA]]</f>
        <v>0</v>
      </c>
      <c r="N5183" s="110">
        <f>K5183-tblAquisições[[#This Row],[QUANTIDADE PLANEJADA]]</f>
        <v>-10</v>
      </c>
      <c r="O5183" s="106" t="str">
        <f t="shared" si="161"/>
        <v>Faltando Comprar</v>
      </c>
    </row>
    <row r="5184" spans="1:15" ht="63">
      <c r="A5184" s="16" t="s">
        <v>2900</v>
      </c>
      <c r="B5184" s="16" t="s">
        <v>2919</v>
      </c>
      <c r="C5184" s="17" t="s">
        <v>19</v>
      </c>
      <c r="D5184" s="18" t="s">
        <v>2951</v>
      </c>
      <c r="E5184" s="18">
        <v>2</v>
      </c>
      <c r="F5184" s="18" t="s">
        <v>2678</v>
      </c>
      <c r="G5184" s="18" t="s">
        <v>775</v>
      </c>
      <c r="H5184" s="18" t="s">
        <v>23</v>
      </c>
      <c r="I5184" s="19">
        <v>2060.33</v>
      </c>
      <c r="J5184" s="40">
        <f t="shared" si="160"/>
        <v>4120.66</v>
      </c>
      <c r="K5184" s="106"/>
      <c r="L5184" s="114"/>
      <c r="M5184" s="114">
        <f>tblAquisições[[#This Row],[VALOR UNITARIO COMPRADO]]*tblAquisições[[#This Row],[QUANTIDADE COMPRADA]]</f>
        <v>0</v>
      </c>
      <c r="N5184" s="110">
        <f>K5184-tblAquisições[[#This Row],[QUANTIDADE PLANEJADA]]</f>
        <v>-2</v>
      </c>
      <c r="O5184" s="106" t="str">
        <f t="shared" si="161"/>
        <v>Faltando Comprar</v>
      </c>
    </row>
    <row r="5185" spans="1:15" ht="47.25">
      <c r="A5185" s="16" t="s">
        <v>2900</v>
      </c>
      <c r="B5185" s="16" t="s">
        <v>2901</v>
      </c>
      <c r="C5185" s="17" t="s">
        <v>19</v>
      </c>
      <c r="D5185" s="18" t="s">
        <v>2952</v>
      </c>
      <c r="E5185" s="18">
        <v>24</v>
      </c>
      <c r="F5185" s="18" t="s">
        <v>191</v>
      </c>
      <c r="G5185" s="18" t="s">
        <v>39</v>
      </c>
      <c r="H5185" s="18" t="s">
        <v>23</v>
      </c>
      <c r="I5185" s="19">
        <v>24.72</v>
      </c>
      <c r="J5185" s="40">
        <f t="shared" si="160"/>
        <v>593.28</v>
      </c>
      <c r="K5185" s="106"/>
      <c r="L5185" s="114"/>
      <c r="M5185" s="114">
        <f>tblAquisições[[#This Row],[VALOR UNITARIO COMPRADO]]*tblAquisições[[#This Row],[QUANTIDADE COMPRADA]]</f>
        <v>0</v>
      </c>
      <c r="N5185" s="110">
        <f>K5185-tblAquisições[[#This Row],[QUANTIDADE PLANEJADA]]</f>
        <v>-24</v>
      </c>
      <c r="O5185" s="106" t="str">
        <f t="shared" si="161"/>
        <v>Faltando Comprar</v>
      </c>
    </row>
    <row r="5186" spans="1:15" ht="31.5">
      <c r="A5186" s="16" t="s">
        <v>2900</v>
      </c>
      <c r="B5186" s="16" t="s">
        <v>2919</v>
      </c>
      <c r="C5186" s="17" t="s">
        <v>19</v>
      </c>
      <c r="D5186" s="18" t="s">
        <v>1136</v>
      </c>
      <c r="E5186" s="18">
        <v>3</v>
      </c>
      <c r="F5186" s="18" t="s">
        <v>56</v>
      </c>
      <c r="G5186" s="18" t="s">
        <v>39</v>
      </c>
      <c r="H5186" s="18" t="s">
        <v>23</v>
      </c>
      <c r="I5186" s="19">
        <v>2263.21</v>
      </c>
      <c r="J5186" s="40">
        <f t="shared" ref="J5186:J5249" si="162">E5186*I5186</f>
        <v>6789.63</v>
      </c>
      <c r="K5186" s="106"/>
      <c r="L5186" s="114"/>
      <c r="M5186" s="114">
        <f>tblAquisições[[#This Row],[VALOR UNITARIO COMPRADO]]*tblAquisições[[#This Row],[QUANTIDADE COMPRADA]]</f>
        <v>0</v>
      </c>
      <c r="N5186" s="110">
        <f>K5186-tblAquisições[[#This Row],[QUANTIDADE PLANEJADA]]</f>
        <v>-3</v>
      </c>
      <c r="O5186" s="106" t="str">
        <f t="shared" ref="O5186:O5249" si="163">IF(K5186=E5186,"OK",IF(K5186&lt;E5186,"Faltando Comprar","Excedente"))</f>
        <v>Faltando Comprar</v>
      </c>
    </row>
    <row r="5187" spans="1:15" ht="47.25">
      <c r="A5187" s="16" t="s">
        <v>2900</v>
      </c>
      <c r="B5187" s="16" t="s">
        <v>2916</v>
      </c>
      <c r="C5187" s="17" t="s">
        <v>19</v>
      </c>
      <c r="D5187" s="18" t="s">
        <v>1138</v>
      </c>
      <c r="E5187" s="18">
        <v>10</v>
      </c>
      <c r="F5187" s="18" t="s">
        <v>56</v>
      </c>
      <c r="G5187" s="18" t="s">
        <v>39</v>
      </c>
      <c r="H5187" s="18" t="s">
        <v>23</v>
      </c>
      <c r="I5187" s="19">
        <v>22.33</v>
      </c>
      <c r="J5187" s="40">
        <f t="shared" si="162"/>
        <v>223.29999999999998</v>
      </c>
      <c r="K5187" s="106"/>
      <c r="L5187" s="114"/>
      <c r="M5187" s="114">
        <f>tblAquisições[[#This Row],[VALOR UNITARIO COMPRADO]]*tblAquisições[[#This Row],[QUANTIDADE COMPRADA]]</f>
        <v>0</v>
      </c>
      <c r="N5187" s="110">
        <f>K5187-tblAquisições[[#This Row],[QUANTIDADE PLANEJADA]]</f>
        <v>-10</v>
      </c>
      <c r="O5187" s="106" t="str">
        <f t="shared" si="163"/>
        <v>Faltando Comprar</v>
      </c>
    </row>
    <row r="5188" spans="1:15" ht="47.25">
      <c r="A5188" s="16" t="s">
        <v>2900</v>
      </c>
      <c r="B5188" s="16" t="s">
        <v>2906</v>
      </c>
      <c r="C5188" s="17" t="s">
        <v>19</v>
      </c>
      <c r="D5188" s="18" t="s">
        <v>1138</v>
      </c>
      <c r="E5188" s="18">
        <v>50</v>
      </c>
      <c r="F5188" s="18" t="s">
        <v>56</v>
      </c>
      <c r="G5188" s="18" t="s">
        <v>39</v>
      </c>
      <c r="H5188" s="18" t="s">
        <v>23</v>
      </c>
      <c r="I5188" s="19">
        <v>22.33</v>
      </c>
      <c r="J5188" s="40">
        <f t="shared" si="162"/>
        <v>1116.5</v>
      </c>
      <c r="K5188" s="106"/>
      <c r="L5188" s="114"/>
      <c r="M5188" s="114">
        <f>tblAquisições[[#This Row],[VALOR UNITARIO COMPRADO]]*tblAquisições[[#This Row],[QUANTIDADE COMPRADA]]</f>
        <v>0</v>
      </c>
      <c r="N5188" s="110">
        <f>K5188-tblAquisições[[#This Row],[QUANTIDADE PLANEJADA]]</f>
        <v>-50</v>
      </c>
      <c r="O5188" s="106" t="str">
        <f t="shared" si="163"/>
        <v>Faltando Comprar</v>
      </c>
    </row>
    <row r="5189" spans="1:15" ht="47.25">
      <c r="A5189" s="16" t="s">
        <v>2900</v>
      </c>
      <c r="B5189" s="16" t="s">
        <v>2901</v>
      </c>
      <c r="C5189" s="17" t="s">
        <v>19</v>
      </c>
      <c r="D5189" s="18" t="s">
        <v>2792</v>
      </c>
      <c r="E5189" s="18">
        <v>12</v>
      </c>
      <c r="F5189" s="18" t="s">
        <v>147</v>
      </c>
      <c r="G5189" s="18" t="s">
        <v>39</v>
      </c>
      <c r="H5189" s="18" t="s">
        <v>23</v>
      </c>
      <c r="I5189" s="19">
        <v>5.0199999999999996</v>
      </c>
      <c r="J5189" s="40">
        <f t="shared" si="162"/>
        <v>60.239999999999995</v>
      </c>
      <c r="K5189" s="106"/>
      <c r="L5189" s="114"/>
      <c r="M5189" s="114">
        <f>tblAquisições[[#This Row],[VALOR UNITARIO COMPRADO]]*tblAquisições[[#This Row],[QUANTIDADE COMPRADA]]</f>
        <v>0</v>
      </c>
      <c r="N5189" s="110">
        <f>K5189-tblAquisições[[#This Row],[QUANTIDADE PLANEJADA]]</f>
        <v>-12</v>
      </c>
      <c r="O5189" s="106" t="str">
        <f t="shared" si="163"/>
        <v>Faltando Comprar</v>
      </c>
    </row>
    <row r="5190" spans="1:15" ht="47.25">
      <c r="A5190" s="16" t="s">
        <v>2900</v>
      </c>
      <c r="B5190" s="16" t="s">
        <v>2901</v>
      </c>
      <c r="C5190" s="17" t="s">
        <v>19</v>
      </c>
      <c r="D5190" s="18" t="s">
        <v>1181</v>
      </c>
      <c r="E5190" s="18">
        <v>3</v>
      </c>
      <c r="F5190" s="18" t="s">
        <v>191</v>
      </c>
      <c r="G5190" s="18" t="s">
        <v>39</v>
      </c>
      <c r="H5190" s="18" t="s">
        <v>23</v>
      </c>
      <c r="I5190" s="19">
        <v>8.66</v>
      </c>
      <c r="J5190" s="40">
        <f t="shared" si="162"/>
        <v>25.98</v>
      </c>
      <c r="K5190" s="106"/>
      <c r="L5190" s="114"/>
      <c r="M5190" s="114">
        <f>tblAquisições[[#This Row],[VALOR UNITARIO COMPRADO]]*tblAquisições[[#This Row],[QUANTIDADE COMPRADA]]</f>
        <v>0</v>
      </c>
      <c r="N5190" s="110">
        <f>K5190-tblAquisições[[#This Row],[QUANTIDADE PLANEJADA]]</f>
        <v>-3</v>
      </c>
      <c r="O5190" s="106" t="str">
        <f t="shared" si="163"/>
        <v>Faltando Comprar</v>
      </c>
    </row>
    <row r="5191" spans="1:15" ht="47.25">
      <c r="A5191" s="16" t="s">
        <v>2900</v>
      </c>
      <c r="B5191" s="16" t="s">
        <v>2906</v>
      </c>
      <c r="C5191" s="17" t="s">
        <v>19</v>
      </c>
      <c r="D5191" s="18" t="s">
        <v>1197</v>
      </c>
      <c r="E5191" s="18">
        <v>2</v>
      </c>
      <c r="F5191" s="18" t="s">
        <v>96</v>
      </c>
      <c r="G5191" s="18" t="s">
        <v>39</v>
      </c>
      <c r="H5191" s="18" t="s">
        <v>23</v>
      </c>
      <c r="I5191" s="19">
        <v>10.8</v>
      </c>
      <c r="J5191" s="40">
        <f t="shared" si="162"/>
        <v>21.6</v>
      </c>
      <c r="K5191" s="106"/>
      <c r="L5191" s="114"/>
      <c r="M5191" s="114">
        <f>tblAquisições[[#This Row],[VALOR UNITARIO COMPRADO]]*tblAquisições[[#This Row],[QUANTIDADE COMPRADA]]</f>
        <v>0</v>
      </c>
      <c r="N5191" s="110">
        <f>K5191-tblAquisições[[#This Row],[QUANTIDADE PLANEJADA]]</f>
        <v>-2</v>
      </c>
      <c r="O5191" s="106" t="str">
        <f t="shared" si="163"/>
        <v>Faltando Comprar</v>
      </c>
    </row>
    <row r="5192" spans="1:15" ht="63">
      <c r="A5192" s="16" t="s">
        <v>2900</v>
      </c>
      <c r="B5192" s="16" t="s">
        <v>2919</v>
      </c>
      <c r="C5192" s="17" t="s">
        <v>19</v>
      </c>
      <c r="D5192" s="18" t="s">
        <v>2953</v>
      </c>
      <c r="E5192" s="18">
        <v>2</v>
      </c>
      <c r="F5192" s="18" t="s">
        <v>2678</v>
      </c>
      <c r="G5192" s="18" t="s">
        <v>775</v>
      </c>
      <c r="H5192" s="18" t="s">
        <v>23</v>
      </c>
      <c r="I5192" s="19">
        <v>320.08999999999997</v>
      </c>
      <c r="J5192" s="40">
        <f t="shared" si="162"/>
        <v>640.17999999999995</v>
      </c>
      <c r="K5192" s="106"/>
      <c r="L5192" s="114"/>
      <c r="M5192" s="114">
        <f>tblAquisições[[#This Row],[VALOR UNITARIO COMPRADO]]*tblAquisições[[#This Row],[QUANTIDADE COMPRADA]]</f>
        <v>0</v>
      </c>
      <c r="N5192" s="110">
        <f>K5192-tblAquisições[[#This Row],[QUANTIDADE PLANEJADA]]</f>
        <v>-2</v>
      </c>
      <c r="O5192" s="106" t="str">
        <f t="shared" si="163"/>
        <v>Faltando Comprar</v>
      </c>
    </row>
    <row r="5193" spans="1:15" ht="31.5">
      <c r="A5193" s="16" t="s">
        <v>2900</v>
      </c>
      <c r="B5193" s="16" t="s">
        <v>2906</v>
      </c>
      <c r="C5193" s="17" t="s">
        <v>19</v>
      </c>
      <c r="D5193" s="18" t="s">
        <v>2954</v>
      </c>
      <c r="E5193" s="18">
        <v>10</v>
      </c>
      <c r="F5193" s="18" t="s">
        <v>56</v>
      </c>
      <c r="G5193" s="18" t="s">
        <v>39</v>
      </c>
      <c r="H5193" s="18" t="s">
        <v>23</v>
      </c>
      <c r="I5193" s="19">
        <v>23.22</v>
      </c>
      <c r="J5193" s="40">
        <f t="shared" si="162"/>
        <v>232.2</v>
      </c>
      <c r="K5193" s="106"/>
      <c r="L5193" s="114"/>
      <c r="M5193" s="114">
        <f>tblAquisições[[#This Row],[VALOR UNITARIO COMPRADO]]*tblAquisições[[#This Row],[QUANTIDADE COMPRADA]]</f>
        <v>0</v>
      </c>
      <c r="N5193" s="110">
        <f>K5193-tblAquisições[[#This Row],[QUANTIDADE PLANEJADA]]</f>
        <v>-10</v>
      </c>
      <c r="O5193" s="106" t="str">
        <f t="shared" si="163"/>
        <v>Faltando Comprar</v>
      </c>
    </row>
    <row r="5194" spans="1:15" ht="31.5">
      <c r="A5194" s="16" t="s">
        <v>2900</v>
      </c>
      <c r="B5194" s="16" t="s">
        <v>2906</v>
      </c>
      <c r="C5194" s="17" t="s">
        <v>19</v>
      </c>
      <c r="D5194" s="18" t="s">
        <v>2955</v>
      </c>
      <c r="E5194" s="18">
        <v>30</v>
      </c>
      <c r="F5194" s="18" t="s">
        <v>56</v>
      </c>
      <c r="G5194" s="18" t="s">
        <v>39</v>
      </c>
      <c r="H5194" s="18" t="s">
        <v>23</v>
      </c>
      <c r="I5194" s="19">
        <v>104.66</v>
      </c>
      <c r="J5194" s="40">
        <f t="shared" si="162"/>
        <v>3139.7999999999997</v>
      </c>
      <c r="K5194" s="106"/>
      <c r="L5194" s="114"/>
      <c r="M5194" s="114">
        <f>tblAquisições[[#This Row],[VALOR UNITARIO COMPRADO]]*tblAquisições[[#This Row],[QUANTIDADE COMPRADA]]</f>
        <v>0</v>
      </c>
      <c r="N5194" s="110">
        <f>K5194-tblAquisições[[#This Row],[QUANTIDADE PLANEJADA]]</f>
        <v>-30</v>
      </c>
      <c r="O5194" s="106" t="str">
        <f t="shared" si="163"/>
        <v>Faltando Comprar</v>
      </c>
    </row>
    <row r="5195" spans="1:15" ht="47.25">
      <c r="A5195" s="16" t="s">
        <v>2900</v>
      </c>
      <c r="B5195" s="16" t="s">
        <v>2906</v>
      </c>
      <c r="C5195" s="17" t="s">
        <v>19</v>
      </c>
      <c r="D5195" s="18" t="s">
        <v>2956</v>
      </c>
      <c r="E5195" s="18">
        <v>100</v>
      </c>
      <c r="F5195" s="18" t="s">
        <v>147</v>
      </c>
      <c r="G5195" s="18" t="s">
        <v>39</v>
      </c>
      <c r="H5195" s="18" t="s">
        <v>23</v>
      </c>
      <c r="I5195" s="19">
        <v>76.47</v>
      </c>
      <c r="J5195" s="40">
        <f t="shared" si="162"/>
        <v>7647</v>
      </c>
      <c r="K5195" s="106"/>
      <c r="L5195" s="114"/>
      <c r="M5195" s="114">
        <f>tblAquisições[[#This Row],[VALOR UNITARIO COMPRADO]]*tblAquisições[[#This Row],[QUANTIDADE COMPRADA]]</f>
        <v>0</v>
      </c>
      <c r="N5195" s="110">
        <f>K5195-tblAquisições[[#This Row],[QUANTIDADE PLANEJADA]]</f>
        <v>-100</v>
      </c>
      <c r="O5195" s="106" t="str">
        <f t="shared" si="163"/>
        <v>Faltando Comprar</v>
      </c>
    </row>
    <row r="5196" spans="1:15" ht="31.5">
      <c r="A5196" s="16" t="s">
        <v>2900</v>
      </c>
      <c r="B5196" s="16" t="s">
        <v>2906</v>
      </c>
      <c r="C5196" s="17" t="s">
        <v>19</v>
      </c>
      <c r="D5196" s="18" t="s">
        <v>2957</v>
      </c>
      <c r="E5196" s="18">
        <v>20</v>
      </c>
      <c r="F5196" s="18" t="s">
        <v>56</v>
      </c>
      <c r="G5196" s="18" t="s">
        <v>39</v>
      </c>
      <c r="H5196" s="18" t="s">
        <v>65</v>
      </c>
      <c r="I5196" s="24">
        <v>392.33</v>
      </c>
      <c r="J5196" s="40">
        <f t="shared" si="162"/>
        <v>7846.5999999999995</v>
      </c>
      <c r="K5196" s="106"/>
      <c r="L5196" s="114"/>
      <c r="M5196" s="114">
        <f>tblAquisições[[#This Row],[VALOR UNITARIO COMPRADO]]*tblAquisições[[#This Row],[QUANTIDADE COMPRADA]]</f>
        <v>0</v>
      </c>
      <c r="N5196" s="110">
        <f>K5196-tblAquisições[[#This Row],[QUANTIDADE PLANEJADA]]</f>
        <v>-20</v>
      </c>
      <c r="O5196" s="106" t="str">
        <f t="shared" si="163"/>
        <v>Faltando Comprar</v>
      </c>
    </row>
    <row r="5197" spans="1:15" ht="31.5">
      <c r="A5197" s="16" t="s">
        <v>2900</v>
      </c>
      <c r="B5197" s="16" t="s">
        <v>2906</v>
      </c>
      <c r="C5197" s="17" t="s">
        <v>19</v>
      </c>
      <c r="D5197" s="18" t="s">
        <v>2958</v>
      </c>
      <c r="E5197" s="18">
        <v>10</v>
      </c>
      <c r="F5197" s="18" t="s">
        <v>56</v>
      </c>
      <c r="G5197" s="18" t="s">
        <v>39</v>
      </c>
      <c r="H5197" s="18" t="s">
        <v>23</v>
      </c>
      <c r="I5197" s="19">
        <v>767</v>
      </c>
      <c r="J5197" s="40">
        <f t="shared" si="162"/>
        <v>7670</v>
      </c>
      <c r="K5197" s="106"/>
      <c r="L5197" s="114"/>
      <c r="M5197" s="114">
        <f>tblAquisições[[#This Row],[VALOR UNITARIO COMPRADO]]*tblAquisições[[#This Row],[QUANTIDADE COMPRADA]]</f>
        <v>0</v>
      </c>
      <c r="N5197" s="110">
        <f>K5197-tblAquisições[[#This Row],[QUANTIDADE PLANEJADA]]</f>
        <v>-10</v>
      </c>
      <c r="O5197" s="106" t="str">
        <f t="shared" si="163"/>
        <v>Faltando Comprar</v>
      </c>
    </row>
    <row r="5198" spans="1:15" ht="63">
      <c r="A5198" s="16" t="s">
        <v>2900</v>
      </c>
      <c r="B5198" s="16" t="s">
        <v>2906</v>
      </c>
      <c r="C5198" s="17" t="s">
        <v>19</v>
      </c>
      <c r="D5198" s="18" t="s">
        <v>2959</v>
      </c>
      <c r="E5198" s="18">
        <v>1</v>
      </c>
      <c r="F5198" s="18" t="s">
        <v>2678</v>
      </c>
      <c r="G5198" s="18" t="s">
        <v>775</v>
      </c>
      <c r="H5198" s="18" t="s">
        <v>23</v>
      </c>
      <c r="I5198" s="19">
        <v>2089.0100000000002</v>
      </c>
      <c r="J5198" s="40">
        <f t="shared" si="162"/>
        <v>2089.0100000000002</v>
      </c>
      <c r="K5198" s="106"/>
      <c r="L5198" s="114"/>
      <c r="M5198" s="114">
        <f>tblAquisições[[#This Row],[VALOR UNITARIO COMPRADO]]*tblAquisições[[#This Row],[QUANTIDADE COMPRADA]]</f>
        <v>0</v>
      </c>
      <c r="N5198" s="110">
        <f>K5198-tblAquisições[[#This Row],[QUANTIDADE PLANEJADA]]</f>
        <v>-1</v>
      </c>
      <c r="O5198" s="106" t="str">
        <f t="shared" si="163"/>
        <v>Faltando Comprar</v>
      </c>
    </row>
    <row r="5199" spans="1:15" ht="31.5">
      <c r="A5199" s="16" t="s">
        <v>2900</v>
      </c>
      <c r="B5199" s="16" t="s">
        <v>2906</v>
      </c>
      <c r="C5199" s="17" t="s">
        <v>19</v>
      </c>
      <c r="D5199" s="18" t="s">
        <v>2960</v>
      </c>
      <c r="E5199" s="18">
        <v>30</v>
      </c>
      <c r="F5199" s="18" t="s">
        <v>56</v>
      </c>
      <c r="G5199" s="18" t="s">
        <v>39</v>
      </c>
      <c r="H5199" s="18" t="s">
        <v>23</v>
      </c>
      <c r="I5199" s="19">
        <v>1175</v>
      </c>
      <c r="J5199" s="40">
        <f t="shared" si="162"/>
        <v>35250</v>
      </c>
      <c r="K5199" s="106"/>
      <c r="L5199" s="114"/>
      <c r="M5199" s="114">
        <f>tblAquisições[[#This Row],[VALOR UNITARIO COMPRADO]]*tblAquisições[[#This Row],[QUANTIDADE COMPRADA]]</f>
        <v>0</v>
      </c>
      <c r="N5199" s="110">
        <f>K5199-tblAquisições[[#This Row],[QUANTIDADE PLANEJADA]]</f>
        <v>-30</v>
      </c>
      <c r="O5199" s="106" t="str">
        <f t="shared" si="163"/>
        <v>Faltando Comprar</v>
      </c>
    </row>
    <row r="5200" spans="1:15" ht="31.5">
      <c r="A5200" s="16" t="s">
        <v>2900</v>
      </c>
      <c r="B5200" s="16" t="s">
        <v>2906</v>
      </c>
      <c r="C5200" s="17" t="s">
        <v>19</v>
      </c>
      <c r="D5200" s="18" t="s">
        <v>2961</v>
      </c>
      <c r="E5200" s="18">
        <v>50</v>
      </c>
      <c r="F5200" s="18" t="s">
        <v>56</v>
      </c>
      <c r="G5200" s="18" t="s">
        <v>39</v>
      </c>
      <c r="H5200" s="18" t="s">
        <v>23</v>
      </c>
      <c r="I5200" s="19">
        <v>227.5</v>
      </c>
      <c r="J5200" s="40">
        <f t="shared" si="162"/>
        <v>11375</v>
      </c>
      <c r="K5200" s="106"/>
      <c r="L5200" s="114"/>
      <c r="M5200" s="114">
        <f>tblAquisições[[#This Row],[VALOR UNITARIO COMPRADO]]*tblAquisições[[#This Row],[QUANTIDADE COMPRADA]]</f>
        <v>0</v>
      </c>
      <c r="N5200" s="110">
        <f>K5200-tblAquisições[[#This Row],[QUANTIDADE PLANEJADA]]</f>
        <v>-50</v>
      </c>
      <c r="O5200" s="106" t="str">
        <f t="shared" si="163"/>
        <v>Faltando Comprar</v>
      </c>
    </row>
    <row r="5201" spans="1:15" ht="31.5">
      <c r="A5201" s="16" t="s">
        <v>2900</v>
      </c>
      <c r="B5201" s="16" t="s">
        <v>2906</v>
      </c>
      <c r="C5201" s="17" t="s">
        <v>19</v>
      </c>
      <c r="D5201" s="18" t="s">
        <v>2962</v>
      </c>
      <c r="E5201" s="18">
        <v>30</v>
      </c>
      <c r="F5201" s="18" t="s">
        <v>56</v>
      </c>
      <c r="G5201" s="18" t="s">
        <v>39</v>
      </c>
      <c r="H5201" s="18" t="s">
        <v>23</v>
      </c>
      <c r="I5201" s="19">
        <v>565</v>
      </c>
      <c r="J5201" s="40">
        <f t="shared" si="162"/>
        <v>16950</v>
      </c>
      <c r="K5201" s="106"/>
      <c r="L5201" s="114"/>
      <c r="M5201" s="114">
        <f>tblAquisições[[#This Row],[VALOR UNITARIO COMPRADO]]*tblAquisições[[#This Row],[QUANTIDADE COMPRADA]]</f>
        <v>0</v>
      </c>
      <c r="N5201" s="110">
        <f>K5201-tblAquisições[[#This Row],[QUANTIDADE PLANEJADA]]</f>
        <v>-30</v>
      </c>
      <c r="O5201" s="106" t="str">
        <f t="shared" si="163"/>
        <v>Faltando Comprar</v>
      </c>
    </row>
    <row r="5202" spans="1:15" ht="31.5">
      <c r="A5202" s="16" t="s">
        <v>2900</v>
      </c>
      <c r="B5202" s="16" t="s">
        <v>2906</v>
      </c>
      <c r="C5202" s="17" t="s">
        <v>19</v>
      </c>
      <c r="D5202" s="18" t="s">
        <v>2963</v>
      </c>
      <c r="E5202" s="18">
        <v>50</v>
      </c>
      <c r="F5202" s="18" t="s">
        <v>56</v>
      </c>
      <c r="G5202" s="18" t="s">
        <v>39</v>
      </c>
      <c r="H5202" s="18" t="s">
        <v>23</v>
      </c>
      <c r="I5202" s="19">
        <v>90.95</v>
      </c>
      <c r="J5202" s="40">
        <f t="shared" si="162"/>
        <v>4547.5</v>
      </c>
      <c r="K5202" s="106"/>
      <c r="L5202" s="114"/>
      <c r="M5202" s="114">
        <f>tblAquisições[[#This Row],[VALOR UNITARIO COMPRADO]]*tblAquisições[[#This Row],[QUANTIDADE COMPRADA]]</f>
        <v>0</v>
      </c>
      <c r="N5202" s="110">
        <f>K5202-tblAquisições[[#This Row],[QUANTIDADE PLANEJADA]]</f>
        <v>-50</v>
      </c>
      <c r="O5202" s="106" t="str">
        <f t="shared" si="163"/>
        <v>Faltando Comprar</v>
      </c>
    </row>
    <row r="5203" spans="1:15" ht="31.5">
      <c r="A5203" s="16" t="s">
        <v>2900</v>
      </c>
      <c r="B5203" s="16" t="s">
        <v>2906</v>
      </c>
      <c r="C5203" s="17" t="s">
        <v>19</v>
      </c>
      <c r="D5203" s="18" t="s">
        <v>2964</v>
      </c>
      <c r="E5203" s="18">
        <v>50</v>
      </c>
      <c r="F5203" s="18" t="s">
        <v>56</v>
      </c>
      <c r="G5203" s="18" t="s">
        <v>39</v>
      </c>
      <c r="H5203" s="18" t="s">
        <v>23</v>
      </c>
      <c r="I5203" s="19">
        <v>426.32</v>
      </c>
      <c r="J5203" s="40">
        <f t="shared" si="162"/>
        <v>21316</v>
      </c>
      <c r="K5203" s="106"/>
      <c r="L5203" s="114"/>
      <c r="M5203" s="114">
        <f>tblAquisições[[#This Row],[VALOR UNITARIO COMPRADO]]*tblAquisições[[#This Row],[QUANTIDADE COMPRADA]]</f>
        <v>0</v>
      </c>
      <c r="N5203" s="110">
        <f>K5203-tblAquisições[[#This Row],[QUANTIDADE PLANEJADA]]</f>
        <v>-50</v>
      </c>
      <c r="O5203" s="106" t="str">
        <f t="shared" si="163"/>
        <v>Faltando Comprar</v>
      </c>
    </row>
    <row r="5204" spans="1:15" ht="63">
      <c r="A5204" s="16" t="s">
        <v>2900</v>
      </c>
      <c r="B5204" s="16" t="s">
        <v>2919</v>
      </c>
      <c r="C5204" s="17" t="s">
        <v>19</v>
      </c>
      <c r="D5204" s="18" t="s">
        <v>2965</v>
      </c>
      <c r="E5204" s="18">
        <v>1</v>
      </c>
      <c r="F5204" s="18" t="s">
        <v>2678</v>
      </c>
      <c r="G5204" s="18" t="s">
        <v>775</v>
      </c>
      <c r="H5204" s="18" t="s">
        <v>23</v>
      </c>
      <c r="I5204" s="19">
        <v>417.95</v>
      </c>
      <c r="J5204" s="40">
        <f t="shared" si="162"/>
        <v>417.95</v>
      </c>
      <c r="K5204" s="106"/>
      <c r="L5204" s="114"/>
      <c r="M5204" s="114">
        <f>tblAquisições[[#This Row],[VALOR UNITARIO COMPRADO]]*tblAquisições[[#This Row],[QUANTIDADE COMPRADA]]</f>
        <v>0</v>
      </c>
      <c r="N5204" s="110">
        <f>K5204-tblAquisições[[#This Row],[QUANTIDADE PLANEJADA]]</f>
        <v>-1</v>
      </c>
      <c r="O5204" s="106" t="str">
        <f t="shared" si="163"/>
        <v>Faltando Comprar</v>
      </c>
    </row>
    <row r="5205" spans="1:15" ht="31.5">
      <c r="A5205" s="16" t="s">
        <v>2900</v>
      </c>
      <c r="B5205" s="16" t="s">
        <v>2906</v>
      </c>
      <c r="C5205" s="17" t="s">
        <v>19</v>
      </c>
      <c r="D5205" s="18" t="s">
        <v>2966</v>
      </c>
      <c r="E5205" s="18">
        <v>30</v>
      </c>
      <c r="F5205" s="18" t="s">
        <v>56</v>
      </c>
      <c r="G5205" s="18" t="s">
        <v>39</v>
      </c>
      <c r="H5205" s="18" t="s">
        <v>23</v>
      </c>
      <c r="I5205" s="19">
        <v>37.04</v>
      </c>
      <c r="J5205" s="40">
        <f t="shared" si="162"/>
        <v>1111.2</v>
      </c>
      <c r="K5205" s="106"/>
      <c r="L5205" s="114"/>
      <c r="M5205" s="114">
        <f>tblAquisições[[#This Row],[VALOR UNITARIO COMPRADO]]*tblAquisições[[#This Row],[QUANTIDADE COMPRADA]]</f>
        <v>0</v>
      </c>
      <c r="N5205" s="110">
        <f>K5205-tblAquisições[[#This Row],[QUANTIDADE PLANEJADA]]</f>
        <v>-30</v>
      </c>
      <c r="O5205" s="106" t="str">
        <f t="shared" si="163"/>
        <v>Faltando Comprar</v>
      </c>
    </row>
    <row r="5206" spans="1:15" ht="31.5">
      <c r="A5206" s="16" t="s">
        <v>2900</v>
      </c>
      <c r="B5206" s="16" t="s">
        <v>2906</v>
      </c>
      <c r="C5206" s="17" t="s">
        <v>19</v>
      </c>
      <c r="D5206" s="18" t="s">
        <v>2967</v>
      </c>
      <c r="E5206" s="18">
        <v>32</v>
      </c>
      <c r="F5206" s="18" t="s">
        <v>56</v>
      </c>
      <c r="G5206" s="18" t="s">
        <v>39</v>
      </c>
      <c r="H5206" s="18" t="s">
        <v>23</v>
      </c>
      <c r="I5206" s="19">
        <v>66.34</v>
      </c>
      <c r="J5206" s="40">
        <f t="shared" si="162"/>
        <v>2122.88</v>
      </c>
      <c r="K5206" s="106"/>
      <c r="L5206" s="114"/>
      <c r="M5206" s="114">
        <f>tblAquisições[[#This Row],[VALOR UNITARIO COMPRADO]]*tblAquisições[[#This Row],[QUANTIDADE COMPRADA]]</f>
        <v>0</v>
      </c>
      <c r="N5206" s="110">
        <f>K5206-tblAquisições[[#This Row],[QUANTIDADE PLANEJADA]]</f>
        <v>-32</v>
      </c>
      <c r="O5206" s="106" t="str">
        <f t="shared" si="163"/>
        <v>Faltando Comprar</v>
      </c>
    </row>
    <row r="5207" spans="1:15" ht="31.5">
      <c r="A5207" s="16" t="s">
        <v>2900</v>
      </c>
      <c r="B5207" s="16" t="s">
        <v>2906</v>
      </c>
      <c r="C5207" s="17" t="s">
        <v>19</v>
      </c>
      <c r="D5207" s="18" t="s">
        <v>2968</v>
      </c>
      <c r="E5207" s="18">
        <v>10</v>
      </c>
      <c r="F5207" s="18" t="s">
        <v>56</v>
      </c>
      <c r="G5207" s="18" t="s">
        <v>39</v>
      </c>
      <c r="H5207" s="18" t="s">
        <v>65</v>
      </c>
      <c r="I5207" s="19">
        <v>56.29</v>
      </c>
      <c r="J5207" s="40">
        <f t="shared" si="162"/>
        <v>562.9</v>
      </c>
      <c r="K5207" s="106"/>
      <c r="L5207" s="114"/>
      <c r="M5207" s="114">
        <f>tblAquisições[[#This Row],[VALOR UNITARIO COMPRADO]]*tblAquisições[[#This Row],[QUANTIDADE COMPRADA]]</f>
        <v>0</v>
      </c>
      <c r="N5207" s="110">
        <f>K5207-tblAquisições[[#This Row],[QUANTIDADE PLANEJADA]]</f>
        <v>-10</v>
      </c>
      <c r="O5207" s="106" t="str">
        <f t="shared" si="163"/>
        <v>Faltando Comprar</v>
      </c>
    </row>
    <row r="5208" spans="1:15" ht="63">
      <c r="A5208" s="16" t="s">
        <v>2900</v>
      </c>
      <c r="B5208" s="16" t="s">
        <v>2916</v>
      </c>
      <c r="C5208" s="17" t="s">
        <v>19</v>
      </c>
      <c r="D5208" s="18" t="s">
        <v>2969</v>
      </c>
      <c r="E5208" s="18">
        <v>3</v>
      </c>
      <c r="F5208" s="18" t="s">
        <v>2678</v>
      </c>
      <c r="G5208" s="18" t="s">
        <v>775</v>
      </c>
      <c r="H5208" s="18" t="s">
        <v>23</v>
      </c>
      <c r="I5208" s="19">
        <v>814.63</v>
      </c>
      <c r="J5208" s="40">
        <f t="shared" si="162"/>
        <v>2443.89</v>
      </c>
      <c r="K5208" s="106"/>
      <c r="L5208" s="114"/>
      <c r="M5208" s="114">
        <f>tblAquisições[[#This Row],[VALOR UNITARIO COMPRADO]]*tblAquisições[[#This Row],[QUANTIDADE COMPRADA]]</f>
        <v>0</v>
      </c>
      <c r="N5208" s="110">
        <f>K5208-tblAquisições[[#This Row],[QUANTIDADE PLANEJADA]]</f>
        <v>-3</v>
      </c>
      <c r="O5208" s="106" t="str">
        <f t="shared" si="163"/>
        <v>Faltando Comprar</v>
      </c>
    </row>
    <row r="5209" spans="1:15" ht="63">
      <c r="A5209" s="16" t="s">
        <v>2900</v>
      </c>
      <c r="B5209" s="16" t="s">
        <v>2906</v>
      </c>
      <c r="C5209" s="17" t="s">
        <v>19</v>
      </c>
      <c r="D5209" s="18" t="s">
        <v>2969</v>
      </c>
      <c r="E5209" s="18">
        <v>3</v>
      </c>
      <c r="F5209" s="18" t="s">
        <v>2678</v>
      </c>
      <c r="G5209" s="18" t="s">
        <v>775</v>
      </c>
      <c r="H5209" s="18" t="s">
        <v>23</v>
      </c>
      <c r="I5209" s="19">
        <v>814.63</v>
      </c>
      <c r="J5209" s="40">
        <f t="shared" si="162"/>
        <v>2443.89</v>
      </c>
      <c r="K5209" s="106"/>
      <c r="L5209" s="114"/>
      <c r="M5209" s="114">
        <f>tblAquisições[[#This Row],[VALOR UNITARIO COMPRADO]]*tblAquisições[[#This Row],[QUANTIDADE COMPRADA]]</f>
        <v>0</v>
      </c>
      <c r="N5209" s="110">
        <f>K5209-tblAquisições[[#This Row],[QUANTIDADE PLANEJADA]]</f>
        <v>-3</v>
      </c>
      <c r="O5209" s="106" t="str">
        <f t="shared" si="163"/>
        <v>Faltando Comprar</v>
      </c>
    </row>
    <row r="5210" spans="1:15" ht="47.25">
      <c r="A5210" s="16" t="s">
        <v>2900</v>
      </c>
      <c r="B5210" s="16" t="s">
        <v>2906</v>
      </c>
      <c r="C5210" s="17" t="s">
        <v>19</v>
      </c>
      <c r="D5210" s="18" t="s">
        <v>2970</v>
      </c>
      <c r="E5210" s="18">
        <v>1</v>
      </c>
      <c r="F5210" s="18" t="s">
        <v>96</v>
      </c>
      <c r="G5210" s="18" t="s">
        <v>39</v>
      </c>
      <c r="H5210" s="18" t="s">
        <v>23</v>
      </c>
      <c r="I5210" s="19">
        <v>152.38999999999999</v>
      </c>
      <c r="J5210" s="40">
        <f t="shared" si="162"/>
        <v>152.38999999999999</v>
      </c>
      <c r="K5210" s="106"/>
      <c r="L5210" s="114"/>
      <c r="M5210" s="114">
        <f>tblAquisições[[#This Row],[VALOR UNITARIO COMPRADO]]*tblAquisições[[#This Row],[QUANTIDADE COMPRADA]]</f>
        <v>0</v>
      </c>
      <c r="N5210" s="110">
        <f>K5210-tblAquisições[[#This Row],[QUANTIDADE PLANEJADA]]</f>
        <v>-1</v>
      </c>
      <c r="O5210" s="106" t="str">
        <f t="shared" si="163"/>
        <v>Faltando Comprar</v>
      </c>
    </row>
    <row r="5211" spans="1:15" ht="63">
      <c r="A5211" s="16" t="s">
        <v>2900</v>
      </c>
      <c r="B5211" s="16" t="s">
        <v>2919</v>
      </c>
      <c r="C5211" s="17" t="s">
        <v>19</v>
      </c>
      <c r="D5211" s="18" t="s">
        <v>2971</v>
      </c>
      <c r="E5211" s="18">
        <v>2</v>
      </c>
      <c r="F5211" s="18" t="s">
        <v>2972</v>
      </c>
      <c r="G5211" s="18" t="s">
        <v>775</v>
      </c>
      <c r="H5211" s="18" t="s">
        <v>23</v>
      </c>
      <c r="I5211" s="19">
        <v>300</v>
      </c>
      <c r="J5211" s="40">
        <f t="shared" si="162"/>
        <v>600</v>
      </c>
      <c r="K5211" s="106"/>
      <c r="L5211" s="114"/>
      <c r="M5211" s="114">
        <f>tblAquisições[[#This Row],[VALOR UNITARIO COMPRADO]]*tblAquisições[[#This Row],[QUANTIDADE COMPRADA]]</f>
        <v>0</v>
      </c>
      <c r="N5211" s="110">
        <f>K5211-tblAquisições[[#This Row],[QUANTIDADE PLANEJADA]]</f>
        <v>-2</v>
      </c>
      <c r="O5211" s="106" t="str">
        <f t="shared" si="163"/>
        <v>Faltando Comprar</v>
      </c>
    </row>
    <row r="5212" spans="1:15" ht="31.5">
      <c r="A5212" s="16" t="s">
        <v>2900</v>
      </c>
      <c r="B5212" s="16" t="s">
        <v>2906</v>
      </c>
      <c r="C5212" s="17" t="s">
        <v>19</v>
      </c>
      <c r="D5212" s="18" t="s">
        <v>2973</v>
      </c>
      <c r="E5212" s="18">
        <v>30</v>
      </c>
      <c r="F5212" s="18" t="s">
        <v>56</v>
      </c>
      <c r="G5212" s="18" t="s">
        <v>39</v>
      </c>
      <c r="H5212" s="18" t="s">
        <v>23</v>
      </c>
      <c r="I5212" s="19">
        <v>415</v>
      </c>
      <c r="J5212" s="40">
        <f t="shared" si="162"/>
        <v>12450</v>
      </c>
      <c r="K5212" s="106"/>
      <c r="L5212" s="114"/>
      <c r="M5212" s="114">
        <f>tblAquisições[[#This Row],[VALOR UNITARIO COMPRADO]]*tblAquisições[[#This Row],[QUANTIDADE COMPRADA]]</f>
        <v>0</v>
      </c>
      <c r="N5212" s="110">
        <f>K5212-tblAquisições[[#This Row],[QUANTIDADE PLANEJADA]]</f>
        <v>-30</v>
      </c>
      <c r="O5212" s="106" t="str">
        <f t="shared" si="163"/>
        <v>Faltando Comprar</v>
      </c>
    </row>
    <row r="5213" spans="1:15" ht="31.5">
      <c r="A5213" s="16" t="s">
        <v>2900</v>
      </c>
      <c r="B5213" s="16" t="s">
        <v>2906</v>
      </c>
      <c r="C5213" s="17" t="s">
        <v>19</v>
      </c>
      <c r="D5213" s="18" t="s">
        <v>2974</v>
      </c>
      <c r="E5213" s="18">
        <v>50</v>
      </c>
      <c r="F5213" s="18" t="s">
        <v>56</v>
      </c>
      <c r="G5213" s="18" t="s">
        <v>39</v>
      </c>
      <c r="H5213" s="18" t="s">
        <v>23</v>
      </c>
      <c r="I5213" s="19">
        <v>104.67</v>
      </c>
      <c r="J5213" s="40">
        <f t="shared" si="162"/>
        <v>5233.5</v>
      </c>
      <c r="K5213" s="106"/>
      <c r="L5213" s="114"/>
      <c r="M5213" s="114">
        <f>tblAquisições[[#This Row],[VALOR UNITARIO COMPRADO]]*tblAquisições[[#This Row],[QUANTIDADE COMPRADA]]</f>
        <v>0</v>
      </c>
      <c r="N5213" s="110">
        <f>K5213-tblAquisições[[#This Row],[QUANTIDADE PLANEJADA]]</f>
        <v>-50</v>
      </c>
      <c r="O5213" s="106" t="str">
        <f t="shared" si="163"/>
        <v>Faltando Comprar</v>
      </c>
    </row>
    <row r="5214" spans="1:15" ht="31.5">
      <c r="A5214" s="16" t="s">
        <v>2900</v>
      </c>
      <c r="B5214" s="16" t="s">
        <v>2906</v>
      </c>
      <c r="C5214" s="17" t="s">
        <v>19</v>
      </c>
      <c r="D5214" s="18" t="s">
        <v>2975</v>
      </c>
      <c r="E5214" s="18">
        <v>100</v>
      </c>
      <c r="F5214" s="18" t="s">
        <v>56</v>
      </c>
      <c r="G5214" s="18" t="s">
        <v>39</v>
      </c>
      <c r="H5214" s="18" t="s">
        <v>23</v>
      </c>
      <c r="I5214" s="19">
        <v>152</v>
      </c>
      <c r="J5214" s="40">
        <f t="shared" si="162"/>
        <v>15200</v>
      </c>
      <c r="K5214" s="106"/>
      <c r="L5214" s="114"/>
      <c r="M5214" s="114">
        <f>tblAquisições[[#This Row],[VALOR UNITARIO COMPRADO]]*tblAquisições[[#This Row],[QUANTIDADE COMPRADA]]</f>
        <v>0</v>
      </c>
      <c r="N5214" s="110">
        <f>K5214-tblAquisições[[#This Row],[QUANTIDADE PLANEJADA]]</f>
        <v>-100</v>
      </c>
      <c r="O5214" s="106" t="str">
        <f t="shared" si="163"/>
        <v>Faltando Comprar</v>
      </c>
    </row>
    <row r="5215" spans="1:15" ht="63">
      <c r="A5215" s="16" t="s">
        <v>2900</v>
      </c>
      <c r="B5215" s="16" t="s">
        <v>2919</v>
      </c>
      <c r="C5215" s="17" t="s">
        <v>19</v>
      </c>
      <c r="D5215" s="18" t="s">
        <v>2976</v>
      </c>
      <c r="E5215" s="18">
        <v>1</v>
      </c>
      <c r="F5215" s="18" t="s">
        <v>2678</v>
      </c>
      <c r="G5215" s="18" t="s">
        <v>775</v>
      </c>
      <c r="H5215" s="18" t="s">
        <v>23</v>
      </c>
      <c r="I5215" s="19">
        <v>387.91</v>
      </c>
      <c r="J5215" s="40">
        <f t="shared" si="162"/>
        <v>387.91</v>
      </c>
      <c r="K5215" s="106"/>
      <c r="L5215" s="114"/>
      <c r="M5215" s="114">
        <f>tblAquisições[[#This Row],[VALOR UNITARIO COMPRADO]]*tblAquisições[[#This Row],[QUANTIDADE COMPRADA]]</f>
        <v>0</v>
      </c>
      <c r="N5215" s="110">
        <f>K5215-tblAquisições[[#This Row],[QUANTIDADE PLANEJADA]]</f>
        <v>-1</v>
      </c>
      <c r="O5215" s="106" t="str">
        <f t="shared" si="163"/>
        <v>Faltando Comprar</v>
      </c>
    </row>
    <row r="5216" spans="1:15" ht="31.5">
      <c r="A5216" s="16" t="s">
        <v>2900</v>
      </c>
      <c r="B5216" s="16" t="s">
        <v>2906</v>
      </c>
      <c r="C5216" s="17" t="s">
        <v>19</v>
      </c>
      <c r="D5216" s="18" t="s">
        <v>2977</v>
      </c>
      <c r="E5216" s="18">
        <v>2</v>
      </c>
      <c r="F5216" s="18" t="s">
        <v>2865</v>
      </c>
      <c r="G5216" s="18" t="s">
        <v>39</v>
      </c>
      <c r="H5216" s="18" t="s">
        <v>23</v>
      </c>
      <c r="I5216" s="19">
        <v>13.24</v>
      </c>
      <c r="J5216" s="40">
        <f t="shared" si="162"/>
        <v>26.48</v>
      </c>
      <c r="K5216" s="106"/>
      <c r="L5216" s="114"/>
      <c r="M5216" s="114">
        <f>tblAquisições[[#This Row],[VALOR UNITARIO COMPRADO]]*tblAquisições[[#This Row],[QUANTIDADE COMPRADA]]</f>
        <v>0</v>
      </c>
      <c r="N5216" s="110">
        <f>K5216-tblAquisições[[#This Row],[QUANTIDADE PLANEJADA]]</f>
        <v>-2</v>
      </c>
      <c r="O5216" s="106" t="str">
        <f t="shared" si="163"/>
        <v>Faltando Comprar</v>
      </c>
    </row>
    <row r="5217" spans="1:15" ht="31.5">
      <c r="A5217" s="16" t="s">
        <v>2900</v>
      </c>
      <c r="B5217" s="16" t="s">
        <v>2906</v>
      </c>
      <c r="C5217" s="17" t="s">
        <v>19</v>
      </c>
      <c r="D5217" s="18" t="s">
        <v>2978</v>
      </c>
      <c r="E5217" s="18">
        <v>100</v>
      </c>
      <c r="F5217" s="18" t="s">
        <v>56</v>
      </c>
      <c r="G5217" s="18" t="s">
        <v>39</v>
      </c>
      <c r="H5217" s="18" t="s">
        <v>23</v>
      </c>
      <c r="I5217" s="19">
        <v>26.93</v>
      </c>
      <c r="J5217" s="40">
        <f t="shared" si="162"/>
        <v>2693</v>
      </c>
      <c r="K5217" s="106"/>
      <c r="L5217" s="114"/>
      <c r="M5217" s="114">
        <f>tblAquisições[[#This Row],[VALOR UNITARIO COMPRADO]]*tblAquisições[[#This Row],[QUANTIDADE COMPRADA]]</f>
        <v>0</v>
      </c>
      <c r="N5217" s="110">
        <f>K5217-tblAquisições[[#This Row],[QUANTIDADE PLANEJADA]]</f>
        <v>-100</v>
      </c>
      <c r="O5217" s="106" t="str">
        <f t="shared" si="163"/>
        <v>Faltando Comprar</v>
      </c>
    </row>
    <row r="5218" spans="1:15" ht="31.5">
      <c r="A5218" s="16" t="s">
        <v>2900</v>
      </c>
      <c r="B5218" s="16" t="s">
        <v>2916</v>
      </c>
      <c r="C5218" s="17" t="s">
        <v>19</v>
      </c>
      <c r="D5218" s="18" t="s">
        <v>2979</v>
      </c>
      <c r="E5218" s="18">
        <v>3</v>
      </c>
      <c r="F5218" s="18" t="s">
        <v>56</v>
      </c>
      <c r="G5218" s="18" t="s">
        <v>39</v>
      </c>
      <c r="H5218" s="18" t="s">
        <v>23</v>
      </c>
      <c r="I5218" s="19">
        <v>186.32</v>
      </c>
      <c r="J5218" s="40">
        <f t="shared" si="162"/>
        <v>558.96</v>
      </c>
      <c r="K5218" s="106"/>
      <c r="L5218" s="114"/>
      <c r="M5218" s="114">
        <f>tblAquisições[[#This Row],[VALOR UNITARIO COMPRADO]]*tblAquisições[[#This Row],[QUANTIDADE COMPRADA]]</f>
        <v>0</v>
      </c>
      <c r="N5218" s="110">
        <f>K5218-tblAquisições[[#This Row],[QUANTIDADE PLANEJADA]]</f>
        <v>-3</v>
      </c>
      <c r="O5218" s="106" t="str">
        <f t="shared" si="163"/>
        <v>Faltando Comprar</v>
      </c>
    </row>
    <row r="5219" spans="1:15" ht="31.5">
      <c r="A5219" s="16" t="s">
        <v>2900</v>
      </c>
      <c r="B5219" s="16" t="s">
        <v>2906</v>
      </c>
      <c r="C5219" s="17" t="s">
        <v>19</v>
      </c>
      <c r="D5219" s="18" t="s">
        <v>2979</v>
      </c>
      <c r="E5219" s="18">
        <v>100</v>
      </c>
      <c r="F5219" s="18" t="s">
        <v>56</v>
      </c>
      <c r="G5219" s="18" t="s">
        <v>39</v>
      </c>
      <c r="H5219" s="18" t="s">
        <v>23</v>
      </c>
      <c r="I5219" s="19">
        <v>186.32</v>
      </c>
      <c r="J5219" s="40">
        <f t="shared" si="162"/>
        <v>18632</v>
      </c>
      <c r="K5219" s="106"/>
      <c r="L5219" s="114"/>
      <c r="M5219" s="114">
        <f>tblAquisições[[#This Row],[VALOR UNITARIO COMPRADO]]*tblAquisições[[#This Row],[QUANTIDADE COMPRADA]]</f>
        <v>0</v>
      </c>
      <c r="N5219" s="110">
        <f>K5219-tblAquisições[[#This Row],[QUANTIDADE PLANEJADA]]</f>
        <v>-100</v>
      </c>
      <c r="O5219" s="106" t="str">
        <f t="shared" si="163"/>
        <v>Faltando Comprar</v>
      </c>
    </row>
    <row r="5220" spans="1:15" ht="63">
      <c r="A5220" s="16" t="s">
        <v>2900</v>
      </c>
      <c r="B5220" s="16" t="s">
        <v>2919</v>
      </c>
      <c r="C5220" s="17" t="s">
        <v>19</v>
      </c>
      <c r="D5220" s="18" t="s">
        <v>2806</v>
      </c>
      <c r="E5220" s="18">
        <v>1</v>
      </c>
      <c r="F5220" s="18" t="s">
        <v>2678</v>
      </c>
      <c r="G5220" s="18" t="s">
        <v>775</v>
      </c>
      <c r="H5220" s="18" t="s">
        <v>23</v>
      </c>
      <c r="I5220" s="19">
        <v>701.25</v>
      </c>
      <c r="J5220" s="40">
        <f t="shared" si="162"/>
        <v>701.25</v>
      </c>
      <c r="K5220" s="106"/>
      <c r="L5220" s="114"/>
      <c r="M5220" s="114">
        <f>tblAquisições[[#This Row],[VALOR UNITARIO COMPRADO]]*tblAquisições[[#This Row],[QUANTIDADE COMPRADA]]</f>
        <v>0</v>
      </c>
      <c r="N5220" s="110">
        <f>K5220-tblAquisições[[#This Row],[QUANTIDADE PLANEJADA]]</f>
        <v>-1</v>
      </c>
      <c r="O5220" s="106" t="str">
        <f t="shared" si="163"/>
        <v>Faltando Comprar</v>
      </c>
    </row>
    <row r="5221" spans="1:15" ht="63">
      <c r="A5221" s="16" t="s">
        <v>2900</v>
      </c>
      <c r="B5221" s="16" t="s">
        <v>2919</v>
      </c>
      <c r="C5221" s="17" t="s">
        <v>19</v>
      </c>
      <c r="D5221" s="18" t="s">
        <v>2980</v>
      </c>
      <c r="E5221" s="18">
        <v>1</v>
      </c>
      <c r="F5221" s="18" t="s">
        <v>2678</v>
      </c>
      <c r="G5221" s="18" t="s">
        <v>775</v>
      </c>
      <c r="H5221" s="18" t="s">
        <v>23</v>
      </c>
      <c r="I5221" s="19">
        <v>300.66000000000003</v>
      </c>
      <c r="J5221" s="40">
        <f t="shared" si="162"/>
        <v>300.66000000000003</v>
      </c>
      <c r="K5221" s="106"/>
      <c r="L5221" s="114"/>
      <c r="M5221" s="114">
        <f>tblAquisições[[#This Row],[VALOR UNITARIO COMPRADO]]*tblAquisições[[#This Row],[QUANTIDADE COMPRADA]]</f>
        <v>0</v>
      </c>
      <c r="N5221" s="110">
        <f>K5221-tblAquisições[[#This Row],[QUANTIDADE PLANEJADA]]</f>
        <v>-1</v>
      </c>
      <c r="O5221" s="106" t="str">
        <f t="shared" si="163"/>
        <v>Faltando Comprar</v>
      </c>
    </row>
    <row r="5222" spans="1:15" ht="47.25">
      <c r="A5222" s="16" t="s">
        <v>2900</v>
      </c>
      <c r="B5222" s="16" t="s">
        <v>2901</v>
      </c>
      <c r="C5222" s="17" t="s">
        <v>19</v>
      </c>
      <c r="D5222" s="18" t="s">
        <v>2981</v>
      </c>
      <c r="E5222" s="18">
        <v>8</v>
      </c>
      <c r="F5222" s="18" t="s">
        <v>191</v>
      </c>
      <c r="G5222" s="18" t="s">
        <v>39</v>
      </c>
      <c r="H5222" s="18" t="s">
        <v>23</v>
      </c>
      <c r="I5222" s="19">
        <v>9.8000000000000007</v>
      </c>
      <c r="J5222" s="40">
        <f t="shared" si="162"/>
        <v>78.400000000000006</v>
      </c>
      <c r="K5222" s="106"/>
      <c r="L5222" s="114"/>
      <c r="M5222" s="114">
        <f>tblAquisições[[#This Row],[VALOR UNITARIO COMPRADO]]*tblAquisições[[#This Row],[QUANTIDADE COMPRADA]]</f>
        <v>0</v>
      </c>
      <c r="N5222" s="110">
        <f>K5222-tblAquisições[[#This Row],[QUANTIDADE PLANEJADA]]</f>
        <v>-8</v>
      </c>
      <c r="O5222" s="106" t="str">
        <f t="shared" si="163"/>
        <v>Faltando Comprar</v>
      </c>
    </row>
    <row r="5223" spans="1:15" ht="47.25">
      <c r="A5223" s="16" t="s">
        <v>2900</v>
      </c>
      <c r="B5223" s="16" t="s">
        <v>2901</v>
      </c>
      <c r="C5223" s="17" t="s">
        <v>19</v>
      </c>
      <c r="D5223" s="18" t="s">
        <v>2982</v>
      </c>
      <c r="E5223" s="18">
        <v>12</v>
      </c>
      <c r="F5223" s="18" t="s">
        <v>96</v>
      </c>
      <c r="G5223" s="18" t="s">
        <v>39</v>
      </c>
      <c r="H5223" s="18" t="s">
        <v>23</v>
      </c>
      <c r="I5223" s="19">
        <v>8.16</v>
      </c>
      <c r="J5223" s="40">
        <f t="shared" si="162"/>
        <v>97.92</v>
      </c>
      <c r="K5223" s="106"/>
      <c r="L5223" s="114"/>
      <c r="M5223" s="114">
        <f>tblAquisições[[#This Row],[VALOR UNITARIO COMPRADO]]*tblAquisições[[#This Row],[QUANTIDADE COMPRADA]]</f>
        <v>0</v>
      </c>
      <c r="N5223" s="110">
        <f>K5223-tblAquisições[[#This Row],[QUANTIDADE PLANEJADA]]</f>
        <v>-12</v>
      </c>
      <c r="O5223" s="106" t="str">
        <f t="shared" si="163"/>
        <v>Faltando Comprar</v>
      </c>
    </row>
    <row r="5224" spans="1:15" ht="31.5">
      <c r="A5224" s="16" t="s">
        <v>2900</v>
      </c>
      <c r="B5224" s="16" t="s">
        <v>2906</v>
      </c>
      <c r="C5224" s="17" t="s">
        <v>19</v>
      </c>
      <c r="D5224" s="18" t="s">
        <v>2983</v>
      </c>
      <c r="E5224" s="18">
        <v>50</v>
      </c>
      <c r="F5224" s="18" t="s">
        <v>56</v>
      </c>
      <c r="G5224" s="18" t="s">
        <v>39</v>
      </c>
      <c r="H5224" s="18" t="s">
        <v>23</v>
      </c>
      <c r="I5224" s="19">
        <v>5.77</v>
      </c>
      <c r="J5224" s="40">
        <f t="shared" si="162"/>
        <v>288.5</v>
      </c>
      <c r="K5224" s="106"/>
      <c r="L5224" s="114"/>
      <c r="M5224" s="114">
        <f>tblAquisições[[#This Row],[VALOR UNITARIO COMPRADO]]*tblAquisições[[#This Row],[QUANTIDADE COMPRADA]]</f>
        <v>0</v>
      </c>
      <c r="N5224" s="110">
        <f>K5224-tblAquisições[[#This Row],[QUANTIDADE PLANEJADA]]</f>
        <v>-50</v>
      </c>
      <c r="O5224" s="106" t="str">
        <f t="shared" si="163"/>
        <v>Faltando Comprar</v>
      </c>
    </row>
    <row r="5225" spans="1:15" ht="31.5">
      <c r="A5225" s="16" t="s">
        <v>2900</v>
      </c>
      <c r="B5225" s="16" t="s">
        <v>2906</v>
      </c>
      <c r="C5225" s="17" t="s">
        <v>19</v>
      </c>
      <c r="D5225" s="18" t="s">
        <v>2984</v>
      </c>
      <c r="E5225" s="18">
        <v>20</v>
      </c>
      <c r="F5225" s="18" t="s">
        <v>56</v>
      </c>
      <c r="G5225" s="18" t="s">
        <v>39</v>
      </c>
      <c r="H5225" s="18" t="s">
        <v>23</v>
      </c>
      <c r="I5225" s="19">
        <v>27.7</v>
      </c>
      <c r="J5225" s="40">
        <f t="shared" si="162"/>
        <v>554</v>
      </c>
      <c r="K5225" s="106"/>
      <c r="L5225" s="114"/>
      <c r="M5225" s="114">
        <f>tblAquisições[[#This Row],[VALOR UNITARIO COMPRADO]]*tblAquisições[[#This Row],[QUANTIDADE COMPRADA]]</f>
        <v>0</v>
      </c>
      <c r="N5225" s="110">
        <f>K5225-tblAquisições[[#This Row],[QUANTIDADE PLANEJADA]]</f>
        <v>-20</v>
      </c>
      <c r="O5225" s="106" t="str">
        <f t="shared" si="163"/>
        <v>Faltando Comprar</v>
      </c>
    </row>
    <row r="5226" spans="1:15" ht="31.5">
      <c r="A5226" s="16" t="s">
        <v>2900</v>
      </c>
      <c r="B5226" s="16" t="s">
        <v>2906</v>
      </c>
      <c r="C5226" s="17" t="s">
        <v>19</v>
      </c>
      <c r="D5226" s="18" t="s">
        <v>1586</v>
      </c>
      <c r="E5226" s="18">
        <v>32</v>
      </c>
      <c r="F5226" s="18" t="s">
        <v>56</v>
      </c>
      <c r="G5226" s="18" t="s">
        <v>39</v>
      </c>
      <c r="H5226" s="18" t="s">
        <v>23</v>
      </c>
      <c r="I5226" s="19">
        <v>86.29</v>
      </c>
      <c r="J5226" s="40">
        <f t="shared" si="162"/>
        <v>2761.28</v>
      </c>
      <c r="K5226" s="106"/>
      <c r="L5226" s="114"/>
      <c r="M5226" s="114">
        <f>tblAquisições[[#This Row],[VALOR UNITARIO COMPRADO]]*tblAquisições[[#This Row],[QUANTIDADE COMPRADA]]</f>
        <v>0</v>
      </c>
      <c r="N5226" s="110">
        <f>K5226-tblAquisições[[#This Row],[QUANTIDADE PLANEJADA]]</f>
        <v>-32</v>
      </c>
      <c r="O5226" s="106" t="str">
        <f t="shared" si="163"/>
        <v>Faltando Comprar</v>
      </c>
    </row>
    <row r="5227" spans="1:15" ht="31.5">
      <c r="A5227" s="16" t="s">
        <v>2900</v>
      </c>
      <c r="B5227" s="16" t="s">
        <v>2901</v>
      </c>
      <c r="C5227" s="17" t="s">
        <v>19</v>
      </c>
      <c r="D5227" s="18" t="s">
        <v>2807</v>
      </c>
      <c r="E5227" s="18">
        <v>6</v>
      </c>
      <c r="F5227" s="18" t="s">
        <v>56</v>
      </c>
      <c r="G5227" s="18" t="s">
        <v>39</v>
      </c>
      <c r="H5227" s="18" t="s">
        <v>23</v>
      </c>
      <c r="I5227" s="19">
        <v>22</v>
      </c>
      <c r="J5227" s="40">
        <f t="shared" si="162"/>
        <v>132</v>
      </c>
      <c r="K5227" s="106"/>
      <c r="L5227" s="114"/>
      <c r="M5227" s="114">
        <f>tblAquisições[[#This Row],[VALOR UNITARIO COMPRADO]]*tblAquisições[[#This Row],[QUANTIDADE COMPRADA]]</f>
        <v>0</v>
      </c>
      <c r="N5227" s="110">
        <f>K5227-tblAquisições[[#This Row],[QUANTIDADE PLANEJADA]]</f>
        <v>-6</v>
      </c>
      <c r="O5227" s="106" t="str">
        <f t="shared" si="163"/>
        <v>Faltando Comprar</v>
      </c>
    </row>
    <row r="5228" spans="1:15" ht="31.5">
      <c r="A5228" s="16" t="s">
        <v>2900</v>
      </c>
      <c r="B5228" s="16" t="s">
        <v>2906</v>
      </c>
      <c r="C5228" s="17" t="s">
        <v>19</v>
      </c>
      <c r="D5228" s="18" t="s">
        <v>2807</v>
      </c>
      <c r="E5228" s="18">
        <v>11</v>
      </c>
      <c r="F5228" s="18" t="s">
        <v>56</v>
      </c>
      <c r="G5228" s="18" t="s">
        <v>39</v>
      </c>
      <c r="H5228" s="18" t="s">
        <v>23</v>
      </c>
      <c r="I5228" s="19">
        <v>22</v>
      </c>
      <c r="J5228" s="40">
        <f t="shared" si="162"/>
        <v>242</v>
      </c>
      <c r="K5228" s="106"/>
      <c r="L5228" s="114"/>
      <c r="M5228" s="114">
        <f>tblAquisições[[#This Row],[VALOR UNITARIO COMPRADO]]*tblAquisições[[#This Row],[QUANTIDADE COMPRADA]]</f>
        <v>0</v>
      </c>
      <c r="N5228" s="110">
        <f>K5228-tblAquisições[[#This Row],[QUANTIDADE PLANEJADA]]</f>
        <v>-11</v>
      </c>
      <c r="O5228" s="106" t="str">
        <f t="shared" si="163"/>
        <v>Faltando Comprar</v>
      </c>
    </row>
    <row r="5229" spans="1:15" ht="47.25">
      <c r="A5229" s="16" t="s">
        <v>2900</v>
      </c>
      <c r="B5229" s="16" t="s">
        <v>2901</v>
      </c>
      <c r="C5229" s="17" t="s">
        <v>19</v>
      </c>
      <c r="D5229" s="18" t="s">
        <v>1594</v>
      </c>
      <c r="E5229" s="18">
        <v>5</v>
      </c>
      <c r="F5229" s="18" t="s">
        <v>96</v>
      </c>
      <c r="G5229" s="18" t="s">
        <v>39</v>
      </c>
      <c r="H5229" s="18" t="s">
        <v>23</v>
      </c>
      <c r="I5229" s="19">
        <v>9.01</v>
      </c>
      <c r="J5229" s="40">
        <f t="shared" si="162"/>
        <v>45.05</v>
      </c>
      <c r="K5229" s="106"/>
      <c r="L5229" s="114"/>
      <c r="M5229" s="114">
        <f>tblAquisições[[#This Row],[VALOR UNITARIO COMPRADO]]*tblAquisições[[#This Row],[QUANTIDADE COMPRADA]]</f>
        <v>0</v>
      </c>
      <c r="N5229" s="110">
        <f>K5229-tblAquisições[[#This Row],[QUANTIDADE PLANEJADA]]</f>
        <v>-5</v>
      </c>
      <c r="O5229" s="106" t="str">
        <f t="shared" si="163"/>
        <v>Faltando Comprar</v>
      </c>
    </row>
    <row r="5230" spans="1:15" ht="47.25">
      <c r="A5230" s="16" t="s">
        <v>2900</v>
      </c>
      <c r="B5230" s="16" t="s">
        <v>2901</v>
      </c>
      <c r="C5230" s="17" t="s">
        <v>19</v>
      </c>
      <c r="D5230" s="18" t="s">
        <v>2985</v>
      </c>
      <c r="E5230" s="18">
        <v>12</v>
      </c>
      <c r="F5230" s="18" t="s">
        <v>96</v>
      </c>
      <c r="G5230" s="18" t="s">
        <v>39</v>
      </c>
      <c r="H5230" s="18" t="s">
        <v>23</v>
      </c>
      <c r="I5230" s="19">
        <v>20.12</v>
      </c>
      <c r="J5230" s="40">
        <f t="shared" si="162"/>
        <v>241.44</v>
      </c>
      <c r="K5230" s="106"/>
      <c r="L5230" s="114"/>
      <c r="M5230" s="114">
        <f>tblAquisições[[#This Row],[VALOR UNITARIO COMPRADO]]*tblAquisições[[#This Row],[QUANTIDADE COMPRADA]]</f>
        <v>0</v>
      </c>
      <c r="N5230" s="110">
        <f>K5230-tblAquisições[[#This Row],[QUANTIDADE PLANEJADA]]</f>
        <v>-12</v>
      </c>
      <c r="O5230" s="106" t="str">
        <f t="shared" si="163"/>
        <v>Faltando Comprar</v>
      </c>
    </row>
    <row r="5231" spans="1:15" ht="63">
      <c r="A5231" s="16" t="s">
        <v>2900</v>
      </c>
      <c r="B5231" s="16" t="s">
        <v>2919</v>
      </c>
      <c r="C5231" s="17" t="s">
        <v>19</v>
      </c>
      <c r="D5231" s="18" t="s">
        <v>2812</v>
      </c>
      <c r="E5231" s="18">
        <v>10</v>
      </c>
      <c r="F5231" s="18" t="s">
        <v>2678</v>
      </c>
      <c r="G5231" s="18" t="s">
        <v>775</v>
      </c>
      <c r="H5231" s="18" t="s">
        <v>23</v>
      </c>
      <c r="I5231" s="19">
        <v>210.03</v>
      </c>
      <c r="J5231" s="40">
        <f t="shared" si="162"/>
        <v>2100.3000000000002</v>
      </c>
      <c r="K5231" s="106"/>
      <c r="L5231" s="114"/>
      <c r="M5231" s="114">
        <f>tblAquisições[[#This Row],[VALOR UNITARIO COMPRADO]]*tblAquisições[[#This Row],[QUANTIDADE COMPRADA]]</f>
        <v>0</v>
      </c>
      <c r="N5231" s="110">
        <f>K5231-tblAquisições[[#This Row],[QUANTIDADE PLANEJADA]]</f>
        <v>-10</v>
      </c>
      <c r="O5231" s="106" t="str">
        <f t="shared" si="163"/>
        <v>Faltando Comprar</v>
      </c>
    </row>
    <row r="5232" spans="1:15" ht="47.25">
      <c r="A5232" s="16" t="s">
        <v>2900</v>
      </c>
      <c r="B5232" s="16" t="s">
        <v>2903</v>
      </c>
      <c r="C5232" s="17" t="s">
        <v>19</v>
      </c>
      <c r="D5232" s="18" t="s">
        <v>2986</v>
      </c>
      <c r="E5232" s="18">
        <v>5</v>
      </c>
      <c r="F5232" s="18" t="s">
        <v>96</v>
      </c>
      <c r="G5232" s="18" t="s">
        <v>39</v>
      </c>
      <c r="H5232" s="18" t="s">
        <v>23</v>
      </c>
      <c r="I5232" s="19">
        <v>22.21</v>
      </c>
      <c r="J5232" s="40">
        <f t="shared" si="162"/>
        <v>111.05000000000001</v>
      </c>
      <c r="K5232" s="106"/>
      <c r="L5232" s="114"/>
      <c r="M5232" s="114">
        <f>tblAquisições[[#This Row],[VALOR UNITARIO COMPRADO]]*tblAquisições[[#This Row],[QUANTIDADE COMPRADA]]</f>
        <v>0</v>
      </c>
      <c r="N5232" s="110">
        <f>K5232-tblAquisições[[#This Row],[QUANTIDADE PLANEJADA]]</f>
        <v>-5</v>
      </c>
      <c r="O5232" s="106" t="str">
        <f t="shared" si="163"/>
        <v>Faltando Comprar</v>
      </c>
    </row>
    <row r="5233" spans="1:15" ht="47.25">
      <c r="A5233" s="16" t="s">
        <v>2900</v>
      </c>
      <c r="B5233" s="16" t="s">
        <v>2904</v>
      </c>
      <c r="C5233" s="17" t="s">
        <v>19</v>
      </c>
      <c r="D5233" s="18" t="s">
        <v>2986</v>
      </c>
      <c r="E5233" s="18">
        <v>10</v>
      </c>
      <c r="F5233" s="18" t="s">
        <v>96</v>
      </c>
      <c r="G5233" s="18" t="s">
        <v>39</v>
      </c>
      <c r="H5233" s="18" t="s">
        <v>23</v>
      </c>
      <c r="I5233" s="19">
        <v>22.21</v>
      </c>
      <c r="J5233" s="40">
        <f t="shared" si="162"/>
        <v>222.10000000000002</v>
      </c>
      <c r="K5233" s="106"/>
      <c r="L5233" s="114"/>
      <c r="M5233" s="114">
        <f>tblAquisições[[#This Row],[VALOR UNITARIO COMPRADO]]*tblAquisições[[#This Row],[QUANTIDADE COMPRADA]]</f>
        <v>0</v>
      </c>
      <c r="N5233" s="110">
        <f>K5233-tblAquisições[[#This Row],[QUANTIDADE PLANEJADA]]</f>
        <v>-10</v>
      </c>
      <c r="O5233" s="106" t="str">
        <f t="shared" si="163"/>
        <v>Faltando Comprar</v>
      </c>
    </row>
    <row r="5234" spans="1:15" ht="47.25">
      <c r="A5234" s="16" t="s">
        <v>2900</v>
      </c>
      <c r="B5234" s="16" t="s">
        <v>2906</v>
      </c>
      <c r="C5234" s="17" t="s">
        <v>19</v>
      </c>
      <c r="D5234" s="18" t="s">
        <v>2986</v>
      </c>
      <c r="E5234" s="18">
        <v>1</v>
      </c>
      <c r="F5234" s="18" t="s">
        <v>96</v>
      </c>
      <c r="G5234" s="18" t="s">
        <v>39</v>
      </c>
      <c r="H5234" s="18" t="s">
        <v>23</v>
      </c>
      <c r="I5234" s="19">
        <v>22.21</v>
      </c>
      <c r="J5234" s="40">
        <f t="shared" si="162"/>
        <v>22.21</v>
      </c>
      <c r="K5234" s="106"/>
      <c r="L5234" s="114"/>
      <c r="M5234" s="114">
        <f>tblAquisições[[#This Row],[VALOR UNITARIO COMPRADO]]*tblAquisições[[#This Row],[QUANTIDADE COMPRADA]]</f>
        <v>0</v>
      </c>
      <c r="N5234" s="110">
        <f>K5234-tblAquisições[[#This Row],[QUANTIDADE PLANEJADA]]</f>
        <v>-1</v>
      </c>
      <c r="O5234" s="106" t="str">
        <f t="shared" si="163"/>
        <v>Faltando Comprar</v>
      </c>
    </row>
    <row r="5235" spans="1:15" ht="31.5">
      <c r="A5235" s="16" t="s">
        <v>2900</v>
      </c>
      <c r="B5235" s="16" t="s">
        <v>2916</v>
      </c>
      <c r="C5235" s="17" t="s">
        <v>19</v>
      </c>
      <c r="D5235" s="18" t="s">
        <v>1610</v>
      </c>
      <c r="E5235" s="18">
        <v>3</v>
      </c>
      <c r="F5235" s="18" t="s">
        <v>56</v>
      </c>
      <c r="G5235" s="18" t="s">
        <v>39</v>
      </c>
      <c r="H5235" s="18" t="s">
        <v>23</v>
      </c>
      <c r="I5235" s="19">
        <v>163.44999999999999</v>
      </c>
      <c r="J5235" s="40">
        <f t="shared" si="162"/>
        <v>490.34999999999997</v>
      </c>
      <c r="K5235" s="106"/>
      <c r="L5235" s="114"/>
      <c r="M5235" s="114">
        <f>tblAquisições[[#This Row],[VALOR UNITARIO COMPRADO]]*tblAquisições[[#This Row],[QUANTIDADE COMPRADA]]</f>
        <v>0</v>
      </c>
      <c r="N5235" s="110">
        <f>K5235-tblAquisições[[#This Row],[QUANTIDADE PLANEJADA]]</f>
        <v>-3</v>
      </c>
      <c r="O5235" s="106" t="str">
        <f t="shared" si="163"/>
        <v>Faltando Comprar</v>
      </c>
    </row>
    <row r="5236" spans="1:15" ht="31.5">
      <c r="A5236" s="16" t="s">
        <v>2900</v>
      </c>
      <c r="B5236" s="16" t="s">
        <v>2906</v>
      </c>
      <c r="C5236" s="17" t="s">
        <v>19</v>
      </c>
      <c r="D5236" s="18" t="s">
        <v>1610</v>
      </c>
      <c r="E5236" s="18">
        <v>50</v>
      </c>
      <c r="F5236" s="18" t="s">
        <v>56</v>
      </c>
      <c r="G5236" s="18" t="s">
        <v>39</v>
      </c>
      <c r="H5236" s="18" t="s">
        <v>23</v>
      </c>
      <c r="I5236" s="19">
        <v>163.44999999999999</v>
      </c>
      <c r="J5236" s="40">
        <f t="shared" si="162"/>
        <v>8172.4999999999991</v>
      </c>
      <c r="K5236" s="106"/>
      <c r="L5236" s="114"/>
      <c r="M5236" s="114">
        <f>tblAquisições[[#This Row],[VALOR UNITARIO COMPRADO]]*tblAquisições[[#This Row],[QUANTIDADE COMPRADA]]</f>
        <v>0</v>
      </c>
      <c r="N5236" s="110">
        <f>K5236-tblAquisições[[#This Row],[QUANTIDADE PLANEJADA]]</f>
        <v>-50</v>
      </c>
      <c r="O5236" s="106" t="str">
        <f t="shared" si="163"/>
        <v>Faltando Comprar</v>
      </c>
    </row>
    <row r="5237" spans="1:15" ht="31.5">
      <c r="A5237" s="16" t="s">
        <v>2900</v>
      </c>
      <c r="B5237" s="16" t="s">
        <v>2906</v>
      </c>
      <c r="C5237" s="17" t="s">
        <v>19</v>
      </c>
      <c r="D5237" s="18" t="s">
        <v>2987</v>
      </c>
      <c r="E5237" s="18">
        <v>100</v>
      </c>
      <c r="F5237" s="18" t="s">
        <v>56</v>
      </c>
      <c r="G5237" s="18" t="s">
        <v>39</v>
      </c>
      <c r="H5237" s="18" t="s">
        <v>23</v>
      </c>
      <c r="I5237" s="19">
        <v>174.22</v>
      </c>
      <c r="J5237" s="40">
        <f t="shared" si="162"/>
        <v>17422</v>
      </c>
      <c r="K5237" s="106"/>
      <c r="L5237" s="114"/>
      <c r="M5237" s="114">
        <f>tblAquisições[[#This Row],[VALOR UNITARIO COMPRADO]]*tblAquisições[[#This Row],[QUANTIDADE COMPRADA]]</f>
        <v>0</v>
      </c>
      <c r="N5237" s="110">
        <f>K5237-tblAquisições[[#This Row],[QUANTIDADE PLANEJADA]]</f>
        <v>-100</v>
      </c>
      <c r="O5237" s="106" t="str">
        <f t="shared" si="163"/>
        <v>Faltando Comprar</v>
      </c>
    </row>
    <row r="5238" spans="1:15" ht="31.5">
      <c r="A5238" s="16" t="s">
        <v>2900</v>
      </c>
      <c r="B5238" s="16" t="s">
        <v>2906</v>
      </c>
      <c r="C5238" s="17" t="s">
        <v>19</v>
      </c>
      <c r="D5238" s="18" t="s">
        <v>1624</v>
      </c>
      <c r="E5238" s="18">
        <v>10</v>
      </c>
      <c r="F5238" s="18" t="s">
        <v>56</v>
      </c>
      <c r="G5238" s="18" t="s">
        <v>39</v>
      </c>
      <c r="H5238" s="18" t="s">
        <v>23</v>
      </c>
      <c r="I5238" s="19">
        <v>25.52</v>
      </c>
      <c r="J5238" s="40">
        <f t="shared" si="162"/>
        <v>255.2</v>
      </c>
      <c r="K5238" s="106"/>
      <c r="L5238" s="114"/>
      <c r="M5238" s="114">
        <f>tblAquisições[[#This Row],[VALOR UNITARIO COMPRADO]]*tblAquisições[[#This Row],[QUANTIDADE COMPRADA]]</f>
        <v>0</v>
      </c>
      <c r="N5238" s="110">
        <f>K5238-tblAquisições[[#This Row],[QUANTIDADE PLANEJADA]]</f>
        <v>-10</v>
      </c>
      <c r="O5238" s="106" t="str">
        <f t="shared" si="163"/>
        <v>Faltando Comprar</v>
      </c>
    </row>
    <row r="5239" spans="1:15" ht="31.5">
      <c r="A5239" s="16" t="s">
        <v>2900</v>
      </c>
      <c r="B5239" s="16" t="s">
        <v>2906</v>
      </c>
      <c r="C5239" s="17" t="s">
        <v>19</v>
      </c>
      <c r="D5239" s="18" t="s">
        <v>2988</v>
      </c>
      <c r="E5239" s="18">
        <v>50</v>
      </c>
      <c r="F5239" s="18" t="s">
        <v>56</v>
      </c>
      <c r="G5239" s="18" t="s">
        <v>39</v>
      </c>
      <c r="H5239" s="18" t="s">
        <v>23</v>
      </c>
      <c r="I5239" s="19">
        <v>148.30000000000001</v>
      </c>
      <c r="J5239" s="40">
        <f t="shared" si="162"/>
        <v>7415.0000000000009</v>
      </c>
      <c r="K5239" s="106"/>
      <c r="L5239" s="114"/>
      <c r="M5239" s="114">
        <f>tblAquisições[[#This Row],[VALOR UNITARIO COMPRADO]]*tblAquisições[[#This Row],[QUANTIDADE COMPRADA]]</f>
        <v>0</v>
      </c>
      <c r="N5239" s="110">
        <f>K5239-tblAquisições[[#This Row],[QUANTIDADE PLANEJADA]]</f>
        <v>-50</v>
      </c>
      <c r="O5239" s="106" t="str">
        <f t="shared" si="163"/>
        <v>Faltando Comprar</v>
      </c>
    </row>
    <row r="5240" spans="1:15" ht="47.25">
      <c r="A5240" s="16" t="s">
        <v>2900</v>
      </c>
      <c r="B5240" s="16" t="s">
        <v>2901</v>
      </c>
      <c r="C5240" s="17" t="s">
        <v>19</v>
      </c>
      <c r="D5240" s="18" t="s">
        <v>1629</v>
      </c>
      <c r="E5240" s="18">
        <v>2</v>
      </c>
      <c r="F5240" s="18" t="s">
        <v>191</v>
      </c>
      <c r="G5240" s="18" t="s">
        <v>39</v>
      </c>
      <c r="H5240" s="18" t="s">
        <v>23</v>
      </c>
      <c r="I5240" s="19">
        <v>33.19</v>
      </c>
      <c r="J5240" s="40">
        <f t="shared" si="162"/>
        <v>66.38</v>
      </c>
      <c r="K5240" s="106"/>
      <c r="L5240" s="114"/>
      <c r="M5240" s="114">
        <f>tblAquisições[[#This Row],[VALOR UNITARIO COMPRADO]]*tblAquisições[[#This Row],[QUANTIDADE COMPRADA]]</f>
        <v>0</v>
      </c>
      <c r="N5240" s="110">
        <f>K5240-tblAquisições[[#This Row],[QUANTIDADE PLANEJADA]]</f>
        <v>-2</v>
      </c>
      <c r="O5240" s="106" t="str">
        <f t="shared" si="163"/>
        <v>Faltando Comprar</v>
      </c>
    </row>
    <row r="5241" spans="1:15" ht="31.5">
      <c r="A5241" s="16" t="s">
        <v>2900</v>
      </c>
      <c r="B5241" s="16" t="s">
        <v>2906</v>
      </c>
      <c r="C5241" s="17" t="s">
        <v>19</v>
      </c>
      <c r="D5241" s="18" t="s">
        <v>2989</v>
      </c>
      <c r="E5241" s="18">
        <v>50</v>
      </c>
      <c r="F5241" s="18" t="s">
        <v>56</v>
      </c>
      <c r="G5241" s="18" t="s">
        <v>39</v>
      </c>
      <c r="H5241" s="18" t="s">
        <v>23</v>
      </c>
      <c r="I5241" s="19">
        <v>191.09</v>
      </c>
      <c r="J5241" s="40">
        <f t="shared" si="162"/>
        <v>9554.5</v>
      </c>
      <c r="K5241" s="106"/>
      <c r="L5241" s="114"/>
      <c r="M5241" s="114">
        <f>tblAquisições[[#This Row],[VALOR UNITARIO COMPRADO]]*tblAquisições[[#This Row],[QUANTIDADE COMPRADA]]</f>
        <v>0</v>
      </c>
      <c r="N5241" s="110">
        <f>K5241-tblAquisições[[#This Row],[QUANTIDADE PLANEJADA]]</f>
        <v>-50</v>
      </c>
      <c r="O5241" s="106" t="str">
        <f t="shared" si="163"/>
        <v>Faltando Comprar</v>
      </c>
    </row>
    <row r="5242" spans="1:15" ht="31.5">
      <c r="A5242" s="16" t="s">
        <v>2900</v>
      </c>
      <c r="B5242" s="16" t="s">
        <v>2906</v>
      </c>
      <c r="C5242" s="17" t="s">
        <v>19</v>
      </c>
      <c r="D5242" s="18" t="s">
        <v>2990</v>
      </c>
      <c r="E5242" s="18">
        <v>30</v>
      </c>
      <c r="F5242" s="18" t="s">
        <v>56</v>
      </c>
      <c r="G5242" s="18" t="s">
        <v>39</v>
      </c>
      <c r="H5242" s="18" t="s">
        <v>23</v>
      </c>
      <c r="I5242" s="19">
        <v>41.54</v>
      </c>
      <c r="J5242" s="40">
        <f t="shared" si="162"/>
        <v>1246.2</v>
      </c>
      <c r="K5242" s="106"/>
      <c r="L5242" s="114"/>
      <c r="M5242" s="114">
        <f>tblAquisições[[#This Row],[VALOR UNITARIO COMPRADO]]*tblAquisições[[#This Row],[QUANTIDADE COMPRADA]]</f>
        <v>0</v>
      </c>
      <c r="N5242" s="110">
        <f>K5242-tblAquisições[[#This Row],[QUANTIDADE PLANEJADA]]</f>
        <v>-30</v>
      </c>
      <c r="O5242" s="106" t="str">
        <f t="shared" si="163"/>
        <v>Faltando Comprar</v>
      </c>
    </row>
    <row r="5243" spans="1:15" ht="31.5">
      <c r="A5243" s="16" t="s">
        <v>2900</v>
      </c>
      <c r="B5243" s="16" t="s">
        <v>2906</v>
      </c>
      <c r="C5243" s="17" t="s">
        <v>19</v>
      </c>
      <c r="D5243" s="18" t="s">
        <v>2991</v>
      </c>
      <c r="E5243" s="18">
        <v>100</v>
      </c>
      <c r="F5243" s="18" t="s">
        <v>56</v>
      </c>
      <c r="G5243" s="18" t="s">
        <v>39</v>
      </c>
      <c r="H5243" s="18" t="s">
        <v>23</v>
      </c>
      <c r="I5243" s="19">
        <v>77.5</v>
      </c>
      <c r="J5243" s="40">
        <f t="shared" si="162"/>
        <v>7750</v>
      </c>
      <c r="K5243" s="106"/>
      <c r="L5243" s="114"/>
      <c r="M5243" s="114">
        <f>tblAquisições[[#This Row],[VALOR UNITARIO COMPRADO]]*tblAquisições[[#This Row],[QUANTIDADE COMPRADA]]</f>
        <v>0</v>
      </c>
      <c r="N5243" s="110">
        <f>K5243-tblAquisições[[#This Row],[QUANTIDADE PLANEJADA]]</f>
        <v>-100</v>
      </c>
      <c r="O5243" s="106" t="str">
        <f t="shared" si="163"/>
        <v>Faltando Comprar</v>
      </c>
    </row>
    <row r="5244" spans="1:15" ht="31.5">
      <c r="A5244" s="16" t="s">
        <v>2900</v>
      </c>
      <c r="B5244" s="16" t="s">
        <v>2906</v>
      </c>
      <c r="C5244" s="17" t="s">
        <v>19</v>
      </c>
      <c r="D5244" s="18" t="s">
        <v>2992</v>
      </c>
      <c r="E5244" s="18">
        <v>30</v>
      </c>
      <c r="F5244" s="18" t="s">
        <v>56</v>
      </c>
      <c r="G5244" s="18" t="s">
        <v>39</v>
      </c>
      <c r="H5244" s="18" t="s">
        <v>23</v>
      </c>
      <c r="I5244" s="19">
        <v>465</v>
      </c>
      <c r="J5244" s="40">
        <f t="shared" si="162"/>
        <v>13950</v>
      </c>
      <c r="K5244" s="106"/>
      <c r="L5244" s="114"/>
      <c r="M5244" s="114">
        <f>tblAquisições[[#This Row],[VALOR UNITARIO COMPRADO]]*tblAquisições[[#This Row],[QUANTIDADE COMPRADA]]</f>
        <v>0</v>
      </c>
      <c r="N5244" s="110">
        <f>K5244-tblAquisições[[#This Row],[QUANTIDADE PLANEJADA]]</f>
        <v>-30</v>
      </c>
      <c r="O5244" s="106" t="str">
        <f t="shared" si="163"/>
        <v>Faltando Comprar</v>
      </c>
    </row>
    <row r="5245" spans="1:15" ht="31.5">
      <c r="A5245" s="16" t="s">
        <v>2900</v>
      </c>
      <c r="B5245" s="16" t="s">
        <v>2906</v>
      </c>
      <c r="C5245" s="17" t="s">
        <v>19</v>
      </c>
      <c r="D5245" s="18" t="s">
        <v>2993</v>
      </c>
      <c r="E5245" s="18">
        <v>20</v>
      </c>
      <c r="F5245" s="18" t="s">
        <v>56</v>
      </c>
      <c r="G5245" s="18" t="s">
        <v>39</v>
      </c>
      <c r="H5245" s="18" t="s">
        <v>23</v>
      </c>
      <c r="I5245" s="19">
        <v>20.83</v>
      </c>
      <c r="J5245" s="40">
        <f t="shared" si="162"/>
        <v>416.59999999999997</v>
      </c>
      <c r="K5245" s="106"/>
      <c r="L5245" s="114"/>
      <c r="M5245" s="114">
        <f>tblAquisições[[#This Row],[VALOR UNITARIO COMPRADO]]*tblAquisições[[#This Row],[QUANTIDADE COMPRADA]]</f>
        <v>0</v>
      </c>
      <c r="N5245" s="110">
        <f>K5245-tblAquisições[[#This Row],[QUANTIDADE PLANEJADA]]</f>
        <v>-20</v>
      </c>
      <c r="O5245" s="106" t="str">
        <f t="shared" si="163"/>
        <v>Faltando Comprar</v>
      </c>
    </row>
    <row r="5246" spans="1:15" ht="31.5">
      <c r="A5246" s="16" t="s">
        <v>2900</v>
      </c>
      <c r="B5246" s="16" t="s">
        <v>2906</v>
      </c>
      <c r="C5246" s="17" t="s">
        <v>19</v>
      </c>
      <c r="D5246" s="18" t="s">
        <v>2994</v>
      </c>
      <c r="E5246" s="18">
        <v>50</v>
      </c>
      <c r="F5246" s="18" t="s">
        <v>56</v>
      </c>
      <c r="G5246" s="18" t="s">
        <v>39</v>
      </c>
      <c r="H5246" s="18" t="s">
        <v>23</v>
      </c>
      <c r="I5246" s="19">
        <v>38.020000000000003</v>
      </c>
      <c r="J5246" s="40">
        <f t="shared" si="162"/>
        <v>1901.0000000000002</v>
      </c>
      <c r="K5246" s="106"/>
      <c r="L5246" s="114"/>
      <c r="M5246" s="114">
        <f>tblAquisições[[#This Row],[VALOR UNITARIO COMPRADO]]*tblAquisições[[#This Row],[QUANTIDADE COMPRADA]]</f>
        <v>0</v>
      </c>
      <c r="N5246" s="110">
        <f>K5246-tblAquisições[[#This Row],[QUANTIDADE PLANEJADA]]</f>
        <v>-50</v>
      </c>
      <c r="O5246" s="106" t="str">
        <f t="shared" si="163"/>
        <v>Faltando Comprar</v>
      </c>
    </row>
    <row r="5247" spans="1:15" ht="31.5">
      <c r="A5247" s="16" t="s">
        <v>2900</v>
      </c>
      <c r="B5247" s="16" t="s">
        <v>2906</v>
      </c>
      <c r="C5247" s="17" t="s">
        <v>19</v>
      </c>
      <c r="D5247" s="18" t="s">
        <v>2995</v>
      </c>
      <c r="E5247" s="18">
        <v>50</v>
      </c>
      <c r="F5247" s="18" t="s">
        <v>82</v>
      </c>
      <c r="G5247" s="18" t="s">
        <v>39</v>
      </c>
      <c r="H5247" s="18" t="s">
        <v>23</v>
      </c>
      <c r="I5247" s="19">
        <v>48.49</v>
      </c>
      <c r="J5247" s="40">
        <f t="shared" si="162"/>
        <v>2424.5</v>
      </c>
      <c r="K5247" s="106"/>
      <c r="L5247" s="114"/>
      <c r="M5247" s="114">
        <f>tblAquisições[[#This Row],[VALOR UNITARIO COMPRADO]]*tblAquisições[[#This Row],[QUANTIDADE COMPRADA]]</f>
        <v>0</v>
      </c>
      <c r="N5247" s="110">
        <f>K5247-tblAquisições[[#This Row],[QUANTIDADE PLANEJADA]]</f>
        <v>-50</v>
      </c>
      <c r="O5247" s="106" t="str">
        <f t="shared" si="163"/>
        <v>Faltando Comprar</v>
      </c>
    </row>
    <row r="5248" spans="1:15" ht="31.5">
      <c r="A5248" s="16" t="s">
        <v>2900</v>
      </c>
      <c r="B5248" s="16" t="s">
        <v>2906</v>
      </c>
      <c r="C5248" s="17" t="s">
        <v>19</v>
      </c>
      <c r="D5248" s="18" t="s">
        <v>2996</v>
      </c>
      <c r="E5248" s="18">
        <v>50</v>
      </c>
      <c r="F5248" s="18" t="s">
        <v>56</v>
      </c>
      <c r="G5248" s="18" t="s">
        <v>39</v>
      </c>
      <c r="H5248" s="18" t="s">
        <v>23</v>
      </c>
      <c r="I5248" s="19">
        <v>47.67</v>
      </c>
      <c r="J5248" s="40">
        <f t="shared" si="162"/>
        <v>2383.5</v>
      </c>
      <c r="K5248" s="106"/>
      <c r="L5248" s="114"/>
      <c r="M5248" s="114">
        <f>tblAquisições[[#This Row],[VALOR UNITARIO COMPRADO]]*tblAquisições[[#This Row],[QUANTIDADE COMPRADA]]</f>
        <v>0</v>
      </c>
      <c r="N5248" s="110">
        <f>K5248-tblAquisições[[#This Row],[QUANTIDADE PLANEJADA]]</f>
        <v>-50</v>
      </c>
      <c r="O5248" s="106" t="str">
        <f t="shared" si="163"/>
        <v>Faltando Comprar</v>
      </c>
    </row>
    <row r="5249" spans="1:15" ht="31.5">
      <c r="A5249" s="16" t="s">
        <v>2900</v>
      </c>
      <c r="B5249" s="16" t="s">
        <v>2906</v>
      </c>
      <c r="C5249" s="17" t="s">
        <v>19</v>
      </c>
      <c r="D5249" s="18" t="s">
        <v>2997</v>
      </c>
      <c r="E5249" s="18">
        <v>100</v>
      </c>
      <c r="F5249" s="18" t="s">
        <v>56</v>
      </c>
      <c r="G5249" s="18" t="s">
        <v>39</v>
      </c>
      <c r="H5249" s="18" t="s">
        <v>23</v>
      </c>
      <c r="I5249" s="19">
        <v>35.07</v>
      </c>
      <c r="J5249" s="40">
        <f t="shared" si="162"/>
        <v>3507</v>
      </c>
      <c r="K5249" s="106"/>
      <c r="L5249" s="114"/>
      <c r="M5249" s="114">
        <f>tblAquisições[[#This Row],[VALOR UNITARIO COMPRADO]]*tblAquisições[[#This Row],[QUANTIDADE COMPRADA]]</f>
        <v>0</v>
      </c>
      <c r="N5249" s="110">
        <f>K5249-tblAquisições[[#This Row],[QUANTIDADE PLANEJADA]]</f>
        <v>-100</v>
      </c>
      <c r="O5249" s="106" t="str">
        <f t="shared" si="163"/>
        <v>Faltando Comprar</v>
      </c>
    </row>
    <row r="5250" spans="1:15" ht="31.5">
      <c r="A5250" s="16" t="s">
        <v>2900</v>
      </c>
      <c r="B5250" s="16" t="s">
        <v>2906</v>
      </c>
      <c r="C5250" s="17" t="s">
        <v>19</v>
      </c>
      <c r="D5250" s="18" t="s">
        <v>2998</v>
      </c>
      <c r="E5250" s="18">
        <v>100</v>
      </c>
      <c r="F5250" s="18" t="s">
        <v>56</v>
      </c>
      <c r="G5250" s="18" t="s">
        <v>39</v>
      </c>
      <c r="H5250" s="18" t="s">
        <v>23</v>
      </c>
      <c r="I5250" s="19">
        <v>32.19</v>
      </c>
      <c r="J5250" s="40">
        <f t="shared" ref="J5250:J5313" si="164">E5250*I5250</f>
        <v>3219</v>
      </c>
      <c r="K5250" s="106"/>
      <c r="L5250" s="114"/>
      <c r="M5250" s="114">
        <f>tblAquisições[[#This Row],[VALOR UNITARIO COMPRADO]]*tblAquisições[[#This Row],[QUANTIDADE COMPRADA]]</f>
        <v>0</v>
      </c>
      <c r="N5250" s="110">
        <f>K5250-tblAquisições[[#This Row],[QUANTIDADE PLANEJADA]]</f>
        <v>-100</v>
      </c>
      <c r="O5250" s="106" t="str">
        <f t="shared" ref="O5250:O5313" si="165">IF(K5250=E5250,"OK",IF(K5250&lt;E5250,"Faltando Comprar","Excedente"))</f>
        <v>Faltando Comprar</v>
      </c>
    </row>
    <row r="5251" spans="1:15" ht="31.5">
      <c r="A5251" s="16" t="s">
        <v>2900</v>
      </c>
      <c r="B5251" s="16" t="s">
        <v>2906</v>
      </c>
      <c r="C5251" s="17" t="s">
        <v>19</v>
      </c>
      <c r="D5251" s="18" t="s">
        <v>2999</v>
      </c>
      <c r="E5251" s="18">
        <v>30</v>
      </c>
      <c r="F5251" s="18" t="s">
        <v>56</v>
      </c>
      <c r="G5251" s="18" t="s">
        <v>39</v>
      </c>
      <c r="H5251" s="18" t="s">
        <v>23</v>
      </c>
      <c r="I5251" s="19">
        <v>99.64</v>
      </c>
      <c r="J5251" s="40">
        <f t="shared" si="164"/>
        <v>2989.2</v>
      </c>
      <c r="K5251" s="106"/>
      <c r="L5251" s="114"/>
      <c r="M5251" s="114">
        <f>tblAquisições[[#This Row],[VALOR UNITARIO COMPRADO]]*tblAquisições[[#This Row],[QUANTIDADE COMPRADA]]</f>
        <v>0</v>
      </c>
      <c r="N5251" s="110">
        <f>K5251-tblAquisições[[#This Row],[QUANTIDADE PLANEJADA]]</f>
        <v>-30</v>
      </c>
      <c r="O5251" s="106" t="str">
        <f t="shared" si="165"/>
        <v>Faltando Comprar</v>
      </c>
    </row>
    <row r="5252" spans="1:15" ht="31.5">
      <c r="A5252" s="16" t="s">
        <v>2900</v>
      </c>
      <c r="B5252" s="16" t="s">
        <v>2906</v>
      </c>
      <c r="C5252" s="17" t="s">
        <v>19</v>
      </c>
      <c r="D5252" s="18" t="s">
        <v>3000</v>
      </c>
      <c r="E5252" s="18">
        <v>30</v>
      </c>
      <c r="F5252" s="18" t="s">
        <v>56</v>
      </c>
      <c r="G5252" s="18" t="s">
        <v>39</v>
      </c>
      <c r="H5252" s="18" t="s">
        <v>23</v>
      </c>
      <c r="I5252" s="19">
        <v>82.81</v>
      </c>
      <c r="J5252" s="40">
        <f t="shared" si="164"/>
        <v>2484.3000000000002</v>
      </c>
      <c r="K5252" s="106"/>
      <c r="L5252" s="114"/>
      <c r="M5252" s="114">
        <f>tblAquisições[[#This Row],[VALOR UNITARIO COMPRADO]]*tblAquisições[[#This Row],[QUANTIDADE COMPRADA]]</f>
        <v>0</v>
      </c>
      <c r="N5252" s="110">
        <f>K5252-tblAquisições[[#This Row],[QUANTIDADE PLANEJADA]]</f>
        <v>-30</v>
      </c>
      <c r="O5252" s="106" t="str">
        <f t="shared" si="165"/>
        <v>Faltando Comprar</v>
      </c>
    </row>
    <row r="5253" spans="1:15" ht="31.5">
      <c r="A5253" s="16" t="s">
        <v>2900</v>
      </c>
      <c r="B5253" s="16" t="s">
        <v>2906</v>
      </c>
      <c r="C5253" s="17" t="s">
        <v>19</v>
      </c>
      <c r="D5253" s="18" t="s">
        <v>3001</v>
      </c>
      <c r="E5253" s="18">
        <v>30</v>
      </c>
      <c r="F5253" s="18" t="s">
        <v>56</v>
      </c>
      <c r="G5253" s="18" t="s">
        <v>39</v>
      </c>
      <c r="H5253" s="18" t="s">
        <v>23</v>
      </c>
      <c r="I5253" s="19">
        <v>144.1</v>
      </c>
      <c r="J5253" s="40">
        <f t="shared" si="164"/>
        <v>4323</v>
      </c>
      <c r="K5253" s="106"/>
      <c r="L5253" s="114"/>
      <c r="M5253" s="114">
        <f>tblAquisições[[#This Row],[VALOR UNITARIO COMPRADO]]*tblAquisições[[#This Row],[QUANTIDADE COMPRADA]]</f>
        <v>0</v>
      </c>
      <c r="N5253" s="110">
        <f>K5253-tblAquisições[[#This Row],[QUANTIDADE PLANEJADA]]</f>
        <v>-30</v>
      </c>
      <c r="O5253" s="106" t="str">
        <f t="shared" si="165"/>
        <v>Faltando Comprar</v>
      </c>
    </row>
    <row r="5254" spans="1:15" ht="31.5">
      <c r="A5254" s="16" t="s">
        <v>2900</v>
      </c>
      <c r="B5254" s="16" t="s">
        <v>2906</v>
      </c>
      <c r="C5254" s="17" t="s">
        <v>19</v>
      </c>
      <c r="D5254" s="18" t="s">
        <v>1772</v>
      </c>
      <c r="E5254" s="18">
        <v>50</v>
      </c>
      <c r="F5254" s="18" t="s">
        <v>56</v>
      </c>
      <c r="G5254" s="18" t="s">
        <v>39</v>
      </c>
      <c r="H5254" s="18" t="s">
        <v>23</v>
      </c>
      <c r="I5254" s="19">
        <v>265.23</v>
      </c>
      <c r="J5254" s="40">
        <f t="shared" si="164"/>
        <v>13261.5</v>
      </c>
      <c r="K5254" s="106"/>
      <c r="L5254" s="114"/>
      <c r="M5254" s="114">
        <f>tblAquisições[[#This Row],[VALOR UNITARIO COMPRADO]]*tblAquisições[[#This Row],[QUANTIDADE COMPRADA]]</f>
        <v>0</v>
      </c>
      <c r="N5254" s="110">
        <f>K5254-tblAquisições[[#This Row],[QUANTIDADE PLANEJADA]]</f>
        <v>-50</v>
      </c>
      <c r="O5254" s="106" t="str">
        <f t="shared" si="165"/>
        <v>Faltando Comprar</v>
      </c>
    </row>
    <row r="5255" spans="1:15" ht="31.5">
      <c r="A5255" s="16" t="s">
        <v>2900</v>
      </c>
      <c r="B5255" s="16" t="s">
        <v>2901</v>
      </c>
      <c r="C5255" s="17" t="s">
        <v>19</v>
      </c>
      <c r="D5255" s="18" t="s">
        <v>1814</v>
      </c>
      <c r="E5255" s="18">
        <v>3</v>
      </c>
      <c r="F5255" s="18" t="s">
        <v>56</v>
      </c>
      <c r="G5255" s="18" t="s">
        <v>39</v>
      </c>
      <c r="H5255" s="18" t="s">
        <v>23</v>
      </c>
      <c r="I5255" s="19">
        <v>9.5</v>
      </c>
      <c r="J5255" s="40">
        <f t="shared" si="164"/>
        <v>28.5</v>
      </c>
      <c r="K5255" s="106"/>
      <c r="L5255" s="114"/>
      <c r="M5255" s="114">
        <f>tblAquisições[[#This Row],[VALOR UNITARIO COMPRADO]]*tblAquisições[[#This Row],[QUANTIDADE COMPRADA]]</f>
        <v>0</v>
      </c>
      <c r="N5255" s="110">
        <f>K5255-tblAquisições[[#This Row],[QUANTIDADE PLANEJADA]]</f>
        <v>-3</v>
      </c>
      <c r="O5255" s="106" t="str">
        <f t="shared" si="165"/>
        <v>Faltando Comprar</v>
      </c>
    </row>
    <row r="5256" spans="1:15" ht="31.5">
      <c r="A5256" s="16" t="s">
        <v>2900</v>
      </c>
      <c r="B5256" s="16" t="s">
        <v>2906</v>
      </c>
      <c r="C5256" s="17" t="s">
        <v>19</v>
      </c>
      <c r="D5256" s="18" t="s">
        <v>1814</v>
      </c>
      <c r="E5256" s="18">
        <v>100</v>
      </c>
      <c r="F5256" s="18" t="s">
        <v>56</v>
      </c>
      <c r="G5256" s="18" t="s">
        <v>39</v>
      </c>
      <c r="H5256" s="18" t="s">
        <v>23</v>
      </c>
      <c r="I5256" s="19">
        <v>9.5</v>
      </c>
      <c r="J5256" s="40">
        <f t="shared" si="164"/>
        <v>950</v>
      </c>
      <c r="K5256" s="106"/>
      <c r="L5256" s="114"/>
      <c r="M5256" s="114">
        <f>tblAquisições[[#This Row],[VALOR UNITARIO COMPRADO]]*tblAquisições[[#This Row],[QUANTIDADE COMPRADA]]</f>
        <v>0</v>
      </c>
      <c r="N5256" s="110">
        <f>K5256-tblAquisições[[#This Row],[QUANTIDADE PLANEJADA]]</f>
        <v>-100</v>
      </c>
      <c r="O5256" s="106" t="str">
        <f t="shared" si="165"/>
        <v>Faltando Comprar</v>
      </c>
    </row>
    <row r="5257" spans="1:15" ht="47.25">
      <c r="A5257" s="16" t="s">
        <v>2900</v>
      </c>
      <c r="B5257" s="16" t="s">
        <v>2901</v>
      </c>
      <c r="C5257" s="17" t="s">
        <v>19</v>
      </c>
      <c r="D5257" s="18" t="s">
        <v>3002</v>
      </c>
      <c r="E5257" s="18">
        <v>12</v>
      </c>
      <c r="F5257" s="18" t="s">
        <v>96</v>
      </c>
      <c r="G5257" s="18" t="s">
        <v>39</v>
      </c>
      <c r="H5257" s="18" t="s">
        <v>23</v>
      </c>
      <c r="I5257" s="19">
        <v>67.790000000000006</v>
      </c>
      <c r="J5257" s="40">
        <f t="shared" si="164"/>
        <v>813.48</v>
      </c>
      <c r="K5257" s="106"/>
      <c r="L5257" s="114"/>
      <c r="M5257" s="114">
        <f>tblAquisições[[#This Row],[VALOR UNITARIO COMPRADO]]*tblAquisições[[#This Row],[QUANTIDADE COMPRADA]]</f>
        <v>0</v>
      </c>
      <c r="N5257" s="110">
        <f>K5257-tblAquisições[[#This Row],[QUANTIDADE PLANEJADA]]</f>
        <v>-12</v>
      </c>
      <c r="O5257" s="106" t="str">
        <f t="shared" si="165"/>
        <v>Faltando Comprar</v>
      </c>
    </row>
    <row r="5258" spans="1:15" ht="31.5">
      <c r="A5258" s="16" t="s">
        <v>2900</v>
      </c>
      <c r="B5258" s="16" t="s">
        <v>2906</v>
      </c>
      <c r="C5258" s="17" t="s">
        <v>19</v>
      </c>
      <c r="D5258" s="18" t="s">
        <v>3003</v>
      </c>
      <c r="E5258" s="18">
        <v>100</v>
      </c>
      <c r="F5258" s="18" t="s">
        <v>56</v>
      </c>
      <c r="G5258" s="18" t="s">
        <v>39</v>
      </c>
      <c r="H5258" s="18" t="s">
        <v>23</v>
      </c>
      <c r="I5258" s="19">
        <v>67.67</v>
      </c>
      <c r="J5258" s="40">
        <f t="shared" si="164"/>
        <v>6767</v>
      </c>
      <c r="K5258" s="106"/>
      <c r="L5258" s="114"/>
      <c r="M5258" s="114">
        <f>tblAquisições[[#This Row],[VALOR UNITARIO COMPRADO]]*tblAquisições[[#This Row],[QUANTIDADE COMPRADA]]</f>
        <v>0</v>
      </c>
      <c r="N5258" s="110">
        <f>K5258-tblAquisições[[#This Row],[QUANTIDADE PLANEJADA]]</f>
        <v>-100</v>
      </c>
      <c r="O5258" s="106" t="str">
        <f t="shared" si="165"/>
        <v>Faltando Comprar</v>
      </c>
    </row>
    <row r="5259" spans="1:15" ht="31.5">
      <c r="A5259" s="16" t="s">
        <v>2900</v>
      </c>
      <c r="B5259" s="16" t="s">
        <v>2906</v>
      </c>
      <c r="C5259" s="17" t="s">
        <v>19</v>
      </c>
      <c r="D5259" s="18" t="s">
        <v>3004</v>
      </c>
      <c r="E5259" s="18">
        <v>30</v>
      </c>
      <c r="F5259" s="18" t="s">
        <v>56</v>
      </c>
      <c r="G5259" s="18" t="s">
        <v>39</v>
      </c>
      <c r="H5259" s="18" t="s">
        <v>23</v>
      </c>
      <c r="I5259" s="19">
        <v>64.989999999999995</v>
      </c>
      <c r="J5259" s="40">
        <f t="shared" si="164"/>
        <v>1949.6999999999998</v>
      </c>
      <c r="K5259" s="106"/>
      <c r="L5259" s="114"/>
      <c r="M5259" s="114">
        <f>tblAquisições[[#This Row],[VALOR UNITARIO COMPRADO]]*tblAquisições[[#This Row],[QUANTIDADE COMPRADA]]</f>
        <v>0</v>
      </c>
      <c r="N5259" s="110">
        <f>K5259-tblAquisições[[#This Row],[QUANTIDADE PLANEJADA]]</f>
        <v>-30</v>
      </c>
      <c r="O5259" s="106" t="str">
        <f t="shared" si="165"/>
        <v>Faltando Comprar</v>
      </c>
    </row>
    <row r="5260" spans="1:15" ht="31.5">
      <c r="A5260" s="16" t="s">
        <v>2900</v>
      </c>
      <c r="B5260" s="16" t="s">
        <v>2919</v>
      </c>
      <c r="C5260" s="17" t="s">
        <v>19</v>
      </c>
      <c r="D5260" s="18" t="s">
        <v>3005</v>
      </c>
      <c r="E5260" s="18">
        <v>8</v>
      </c>
      <c r="F5260" s="18" t="s">
        <v>56</v>
      </c>
      <c r="G5260" s="18" t="s">
        <v>39</v>
      </c>
      <c r="H5260" s="18" t="s">
        <v>23</v>
      </c>
      <c r="I5260" s="19">
        <v>183.65</v>
      </c>
      <c r="J5260" s="40">
        <f t="shared" si="164"/>
        <v>1469.2</v>
      </c>
      <c r="K5260" s="106"/>
      <c r="L5260" s="114"/>
      <c r="M5260" s="114">
        <f>tblAquisições[[#This Row],[VALOR UNITARIO COMPRADO]]*tblAquisições[[#This Row],[QUANTIDADE COMPRADA]]</f>
        <v>0</v>
      </c>
      <c r="N5260" s="110">
        <f>K5260-tblAquisições[[#This Row],[QUANTIDADE PLANEJADA]]</f>
        <v>-8</v>
      </c>
      <c r="O5260" s="106" t="str">
        <f t="shared" si="165"/>
        <v>Faltando Comprar</v>
      </c>
    </row>
    <row r="5261" spans="1:15" ht="31.5">
      <c r="A5261" s="16" t="s">
        <v>2900</v>
      </c>
      <c r="B5261" s="16" t="s">
        <v>2906</v>
      </c>
      <c r="C5261" s="17" t="s">
        <v>19</v>
      </c>
      <c r="D5261" s="18" t="s">
        <v>3006</v>
      </c>
      <c r="E5261" s="18">
        <v>10</v>
      </c>
      <c r="F5261" s="18" t="s">
        <v>56</v>
      </c>
      <c r="G5261" s="18" t="s">
        <v>39</v>
      </c>
      <c r="H5261" s="18" t="s">
        <v>23</v>
      </c>
      <c r="I5261" s="19">
        <v>72.400000000000006</v>
      </c>
      <c r="J5261" s="40">
        <f t="shared" si="164"/>
        <v>724</v>
      </c>
      <c r="K5261" s="106"/>
      <c r="L5261" s="114"/>
      <c r="M5261" s="114">
        <f>tblAquisições[[#This Row],[VALOR UNITARIO COMPRADO]]*tblAquisições[[#This Row],[QUANTIDADE COMPRADA]]</f>
        <v>0</v>
      </c>
      <c r="N5261" s="110">
        <f>K5261-tblAquisições[[#This Row],[QUANTIDADE PLANEJADA]]</f>
        <v>-10</v>
      </c>
      <c r="O5261" s="106" t="str">
        <f t="shared" si="165"/>
        <v>Faltando Comprar</v>
      </c>
    </row>
    <row r="5262" spans="1:15" ht="47.25">
      <c r="A5262" s="16" t="s">
        <v>2900</v>
      </c>
      <c r="B5262" s="16" t="s">
        <v>2901</v>
      </c>
      <c r="C5262" s="17" t="s">
        <v>19</v>
      </c>
      <c r="D5262" s="18" t="s">
        <v>3007</v>
      </c>
      <c r="E5262" s="18">
        <v>20</v>
      </c>
      <c r="F5262" s="18" t="s">
        <v>96</v>
      </c>
      <c r="G5262" s="18" t="s">
        <v>39</v>
      </c>
      <c r="H5262" s="18" t="s">
        <v>23</v>
      </c>
      <c r="I5262" s="19">
        <v>3.13</v>
      </c>
      <c r="J5262" s="40">
        <f t="shared" si="164"/>
        <v>62.599999999999994</v>
      </c>
      <c r="K5262" s="106"/>
      <c r="L5262" s="114"/>
      <c r="M5262" s="114">
        <f>tblAquisições[[#This Row],[VALOR UNITARIO COMPRADO]]*tblAquisições[[#This Row],[QUANTIDADE COMPRADA]]</f>
        <v>0</v>
      </c>
      <c r="N5262" s="110">
        <f>K5262-tblAquisições[[#This Row],[QUANTIDADE PLANEJADA]]</f>
        <v>-20</v>
      </c>
      <c r="O5262" s="106" t="str">
        <f t="shared" si="165"/>
        <v>Faltando Comprar</v>
      </c>
    </row>
    <row r="5263" spans="1:15" ht="31.5">
      <c r="A5263" s="16" t="s">
        <v>2900</v>
      </c>
      <c r="B5263" s="16" t="s">
        <v>2906</v>
      </c>
      <c r="C5263" s="17" t="s">
        <v>19</v>
      </c>
      <c r="D5263" s="18" t="s">
        <v>3008</v>
      </c>
      <c r="E5263" s="18">
        <v>30</v>
      </c>
      <c r="F5263" s="18" t="s">
        <v>56</v>
      </c>
      <c r="G5263" s="18" t="s">
        <v>39</v>
      </c>
      <c r="H5263" s="18" t="s">
        <v>23</v>
      </c>
      <c r="I5263" s="19">
        <v>205.62</v>
      </c>
      <c r="J5263" s="40">
        <f t="shared" si="164"/>
        <v>6168.6</v>
      </c>
      <c r="K5263" s="106"/>
      <c r="L5263" s="114"/>
      <c r="M5263" s="114">
        <f>tblAquisições[[#This Row],[VALOR UNITARIO COMPRADO]]*tblAquisições[[#This Row],[QUANTIDADE COMPRADA]]</f>
        <v>0</v>
      </c>
      <c r="N5263" s="110">
        <f>K5263-tblAquisições[[#This Row],[QUANTIDADE PLANEJADA]]</f>
        <v>-30</v>
      </c>
      <c r="O5263" s="106" t="str">
        <f t="shared" si="165"/>
        <v>Faltando Comprar</v>
      </c>
    </row>
    <row r="5264" spans="1:15" ht="31.5">
      <c r="A5264" s="16" t="s">
        <v>2900</v>
      </c>
      <c r="B5264" s="16" t="s">
        <v>2906</v>
      </c>
      <c r="C5264" s="17" t="s">
        <v>19</v>
      </c>
      <c r="D5264" s="18" t="s">
        <v>3009</v>
      </c>
      <c r="E5264" s="18">
        <v>30</v>
      </c>
      <c r="F5264" s="18" t="s">
        <v>56</v>
      </c>
      <c r="G5264" s="18" t="s">
        <v>39</v>
      </c>
      <c r="H5264" s="18" t="s">
        <v>23</v>
      </c>
      <c r="I5264" s="19">
        <v>365</v>
      </c>
      <c r="J5264" s="40">
        <f t="shared" si="164"/>
        <v>10950</v>
      </c>
      <c r="K5264" s="106"/>
      <c r="L5264" s="114"/>
      <c r="M5264" s="114">
        <f>tblAquisições[[#This Row],[VALOR UNITARIO COMPRADO]]*tblAquisições[[#This Row],[QUANTIDADE COMPRADA]]</f>
        <v>0</v>
      </c>
      <c r="N5264" s="110">
        <f>K5264-tblAquisições[[#This Row],[QUANTIDADE PLANEJADA]]</f>
        <v>-30</v>
      </c>
      <c r="O5264" s="106" t="str">
        <f t="shared" si="165"/>
        <v>Faltando Comprar</v>
      </c>
    </row>
    <row r="5265" spans="1:15" ht="47.25">
      <c r="A5265" s="16" t="s">
        <v>2900</v>
      </c>
      <c r="B5265" s="16" t="s">
        <v>2901</v>
      </c>
      <c r="C5265" s="17" t="s">
        <v>19</v>
      </c>
      <c r="D5265" s="18" t="s">
        <v>3010</v>
      </c>
      <c r="E5265" s="18">
        <v>5</v>
      </c>
      <c r="F5265" s="18" t="s">
        <v>191</v>
      </c>
      <c r="G5265" s="18" t="s">
        <v>39</v>
      </c>
      <c r="H5265" s="18" t="s">
        <v>23</v>
      </c>
      <c r="I5265" s="19">
        <v>4.8</v>
      </c>
      <c r="J5265" s="40">
        <f t="shared" si="164"/>
        <v>24</v>
      </c>
      <c r="K5265" s="106"/>
      <c r="L5265" s="114"/>
      <c r="M5265" s="114">
        <f>tblAquisições[[#This Row],[VALOR UNITARIO COMPRADO]]*tblAquisições[[#This Row],[QUANTIDADE COMPRADA]]</f>
        <v>0</v>
      </c>
      <c r="N5265" s="110">
        <f>K5265-tblAquisições[[#This Row],[QUANTIDADE PLANEJADA]]</f>
        <v>-5</v>
      </c>
      <c r="O5265" s="106" t="str">
        <f t="shared" si="165"/>
        <v>Faltando Comprar</v>
      </c>
    </row>
    <row r="5266" spans="1:15" ht="47.25">
      <c r="A5266" s="16" t="s">
        <v>2900</v>
      </c>
      <c r="B5266" s="16" t="s">
        <v>2906</v>
      </c>
      <c r="C5266" s="17" t="s">
        <v>19</v>
      </c>
      <c r="D5266" s="18" t="s">
        <v>3010</v>
      </c>
      <c r="E5266" s="18">
        <v>1</v>
      </c>
      <c r="F5266" s="18" t="s">
        <v>191</v>
      </c>
      <c r="G5266" s="18" t="s">
        <v>39</v>
      </c>
      <c r="H5266" s="18" t="s">
        <v>65</v>
      </c>
      <c r="I5266" s="24">
        <v>25.27</v>
      </c>
      <c r="J5266" s="40">
        <f t="shared" si="164"/>
        <v>25.27</v>
      </c>
      <c r="K5266" s="106"/>
      <c r="L5266" s="114"/>
      <c r="M5266" s="114">
        <f>tblAquisições[[#This Row],[VALOR UNITARIO COMPRADO]]*tblAquisições[[#This Row],[QUANTIDADE COMPRADA]]</f>
        <v>0</v>
      </c>
      <c r="N5266" s="110">
        <f>K5266-tblAquisições[[#This Row],[QUANTIDADE PLANEJADA]]</f>
        <v>-1</v>
      </c>
      <c r="O5266" s="106" t="str">
        <f t="shared" si="165"/>
        <v>Faltando Comprar</v>
      </c>
    </row>
    <row r="5267" spans="1:15" ht="47.25">
      <c r="A5267" s="16" t="s">
        <v>2900</v>
      </c>
      <c r="B5267" s="16" t="s">
        <v>2901</v>
      </c>
      <c r="C5267" s="17" t="s">
        <v>19</v>
      </c>
      <c r="D5267" s="18" t="s">
        <v>2826</v>
      </c>
      <c r="E5267" s="18">
        <v>30</v>
      </c>
      <c r="F5267" s="18" t="s">
        <v>191</v>
      </c>
      <c r="G5267" s="18" t="s">
        <v>39</v>
      </c>
      <c r="H5267" s="18" t="s">
        <v>23</v>
      </c>
      <c r="I5267" s="19">
        <v>6.12</v>
      </c>
      <c r="J5267" s="40">
        <f t="shared" si="164"/>
        <v>183.6</v>
      </c>
      <c r="K5267" s="106"/>
      <c r="L5267" s="114"/>
      <c r="M5267" s="114">
        <f>tblAquisições[[#This Row],[VALOR UNITARIO COMPRADO]]*tblAquisições[[#This Row],[QUANTIDADE COMPRADA]]</f>
        <v>0</v>
      </c>
      <c r="N5267" s="110">
        <f>K5267-tblAquisições[[#This Row],[QUANTIDADE PLANEJADA]]</f>
        <v>-30</v>
      </c>
      <c r="O5267" s="106" t="str">
        <f t="shared" si="165"/>
        <v>Faltando Comprar</v>
      </c>
    </row>
    <row r="5268" spans="1:15" ht="47.25">
      <c r="A5268" s="16" t="s">
        <v>2900</v>
      </c>
      <c r="B5268" s="16" t="s">
        <v>2901</v>
      </c>
      <c r="C5268" s="17" t="s">
        <v>19</v>
      </c>
      <c r="D5268" s="18" t="s">
        <v>3011</v>
      </c>
      <c r="E5268" s="18">
        <v>6</v>
      </c>
      <c r="F5268" s="18" t="s">
        <v>191</v>
      </c>
      <c r="G5268" s="18" t="s">
        <v>39</v>
      </c>
      <c r="H5268" s="18" t="s">
        <v>23</v>
      </c>
      <c r="I5268" s="19">
        <v>5.67</v>
      </c>
      <c r="J5268" s="40">
        <f t="shared" si="164"/>
        <v>34.019999999999996</v>
      </c>
      <c r="K5268" s="106"/>
      <c r="L5268" s="114"/>
      <c r="M5268" s="114">
        <f>tblAquisições[[#This Row],[VALOR UNITARIO COMPRADO]]*tblAquisições[[#This Row],[QUANTIDADE COMPRADA]]</f>
        <v>0</v>
      </c>
      <c r="N5268" s="110">
        <f>K5268-tblAquisições[[#This Row],[QUANTIDADE PLANEJADA]]</f>
        <v>-6</v>
      </c>
      <c r="O5268" s="106" t="str">
        <f t="shared" si="165"/>
        <v>Faltando Comprar</v>
      </c>
    </row>
    <row r="5269" spans="1:15" ht="31.5">
      <c r="A5269" s="16" t="s">
        <v>2900</v>
      </c>
      <c r="B5269" s="16" t="s">
        <v>2906</v>
      </c>
      <c r="C5269" s="17" t="s">
        <v>19</v>
      </c>
      <c r="D5269" s="18" t="s">
        <v>3012</v>
      </c>
      <c r="E5269" s="18">
        <v>50</v>
      </c>
      <c r="F5269" s="18" t="s">
        <v>56</v>
      </c>
      <c r="G5269" s="18" t="s">
        <v>39</v>
      </c>
      <c r="H5269" s="18" t="s">
        <v>23</v>
      </c>
      <c r="I5269" s="19">
        <v>232.35</v>
      </c>
      <c r="J5269" s="40">
        <f t="shared" si="164"/>
        <v>11617.5</v>
      </c>
      <c r="K5269" s="106"/>
      <c r="L5269" s="114"/>
      <c r="M5269" s="114">
        <f>tblAquisições[[#This Row],[VALOR UNITARIO COMPRADO]]*tblAquisições[[#This Row],[QUANTIDADE COMPRADA]]</f>
        <v>0</v>
      </c>
      <c r="N5269" s="110">
        <f>K5269-tblAquisições[[#This Row],[QUANTIDADE PLANEJADA]]</f>
        <v>-50</v>
      </c>
      <c r="O5269" s="106" t="str">
        <f t="shared" si="165"/>
        <v>Faltando Comprar</v>
      </c>
    </row>
    <row r="5270" spans="1:15" ht="31.5">
      <c r="A5270" s="16" t="s">
        <v>2900</v>
      </c>
      <c r="B5270" s="16" t="s">
        <v>2906</v>
      </c>
      <c r="C5270" s="17" t="s">
        <v>19</v>
      </c>
      <c r="D5270" s="18" t="s">
        <v>3013</v>
      </c>
      <c r="E5270" s="18">
        <v>50</v>
      </c>
      <c r="F5270" s="18" t="s">
        <v>56</v>
      </c>
      <c r="G5270" s="18" t="s">
        <v>39</v>
      </c>
      <c r="H5270" s="18" t="s">
        <v>23</v>
      </c>
      <c r="I5270" s="19">
        <v>71.010000000000005</v>
      </c>
      <c r="J5270" s="40">
        <f t="shared" si="164"/>
        <v>3550.5000000000005</v>
      </c>
      <c r="K5270" s="106"/>
      <c r="L5270" s="114"/>
      <c r="M5270" s="114">
        <f>tblAquisições[[#This Row],[VALOR UNITARIO COMPRADO]]*tblAquisições[[#This Row],[QUANTIDADE COMPRADA]]</f>
        <v>0</v>
      </c>
      <c r="N5270" s="110">
        <f>K5270-tblAquisições[[#This Row],[QUANTIDADE PLANEJADA]]</f>
        <v>-50</v>
      </c>
      <c r="O5270" s="106" t="str">
        <f t="shared" si="165"/>
        <v>Faltando Comprar</v>
      </c>
    </row>
    <row r="5271" spans="1:15" ht="31.5">
      <c r="A5271" s="16" t="s">
        <v>2900</v>
      </c>
      <c r="B5271" s="16" t="s">
        <v>2906</v>
      </c>
      <c r="C5271" s="17" t="s">
        <v>19</v>
      </c>
      <c r="D5271" s="18" t="s">
        <v>3014</v>
      </c>
      <c r="E5271" s="18">
        <v>50</v>
      </c>
      <c r="F5271" s="18" t="s">
        <v>56</v>
      </c>
      <c r="G5271" s="18" t="s">
        <v>39</v>
      </c>
      <c r="H5271" s="18" t="s">
        <v>23</v>
      </c>
      <c r="I5271" s="19">
        <v>515</v>
      </c>
      <c r="J5271" s="40">
        <f t="shared" si="164"/>
        <v>25750</v>
      </c>
      <c r="K5271" s="106"/>
      <c r="L5271" s="114"/>
      <c r="M5271" s="114">
        <f>tblAquisições[[#This Row],[VALOR UNITARIO COMPRADO]]*tblAquisições[[#This Row],[QUANTIDADE COMPRADA]]</f>
        <v>0</v>
      </c>
      <c r="N5271" s="110">
        <f>K5271-tblAquisições[[#This Row],[QUANTIDADE PLANEJADA]]</f>
        <v>-50</v>
      </c>
      <c r="O5271" s="106" t="str">
        <f t="shared" si="165"/>
        <v>Faltando Comprar</v>
      </c>
    </row>
    <row r="5272" spans="1:15" ht="63">
      <c r="A5272" s="16" t="s">
        <v>2900</v>
      </c>
      <c r="B5272" s="16" t="s">
        <v>2906</v>
      </c>
      <c r="C5272" s="17" t="s">
        <v>19</v>
      </c>
      <c r="D5272" s="18" t="s">
        <v>3015</v>
      </c>
      <c r="E5272" s="18">
        <v>20</v>
      </c>
      <c r="F5272" s="18" t="s">
        <v>56</v>
      </c>
      <c r="G5272" s="18" t="s">
        <v>39</v>
      </c>
      <c r="H5272" s="18" t="s">
        <v>23</v>
      </c>
      <c r="I5272" s="19">
        <v>183.84</v>
      </c>
      <c r="J5272" s="40">
        <f t="shared" si="164"/>
        <v>3676.8</v>
      </c>
      <c r="K5272" s="106"/>
      <c r="L5272" s="114"/>
      <c r="M5272" s="114">
        <f>tblAquisições[[#This Row],[VALOR UNITARIO COMPRADO]]*tblAquisições[[#This Row],[QUANTIDADE COMPRADA]]</f>
        <v>0</v>
      </c>
      <c r="N5272" s="110">
        <f>K5272-tblAquisições[[#This Row],[QUANTIDADE PLANEJADA]]</f>
        <v>-20</v>
      </c>
      <c r="O5272" s="106" t="str">
        <f t="shared" si="165"/>
        <v>Faltando Comprar</v>
      </c>
    </row>
    <row r="5273" spans="1:15" ht="63">
      <c r="A5273" s="16" t="s">
        <v>2900</v>
      </c>
      <c r="B5273" s="16" t="s">
        <v>2906</v>
      </c>
      <c r="C5273" s="17" t="s">
        <v>19</v>
      </c>
      <c r="D5273" s="18" t="s">
        <v>3016</v>
      </c>
      <c r="E5273" s="18">
        <v>9</v>
      </c>
      <c r="F5273" s="18" t="s">
        <v>56</v>
      </c>
      <c r="G5273" s="18" t="s">
        <v>39</v>
      </c>
      <c r="H5273" s="18" t="s">
        <v>23</v>
      </c>
      <c r="I5273" s="19">
        <v>175.96</v>
      </c>
      <c r="J5273" s="40">
        <f t="shared" si="164"/>
        <v>1583.64</v>
      </c>
      <c r="K5273" s="106"/>
      <c r="L5273" s="114"/>
      <c r="M5273" s="114">
        <f>tblAquisições[[#This Row],[VALOR UNITARIO COMPRADO]]*tblAquisições[[#This Row],[QUANTIDADE COMPRADA]]</f>
        <v>0</v>
      </c>
      <c r="N5273" s="110">
        <f>K5273-tblAquisições[[#This Row],[QUANTIDADE PLANEJADA]]</f>
        <v>-9</v>
      </c>
      <c r="O5273" s="106" t="str">
        <f t="shared" si="165"/>
        <v>Faltando Comprar</v>
      </c>
    </row>
    <row r="5274" spans="1:15" ht="31.5">
      <c r="A5274" s="16" t="s">
        <v>2900</v>
      </c>
      <c r="B5274" s="16" t="s">
        <v>2906</v>
      </c>
      <c r="C5274" s="17" t="s">
        <v>19</v>
      </c>
      <c r="D5274" s="18" t="s">
        <v>3017</v>
      </c>
      <c r="E5274" s="18">
        <v>30</v>
      </c>
      <c r="F5274" s="18" t="s">
        <v>56</v>
      </c>
      <c r="G5274" s="18" t="s">
        <v>39</v>
      </c>
      <c r="H5274" s="18" t="s">
        <v>23</v>
      </c>
      <c r="I5274" s="19">
        <v>190</v>
      </c>
      <c r="J5274" s="40">
        <f t="shared" si="164"/>
        <v>5700</v>
      </c>
      <c r="K5274" s="106"/>
      <c r="L5274" s="114"/>
      <c r="M5274" s="114">
        <f>tblAquisições[[#This Row],[VALOR UNITARIO COMPRADO]]*tblAquisições[[#This Row],[QUANTIDADE COMPRADA]]</f>
        <v>0</v>
      </c>
      <c r="N5274" s="110">
        <f>K5274-tblAquisições[[#This Row],[QUANTIDADE PLANEJADA]]</f>
        <v>-30</v>
      </c>
      <c r="O5274" s="106" t="str">
        <f t="shared" si="165"/>
        <v>Faltando Comprar</v>
      </c>
    </row>
    <row r="5275" spans="1:15" ht="78.75">
      <c r="A5275" s="16" t="s">
        <v>2900</v>
      </c>
      <c r="B5275" s="16" t="s">
        <v>2919</v>
      </c>
      <c r="C5275" s="17" t="s">
        <v>19</v>
      </c>
      <c r="D5275" s="18" t="s">
        <v>3018</v>
      </c>
      <c r="E5275" s="18">
        <v>4</v>
      </c>
      <c r="F5275" s="18" t="s">
        <v>3019</v>
      </c>
      <c r="G5275" s="18" t="s">
        <v>39</v>
      </c>
      <c r="H5275" s="18" t="s">
        <v>23</v>
      </c>
      <c r="I5275" s="19">
        <v>39.76</v>
      </c>
      <c r="J5275" s="40">
        <f t="shared" si="164"/>
        <v>159.04</v>
      </c>
      <c r="K5275" s="106"/>
      <c r="L5275" s="114"/>
      <c r="M5275" s="114">
        <f>tblAquisições[[#This Row],[VALOR UNITARIO COMPRADO]]*tblAquisições[[#This Row],[QUANTIDADE COMPRADA]]</f>
        <v>0</v>
      </c>
      <c r="N5275" s="110">
        <f>K5275-tblAquisições[[#This Row],[QUANTIDADE PLANEJADA]]</f>
        <v>-4</v>
      </c>
      <c r="O5275" s="106" t="str">
        <f t="shared" si="165"/>
        <v>Faltando Comprar</v>
      </c>
    </row>
    <row r="5276" spans="1:15" ht="31.5">
      <c r="A5276" s="16" t="s">
        <v>2900</v>
      </c>
      <c r="B5276" s="16" t="s">
        <v>2906</v>
      </c>
      <c r="C5276" s="17" t="s">
        <v>19</v>
      </c>
      <c r="D5276" s="18" t="s">
        <v>3020</v>
      </c>
      <c r="E5276" s="18">
        <v>10</v>
      </c>
      <c r="F5276" s="18" t="s">
        <v>82</v>
      </c>
      <c r="G5276" s="18" t="s">
        <v>39</v>
      </c>
      <c r="H5276" s="18" t="s">
        <v>23</v>
      </c>
      <c r="I5276" s="19">
        <v>118.07</v>
      </c>
      <c r="J5276" s="40">
        <f t="shared" si="164"/>
        <v>1180.6999999999998</v>
      </c>
      <c r="K5276" s="106"/>
      <c r="L5276" s="114"/>
      <c r="M5276" s="114">
        <f>tblAquisições[[#This Row],[VALOR UNITARIO COMPRADO]]*tblAquisições[[#This Row],[QUANTIDADE COMPRADA]]</f>
        <v>0</v>
      </c>
      <c r="N5276" s="110">
        <f>K5276-tblAquisições[[#This Row],[QUANTIDADE PLANEJADA]]</f>
        <v>-10</v>
      </c>
      <c r="O5276" s="106" t="str">
        <f t="shared" si="165"/>
        <v>Faltando Comprar</v>
      </c>
    </row>
    <row r="5277" spans="1:15" ht="31.5">
      <c r="A5277" s="16" t="s">
        <v>2900</v>
      </c>
      <c r="B5277" s="16" t="s">
        <v>2906</v>
      </c>
      <c r="C5277" s="17" t="s">
        <v>19</v>
      </c>
      <c r="D5277" s="18" t="s">
        <v>3021</v>
      </c>
      <c r="E5277" s="18">
        <v>50</v>
      </c>
      <c r="F5277" s="18" t="s">
        <v>56</v>
      </c>
      <c r="G5277" s="18" t="s">
        <v>39</v>
      </c>
      <c r="H5277" s="18" t="s">
        <v>23</v>
      </c>
      <c r="I5277" s="19">
        <v>30.88</v>
      </c>
      <c r="J5277" s="40">
        <f t="shared" si="164"/>
        <v>1544</v>
      </c>
      <c r="K5277" s="106"/>
      <c r="L5277" s="114"/>
      <c r="M5277" s="114">
        <f>tblAquisições[[#This Row],[VALOR UNITARIO COMPRADO]]*tblAquisições[[#This Row],[QUANTIDADE COMPRADA]]</f>
        <v>0</v>
      </c>
      <c r="N5277" s="110">
        <f>K5277-tblAquisições[[#This Row],[QUANTIDADE PLANEJADA]]</f>
        <v>-50</v>
      </c>
      <c r="O5277" s="106" t="str">
        <f t="shared" si="165"/>
        <v>Faltando Comprar</v>
      </c>
    </row>
    <row r="5278" spans="1:15" ht="31.5">
      <c r="A5278" s="16" t="s">
        <v>2900</v>
      </c>
      <c r="B5278" s="16" t="s">
        <v>2906</v>
      </c>
      <c r="C5278" s="17" t="s">
        <v>19</v>
      </c>
      <c r="D5278" s="18" t="s">
        <v>3022</v>
      </c>
      <c r="E5278" s="18">
        <v>50</v>
      </c>
      <c r="F5278" s="18" t="s">
        <v>56</v>
      </c>
      <c r="G5278" s="18" t="s">
        <v>39</v>
      </c>
      <c r="H5278" s="18" t="s">
        <v>23</v>
      </c>
      <c r="I5278" s="19">
        <v>266.2</v>
      </c>
      <c r="J5278" s="40">
        <f t="shared" si="164"/>
        <v>13310</v>
      </c>
      <c r="K5278" s="106"/>
      <c r="L5278" s="114"/>
      <c r="M5278" s="114">
        <f>tblAquisições[[#This Row],[VALOR UNITARIO COMPRADO]]*tblAquisições[[#This Row],[QUANTIDADE COMPRADA]]</f>
        <v>0</v>
      </c>
      <c r="N5278" s="110">
        <f>K5278-tblAquisições[[#This Row],[QUANTIDADE PLANEJADA]]</f>
        <v>-50</v>
      </c>
      <c r="O5278" s="106" t="str">
        <f t="shared" si="165"/>
        <v>Faltando Comprar</v>
      </c>
    </row>
    <row r="5279" spans="1:15" ht="31.5">
      <c r="A5279" s="16" t="s">
        <v>2900</v>
      </c>
      <c r="B5279" s="16" t="s">
        <v>2906</v>
      </c>
      <c r="C5279" s="17" t="s">
        <v>19</v>
      </c>
      <c r="D5279" s="18" t="s">
        <v>3023</v>
      </c>
      <c r="E5279" s="18">
        <v>100</v>
      </c>
      <c r="F5279" s="18" t="s">
        <v>56</v>
      </c>
      <c r="G5279" s="18" t="s">
        <v>39</v>
      </c>
      <c r="H5279" s="18" t="s">
        <v>23</v>
      </c>
      <c r="I5279" s="19">
        <v>165.9</v>
      </c>
      <c r="J5279" s="40">
        <f t="shared" si="164"/>
        <v>16590</v>
      </c>
      <c r="K5279" s="106"/>
      <c r="L5279" s="114"/>
      <c r="M5279" s="114">
        <f>tblAquisições[[#This Row],[VALOR UNITARIO COMPRADO]]*tblAquisições[[#This Row],[QUANTIDADE COMPRADA]]</f>
        <v>0</v>
      </c>
      <c r="N5279" s="110">
        <f>K5279-tblAquisições[[#This Row],[QUANTIDADE PLANEJADA]]</f>
        <v>-100</v>
      </c>
      <c r="O5279" s="106" t="str">
        <f t="shared" si="165"/>
        <v>Faltando Comprar</v>
      </c>
    </row>
    <row r="5280" spans="1:15" ht="31.5">
      <c r="A5280" s="16" t="s">
        <v>2900</v>
      </c>
      <c r="B5280" s="16" t="s">
        <v>2906</v>
      </c>
      <c r="C5280" s="17" t="s">
        <v>19</v>
      </c>
      <c r="D5280" s="18" t="s">
        <v>3024</v>
      </c>
      <c r="E5280" s="18">
        <v>50</v>
      </c>
      <c r="F5280" s="18" t="s">
        <v>56</v>
      </c>
      <c r="G5280" s="18" t="s">
        <v>39</v>
      </c>
      <c r="H5280" s="18" t="s">
        <v>23</v>
      </c>
      <c r="I5280" s="19">
        <v>370.77</v>
      </c>
      <c r="J5280" s="40">
        <f t="shared" si="164"/>
        <v>18538.5</v>
      </c>
      <c r="K5280" s="106"/>
      <c r="L5280" s="114"/>
      <c r="M5280" s="114">
        <f>tblAquisições[[#This Row],[VALOR UNITARIO COMPRADO]]*tblAquisições[[#This Row],[QUANTIDADE COMPRADA]]</f>
        <v>0</v>
      </c>
      <c r="N5280" s="110">
        <f>K5280-tblAquisições[[#This Row],[QUANTIDADE PLANEJADA]]</f>
        <v>-50</v>
      </c>
      <c r="O5280" s="106" t="str">
        <f t="shared" si="165"/>
        <v>Faltando Comprar</v>
      </c>
    </row>
    <row r="5281" spans="1:15" ht="31.5">
      <c r="A5281" s="16" t="s">
        <v>2900</v>
      </c>
      <c r="B5281" s="16" t="s">
        <v>2916</v>
      </c>
      <c r="C5281" s="17" t="s">
        <v>19</v>
      </c>
      <c r="D5281" s="18" t="s">
        <v>3025</v>
      </c>
      <c r="E5281" s="18">
        <v>5</v>
      </c>
      <c r="F5281" s="18" t="s">
        <v>56</v>
      </c>
      <c r="G5281" s="18" t="s">
        <v>39</v>
      </c>
      <c r="H5281" s="18" t="s">
        <v>23</v>
      </c>
      <c r="I5281" s="19">
        <v>13.23</v>
      </c>
      <c r="J5281" s="40">
        <f t="shared" si="164"/>
        <v>66.150000000000006</v>
      </c>
      <c r="K5281" s="106"/>
      <c r="L5281" s="114"/>
      <c r="M5281" s="114">
        <f>tblAquisições[[#This Row],[VALOR UNITARIO COMPRADO]]*tblAquisições[[#This Row],[QUANTIDADE COMPRADA]]</f>
        <v>0</v>
      </c>
      <c r="N5281" s="110">
        <f>K5281-tblAquisições[[#This Row],[QUANTIDADE PLANEJADA]]</f>
        <v>-5</v>
      </c>
      <c r="O5281" s="106" t="str">
        <f t="shared" si="165"/>
        <v>Faltando Comprar</v>
      </c>
    </row>
    <row r="5282" spans="1:15" ht="31.5">
      <c r="A5282" s="16" t="s">
        <v>2900</v>
      </c>
      <c r="B5282" s="16" t="s">
        <v>2906</v>
      </c>
      <c r="C5282" s="17" t="s">
        <v>19</v>
      </c>
      <c r="D5282" s="18" t="s">
        <v>3025</v>
      </c>
      <c r="E5282" s="18">
        <v>100</v>
      </c>
      <c r="F5282" s="18" t="s">
        <v>56</v>
      </c>
      <c r="G5282" s="18" t="s">
        <v>39</v>
      </c>
      <c r="H5282" s="18" t="s">
        <v>23</v>
      </c>
      <c r="I5282" s="19">
        <v>13.23</v>
      </c>
      <c r="J5282" s="40">
        <f t="shared" si="164"/>
        <v>1323</v>
      </c>
      <c r="K5282" s="106"/>
      <c r="L5282" s="114"/>
      <c r="M5282" s="114">
        <f>tblAquisições[[#This Row],[VALOR UNITARIO COMPRADO]]*tblAquisições[[#This Row],[QUANTIDADE COMPRADA]]</f>
        <v>0</v>
      </c>
      <c r="N5282" s="110">
        <f>K5282-tblAquisições[[#This Row],[QUANTIDADE PLANEJADA]]</f>
        <v>-100</v>
      </c>
      <c r="O5282" s="106" t="str">
        <f t="shared" si="165"/>
        <v>Faltando Comprar</v>
      </c>
    </row>
    <row r="5283" spans="1:15" ht="31.5">
      <c r="A5283" s="16" t="s">
        <v>2900</v>
      </c>
      <c r="B5283" s="16" t="s">
        <v>2906</v>
      </c>
      <c r="C5283" s="17" t="s">
        <v>19</v>
      </c>
      <c r="D5283" s="18" t="s">
        <v>3026</v>
      </c>
      <c r="E5283" s="18">
        <v>100</v>
      </c>
      <c r="F5283" s="18" t="s">
        <v>56</v>
      </c>
      <c r="G5283" s="18" t="s">
        <v>39</v>
      </c>
      <c r="H5283" s="18" t="s">
        <v>23</v>
      </c>
      <c r="I5283" s="19">
        <v>72.3</v>
      </c>
      <c r="J5283" s="40">
        <f t="shared" si="164"/>
        <v>7230</v>
      </c>
      <c r="K5283" s="106"/>
      <c r="L5283" s="114"/>
      <c r="M5283" s="114">
        <f>tblAquisições[[#This Row],[VALOR UNITARIO COMPRADO]]*tblAquisições[[#This Row],[QUANTIDADE COMPRADA]]</f>
        <v>0</v>
      </c>
      <c r="N5283" s="110">
        <f>K5283-tblAquisições[[#This Row],[QUANTIDADE PLANEJADA]]</f>
        <v>-100</v>
      </c>
      <c r="O5283" s="106" t="str">
        <f t="shared" si="165"/>
        <v>Faltando Comprar</v>
      </c>
    </row>
    <row r="5284" spans="1:15" ht="31.5">
      <c r="A5284" s="16" t="s">
        <v>2900</v>
      </c>
      <c r="B5284" s="16" t="s">
        <v>2906</v>
      </c>
      <c r="C5284" s="17" t="s">
        <v>19</v>
      </c>
      <c r="D5284" s="18" t="s">
        <v>3027</v>
      </c>
      <c r="E5284" s="18">
        <v>50</v>
      </c>
      <c r="F5284" s="18" t="s">
        <v>56</v>
      </c>
      <c r="G5284" s="18" t="s">
        <v>39</v>
      </c>
      <c r="H5284" s="18" t="s">
        <v>23</v>
      </c>
      <c r="I5284" s="19">
        <v>37.049999999999997</v>
      </c>
      <c r="J5284" s="40">
        <f t="shared" si="164"/>
        <v>1852.4999999999998</v>
      </c>
      <c r="K5284" s="106"/>
      <c r="L5284" s="114"/>
      <c r="M5284" s="114">
        <f>tblAquisições[[#This Row],[VALOR UNITARIO COMPRADO]]*tblAquisições[[#This Row],[QUANTIDADE COMPRADA]]</f>
        <v>0</v>
      </c>
      <c r="N5284" s="110">
        <f>K5284-tblAquisições[[#This Row],[QUANTIDADE PLANEJADA]]</f>
        <v>-50</v>
      </c>
      <c r="O5284" s="106" t="str">
        <f t="shared" si="165"/>
        <v>Faltando Comprar</v>
      </c>
    </row>
    <row r="5285" spans="1:15" ht="47.25">
      <c r="A5285" s="16" t="s">
        <v>2900</v>
      </c>
      <c r="B5285" s="16" t="s">
        <v>2901</v>
      </c>
      <c r="C5285" s="17" t="s">
        <v>19</v>
      </c>
      <c r="D5285" s="18" t="s">
        <v>3028</v>
      </c>
      <c r="E5285" s="18">
        <v>3</v>
      </c>
      <c r="F5285" s="18" t="s">
        <v>96</v>
      </c>
      <c r="G5285" s="18" t="s">
        <v>39</v>
      </c>
      <c r="H5285" s="18" t="s">
        <v>23</v>
      </c>
      <c r="I5285" s="19">
        <v>26.1</v>
      </c>
      <c r="J5285" s="40">
        <f t="shared" si="164"/>
        <v>78.300000000000011</v>
      </c>
      <c r="K5285" s="106"/>
      <c r="L5285" s="114"/>
      <c r="M5285" s="114">
        <f>tblAquisições[[#This Row],[VALOR UNITARIO COMPRADO]]*tblAquisições[[#This Row],[QUANTIDADE COMPRADA]]</f>
        <v>0</v>
      </c>
      <c r="N5285" s="110">
        <f>K5285-tblAquisições[[#This Row],[QUANTIDADE PLANEJADA]]</f>
        <v>-3</v>
      </c>
      <c r="O5285" s="106" t="str">
        <f t="shared" si="165"/>
        <v>Faltando Comprar</v>
      </c>
    </row>
    <row r="5286" spans="1:15" ht="47.25">
      <c r="A5286" s="16" t="s">
        <v>2900</v>
      </c>
      <c r="B5286" s="16" t="s">
        <v>2904</v>
      </c>
      <c r="C5286" s="17" t="s">
        <v>19</v>
      </c>
      <c r="D5286" s="18" t="s">
        <v>3029</v>
      </c>
      <c r="E5286" s="18">
        <v>1</v>
      </c>
      <c r="F5286" s="18" t="s">
        <v>96</v>
      </c>
      <c r="G5286" s="18" t="s">
        <v>39</v>
      </c>
      <c r="H5286" s="18" t="s">
        <v>65</v>
      </c>
      <c r="I5286" s="19">
        <v>30.56</v>
      </c>
      <c r="J5286" s="40">
        <f t="shared" si="164"/>
        <v>30.56</v>
      </c>
      <c r="K5286" s="106"/>
      <c r="L5286" s="114"/>
      <c r="M5286" s="114">
        <f>tblAquisições[[#This Row],[VALOR UNITARIO COMPRADO]]*tblAquisições[[#This Row],[QUANTIDADE COMPRADA]]</f>
        <v>0</v>
      </c>
      <c r="N5286" s="110">
        <f>K5286-tblAquisições[[#This Row],[QUANTIDADE PLANEJADA]]</f>
        <v>-1</v>
      </c>
      <c r="O5286" s="106" t="str">
        <f t="shared" si="165"/>
        <v>Faltando Comprar</v>
      </c>
    </row>
    <row r="5287" spans="1:15" ht="31.5">
      <c r="A5287" s="16" t="s">
        <v>2900</v>
      </c>
      <c r="B5287" s="16" t="s">
        <v>2906</v>
      </c>
      <c r="C5287" s="17" t="s">
        <v>19</v>
      </c>
      <c r="D5287" s="18" t="s">
        <v>3030</v>
      </c>
      <c r="E5287" s="18">
        <v>50</v>
      </c>
      <c r="F5287" s="18" t="s">
        <v>56</v>
      </c>
      <c r="G5287" s="18" t="s">
        <v>39</v>
      </c>
      <c r="H5287" s="18" t="s">
        <v>23</v>
      </c>
      <c r="I5287" s="19">
        <v>72.98</v>
      </c>
      <c r="J5287" s="40">
        <f t="shared" si="164"/>
        <v>3649</v>
      </c>
      <c r="K5287" s="106"/>
      <c r="L5287" s="114"/>
      <c r="M5287" s="114">
        <f>tblAquisições[[#This Row],[VALOR UNITARIO COMPRADO]]*tblAquisições[[#This Row],[QUANTIDADE COMPRADA]]</f>
        <v>0</v>
      </c>
      <c r="N5287" s="110">
        <f>K5287-tblAquisições[[#This Row],[QUANTIDADE PLANEJADA]]</f>
        <v>-50</v>
      </c>
      <c r="O5287" s="106" t="str">
        <f t="shared" si="165"/>
        <v>Faltando Comprar</v>
      </c>
    </row>
    <row r="5288" spans="1:15" ht="63">
      <c r="A5288" s="16" t="s">
        <v>2900</v>
      </c>
      <c r="B5288" s="16" t="s">
        <v>2919</v>
      </c>
      <c r="C5288" s="17" t="s">
        <v>19</v>
      </c>
      <c r="D5288" s="18" t="s">
        <v>2831</v>
      </c>
      <c r="E5288" s="18">
        <v>2</v>
      </c>
      <c r="F5288" s="18" t="s">
        <v>2802</v>
      </c>
      <c r="G5288" s="18" t="s">
        <v>775</v>
      </c>
      <c r="H5288" s="18" t="s">
        <v>23</v>
      </c>
      <c r="I5288" s="19">
        <v>889.14</v>
      </c>
      <c r="J5288" s="40">
        <f t="shared" si="164"/>
        <v>1778.28</v>
      </c>
      <c r="K5288" s="106"/>
      <c r="L5288" s="114"/>
      <c r="M5288" s="114">
        <f>tblAquisições[[#This Row],[VALOR UNITARIO COMPRADO]]*tblAquisições[[#This Row],[QUANTIDADE COMPRADA]]</f>
        <v>0</v>
      </c>
      <c r="N5288" s="110">
        <f>K5288-tblAquisições[[#This Row],[QUANTIDADE PLANEJADA]]</f>
        <v>-2</v>
      </c>
      <c r="O5288" s="106" t="str">
        <f t="shared" si="165"/>
        <v>Faltando Comprar</v>
      </c>
    </row>
    <row r="5289" spans="1:15" ht="63">
      <c r="A5289" s="16" t="s">
        <v>2900</v>
      </c>
      <c r="B5289" s="16" t="s">
        <v>2906</v>
      </c>
      <c r="C5289" s="17" t="s">
        <v>19</v>
      </c>
      <c r="D5289" s="18" t="s">
        <v>2831</v>
      </c>
      <c r="E5289" s="18">
        <v>1</v>
      </c>
      <c r="F5289" s="18" t="s">
        <v>2802</v>
      </c>
      <c r="G5289" s="18" t="s">
        <v>775</v>
      </c>
      <c r="H5289" s="18" t="s">
        <v>23</v>
      </c>
      <c r="I5289" s="19">
        <v>889.14</v>
      </c>
      <c r="J5289" s="40">
        <f t="shared" si="164"/>
        <v>889.14</v>
      </c>
      <c r="K5289" s="106"/>
      <c r="L5289" s="114"/>
      <c r="M5289" s="114">
        <f>tblAquisições[[#This Row],[VALOR UNITARIO COMPRADO]]*tblAquisições[[#This Row],[QUANTIDADE COMPRADA]]</f>
        <v>0</v>
      </c>
      <c r="N5289" s="110">
        <f>K5289-tblAquisições[[#This Row],[QUANTIDADE PLANEJADA]]</f>
        <v>-1</v>
      </c>
      <c r="O5289" s="106" t="str">
        <f t="shared" si="165"/>
        <v>Faltando Comprar</v>
      </c>
    </row>
    <row r="5290" spans="1:15" ht="47.25">
      <c r="A5290" s="16" t="s">
        <v>2900</v>
      </c>
      <c r="B5290" s="16" t="s">
        <v>2906</v>
      </c>
      <c r="C5290" s="17" t="s">
        <v>19</v>
      </c>
      <c r="D5290" s="18" t="s">
        <v>3031</v>
      </c>
      <c r="E5290" s="18">
        <v>1</v>
      </c>
      <c r="F5290" s="18" t="s">
        <v>191</v>
      </c>
      <c r="G5290" s="18" t="s">
        <v>39</v>
      </c>
      <c r="H5290" s="18" t="s">
        <v>65</v>
      </c>
      <c r="I5290" s="24">
        <v>30.57</v>
      </c>
      <c r="J5290" s="40">
        <f t="shared" si="164"/>
        <v>30.57</v>
      </c>
      <c r="K5290" s="106"/>
      <c r="L5290" s="114"/>
      <c r="M5290" s="114">
        <f>tblAquisições[[#This Row],[VALOR UNITARIO COMPRADO]]*tblAquisições[[#This Row],[QUANTIDADE COMPRADA]]</f>
        <v>0</v>
      </c>
      <c r="N5290" s="110">
        <f>K5290-tblAquisições[[#This Row],[QUANTIDADE PLANEJADA]]</f>
        <v>-1</v>
      </c>
      <c r="O5290" s="106" t="str">
        <f t="shared" si="165"/>
        <v>Faltando Comprar</v>
      </c>
    </row>
    <row r="5291" spans="1:15" ht="47.25">
      <c r="A5291" s="16" t="s">
        <v>2900</v>
      </c>
      <c r="B5291" s="16" t="s">
        <v>2904</v>
      </c>
      <c r="C5291" s="17" t="s">
        <v>19</v>
      </c>
      <c r="D5291" s="18" t="s">
        <v>2836</v>
      </c>
      <c r="E5291" s="18">
        <v>5</v>
      </c>
      <c r="F5291" s="18" t="s">
        <v>96</v>
      </c>
      <c r="G5291" s="18" t="s">
        <v>39</v>
      </c>
      <c r="H5291" s="18" t="s">
        <v>23</v>
      </c>
      <c r="I5291" s="19">
        <v>24.63</v>
      </c>
      <c r="J5291" s="40">
        <f t="shared" si="164"/>
        <v>123.14999999999999</v>
      </c>
      <c r="K5291" s="106"/>
      <c r="L5291" s="114"/>
      <c r="M5291" s="114">
        <f>tblAquisições[[#This Row],[VALOR UNITARIO COMPRADO]]*tblAquisições[[#This Row],[QUANTIDADE COMPRADA]]</f>
        <v>0</v>
      </c>
      <c r="N5291" s="110">
        <f>K5291-tblAquisições[[#This Row],[QUANTIDADE PLANEJADA]]</f>
        <v>-5</v>
      </c>
      <c r="O5291" s="106" t="str">
        <f t="shared" si="165"/>
        <v>Faltando Comprar</v>
      </c>
    </row>
    <row r="5292" spans="1:15" ht="47.25">
      <c r="A5292" s="16" t="s">
        <v>2900</v>
      </c>
      <c r="B5292" s="16" t="s">
        <v>2903</v>
      </c>
      <c r="C5292" s="17" t="s">
        <v>19</v>
      </c>
      <c r="D5292" s="18" t="s">
        <v>3032</v>
      </c>
      <c r="E5292" s="18">
        <v>5</v>
      </c>
      <c r="F5292" s="18" t="s">
        <v>96</v>
      </c>
      <c r="G5292" s="18" t="s">
        <v>39</v>
      </c>
      <c r="H5292" s="18" t="s">
        <v>65</v>
      </c>
      <c r="I5292" s="24">
        <v>35.1</v>
      </c>
      <c r="J5292" s="40">
        <f t="shared" si="164"/>
        <v>175.5</v>
      </c>
      <c r="K5292" s="106"/>
      <c r="L5292" s="114"/>
      <c r="M5292" s="114">
        <f>tblAquisições[[#This Row],[VALOR UNITARIO COMPRADO]]*tblAquisições[[#This Row],[QUANTIDADE COMPRADA]]</f>
        <v>0</v>
      </c>
      <c r="N5292" s="110">
        <f>K5292-tblAquisições[[#This Row],[QUANTIDADE PLANEJADA]]</f>
        <v>-5</v>
      </c>
      <c r="O5292" s="106" t="str">
        <f t="shared" si="165"/>
        <v>Faltando Comprar</v>
      </c>
    </row>
    <row r="5293" spans="1:15" ht="31.5">
      <c r="A5293" s="16" t="s">
        <v>2900</v>
      </c>
      <c r="B5293" s="16" t="s">
        <v>2906</v>
      </c>
      <c r="C5293" s="17" t="s">
        <v>19</v>
      </c>
      <c r="D5293" s="18" t="s">
        <v>2838</v>
      </c>
      <c r="E5293" s="18">
        <v>1</v>
      </c>
      <c r="F5293" s="18" t="s">
        <v>56</v>
      </c>
      <c r="G5293" s="18" t="s">
        <v>39</v>
      </c>
      <c r="H5293" s="18" t="s">
        <v>23</v>
      </c>
      <c r="I5293" s="19">
        <v>304.67</v>
      </c>
      <c r="J5293" s="40">
        <f t="shared" si="164"/>
        <v>304.67</v>
      </c>
      <c r="K5293" s="106"/>
      <c r="L5293" s="114"/>
      <c r="M5293" s="114">
        <f>tblAquisições[[#This Row],[VALOR UNITARIO COMPRADO]]*tblAquisições[[#This Row],[QUANTIDADE COMPRADA]]</f>
        <v>0</v>
      </c>
      <c r="N5293" s="110">
        <f>K5293-tblAquisições[[#This Row],[QUANTIDADE PLANEJADA]]</f>
        <v>-1</v>
      </c>
      <c r="O5293" s="106" t="str">
        <f t="shared" si="165"/>
        <v>Faltando Comprar</v>
      </c>
    </row>
    <row r="5294" spans="1:15" ht="47.25">
      <c r="A5294" s="16" t="s">
        <v>2900</v>
      </c>
      <c r="B5294" s="16" t="s">
        <v>2901</v>
      </c>
      <c r="C5294" s="17" t="s">
        <v>19</v>
      </c>
      <c r="D5294" s="18" t="s">
        <v>3033</v>
      </c>
      <c r="E5294" s="18">
        <v>15</v>
      </c>
      <c r="F5294" s="18" t="s">
        <v>96</v>
      </c>
      <c r="G5294" s="18" t="s">
        <v>39</v>
      </c>
      <c r="H5294" s="18" t="s">
        <v>23</v>
      </c>
      <c r="I5294" s="19">
        <v>31.31</v>
      </c>
      <c r="J5294" s="40">
        <f t="shared" si="164"/>
        <v>469.65</v>
      </c>
      <c r="K5294" s="106"/>
      <c r="L5294" s="114"/>
      <c r="M5294" s="114">
        <f>tblAquisições[[#This Row],[VALOR UNITARIO COMPRADO]]*tblAquisições[[#This Row],[QUANTIDADE COMPRADA]]</f>
        <v>0</v>
      </c>
      <c r="N5294" s="110">
        <f>K5294-tblAquisições[[#This Row],[QUANTIDADE PLANEJADA]]</f>
        <v>-15</v>
      </c>
      <c r="O5294" s="106" t="str">
        <f t="shared" si="165"/>
        <v>Faltando Comprar</v>
      </c>
    </row>
    <row r="5295" spans="1:15" ht="47.25">
      <c r="A5295" s="16" t="s">
        <v>2900</v>
      </c>
      <c r="B5295" s="16" t="s">
        <v>2906</v>
      </c>
      <c r="C5295" s="17" t="s">
        <v>19</v>
      </c>
      <c r="D5295" s="18" t="s">
        <v>3033</v>
      </c>
      <c r="E5295" s="18">
        <v>12</v>
      </c>
      <c r="F5295" s="18" t="s">
        <v>96</v>
      </c>
      <c r="G5295" s="18" t="s">
        <v>39</v>
      </c>
      <c r="H5295" s="18" t="s">
        <v>23</v>
      </c>
      <c r="I5295" s="19">
        <v>31.31</v>
      </c>
      <c r="J5295" s="40">
        <f t="shared" si="164"/>
        <v>375.71999999999997</v>
      </c>
      <c r="K5295" s="106"/>
      <c r="L5295" s="114"/>
      <c r="M5295" s="114">
        <f>tblAquisições[[#This Row],[VALOR UNITARIO COMPRADO]]*tblAquisições[[#This Row],[QUANTIDADE COMPRADA]]</f>
        <v>0</v>
      </c>
      <c r="N5295" s="110">
        <f>K5295-tblAquisições[[#This Row],[QUANTIDADE PLANEJADA]]</f>
        <v>-12</v>
      </c>
      <c r="O5295" s="106" t="str">
        <f t="shared" si="165"/>
        <v>Faltando Comprar</v>
      </c>
    </row>
    <row r="5296" spans="1:15" ht="47.25">
      <c r="A5296" s="16" t="s">
        <v>2900</v>
      </c>
      <c r="B5296" s="16" t="s">
        <v>2919</v>
      </c>
      <c r="C5296" s="17" t="s">
        <v>19</v>
      </c>
      <c r="D5296" s="18" t="s">
        <v>3034</v>
      </c>
      <c r="E5296" s="18">
        <v>20</v>
      </c>
      <c r="F5296" s="18" t="s">
        <v>96</v>
      </c>
      <c r="G5296" s="18" t="s">
        <v>39</v>
      </c>
      <c r="H5296" s="18" t="s">
        <v>23</v>
      </c>
      <c r="I5296" s="19">
        <v>3.25</v>
      </c>
      <c r="J5296" s="40">
        <f t="shared" si="164"/>
        <v>65</v>
      </c>
      <c r="K5296" s="106"/>
      <c r="L5296" s="114"/>
      <c r="M5296" s="114">
        <f>tblAquisições[[#This Row],[VALOR UNITARIO COMPRADO]]*tblAquisições[[#This Row],[QUANTIDADE COMPRADA]]</f>
        <v>0</v>
      </c>
      <c r="N5296" s="110">
        <f>K5296-tblAquisições[[#This Row],[QUANTIDADE PLANEJADA]]</f>
        <v>-20</v>
      </c>
      <c r="O5296" s="106" t="str">
        <f t="shared" si="165"/>
        <v>Faltando Comprar</v>
      </c>
    </row>
    <row r="5297" spans="1:15" ht="47.25">
      <c r="A5297" s="16" t="s">
        <v>2900</v>
      </c>
      <c r="B5297" s="16" t="s">
        <v>2906</v>
      </c>
      <c r="C5297" s="17" t="s">
        <v>19</v>
      </c>
      <c r="D5297" s="18" t="s">
        <v>3035</v>
      </c>
      <c r="E5297" s="18">
        <v>5</v>
      </c>
      <c r="F5297" s="18" t="s">
        <v>2742</v>
      </c>
      <c r="G5297" s="18" t="s">
        <v>39</v>
      </c>
      <c r="H5297" s="18" t="s">
        <v>23</v>
      </c>
      <c r="I5297" s="19">
        <v>73.569999999999993</v>
      </c>
      <c r="J5297" s="40">
        <f t="shared" si="164"/>
        <v>367.84999999999997</v>
      </c>
      <c r="K5297" s="106"/>
      <c r="L5297" s="114"/>
      <c r="M5297" s="114">
        <f>tblAquisições[[#This Row],[VALOR UNITARIO COMPRADO]]*tblAquisições[[#This Row],[QUANTIDADE COMPRADA]]</f>
        <v>0</v>
      </c>
      <c r="N5297" s="110">
        <f>K5297-tblAquisições[[#This Row],[QUANTIDADE PLANEJADA]]</f>
        <v>-5</v>
      </c>
      <c r="O5297" s="106" t="str">
        <f t="shared" si="165"/>
        <v>Faltando Comprar</v>
      </c>
    </row>
    <row r="5298" spans="1:15" ht="31.5">
      <c r="A5298" s="16" t="s">
        <v>2900</v>
      </c>
      <c r="B5298" s="16" t="s">
        <v>2906</v>
      </c>
      <c r="C5298" s="17" t="s">
        <v>19</v>
      </c>
      <c r="D5298" s="18" t="s">
        <v>3036</v>
      </c>
      <c r="E5298" s="18">
        <v>30</v>
      </c>
      <c r="F5298" s="18" t="s">
        <v>56</v>
      </c>
      <c r="G5298" s="18" t="s">
        <v>39</v>
      </c>
      <c r="H5298" s="18" t="s">
        <v>23</v>
      </c>
      <c r="I5298" s="19">
        <v>72.3</v>
      </c>
      <c r="J5298" s="40">
        <f t="shared" si="164"/>
        <v>2169</v>
      </c>
      <c r="K5298" s="106"/>
      <c r="L5298" s="114"/>
      <c r="M5298" s="114">
        <f>tblAquisições[[#This Row],[VALOR UNITARIO COMPRADO]]*tblAquisições[[#This Row],[QUANTIDADE COMPRADA]]</f>
        <v>0</v>
      </c>
      <c r="N5298" s="110">
        <f>K5298-tblAquisições[[#This Row],[QUANTIDADE PLANEJADA]]</f>
        <v>-30</v>
      </c>
      <c r="O5298" s="106" t="str">
        <f t="shared" si="165"/>
        <v>Faltando Comprar</v>
      </c>
    </row>
    <row r="5299" spans="1:15" ht="47.25">
      <c r="A5299" s="16" t="s">
        <v>2900</v>
      </c>
      <c r="B5299" s="16" t="s">
        <v>2906</v>
      </c>
      <c r="C5299" s="17" t="s">
        <v>19</v>
      </c>
      <c r="D5299" s="18" t="s">
        <v>3037</v>
      </c>
      <c r="E5299" s="18">
        <v>2</v>
      </c>
      <c r="F5299" s="18" t="s">
        <v>96</v>
      </c>
      <c r="G5299" s="18" t="s">
        <v>39</v>
      </c>
      <c r="H5299" s="18" t="s">
        <v>23</v>
      </c>
      <c r="I5299" s="19">
        <v>37.33</v>
      </c>
      <c r="J5299" s="40">
        <f t="shared" si="164"/>
        <v>74.66</v>
      </c>
      <c r="K5299" s="106"/>
      <c r="L5299" s="114"/>
      <c r="M5299" s="114">
        <f>tblAquisições[[#This Row],[VALOR UNITARIO COMPRADO]]*tblAquisições[[#This Row],[QUANTIDADE COMPRADA]]</f>
        <v>0</v>
      </c>
      <c r="N5299" s="110">
        <f>K5299-tblAquisições[[#This Row],[QUANTIDADE PLANEJADA]]</f>
        <v>-2</v>
      </c>
      <c r="O5299" s="106" t="str">
        <f t="shared" si="165"/>
        <v>Faltando Comprar</v>
      </c>
    </row>
    <row r="5300" spans="1:15" ht="31.5">
      <c r="A5300" s="16" t="s">
        <v>2900</v>
      </c>
      <c r="B5300" s="16" t="s">
        <v>2906</v>
      </c>
      <c r="C5300" s="17" t="s">
        <v>19</v>
      </c>
      <c r="D5300" s="18" t="s">
        <v>2840</v>
      </c>
      <c r="E5300" s="18">
        <v>6</v>
      </c>
      <c r="F5300" s="18" t="s">
        <v>56</v>
      </c>
      <c r="G5300" s="18" t="s">
        <v>39</v>
      </c>
      <c r="H5300" s="18" t="s">
        <v>23</v>
      </c>
      <c r="I5300" s="19">
        <v>92.44</v>
      </c>
      <c r="J5300" s="40">
        <f t="shared" si="164"/>
        <v>554.64</v>
      </c>
      <c r="K5300" s="106"/>
      <c r="L5300" s="114"/>
      <c r="M5300" s="114">
        <f>tblAquisições[[#This Row],[VALOR UNITARIO COMPRADO]]*tblAquisições[[#This Row],[QUANTIDADE COMPRADA]]</f>
        <v>0</v>
      </c>
      <c r="N5300" s="110">
        <f>K5300-tblAquisições[[#This Row],[QUANTIDADE PLANEJADA]]</f>
        <v>-6</v>
      </c>
      <c r="O5300" s="106" t="str">
        <f t="shared" si="165"/>
        <v>Faltando Comprar</v>
      </c>
    </row>
    <row r="5301" spans="1:15" ht="31.5">
      <c r="A5301" s="16" t="s">
        <v>2900</v>
      </c>
      <c r="B5301" s="16" t="s">
        <v>2906</v>
      </c>
      <c r="C5301" s="17" t="s">
        <v>19</v>
      </c>
      <c r="D5301" s="18" t="s">
        <v>3038</v>
      </c>
      <c r="E5301" s="18">
        <v>100</v>
      </c>
      <c r="F5301" s="18" t="s">
        <v>56</v>
      </c>
      <c r="G5301" s="18" t="s">
        <v>39</v>
      </c>
      <c r="H5301" s="18" t="s">
        <v>23</v>
      </c>
      <c r="I5301" s="19">
        <v>102</v>
      </c>
      <c r="J5301" s="40">
        <f t="shared" si="164"/>
        <v>10200</v>
      </c>
      <c r="K5301" s="106"/>
      <c r="L5301" s="114"/>
      <c r="M5301" s="114">
        <f>tblAquisições[[#This Row],[VALOR UNITARIO COMPRADO]]*tblAquisições[[#This Row],[QUANTIDADE COMPRADA]]</f>
        <v>0</v>
      </c>
      <c r="N5301" s="110">
        <f>K5301-tblAquisições[[#This Row],[QUANTIDADE PLANEJADA]]</f>
        <v>-100</v>
      </c>
      <c r="O5301" s="106" t="str">
        <f t="shared" si="165"/>
        <v>Faltando Comprar</v>
      </c>
    </row>
    <row r="5302" spans="1:15" ht="63">
      <c r="A5302" s="16" t="s">
        <v>2900</v>
      </c>
      <c r="B5302" s="16" t="s">
        <v>2901</v>
      </c>
      <c r="C5302" s="17" t="s">
        <v>19</v>
      </c>
      <c r="D5302" s="33" t="s">
        <v>3039</v>
      </c>
      <c r="E5302" s="33">
        <v>2</v>
      </c>
      <c r="F5302" s="33" t="s">
        <v>1468</v>
      </c>
      <c r="G5302" s="33" t="s">
        <v>775</v>
      </c>
      <c r="H5302" s="33" t="s">
        <v>23</v>
      </c>
      <c r="I5302" s="19">
        <v>3500</v>
      </c>
      <c r="J5302" s="40">
        <f t="shared" si="164"/>
        <v>7000</v>
      </c>
      <c r="K5302" s="106"/>
      <c r="L5302" s="114"/>
      <c r="M5302" s="114">
        <f>tblAquisições[[#This Row],[VALOR UNITARIO COMPRADO]]*tblAquisições[[#This Row],[QUANTIDADE COMPRADA]]</f>
        <v>0</v>
      </c>
      <c r="N5302" s="110">
        <f>K5302-tblAquisições[[#This Row],[QUANTIDADE PLANEJADA]]</f>
        <v>-2</v>
      </c>
      <c r="O5302" s="106" t="str">
        <f t="shared" si="165"/>
        <v>Faltando Comprar</v>
      </c>
    </row>
    <row r="5303" spans="1:15" ht="63">
      <c r="A5303" s="16" t="s">
        <v>2900</v>
      </c>
      <c r="B5303" s="16" t="s">
        <v>2919</v>
      </c>
      <c r="C5303" s="17" t="s">
        <v>19</v>
      </c>
      <c r="D5303" s="18" t="s">
        <v>3039</v>
      </c>
      <c r="E5303" s="18">
        <v>3</v>
      </c>
      <c r="F5303" s="18" t="s">
        <v>1468</v>
      </c>
      <c r="G5303" s="18" t="s">
        <v>775</v>
      </c>
      <c r="H5303" s="18" t="s">
        <v>23</v>
      </c>
      <c r="I5303" s="19">
        <v>3500</v>
      </c>
      <c r="J5303" s="40">
        <f t="shared" si="164"/>
        <v>10500</v>
      </c>
      <c r="K5303" s="106"/>
      <c r="L5303" s="114"/>
      <c r="M5303" s="114">
        <f>tblAquisições[[#This Row],[VALOR UNITARIO COMPRADO]]*tblAquisições[[#This Row],[QUANTIDADE COMPRADA]]</f>
        <v>0</v>
      </c>
      <c r="N5303" s="110">
        <f>K5303-tblAquisições[[#This Row],[QUANTIDADE PLANEJADA]]</f>
        <v>-3</v>
      </c>
      <c r="O5303" s="106" t="str">
        <f t="shared" si="165"/>
        <v>Faltando Comprar</v>
      </c>
    </row>
    <row r="5304" spans="1:15" ht="63">
      <c r="A5304" s="16" t="s">
        <v>2900</v>
      </c>
      <c r="B5304" s="16" t="s">
        <v>2903</v>
      </c>
      <c r="C5304" s="17" t="s">
        <v>19</v>
      </c>
      <c r="D5304" s="18" t="s">
        <v>3039</v>
      </c>
      <c r="E5304" s="18">
        <v>4</v>
      </c>
      <c r="F5304" s="18" t="s">
        <v>1468</v>
      </c>
      <c r="G5304" s="18" t="s">
        <v>775</v>
      </c>
      <c r="H5304" s="18" t="s">
        <v>23</v>
      </c>
      <c r="I5304" s="19">
        <v>3500</v>
      </c>
      <c r="J5304" s="40">
        <f t="shared" si="164"/>
        <v>14000</v>
      </c>
      <c r="K5304" s="106"/>
      <c r="L5304" s="114"/>
      <c r="M5304" s="114">
        <f>tblAquisições[[#This Row],[VALOR UNITARIO COMPRADO]]*tblAquisições[[#This Row],[QUANTIDADE COMPRADA]]</f>
        <v>0</v>
      </c>
      <c r="N5304" s="110">
        <f>K5304-tblAquisições[[#This Row],[QUANTIDADE PLANEJADA]]</f>
        <v>-4</v>
      </c>
      <c r="O5304" s="106" t="str">
        <f t="shared" si="165"/>
        <v>Faltando Comprar</v>
      </c>
    </row>
    <row r="5305" spans="1:15" ht="63">
      <c r="A5305" s="16" t="s">
        <v>2900</v>
      </c>
      <c r="B5305" s="16" t="s">
        <v>2904</v>
      </c>
      <c r="C5305" s="17" t="s">
        <v>19</v>
      </c>
      <c r="D5305" s="18" t="s">
        <v>3039</v>
      </c>
      <c r="E5305" s="18">
        <v>3</v>
      </c>
      <c r="F5305" s="18" t="s">
        <v>1468</v>
      </c>
      <c r="G5305" s="18" t="s">
        <v>775</v>
      </c>
      <c r="H5305" s="18" t="s">
        <v>23</v>
      </c>
      <c r="I5305" s="19">
        <v>3500</v>
      </c>
      <c r="J5305" s="40">
        <f t="shared" si="164"/>
        <v>10500</v>
      </c>
      <c r="K5305" s="106"/>
      <c r="L5305" s="114"/>
      <c r="M5305" s="114">
        <f>tblAquisições[[#This Row],[VALOR UNITARIO COMPRADO]]*tblAquisições[[#This Row],[QUANTIDADE COMPRADA]]</f>
        <v>0</v>
      </c>
      <c r="N5305" s="110">
        <f>K5305-tblAquisições[[#This Row],[QUANTIDADE PLANEJADA]]</f>
        <v>-3</v>
      </c>
      <c r="O5305" s="106" t="str">
        <f t="shared" si="165"/>
        <v>Faltando Comprar</v>
      </c>
    </row>
    <row r="5306" spans="1:15" ht="63">
      <c r="A5306" s="16" t="s">
        <v>2900</v>
      </c>
      <c r="B5306" s="16" t="s">
        <v>2903</v>
      </c>
      <c r="C5306" s="17" t="s">
        <v>19</v>
      </c>
      <c r="D5306" s="18" t="s">
        <v>3040</v>
      </c>
      <c r="E5306" s="18">
        <v>25</v>
      </c>
      <c r="F5306" s="18" t="s">
        <v>1468</v>
      </c>
      <c r="G5306" s="18" t="s">
        <v>775</v>
      </c>
      <c r="H5306" s="18" t="s">
        <v>23</v>
      </c>
      <c r="I5306" s="19">
        <v>430</v>
      </c>
      <c r="J5306" s="40">
        <f t="shared" si="164"/>
        <v>10750</v>
      </c>
      <c r="K5306" s="106"/>
      <c r="L5306" s="114"/>
      <c r="M5306" s="114">
        <f>tblAquisições[[#This Row],[VALOR UNITARIO COMPRADO]]*tblAquisições[[#This Row],[QUANTIDADE COMPRADA]]</f>
        <v>0</v>
      </c>
      <c r="N5306" s="110">
        <f>K5306-tblAquisições[[#This Row],[QUANTIDADE PLANEJADA]]</f>
        <v>-25</v>
      </c>
      <c r="O5306" s="106" t="str">
        <f t="shared" si="165"/>
        <v>Faltando Comprar</v>
      </c>
    </row>
    <row r="5307" spans="1:15" ht="31.5">
      <c r="A5307" s="16" t="s">
        <v>2900</v>
      </c>
      <c r="B5307" s="16" t="s">
        <v>2906</v>
      </c>
      <c r="C5307" s="17" t="s">
        <v>19</v>
      </c>
      <c r="D5307" s="18" t="s">
        <v>3041</v>
      </c>
      <c r="E5307" s="18">
        <v>10</v>
      </c>
      <c r="F5307" s="18" t="s">
        <v>56</v>
      </c>
      <c r="G5307" s="18" t="s">
        <v>39</v>
      </c>
      <c r="H5307" s="18" t="s">
        <v>23</v>
      </c>
      <c r="I5307" s="19">
        <v>1059.52</v>
      </c>
      <c r="J5307" s="40">
        <f t="shared" si="164"/>
        <v>10595.2</v>
      </c>
      <c r="K5307" s="106"/>
      <c r="L5307" s="114"/>
      <c r="M5307" s="114">
        <f>tblAquisições[[#This Row],[VALOR UNITARIO COMPRADO]]*tblAquisições[[#This Row],[QUANTIDADE COMPRADA]]</f>
        <v>0</v>
      </c>
      <c r="N5307" s="110">
        <f>K5307-tblAquisições[[#This Row],[QUANTIDADE PLANEJADA]]</f>
        <v>-10</v>
      </c>
      <c r="O5307" s="106" t="str">
        <f t="shared" si="165"/>
        <v>Faltando Comprar</v>
      </c>
    </row>
    <row r="5308" spans="1:15" ht="31.5">
      <c r="A5308" s="16" t="s">
        <v>2900</v>
      </c>
      <c r="B5308" s="16" t="s">
        <v>2906</v>
      </c>
      <c r="C5308" s="17" t="s">
        <v>19</v>
      </c>
      <c r="D5308" s="18" t="s">
        <v>2448</v>
      </c>
      <c r="E5308" s="18">
        <v>1000</v>
      </c>
      <c r="F5308" s="18" t="s">
        <v>56</v>
      </c>
      <c r="G5308" s="18" t="s">
        <v>39</v>
      </c>
      <c r="H5308" s="18" t="s">
        <v>23</v>
      </c>
      <c r="I5308" s="19">
        <v>1.51</v>
      </c>
      <c r="J5308" s="40">
        <f t="shared" si="164"/>
        <v>1510</v>
      </c>
      <c r="K5308" s="106"/>
      <c r="L5308" s="114"/>
      <c r="M5308" s="114">
        <f>tblAquisições[[#This Row],[VALOR UNITARIO COMPRADO]]*tblAquisições[[#This Row],[QUANTIDADE COMPRADA]]</f>
        <v>0</v>
      </c>
      <c r="N5308" s="110">
        <f>K5308-tblAquisições[[#This Row],[QUANTIDADE PLANEJADA]]</f>
        <v>-1000</v>
      </c>
      <c r="O5308" s="106" t="str">
        <f t="shared" si="165"/>
        <v>Faltando Comprar</v>
      </c>
    </row>
    <row r="5309" spans="1:15" ht="31.5">
      <c r="A5309" s="16" t="s">
        <v>2900</v>
      </c>
      <c r="B5309" s="16" t="s">
        <v>2906</v>
      </c>
      <c r="C5309" s="17" t="s">
        <v>19</v>
      </c>
      <c r="D5309" s="18" t="s">
        <v>2846</v>
      </c>
      <c r="E5309" s="18">
        <v>30</v>
      </c>
      <c r="F5309" s="18" t="s">
        <v>56</v>
      </c>
      <c r="G5309" s="18" t="s">
        <v>39</v>
      </c>
      <c r="H5309" s="18" t="s">
        <v>23</v>
      </c>
      <c r="I5309" s="19">
        <v>63.27</v>
      </c>
      <c r="J5309" s="40">
        <f t="shared" si="164"/>
        <v>1898.1000000000001</v>
      </c>
      <c r="K5309" s="106"/>
      <c r="L5309" s="114"/>
      <c r="M5309" s="114">
        <f>tblAquisições[[#This Row],[VALOR UNITARIO COMPRADO]]*tblAquisições[[#This Row],[QUANTIDADE COMPRADA]]</f>
        <v>0</v>
      </c>
      <c r="N5309" s="110">
        <f>K5309-tblAquisições[[#This Row],[QUANTIDADE PLANEJADA]]</f>
        <v>-30</v>
      </c>
      <c r="O5309" s="106" t="str">
        <f t="shared" si="165"/>
        <v>Faltando Comprar</v>
      </c>
    </row>
    <row r="5310" spans="1:15" ht="31.5">
      <c r="A5310" s="16" t="s">
        <v>2900</v>
      </c>
      <c r="B5310" s="16" t="s">
        <v>2906</v>
      </c>
      <c r="C5310" s="17" t="s">
        <v>19</v>
      </c>
      <c r="D5310" s="18" t="s">
        <v>3042</v>
      </c>
      <c r="E5310" s="18">
        <v>50</v>
      </c>
      <c r="F5310" s="18" t="s">
        <v>56</v>
      </c>
      <c r="G5310" s="18" t="s">
        <v>39</v>
      </c>
      <c r="H5310" s="18" t="s">
        <v>23</v>
      </c>
      <c r="I5310" s="19">
        <v>32.33</v>
      </c>
      <c r="J5310" s="40">
        <f t="shared" si="164"/>
        <v>1616.5</v>
      </c>
      <c r="K5310" s="106"/>
      <c r="L5310" s="114"/>
      <c r="M5310" s="114">
        <f>tblAquisições[[#This Row],[VALOR UNITARIO COMPRADO]]*tblAquisições[[#This Row],[QUANTIDADE COMPRADA]]</f>
        <v>0</v>
      </c>
      <c r="N5310" s="110">
        <f>K5310-tblAquisições[[#This Row],[QUANTIDADE PLANEJADA]]</f>
        <v>-50</v>
      </c>
      <c r="O5310" s="106" t="str">
        <f t="shared" si="165"/>
        <v>Faltando Comprar</v>
      </c>
    </row>
    <row r="5311" spans="1:15" ht="31.5">
      <c r="A5311" s="16" t="s">
        <v>2900</v>
      </c>
      <c r="B5311" s="16" t="s">
        <v>2906</v>
      </c>
      <c r="C5311" s="17" t="s">
        <v>19</v>
      </c>
      <c r="D5311" s="18" t="s">
        <v>3043</v>
      </c>
      <c r="E5311" s="18">
        <v>50</v>
      </c>
      <c r="F5311" s="18" t="s">
        <v>56</v>
      </c>
      <c r="G5311" s="18" t="s">
        <v>39</v>
      </c>
      <c r="H5311" s="18" t="s">
        <v>23</v>
      </c>
      <c r="I5311" s="19">
        <v>22.33</v>
      </c>
      <c r="J5311" s="40">
        <f t="shared" si="164"/>
        <v>1116.5</v>
      </c>
      <c r="K5311" s="106"/>
      <c r="L5311" s="114"/>
      <c r="M5311" s="114">
        <f>tblAquisições[[#This Row],[VALOR UNITARIO COMPRADO]]*tblAquisições[[#This Row],[QUANTIDADE COMPRADA]]</f>
        <v>0</v>
      </c>
      <c r="N5311" s="110">
        <f>K5311-tblAquisições[[#This Row],[QUANTIDADE PLANEJADA]]</f>
        <v>-50</v>
      </c>
      <c r="O5311" s="106" t="str">
        <f t="shared" si="165"/>
        <v>Faltando Comprar</v>
      </c>
    </row>
    <row r="5312" spans="1:15" ht="31.5">
      <c r="A5312" s="16" t="s">
        <v>2900</v>
      </c>
      <c r="B5312" s="16" t="s">
        <v>2906</v>
      </c>
      <c r="C5312" s="17" t="s">
        <v>19</v>
      </c>
      <c r="D5312" s="18" t="s">
        <v>3044</v>
      </c>
      <c r="E5312" s="18">
        <v>100</v>
      </c>
      <c r="F5312" s="18" t="s">
        <v>56</v>
      </c>
      <c r="G5312" s="18" t="s">
        <v>39</v>
      </c>
      <c r="H5312" s="18" t="s">
        <v>23</v>
      </c>
      <c r="I5312" s="19">
        <v>39.75</v>
      </c>
      <c r="J5312" s="40">
        <f t="shared" si="164"/>
        <v>3975</v>
      </c>
      <c r="K5312" s="106"/>
      <c r="L5312" s="114"/>
      <c r="M5312" s="114">
        <f>tblAquisições[[#This Row],[VALOR UNITARIO COMPRADO]]*tblAquisições[[#This Row],[QUANTIDADE COMPRADA]]</f>
        <v>0</v>
      </c>
      <c r="N5312" s="110">
        <f>K5312-tblAquisições[[#This Row],[QUANTIDADE PLANEJADA]]</f>
        <v>-100</v>
      </c>
      <c r="O5312" s="106" t="str">
        <f t="shared" si="165"/>
        <v>Faltando Comprar</v>
      </c>
    </row>
    <row r="5313" spans="1:15" ht="31.5">
      <c r="A5313" s="16" t="s">
        <v>2900</v>
      </c>
      <c r="B5313" s="16" t="s">
        <v>2906</v>
      </c>
      <c r="C5313" s="17" t="s">
        <v>19</v>
      </c>
      <c r="D5313" s="18" t="s">
        <v>2848</v>
      </c>
      <c r="E5313" s="18">
        <v>50</v>
      </c>
      <c r="F5313" s="18" t="s">
        <v>56</v>
      </c>
      <c r="G5313" s="18" t="s">
        <v>39</v>
      </c>
      <c r="H5313" s="18" t="s">
        <v>23</v>
      </c>
      <c r="I5313" s="19">
        <v>40.090000000000003</v>
      </c>
      <c r="J5313" s="40">
        <f t="shared" si="164"/>
        <v>2004.5000000000002</v>
      </c>
      <c r="K5313" s="106"/>
      <c r="L5313" s="114"/>
      <c r="M5313" s="114">
        <f>tblAquisições[[#This Row],[VALOR UNITARIO COMPRADO]]*tblAquisições[[#This Row],[QUANTIDADE COMPRADA]]</f>
        <v>0</v>
      </c>
      <c r="N5313" s="110">
        <f>K5313-tblAquisições[[#This Row],[QUANTIDADE PLANEJADA]]</f>
        <v>-50</v>
      </c>
      <c r="O5313" s="106" t="str">
        <f t="shared" si="165"/>
        <v>Faltando Comprar</v>
      </c>
    </row>
    <row r="5314" spans="1:15" ht="31.5">
      <c r="A5314" s="16" t="s">
        <v>2900</v>
      </c>
      <c r="B5314" s="16" t="s">
        <v>2906</v>
      </c>
      <c r="C5314" s="17" t="s">
        <v>19</v>
      </c>
      <c r="D5314" s="18" t="s">
        <v>2516</v>
      </c>
      <c r="E5314" s="18">
        <v>30</v>
      </c>
      <c r="F5314" s="18" t="s">
        <v>56</v>
      </c>
      <c r="G5314" s="18" t="s">
        <v>39</v>
      </c>
      <c r="H5314" s="18" t="s">
        <v>23</v>
      </c>
      <c r="I5314" s="19">
        <v>252</v>
      </c>
      <c r="J5314" s="40">
        <f t="shared" ref="J5314:J5377" si="166">E5314*I5314</f>
        <v>7560</v>
      </c>
      <c r="K5314" s="106"/>
      <c r="L5314" s="114"/>
      <c r="M5314" s="114">
        <f>tblAquisições[[#This Row],[VALOR UNITARIO COMPRADO]]*tblAquisições[[#This Row],[QUANTIDADE COMPRADA]]</f>
        <v>0</v>
      </c>
      <c r="N5314" s="110">
        <f>K5314-tblAquisições[[#This Row],[QUANTIDADE PLANEJADA]]</f>
        <v>-30</v>
      </c>
      <c r="O5314" s="106" t="str">
        <f t="shared" ref="O5314:O5377" si="167">IF(K5314=E5314,"OK",IF(K5314&lt;E5314,"Faltando Comprar","Excedente"))</f>
        <v>Faltando Comprar</v>
      </c>
    </row>
    <row r="5315" spans="1:15" ht="31.5">
      <c r="A5315" s="16" t="s">
        <v>2900</v>
      </c>
      <c r="B5315" s="16" t="s">
        <v>2906</v>
      </c>
      <c r="C5315" s="17" t="s">
        <v>19</v>
      </c>
      <c r="D5315" s="18" t="s">
        <v>3045</v>
      </c>
      <c r="E5315" s="18">
        <v>50</v>
      </c>
      <c r="F5315" s="18" t="s">
        <v>56</v>
      </c>
      <c r="G5315" s="18" t="s">
        <v>39</v>
      </c>
      <c r="H5315" s="18" t="s">
        <v>23</v>
      </c>
      <c r="I5315" s="19">
        <v>151.33000000000001</v>
      </c>
      <c r="J5315" s="40">
        <f t="shared" si="166"/>
        <v>7566.5000000000009</v>
      </c>
      <c r="K5315" s="106"/>
      <c r="L5315" s="114"/>
      <c r="M5315" s="114">
        <f>tblAquisições[[#This Row],[VALOR UNITARIO COMPRADO]]*tblAquisições[[#This Row],[QUANTIDADE COMPRADA]]</f>
        <v>0</v>
      </c>
      <c r="N5315" s="110">
        <f>K5315-tblAquisições[[#This Row],[QUANTIDADE PLANEJADA]]</f>
        <v>-50</v>
      </c>
      <c r="O5315" s="106" t="str">
        <f t="shared" si="167"/>
        <v>Faltando Comprar</v>
      </c>
    </row>
    <row r="5316" spans="1:15" ht="31.5">
      <c r="A5316" s="16" t="s">
        <v>2900</v>
      </c>
      <c r="B5316" s="16" t="s">
        <v>2906</v>
      </c>
      <c r="C5316" s="17" t="s">
        <v>19</v>
      </c>
      <c r="D5316" s="18" t="s">
        <v>3046</v>
      </c>
      <c r="E5316" s="18">
        <v>30</v>
      </c>
      <c r="F5316" s="18" t="s">
        <v>56</v>
      </c>
      <c r="G5316" s="18" t="s">
        <v>39</v>
      </c>
      <c r="H5316" s="18" t="s">
        <v>23</v>
      </c>
      <c r="I5316" s="19">
        <v>185.53</v>
      </c>
      <c r="J5316" s="40">
        <f t="shared" si="166"/>
        <v>5565.9</v>
      </c>
      <c r="K5316" s="106"/>
      <c r="L5316" s="114"/>
      <c r="M5316" s="114">
        <f>tblAquisições[[#This Row],[VALOR UNITARIO COMPRADO]]*tblAquisições[[#This Row],[QUANTIDADE COMPRADA]]</f>
        <v>0</v>
      </c>
      <c r="N5316" s="110">
        <f>K5316-tblAquisições[[#This Row],[QUANTIDADE PLANEJADA]]</f>
        <v>-30</v>
      </c>
      <c r="O5316" s="106" t="str">
        <f t="shared" si="167"/>
        <v>Faltando Comprar</v>
      </c>
    </row>
    <row r="5317" spans="1:15" ht="31.5">
      <c r="A5317" s="16" t="s">
        <v>2900</v>
      </c>
      <c r="B5317" s="16" t="s">
        <v>2906</v>
      </c>
      <c r="C5317" s="17" t="s">
        <v>19</v>
      </c>
      <c r="D5317" s="33" t="s">
        <v>3047</v>
      </c>
      <c r="E5317" s="33">
        <v>30</v>
      </c>
      <c r="F5317" s="33" t="s">
        <v>56</v>
      </c>
      <c r="G5317" s="33" t="s">
        <v>39</v>
      </c>
      <c r="H5317" s="33" t="s">
        <v>23</v>
      </c>
      <c r="I5317" s="19">
        <v>30.48</v>
      </c>
      <c r="J5317" s="40">
        <f t="shared" si="166"/>
        <v>914.4</v>
      </c>
      <c r="K5317" s="106"/>
      <c r="L5317" s="114"/>
      <c r="M5317" s="114">
        <f>tblAquisições[[#This Row],[VALOR UNITARIO COMPRADO]]*tblAquisições[[#This Row],[QUANTIDADE COMPRADA]]</f>
        <v>0</v>
      </c>
      <c r="N5317" s="110">
        <f>K5317-tblAquisições[[#This Row],[QUANTIDADE PLANEJADA]]</f>
        <v>-30</v>
      </c>
      <c r="O5317" s="106" t="str">
        <f t="shared" si="167"/>
        <v>Faltando Comprar</v>
      </c>
    </row>
    <row r="5318" spans="1:15" ht="31.5">
      <c r="A5318" s="16" t="s">
        <v>2900</v>
      </c>
      <c r="B5318" s="16" t="s">
        <v>2906</v>
      </c>
      <c r="C5318" s="17" t="s">
        <v>19</v>
      </c>
      <c r="D5318" s="18" t="s">
        <v>3048</v>
      </c>
      <c r="E5318" s="18">
        <v>50</v>
      </c>
      <c r="F5318" s="18" t="s">
        <v>56</v>
      </c>
      <c r="G5318" s="18" t="s">
        <v>39</v>
      </c>
      <c r="H5318" s="18" t="s">
        <v>23</v>
      </c>
      <c r="I5318" s="19">
        <v>114.76</v>
      </c>
      <c r="J5318" s="40">
        <f t="shared" si="166"/>
        <v>5738</v>
      </c>
      <c r="K5318" s="106"/>
      <c r="L5318" s="114"/>
      <c r="M5318" s="114">
        <f>tblAquisições[[#This Row],[VALOR UNITARIO COMPRADO]]*tblAquisições[[#This Row],[QUANTIDADE COMPRADA]]</f>
        <v>0</v>
      </c>
      <c r="N5318" s="110">
        <f>K5318-tblAquisições[[#This Row],[QUANTIDADE PLANEJADA]]</f>
        <v>-50</v>
      </c>
      <c r="O5318" s="106" t="str">
        <f t="shared" si="167"/>
        <v>Faltando Comprar</v>
      </c>
    </row>
    <row r="5319" spans="1:15" ht="47.25">
      <c r="A5319" s="16" t="s">
        <v>2900</v>
      </c>
      <c r="B5319" s="16" t="s">
        <v>2919</v>
      </c>
      <c r="C5319" s="17" t="s">
        <v>19</v>
      </c>
      <c r="D5319" s="18" t="s">
        <v>3049</v>
      </c>
      <c r="E5319" s="18">
        <v>2</v>
      </c>
      <c r="F5319" s="18" t="s">
        <v>96</v>
      </c>
      <c r="G5319" s="18" t="s">
        <v>39</v>
      </c>
      <c r="H5319" s="18" t="s">
        <v>23</v>
      </c>
      <c r="I5319" s="19">
        <v>36.97</v>
      </c>
      <c r="J5319" s="40">
        <f t="shared" si="166"/>
        <v>73.94</v>
      </c>
      <c r="K5319" s="106"/>
      <c r="L5319" s="114"/>
      <c r="M5319" s="114">
        <f>tblAquisições[[#This Row],[VALOR UNITARIO COMPRADO]]*tblAquisições[[#This Row],[QUANTIDADE COMPRADA]]</f>
        <v>0</v>
      </c>
      <c r="N5319" s="110">
        <f>K5319-tblAquisições[[#This Row],[QUANTIDADE PLANEJADA]]</f>
        <v>-2</v>
      </c>
      <c r="O5319" s="106" t="str">
        <f t="shared" si="167"/>
        <v>Faltando Comprar</v>
      </c>
    </row>
    <row r="5320" spans="1:15" ht="63">
      <c r="A5320" s="16" t="s">
        <v>2900</v>
      </c>
      <c r="B5320" s="16" t="s">
        <v>2906</v>
      </c>
      <c r="C5320" s="17" t="s">
        <v>19</v>
      </c>
      <c r="D5320" s="18" t="s">
        <v>3050</v>
      </c>
      <c r="E5320" s="18">
        <v>9</v>
      </c>
      <c r="F5320" s="18" t="s">
        <v>2802</v>
      </c>
      <c r="G5320" s="18" t="s">
        <v>775</v>
      </c>
      <c r="H5320" s="18" t="s">
        <v>23</v>
      </c>
      <c r="I5320" s="19">
        <v>864.05</v>
      </c>
      <c r="J5320" s="40">
        <f t="shared" si="166"/>
        <v>7776.45</v>
      </c>
      <c r="K5320" s="106"/>
      <c r="L5320" s="114"/>
      <c r="M5320" s="114">
        <f>tblAquisições[[#This Row],[VALOR UNITARIO COMPRADO]]*tblAquisições[[#This Row],[QUANTIDADE COMPRADA]]</f>
        <v>0</v>
      </c>
      <c r="N5320" s="110">
        <f>K5320-tblAquisições[[#This Row],[QUANTIDADE PLANEJADA]]</f>
        <v>-9</v>
      </c>
      <c r="O5320" s="106" t="str">
        <f t="shared" si="167"/>
        <v>Faltando Comprar</v>
      </c>
    </row>
    <row r="5321" spans="1:15" ht="31.5">
      <c r="A5321" s="16" t="s">
        <v>2900</v>
      </c>
      <c r="B5321" s="16" t="s">
        <v>2906</v>
      </c>
      <c r="C5321" s="17" t="s">
        <v>19</v>
      </c>
      <c r="D5321" s="18" t="s">
        <v>3051</v>
      </c>
      <c r="E5321" s="18">
        <v>50</v>
      </c>
      <c r="F5321" s="18" t="s">
        <v>56</v>
      </c>
      <c r="G5321" s="18" t="s">
        <v>39</v>
      </c>
      <c r="H5321" s="18" t="s">
        <v>23</v>
      </c>
      <c r="I5321" s="19">
        <v>20.41</v>
      </c>
      <c r="J5321" s="40">
        <f t="shared" si="166"/>
        <v>1020.5</v>
      </c>
      <c r="K5321" s="106"/>
      <c r="L5321" s="114"/>
      <c r="M5321" s="114">
        <f>tblAquisições[[#This Row],[VALOR UNITARIO COMPRADO]]*tblAquisições[[#This Row],[QUANTIDADE COMPRADA]]</f>
        <v>0</v>
      </c>
      <c r="N5321" s="110">
        <f>K5321-tblAquisições[[#This Row],[QUANTIDADE PLANEJADA]]</f>
        <v>-50</v>
      </c>
      <c r="O5321" s="106" t="str">
        <f t="shared" si="167"/>
        <v>Faltando Comprar</v>
      </c>
    </row>
    <row r="5322" spans="1:15" ht="31.5">
      <c r="A5322" s="16" t="s">
        <v>2900</v>
      </c>
      <c r="B5322" s="16" t="s">
        <v>2906</v>
      </c>
      <c r="C5322" s="17" t="s">
        <v>19</v>
      </c>
      <c r="D5322" s="18" t="s">
        <v>3052</v>
      </c>
      <c r="E5322" s="18">
        <v>30</v>
      </c>
      <c r="F5322" s="18" t="s">
        <v>56</v>
      </c>
      <c r="G5322" s="18" t="s">
        <v>39</v>
      </c>
      <c r="H5322" s="18" t="s">
        <v>23</v>
      </c>
      <c r="I5322" s="19">
        <v>40.799999999999997</v>
      </c>
      <c r="J5322" s="40">
        <f t="shared" si="166"/>
        <v>1224</v>
      </c>
      <c r="K5322" s="106"/>
      <c r="L5322" s="114"/>
      <c r="M5322" s="114">
        <f>tblAquisições[[#This Row],[VALOR UNITARIO COMPRADO]]*tblAquisições[[#This Row],[QUANTIDADE COMPRADA]]</f>
        <v>0</v>
      </c>
      <c r="N5322" s="110">
        <f>K5322-tblAquisições[[#This Row],[QUANTIDADE PLANEJADA]]</f>
        <v>-30</v>
      </c>
      <c r="O5322" s="106" t="str">
        <f t="shared" si="167"/>
        <v>Faltando Comprar</v>
      </c>
    </row>
    <row r="5323" spans="1:15" ht="31.5">
      <c r="A5323" s="16" t="s">
        <v>2900</v>
      </c>
      <c r="B5323" s="16" t="s">
        <v>2906</v>
      </c>
      <c r="C5323" s="17" t="s">
        <v>19</v>
      </c>
      <c r="D5323" s="18" t="s">
        <v>3053</v>
      </c>
      <c r="E5323" s="18">
        <v>10</v>
      </c>
      <c r="F5323" s="18" t="s">
        <v>56</v>
      </c>
      <c r="G5323" s="18" t="s">
        <v>39</v>
      </c>
      <c r="H5323" s="18" t="s">
        <v>65</v>
      </c>
      <c r="I5323" s="24">
        <v>392.33</v>
      </c>
      <c r="J5323" s="40">
        <f t="shared" si="166"/>
        <v>3923.2999999999997</v>
      </c>
      <c r="K5323" s="106"/>
      <c r="L5323" s="114"/>
      <c r="M5323" s="114">
        <f>tblAquisições[[#This Row],[VALOR UNITARIO COMPRADO]]*tblAquisições[[#This Row],[QUANTIDADE COMPRADA]]</f>
        <v>0</v>
      </c>
      <c r="N5323" s="110">
        <f>K5323-tblAquisições[[#This Row],[QUANTIDADE PLANEJADA]]</f>
        <v>-10</v>
      </c>
      <c r="O5323" s="106" t="str">
        <f t="shared" si="167"/>
        <v>Faltando Comprar</v>
      </c>
    </row>
    <row r="5324" spans="1:15" ht="31.5">
      <c r="A5324" s="16" t="s">
        <v>2900</v>
      </c>
      <c r="B5324" s="16" t="s">
        <v>2906</v>
      </c>
      <c r="C5324" s="17" t="s">
        <v>19</v>
      </c>
      <c r="D5324" s="18" t="s">
        <v>3054</v>
      </c>
      <c r="E5324" s="18">
        <v>100</v>
      </c>
      <c r="F5324" s="18" t="s">
        <v>56</v>
      </c>
      <c r="G5324" s="18" t="s">
        <v>39</v>
      </c>
      <c r="H5324" s="18" t="s">
        <v>23</v>
      </c>
      <c r="I5324" s="19">
        <v>11.65</v>
      </c>
      <c r="J5324" s="40">
        <f t="shared" si="166"/>
        <v>1165</v>
      </c>
      <c r="K5324" s="106"/>
      <c r="L5324" s="114"/>
      <c r="M5324" s="114">
        <f>tblAquisições[[#This Row],[VALOR UNITARIO COMPRADO]]*tblAquisições[[#This Row],[QUANTIDADE COMPRADA]]</f>
        <v>0</v>
      </c>
      <c r="N5324" s="110">
        <f>K5324-tblAquisições[[#This Row],[QUANTIDADE PLANEJADA]]</f>
        <v>-100</v>
      </c>
      <c r="O5324" s="106" t="str">
        <f t="shared" si="167"/>
        <v>Faltando Comprar</v>
      </c>
    </row>
    <row r="5325" spans="1:15" ht="47.25">
      <c r="A5325" s="16" t="s">
        <v>2900</v>
      </c>
      <c r="B5325" s="16" t="s">
        <v>2903</v>
      </c>
      <c r="C5325" s="17" t="s">
        <v>19</v>
      </c>
      <c r="D5325" s="18" t="s">
        <v>2852</v>
      </c>
      <c r="E5325" s="18">
        <v>2</v>
      </c>
      <c r="F5325" s="18" t="s">
        <v>96</v>
      </c>
      <c r="G5325" s="18" t="s">
        <v>39</v>
      </c>
      <c r="H5325" s="18" t="s">
        <v>65</v>
      </c>
      <c r="I5325" s="19">
        <v>301.66000000000003</v>
      </c>
      <c r="J5325" s="40">
        <f t="shared" si="166"/>
        <v>603.32000000000005</v>
      </c>
      <c r="K5325" s="106"/>
      <c r="L5325" s="114"/>
      <c r="M5325" s="114">
        <f>tblAquisições[[#This Row],[VALOR UNITARIO COMPRADO]]*tblAquisições[[#This Row],[QUANTIDADE COMPRADA]]</f>
        <v>0</v>
      </c>
      <c r="N5325" s="110">
        <f>K5325-tblAquisições[[#This Row],[QUANTIDADE PLANEJADA]]</f>
        <v>-2</v>
      </c>
      <c r="O5325" s="106" t="str">
        <f t="shared" si="167"/>
        <v>Faltando Comprar</v>
      </c>
    </row>
    <row r="5326" spans="1:15" ht="47.25">
      <c r="A5326" s="16" t="s">
        <v>2900</v>
      </c>
      <c r="B5326" s="16" t="s">
        <v>2904</v>
      </c>
      <c r="C5326" s="17" t="s">
        <v>19</v>
      </c>
      <c r="D5326" s="33" t="s">
        <v>2852</v>
      </c>
      <c r="E5326" s="33">
        <v>2</v>
      </c>
      <c r="F5326" s="33" t="s">
        <v>96</v>
      </c>
      <c r="G5326" s="33" t="s">
        <v>39</v>
      </c>
      <c r="H5326" s="33" t="s">
        <v>65</v>
      </c>
      <c r="I5326" s="19">
        <v>301.66000000000003</v>
      </c>
      <c r="J5326" s="40">
        <f t="shared" si="166"/>
        <v>603.32000000000005</v>
      </c>
      <c r="K5326" s="106"/>
      <c r="L5326" s="114"/>
      <c r="M5326" s="114">
        <f>tblAquisições[[#This Row],[VALOR UNITARIO COMPRADO]]*tblAquisições[[#This Row],[QUANTIDADE COMPRADA]]</f>
        <v>0</v>
      </c>
      <c r="N5326" s="110">
        <f>K5326-tblAquisições[[#This Row],[QUANTIDADE PLANEJADA]]</f>
        <v>-2</v>
      </c>
      <c r="O5326" s="106" t="str">
        <f t="shared" si="167"/>
        <v>Faltando Comprar</v>
      </c>
    </row>
    <row r="5327" spans="1:15" ht="47.25">
      <c r="A5327" s="16" t="s">
        <v>2900</v>
      </c>
      <c r="B5327" s="16" t="s">
        <v>2916</v>
      </c>
      <c r="C5327" s="17" t="s">
        <v>19</v>
      </c>
      <c r="D5327" s="18" t="s">
        <v>2852</v>
      </c>
      <c r="E5327" s="18">
        <v>6</v>
      </c>
      <c r="F5327" s="18" t="s">
        <v>96</v>
      </c>
      <c r="G5327" s="18" t="s">
        <v>39</v>
      </c>
      <c r="H5327" s="18" t="s">
        <v>65</v>
      </c>
      <c r="I5327" s="19">
        <v>301.66000000000003</v>
      </c>
      <c r="J5327" s="40">
        <f t="shared" si="166"/>
        <v>1809.96</v>
      </c>
      <c r="K5327" s="106"/>
      <c r="L5327" s="114"/>
      <c r="M5327" s="114">
        <f>tblAquisições[[#This Row],[VALOR UNITARIO COMPRADO]]*tblAquisições[[#This Row],[QUANTIDADE COMPRADA]]</f>
        <v>0</v>
      </c>
      <c r="N5327" s="110">
        <f>K5327-tblAquisições[[#This Row],[QUANTIDADE PLANEJADA]]</f>
        <v>-6</v>
      </c>
      <c r="O5327" s="106" t="str">
        <f t="shared" si="167"/>
        <v>Faltando Comprar</v>
      </c>
    </row>
    <row r="5328" spans="1:15" ht="63">
      <c r="A5328" s="16" t="s">
        <v>2900</v>
      </c>
      <c r="B5328" s="16" t="s">
        <v>2906</v>
      </c>
      <c r="C5328" s="17" t="s">
        <v>19</v>
      </c>
      <c r="D5328" s="18" t="s">
        <v>2853</v>
      </c>
      <c r="E5328" s="18">
        <v>9</v>
      </c>
      <c r="F5328" s="18" t="s">
        <v>2678</v>
      </c>
      <c r="G5328" s="18" t="s">
        <v>775</v>
      </c>
      <c r="H5328" s="18" t="s">
        <v>23</v>
      </c>
      <c r="I5328" s="19">
        <v>462.47</v>
      </c>
      <c r="J5328" s="40">
        <f t="shared" si="166"/>
        <v>4162.2300000000005</v>
      </c>
      <c r="K5328" s="106"/>
      <c r="L5328" s="114"/>
      <c r="M5328" s="114">
        <f>tblAquisições[[#This Row],[VALOR UNITARIO COMPRADO]]*tblAquisições[[#This Row],[QUANTIDADE COMPRADA]]</f>
        <v>0</v>
      </c>
      <c r="N5328" s="110">
        <f>K5328-tblAquisições[[#This Row],[QUANTIDADE PLANEJADA]]</f>
        <v>-9</v>
      </c>
      <c r="O5328" s="106" t="str">
        <f t="shared" si="167"/>
        <v>Faltando Comprar</v>
      </c>
    </row>
    <row r="5329" spans="1:15" ht="31.5">
      <c r="A5329" s="16" t="s">
        <v>2900</v>
      </c>
      <c r="B5329" s="16" t="s">
        <v>2906</v>
      </c>
      <c r="C5329" s="17" t="s">
        <v>19</v>
      </c>
      <c r="D5329" s="18" t="s">
        <v>3055</v>
      </c>
      <c r="E5329" s="18">
        <v>100</v>
      </c>
      <c r="F5329" s="18" t="s">
        <v>56</v>
      </c>
      <c r="G5329" s="18" t="s">
        <v>39</v>
      </c>
      <c r="H5329" s="18" t="s">
        <v>23</v>
      </c>
      <c r="I5329" s="19">
        <v>82.47</v>
      </c>
      <c r="J5329" s="40">
        <f t="shared" si="166"/>
        <v>8247</v>
      </c>
      <c r="K5329" s="106"/>
      <c r="L5329" s="114"/>
      <c r="M5329" s="114">
        <f>tblAquisições[[#This Row],[VALOR UNITARIO COMPRADO]]*tblAquisições[[#This Row],[QUANTIDADE COMPRADA]]</f>
        <v>0</v>
      </c>
      <c r="N5329" s="110">
        <f>K5329-tblAquisições[[#This Row],[QUANTIDADE PLANEJADA]]</f>
        <v>-100</v>
      </c>
      <c r="O5329" s="106" t="str">
        <f t="shared" si="167"/>
        <v>Faltando Comprar</v>
      </c>
    </row>
    <row r="5330" spans="1:15" ht="31.5">
      <c r="A5330" s="16" t="s">
        <v>2900</v>
      </c>
      <c r="B5330" s="16" t="s">
        <v>2906</v>
      </c>
      <c r="C5330" s="17" t="s">
        <v>19</v>
      </c>
      <c r="D5330" s="18" t="s">
        <v>3056</v>
      </c>
      <c r="E5330" s="18">
        <v>20</v>
      </c>
      <c r="F5330" s="18" t="s">
        <v>56</v>
      </c>
      <c r="G5330" s="18" t="s">
        <v>39</v>
      </c>
      <c r="H5330" s="18" t="s">
        <v>23</v>
      </c>
      <c r="I5330" s="19">
        <v>1125</v>
      </c>
      <c r="J5330" s="40">
        <f t="shared" si="166"/>
        <v>22500</v>
      </c>
      <c r="K5330" s="106"/>
      <c r="L5330" s="114"/>
      <c r="M5330" s="114">
        <f>tblAquisições[[#This Row],[VALOR UNITARIO COMPRADO]]*tblAquisições[[#This Row],[QUANTIDADE COMPRADA]]</f>
        <v>0</v>
      </c>
      <c r="N5330" s="110">
        <f>K5330-tblAquisições[[#This Row],[QUANTIDADE PLANEJADA]]</f>
        <v>-20</v>
      </c>
      <c r="O5330" s="106" t="str">
        <f t="shared" si="167"/>
        <v>Faltando Comprar</v>
      </c>
    </row>
    <row r="5331" spans="1:15" ht="31.5">
      <c r="A5331" s="16" t="s">
        <v>2900</v>
      </c>
      <c r="B5331" s="16" t="s">
        <v>2906</v>
      </c>
      <c r="C5331" s="17" t="s">
        <v>19</v>
      </c>
      <c r="D5331" s="18" t="s">
        <v>2859</v>
      </c>
      <c r="E5331" s="18">
        <v>50</v>
      </c>
      <c r="F5331" s="18" t="s">
        <v>56</v>
      </c>
      <c r="G5331" s="18" t="s">
        <v>39</v>
      </c>
      <c r="H5331" s="18" t="s">
        <v>23</v>
      </c>
      <c r="I5331" s="19">
        <v>23.15</v>
      </c>
      <c r="J5331" s="40">
        <f t="shared" si="166"/>
        <v>1157.5</v>
      </c>
      <c r="K5331" s="106"/>
      <c r="L5331" s="114"/>
      <c r="M5331" s="114">
        <f>tblAquisições[[#This Row],[VALOR UNITARIO COMPRADO]]*tblAquisições[[#This Row],[QUANTIDADE COMPRADA]]</f>
        <v>0</v>
      </c>
      <c r="N5331" s="110">
        <f>K5331-tblAquisições[[#This Row],[QUANTIDADE PLANEJADA]]</f>
        <v>-50</v>
      </c>
      <c r="O5331" s="106" t="str">
        <f t="shared" si="167"/>
        <v>Faltando Comprar</v>
      </c>
    </row>
    <row r="5332" spans="1:15" ht="47.25">
      <c r="A5332" s="16" t="s">
        <v>2900</v>
      </c>
      <c r="B5332" s="16" t="s">
        <v>2901</v>
      </c>
      <c r="C5332" s="17" t="s">
        <v>19</v>
      </c>
      <c r="D5332" s="18" t="s">
        <v>3057</v>
      </c>
      <c r="E5332" s="18">
        <v>6</v>
      </c>
      <c r="F5332" s="18" t="s">
        <v>191</v>
      </c>
      <c r="G5332" s="18" t="s">
        <v>39</v>
      </c>
      <c r="H5332" s="18" t="s">
        <v>23</v>
      </c>
      <c r="I5332" s="19">
        <v>20.14</v>
      </c>
      <c r="J5332" s="40">
        <f t="shared" si="166"/>
        <v>120.84</v>
      </c>
      <c r="K5332" s="106"/>
      <c r="L5332" s="114"/>
      <c r="M5332" s="114">
        <f>tblAquisições[[#This Row],[VALOR UNITARIO COMPRADO]]*tblAquisições[[#This Row],[QUANTIDADE COMPRADA]]</f>
        <v>0</v>
      </c>
      <c r="N5332" s="110">
        <f>K5332-tblAquisições[[#This Row],[QUANTIDADE PLANEJADA]]</f>
        <v>-6</v>
      </c>
      <c r="O5332" s="106" t="str">
        <f t="shared" si="167"/>
        <v>Faltando Comprar</v>
      </c>
    </row>
    <row r="5333" spans="1:15" ht="31.5">
      <c r="A5333" s="16" t="s">
        <v>2900</v>
      </c>
      <c r="B5333" s="16" t="s">
        <v>2906</v>
      </c>
      <c r="C5333" s="17" t="s">
        <v>19</v>
      </c>
      <c r="D5333" s="18" t="s">
        <v>3058</v>
      </c>
      <c r="E5333" s="18">
        <v>50</v>
      </c>
      <c r="F5333" s="18" t="s">
        <v>56</v>
      </c>
      <c r="G5333" s="18" t="s">
        <v>39</v>
      </c>
      <c r="H5333" s="18" t="s">
        <v>23</v>
      </c>
      <c r="I5333" s="19">
        <v>53.92</v>
      </c>
      <c r="J5333" s="40">
        <f t="shared" si="166"/>
        <v>2696</v>
      </c>
      <c r="K5333" s="106"/>
      <c r="L5333" s="114"/>
      <c r="M5333" s="114">
        <f>tblAquisições[[#This Row],[VALOR UNITARIO COMPRADO]]*tblAquisições[[#This Row],[QUANTIDADE COMPRADA]]</f>
        <v>0</v>
      </c>
      <c r="N5333" s="110">
        <f>K5333-tblAquisições[[#This Row],[QUANTIDADE PLANEJADA]]</f>
        <v>-50</v>
      </c>
      <c r="O5333" s="106" t="str">
        <f t="shared" si="167"/>
        <v>Faltando Comprar</v>
      </c>
    </row>
    <row r="5334" spans="1:15" ht="31.5">
      <c r="A5334" s="16" t="s">
        <v>2900</v>
      </c>
      <c r="B5334" s="16" t="s">
        <v>2916</v>
      </c>
      <c r="C5334" s="17" t="s">
        <v>19</v>
      </c>
      <c r="D5334" s="18" t="s">
        <v>3059</v>
      </c>
      <c r="E5334" s="18">
        <v>5</v>
      </c>
      <c r="F5334" s="18" t="s">
        <v>56</v>
      </c>
      <c r="G5334" s="18" t="s">
        <v>39</v>
      </c>
      <c r="H5334" s="18" t="s">
        <v>23</v>
      </c>
      <c r="I5334" s="19">
        <v>22.03</v>
      </c>
      <c r="J5334" s="40">
        <f t="shared" si="166"/>
        <v>110.15</v>
      </c>
      <c r="K5334" s="106"/>
      <c r="L5334" s="114"/>
      <c r="M5334" s="114">
        <f>tblAquisições[[#This Row],[VALOR UNITARIO COMPRADO]]*tblAquisições[[#This Row],[QUANTIDADE COMPRADA]]</f>
        <v>0</v>
      </c>
      <c r="N5334" s="110">
        <f>K5334-tblAquisições[[#This Row],[QUANTIDADE PLANEJADA]]</f>
        <v>-5</v>
      </c>
      <c r="O5334" s="106" t="str">
        <f t="shared" si="167"/>
        <v>Faltando Comprar</v>
      </c>
    </row>
    <row r="5335" spans="1:15" ht="31.5">
      <c r="A5335" s="16" t="s">
        <v>2900</v>
      </c>
      <c r="B5335" s="16" t="s">
        <v>2906</v>
      </c>
      <c r="C5335" s="17" t="s">
        <v>19</v>
      </c>
      <c r="D5335" s="18" t="s">
        <v>3059</v>
      </c>
      <c r="E5335" s="18">
        <v>20</v>
      </c>
      <c r="F5335" s="18" t="s">
        <v>56</v>
      </c>
      <c r="G5335" s="18" t="s">
        <v>39</v>
      </c>
      <c r="H5335" s="18" t="s">
        <v>23</v>
      </c>
      <c r="I5335" s="19">
        <v>22.03</v>
      </c>
      <c r="J5335" s="40">
        <f t="shared" si="166"/>
        <v>440.6</v>
      </c>
      <c r="K5335" s="106"/>
      <c r="L5335" s="114"/>
      <c r="M5335" s="114">
        <f>tblAquisições[[#This Row],[VALOR UNITARIO COMPRADO]]*tblAquisições[[#This Row],[QUANTIDADE COMPRADA]]</f>
        <v>0</v>
      </c>
      <c r="N5335" s="110">
        <f>K5335-tblAquisições[[#This Row],[QUANTIDADE PLANEJADA]]</f>
        <v>-20</v>
      </c>
      <c r="O5335" s="106" t="str">
        <f t="shared" si="167"/>
        <v>Faltando Comprar</v>
      </c>
    </row>
    <row r="5336" spans="1:15" ht="31.5">
      <c r="A5336" s="16" t="s">
        <v>2900</v>
      </c>
      <c r="B5336" s="16" t="s">
        <v>2906</v>
      </c>
      <c r="C5336" s="17" t="s">
        <v>19</v>
      </c>
      <c r="D5336" s="18" t="s">
        <v>3060</v>
      </c>
      <c r="E5336" s="18">
        <v>50</v>
      </c>
      <c r="F5336" s="18" t="s">
        <v>56</v>
      </c>
      <c r="G5336" s="18" t="s">
        <v>39</v>
      </c>
      <c r="H5336" s="18" t="s">
        <v>23</v>
      </c>
      <c r="I5336" s="19">
        <v>120.93</v>
      </c>
      <c r="J5336" s="40">
        <f t="shared" si="166"/>
        <v>6046.5</v>
      </c>
      <c r="K5336" s="106"/>
      <c r="L5336" s="114"/>
      <c r="M5336" s="114">
        <f>tblAquisições[[#This Row],[VALOR UNITARIO COMPRADO]]*tblAquisições[[#This Row],[QUANTIDADE COMPRADA]]</f>
        <v>0</v>
      </c>
      <c r="N5336" s="110">
        <f>K5336-tblAquisições[[#This Row],[QUANTIDADE PLANEJADA]]</f>
        <v>-50</v>
      </c>
      <c r="O5336" s="106" t="str">
        <f t="shared" si="167"/>
        <v>Faltando Comprar</v>
      </c>
    </row>
    <row r="5337" spans="1:15" ht="47.25">
      <c r="A5337" s="16" t="s">
        <v>2900</v>
      </c>
      <c r="B5337" s="16" t="s">
        <v>2916</v>
      </c>
      <c r="C5337" s="17" t="s">
        <v>19</v>
      </c>
      <c r="D5337" s="18" t="s">
        <v>3061</v>
      </c>
      <c r="E5337" s="18">
        <v>25</v>
      </c>
      <c r="F5337" s="18" t="s">
        <v>96</v>
      </c>
      <c r="G5337" s="18" t="s">
        <v>39</v>
      </c>
      <c r="H5337" s="18" t="s">
        <v>23</v>
      </c>
      <c r="I5337" s="19">
        <v>31.76</v>
      </c>
      <c r="J5337" s="40">
        <f t="shared" si="166"/>
        <v>794</v>
      </c>
      <c r="K5337" s="106"/>
      <c r="L5337" s="114"/>
      <c r="M5337" s="114">
        <f>tblAquisições[[#This Row],[VALOR UNITARIO COMPRADO]]*tblAquisições[[#This Row],[QUANTIDADE COMPRADA]]</f>
        <v>0</v>
      </c>
      <c r="N5337" s="110">
        <f>K5337-tblAquisições[[#This Row],[QUANTIDADE PLANEJADA]]</f>
        <v>-25</v>
      </c>
      <c r="O5337" s="106" t="str">
        <f t="shared" si="167"/>
        <v>Faltando Comprar</v>
      </c>
    </row>
    <row r="5338" spans="1:15" ht="47.25">
      <c r="A5338" s="16" t="s">
        <v>2900</v>
      </c>
      <c r="B5338" s="16" t="s">
        <v>2906</v>
      </c>
      <c r="C5338" s="17" t="s">
        <v>19</v>
      </c>
      <c r="D5338" s="18" t="s">
        <v>3061</v>
      </c>
      <c r="E5338" s="18">
        <v>25</v>
      </c>
      <c r="F5338" s="18" t="s">
        <v>96</v>
      </c>
      <c r="G5338" s="18" t="s">
        <v>39</v>
      </c>
      <c r="H5338" s="18" t="s">
        <v>23</v>
      </c>
      <c r="I5338" s="19">
        <v>31.76</v>
      </c>
      <c r="J5338" s="40">
        <f t="shared" si="166"/>
        <v>794</v>
      </c>
      <c r="K5338" s="106"/>
      <c r="L5338" s="114"/>
      <c r="M5338" s="114">
        <f>tblAquisições[[#This Row],[VALOR UNITARIO COMPRADO]]*tblAquisições[[#This Row],[QUANTIDADE COMPRADA]]</f>
        <v>0</v>
      </c>
      <c r="N5338" s="110">
        <f>K5338-tblAquisições[[#This Row],[QUANTIDADE PLANEJADA]]</f>
        <v>-25</v>
      </c>
      <c r="O5338" s="106" t="str">
        <f t="shared" si="167"/>
        <v>Faltando Comprar</v>
      </c>
    </row>
    <row r="5339" spans="1:15" ht="63">
      <c r="A5339" s="16" t="s">
        <v>2900</v>
      </c>
      <c r="B5339" s="16" t="s">
        <v>2906</v>
      </c>
      <c r="C5339" s="17" t="s">
        <v>19</v>
      </c>
      <c r="D5339" s="18" t="s">
        <v>3062</v>
      </c>
      <c r="E5339" s="18">
        <v>1</v>
      </c>
      <c r="F5339" s="18" t="s">
        <v>2678</v>
      </c>
      <c r="G5339" s="18" t="s">
        <v>775</v>
      </c>
      <c r="H5339" s="18" t="s">
        <v>23</v>
      </c>
      <c r="I5339" s="19">
        <v>3124.03</v>
      </c>
      <c r="J5339" s="40">
        <f t="shared" si="166"/>
        <v>3124.03</v>
      </c>
      <c r="K5339" s="106"/>
      <c r="L5339" s="114"/>
      <c r="M5339" s="114">
        <f>tblAquisições[[#This Row],[VALOR UNITARIO COMPRADO]]*tblAquisições[[#This Row],[QUANTIDADE COMPRADA]]</f>
        <v>0</v>
      </c>
      <c r="N5339" s="110">
        <f>K5339-tblAquisições[[#This Row],[QUANTIDADE PLANEJADA]]</f>
        <v>-1</v>
      </c>
      <c r="O5339" s="106" t="str">
        <f t="shared" si="167"/>
        <v>Faltando Comprar</v>
      </c>
    </row>
    <row r="5340" spans="1:15" ht="31.5">
      <c r="A5340" s="16" t="s">
        <v>2900</v>
      </c>
      <c r="B5340" s="16" t="s">
        <v>2919</v>
      </c>
      <c r="C5340" s="17" t="s">
        <v>19</v>
      </c>
      <c r="D5340" s="18" t="s">
        <v>3063</v>
      </c>
      <c r="E5340" s="18">
        <v>3</v>
      </c>
      <c r="F5340" s="18" t="s">
        <v>56</v>
      </c>
      <c r="G5340" s="18" t="s">
        <v>39</v>
      </c>
      <c r="H5340" s="18" t="s">
        <v>23</v>
      </c>
      <c r="I5340" s="19">
        <v>70.59</v>
      </c>
      <c r="J5340" s="40">
        <f t="shared" si="166"/>
        <v>211.77</v>
      </c>
      <c r="K5340" s="106"/>
      <c r="L5340" s="114"/>
      <c r="M5340" s="114">
        <f>tblAquisições[[#This Row],[VALOR UNITARIO COMPRADO]]*tblAquisições[[#This Row],[QUANTIDADE COMPRADA]]</f>
        <v>0</v>
      </c>
      <c r="N5340" s="110">
        <f>K5340-tblAquisições[[#This Row],[QUANTIDADE PLANEJADA]]</f>
        <v>-3</v>
      </c>
      <c r="O5340" s="106" t="str">
        <f t="shared" si="167"/>
        <v>Faltando Comprar</v>
      </c>
    </row>
    <row r="5341" spans="1:15" ht="63">
      <c r="A5341" s="16" t="s">
        <v>2900</v>
      </c>
      <c r="B5341" s="16" t="s">
        <v>2919</v>
      </c>
      <c r="C5341" s="17" t="s">
        <v>19</v>
      </c>
      <c r="D5341" s="33" t="s">
        <v>2867</v>
      </c>
      <c r="E5341" s="33">
        <v>4</v>
      </c>
      <c r="F5341" s="33" t="s">
        <v>2802</v>
      </c>
      <c r="G5341" s="33" t="s">
        <v>775</v>
      </c>
      <c r="H5341" s="33" t="s">
        <v>23</v>
      </c>
      <c r="I5341" s="19">
        <v>565</v>
      </c>
      <c r="J5341" s="40">
        <f t="shared" si="166"/>
        <v>2260</v>
      </c>
      <c r="K5341" s="106"/>
      <c r="L5341" s="114"/>
      <c r="M5341" s="114">
        <f>tblAquisições[[#This Row],[VALOR UNITARIO COMPRADO]]*tblAquisições[[#This Row],[QUANTIDADE COMPRADA]]</f>
        <v>0</v>
      </c>
      <c r="N5341" s="110">
        <f>K5341-tblAquisições[[#This Row],[QUANTIDADE PLANEJADA]]</f>
        <v>-4</v>
      </c>
      <c r="O5341" s="106" t="str">
        <f t="shared" si="167"/>
        <v>Faltando Comprar</v>
      </c>
    </row>
    <row r="5342" spans="1:15" ht="45">
      <c r="A5342" s="16" t="s">
        <v>2900</v>
      </c>
      <c r="B5342" s="16" t="s">
        <v>2916</v>
      </c>
      <c r="C5342" s="17" t="s">
        <v>19</v>
      </c>
      <c r="D5342" s="21" t="s">
        <v>3064</v>
      </c>
      <c r="E5342" s="18">
        <v>5</v>
      </c>
      <c r="F5342" s="21" t="s">
        <v>56</v>
      </c>
      <c r="G5342" s="21" t="s">
        <v>3065</v>
      </c>
      <c r="H5342" s="18" t="s">
        <v>23</v>
      </c>
      <c r="I5342" s="19">
        <v>22.23</v>
      </c>
      <c r="J5342" s="40">
        <f t="shared" si="166"/>
        <v>111.15</v>
      </c>
      <c r="K5342" s="106"/>
      <c r="L5342" s="114"/>
      <c r="M5342" s="114">
        <f>tblAquisições[[#This Row],[VALOR UNITARIO COMPRADO]]*tblAquisições[[#This Row],[QUANTIDADE COMPRADA]]</f>
        <v>0</v>
      </c>
      <c r="N5342" s="110">
        <f>K5342-tblAquisições[[#This Row],[QUANTIDADE PLANEJADA]]</f>
        <v>-5</v>
      </c>
      <c r="O5342" s="106" t="str">
        <f t="shared" si="167"/>
        <v>Faltando Comprar</v>
      </c>
    </row>
    <row r="5343" spans="1:15" ht="45">
      <c r="A5343" s="16" t="s">
        <v>2900</v>
      </c>
      <c r="B5343" s="16" t="s">
        <v>2916</v>
      </c>
      <c r="C5343" s="17" t="s">
        <v>19</v>
      </c>
      <c r="D5343" s="21" t="s">
        <v>3066</v>
      </c>
      <c r="E5343" s="18">
        <v>5</v>
      </c>
      <c r="F5343" s="21" t="s">
        <v>56</v>
      </c>
      <c r="G5343" s="21" t="s">
        <v>3065</v>
      </c>
      <c r="H5343" s="18" t="s">
        <v>23</v>
      </c>
      <c r="I5343" s="19">
        <v>42.57</v>
      </c>
      <c r="J5343" s="40">
        <f t="shared" si="166"/>
        <v>212.85</v>
      </c>
      <c r="K5343" s="106"/>
      <c r="L5343" s="114"/>
      <c r="M5343" s="114">
        <f>tblAquisições[[#This Row],[VALOR UNITARIO COMPRADO]]*tblAquisições[[#This Row],[QUANTIDADE COMPRADA]]</f>
        <v>0</v>
      </c>
      <c r="N5343" s="110">
        <f>K5343-tblAquisições[[#This Row],[QUANTIDADE PLANEJADA]]</f>
        <v>-5</v>
      </c>
      <c r="O5343" s="106" t="str">
        <f t="shared" si="167"/>
        <v>Faltando Comprar</v>
      </c>
    </row>
    <row r="5344" spans="1:15" ht="75">
      <c r="A5344" s="16" t="s">
        <v>2900</v>
      </c>
      <c r="B5344" s="16" t="s">
        <v>2916</v>
      </c>
      <c r="C5344" s="17" t="s">
        <v>19</v>
      </c>
      <c r="D5344" s="21" t="s">
        <v>3067</v>
      </c>
      <c r="E5344" s="18">
        <v>1</v>
      </c>
      <c r="F5344" s="21" t="s">
        <v>3068</v>
      </c>
      <c r="G5344" s="21" t="s">
        <v>3069</v>
      </c>
      <c r="H5344" s="18" t="s">
        <v>23</v>
      </c>
      <c r="I5344" s="19">
        <v>9</v>
      </c>
      <c r="J5344" s="40">
        <f t="shared" si="166"/>
        <v>9</v>
      </c>
      <c r="K5344" s="106"/>
      <c r="L5344" s="114"/>
      <c r="M5344" s="114">
        <f>tblAquisições[[#This Row],[VALOR UNITARIO COMPRADO]]*tblAquisições[[#This Row],[QUANTIDADE COMPRADA]]</f>
        <v>0</v>
      </c>
      <c r="N5344" s="110">
        <f>K5344-tblAquisições[[#This Row],[QUANTIDADE PLANEJADA]]</f>
        <v>-1</v>
      </c>
      <c r="O5344" s="106" t="str">
        <f t="shared" si="167"/>
        <v>Faltando Comprar</v>
      </c>
    </row>
    <row r="5345" spans="1:15" ht="75">
      <c r="A5345" s="16" t="s">
        <v>2900</v>
      </c>
      <c r="B5345" s="16" t="s">
        <v>2916</v>
      </c>
      <c r="C5345" s="17" t="s">
        <v>19</v>
      </c>
      <c r="D5345" s="21" t="s">
        <v>3070</v>
      </c>
      <c r="E5345" s="18">
        <v>1</v>
      </c>
      <c r="F5345" s="21" t="s">
        <v>2972</v>
      </c>
      <c r="G5345" s="21" t="s">
        <v>3071</v>
      </c>
      <c r="H5345" s="18" t="s">
        <v>23</v>
      </c>
      <c r="I5345" s="19">
        <v>917.41</v>
      </c>
      <c r="J5345" s="40">
        <f t="shared" si="166"/>
        <v>917.41</v>
      </c>
      <c r="K5345" s="106"/>
      <c r="L5345" s="114"/>
      <c r="M5345" s="114">
        <f>tblAquisições[[#This Row],[VALOR UNITARIO COMPRADO]]*tblAquisições[[#This Row],[QUANTIDADE COMPRADA]]</f>
        <v>0</v>
      </c>
      <c r="N5345" s="110">
        <f>K5345-tblAquisições[[#This Row],[QUANTIDADE PLANEJADA]]</f>
        <v>-1</v>
      </c>
      <c r="O5345" s="106" t="str">
        <f t="shared" si="167"/>
        <v>Faltando Comprar</v>
      </c>
    </row>
    <row r="5346" spans="1:15" ht="90">
      <c r="A5346" s="16" t="s">
        <v>2900</v>
      </c>
      <c r="B5346" s="16" t="s">
        <v>2916</v>
      </c>
      <c r="C5346" s="17" t="s">
        <v>19</v>
      </c>
      <c r="D5346" s="21" t="s">
        <v>3072</v>
      </c>
      <c r="E5346" s="18">
        <v>4</v>
      </c>
      <c r="F5346" s="21" t="s">
        <v>2802</v>
      </c>
      <c r="G5346" s="21" t="s">
        <v>3071</v>
      </c>
      <c r="H5346" s="18" t="s">
        <v>23</v>
      </c>
      <c r="I5346" s="19">
        <v>4650</v>
      </c>
      <c r="J5346" s="40">
        <f t="shared" si="166"/>
        <v>18600</v>
      </c>
      <c r="K5346" s="106"/>
      <c r="L5346" s="114"/>
      <c r="M5346" s="114">
        <f>tblAquisições[[#This Row],[VALOR UNITARIO COMPRADO]]*tblAquisições[[#This Row],[QUANTIDADE COMPRADA]]</f>
        <v>0</v>
      </c>
      <c r="N5346" s="110">
        <f>K5346-tblAquisições[[#This Row],[QUANTIDADE PLANEJADA]]</f>
        <v>-4</v>
      </c>
      <c r="O5346" s="106" t="str">
        <f t="shared" si="167"/>
        <v>Faltando Comprar</v>
      </c>
    </row>
    <row r="5347" spans="1:15" ht="75">
      <c r="A5347" s="16" t="s">
        <v>2900</v>
      </c>
      <c r="B5347" s="16" t="s">
        <v>2916</v>
      </c>
      <c r="C5347" s="17" t="s">
        <v>19</v>
      </c>
      <c r="D5347" s="21" t="s">
        <v>3073</v>
      </c>
      <c r="E5347" s="18">
        <v>4</v>
      </c>
      <c r="F5347" s="21" t="s">
        <v>2802</v>
      </c>
      <c r="G5347" s="21" t="s">
        <v>3071</v>
      </c>
      <c r="H5347" s="18" t="s">
        <v>23</v>
      </c>
      <c r="I5347" s="19">
        <v>7962.67</v>
      </c>
      <c r="J5347" s="40">
        <f t="shared" si="166"/>
        <v>31850.68</v>
      </c>
      <c r="K5347" s="106"/>
      <c r="L5347" s="114"/>
      <c r="M5347" s="114">
        <f>tblAquisições[[#This Row],[VALOR UNITARIO COMPRADO]]*tblAquisições[[#This Row],[QUANTIDADE COMPRADA]]</f>
        <v>0</v>
      </c>
      <c r="N5347" s="110">
        <f>K5347-tblAquisições[[#This Row],[QUANTIDADE PLANEJADA]]</f>
        <v>-4</v>
      </c>
      <c r="O5347" s="106" t="str">
        <f t="shared" si="167"/>
        <v>Faltando Comprar</v>
      </c>
    </row>
    <row r="5348" spans="1:15" ht="31.5">
      <c r="A5348" s="16" t="s">
        <v>2900</v>
      </c>
      <c r="B5348" s="16" t="s">
        <v>2916</v>
      </c>
      <c r="C5348" s="17" t="s">
        <v>19</v>
      </c>
      <c r="D5348" s="18" t="s">
        <v>3074</v>
      </c>
      <c r="E5348" s="18">
        <v>3</v>
      </c>
      <c r="F5348" s="18" t="s">
        <v>56</v>
      </c>
      <c r="G5348" s="18" t="s">
        <v>39</v>
      </c>
      <c r="H5348" s="18" t="s">
        <v>23</v>
      </c>
      <c r="I5348" s="19">
        <v>709.67</v>
      </c>
      <c r="J5348" s="40">
        <f t="shared" si="166"/>
        <v>2129.0099999999998</v>
      </c>
      <c r="K5348" s="106"/>
      <c r="L5348" s="114"/>
      <c r="M5348" s="114">
        <f>tblAquisições[[#This Row],[VALOR UNITARIO COMPRADO]]*tblAquisições[[#This Row],[QUANTIDADE COMPRADA]]</f>
        <v>0</v>
      </c>
      <c r="N5348" s="110">
        <f>K5348-tblAquisições[[#This Row],[QUANTIDADE PLANEJADA]]</f>
        <v>-3</v>
      </c>
      <c r="O5348" s="106" t="str">
        <f t="shared" si="167"/>
        <v>Faltando Comprar</v>
      </c>
    </row>
    <row r="5349" spans="1:15" ht="63">
      <c r="A5349" s="16" t="s">
        <v>2900</v>
      </c>
      <c r="B5349" s="16" t="s">
        <v>2916</v>
      </c>
      <c r="C5349" s="17" t="s">
        <v>19</v>
      </c>
      <c r="D5349" s="37" t="s">
        <v>3075</v>
      </c>
      <c r="E5349" s="18">
        <v>7</v>
      </c>
      <c r="F5349" s="18" t="s">
        <v>2678</v>
      </c>
      <c r="G5349" s="18" t="s">
        <v>775</v>
      </c>
      <c r="H5349" s="18" t="s">
        <v>23</v>
      </c>
      <c r="I5349" s="19">
        <v>300.66000000000003</v>
      </c>
      <c r="J5349" s="40">
        <f t="shared" si="166"/>
        <v>2104.6200000000003</v>
      </c>
      <c r="K5349" s="106"/>
      <c r="L5349" s="114"/>
      <c r="M5349" s="114">
        <f>tblAquisições[[#This Row],[VALOR UNITARIO COMPRADO]]*tblAquisições[[#This Row],[QUANTIDADE COMPRADA]]</f>
        <v>0</v>
      </c>
      <c r="N5349" s="110">
        <f>K5349-tblAquisições[[#This Row],[QUANTIDADE PLANEJADA]]</f>
        <v>-7</v>
      </c>
      <c r="O5349" s="106" t="str">
        <f t="shared" si="167"/>
        <v>Faltando Comprar</v>
      </c>
    </row>
    <row r="5350" spans="1:15" ht="173.25">
      <c r="A5350" s="16" t="s">
        <v>2900</v>
      </c>
      <c r="B5350" s="16" t="s">
        <v>2906</v>
      </c>
      <c r="C5350" s="17" t="s">
        <v>19</v>
      </c>
      <c r="D5350" s="18" t="s">
        <v>3076</v>
      </c>
      <c r="E5350" s="18">
        <v>2</v>
      </c>
      <c r="F5350" s="18" t="s">
        <v>2802</v>
      </c>
      <c r="G5350" s="18" t="s">
        <v>775</v>
      </c>
      <c r="H5350" s="18" t="s">
        <v>23</v>
      </c>
      <c r="I5350" s="19">
        <v>10589.9</v>
      </c>
      <c r="J5350" s="40">
        <f t="shared" si="166"/>
        <v>21179.8</v>
      </c>
      <c r="K5350" s="106"/>
      <c r="L5350" s="114"/>
      <c r="M5350" s="114">
        <f>tblAquisições[[#This Row],[VALOR UNITARIO COMPRADO]]*tblAquisições[[#This Row],[QUANTIDADE COMPRADA]]</f>
        <v>0</v>
      </c>
      <c r="N5350" s="110">
        <f>K5350-tblAquisições[[#This Row],[QUANTIDADE PLANEJADA]]</f>
        <v>-2</v>
      </c>
      <c r="O5350" s="106" t="str">
        <f t="shared" si="167"/>
        <v>Faltando Comprar</v>
      </c>
    </row>
    <row r="5351" spans="1:15" ht="47.25">
      <c r="A5351" s="16" t="s">
        <v>3077</v>
      </c>
      <c r="B5351" s="16" t="s">
        <v>3078</v>
      </c>
      <c r="C5351" s="17" t="s">
        <v>19</v>
      </c>
      <c r="D5351" s="18" t="s">
        <v>3079</v>
      </c>
      <c r="E5351" s="18">
        <v>25</v>
      </c>
      <c r="F5351" s="18" t="s">
        <v>58</v>
      </c>
      <c r="G5351" s="18" t="s">
        <v>22</v>
      </c>
      <c r="H5351" s="18" t="s">
        <v>23</v>
      </c>
      <c r="I5351" s="19">
        <v>52.02</v>
      </c>
      <c r="J5351" s="40">
        <f t="shared" si="166"/>
        <v>1300.5</v>
      </c>
      <c r="K5351" s="106"/>
      <c r="L5351" s="114"/>
      <c r="M5351" s="114">
        <f>tblAquisições[[#This Row],[VALOR UNITARIO COMPRADO]]*tblAquisições[[#This Row],[QUANTIDADE COMPRADA]]</f>
        <v>0</v>
      </c>
      <c r="N5351" s="110">
        <f>K5351-tblAquisições[[#This Row],[QUANTIDADE PLANEJADA]]</f>
        <v>-25</v>
      </c>
      <c r="O5351" s="106" t="str">
        <f t="shared" si="167"/>
        <v>Faltando Comprar</v>
      </c>
    </row>
    <row r="5352" spans="1:15" ht="47.25">
      <c r="A5352" s="16" t="s">
        <v>3077</v>
      </c>
      <c r="B5352" s="16" t="s">
        <v>3080</v>
      </c>
      <c r="C5352" s="17" t="s">
        <v>19</v>
      </c>
      <c r="D5352" s="18" t="s">
        <v>60</v>
      </c>
      <c r="E5352" s="18">
        <v>3</v>
      </c>
      <c r="F5352" s="18" t="s">
        <v>58</v>
      </c>
      <c r="G5352" s="18" t="s">
        <v>22</v>
      </c>
      <c r="H5352" s="18" t="s">
        <v>65</v>
      </c>
      <c r="I5352" s="19">
        <v>44.86</v>
      </c>
      <c r="J5352" s="40">
        <f t="shared" si="166"/>
        <v>134.57999999999998</v>
      </c>
      <c r="K5352" s="106"/>
      <c r="L5352" s="114"/>
      <c r="M5352" s="114">
        <f>tblAquisições[[#This Row],[VALOR UNITARIO COMPRADO]]*tblAquisições[[#This Row],[QUANTIDADE COMPRADA]]</f>
        <v>0</v>
      </c>
      <c r="N5352" s="110">
        <f>K5352-tblAquisições[[#This Row],[QUANTIDADE PLANEJADA]]</f>
        <v>-3</v>
      </c>
      <c r="O5352" s="106" t="str">
        <f t="shared" si="167"/>
        <v>Faltando Comprar</v>
      </c>
    </row>
    <row r="5353" spans="1:15" ht="47.25">
      <c r="A5353" s="16" t="s">
        <v>3077</v>
      </c>
      <c r="B5353" s="16" t="s">
        <v>3080</v>
      </c>
      <c r="C5353" s="17" t="s">
        <v>19</v>
      </c>
      <c r="D5353" s="18" t="s">
        <v>3081</v>
      </c>
      <c r="E5353" s="18">
        <v>25</v>
      </c>
      <c r="F5353" s="18" t="s">
        <v>58</v>
      </c>
      <c r="G5353" s="18" t="s">
        <v>22</v>
      </c>
      <c r="H5353" s="18" t="s">
        <v>23</v>
      </c>
      <c r="I5353" s="19">
        <v>40.92</v>
      </c>
      <c r="J5353" s="40">
        <f t="shared" si="166"/>
        <v>1023</v>
      </c>
      <c r="K5353" s="106"/>
      <c r="L5353" s="114"/>
      <c r="M5353" s="114">
        <f>tblAquisições[[#This Row],[VALOR UNITARIO COMPRADO]]*tblAquisições[[#This Row],[QUANTIDADE COMPRADA]]</f>
        <v>0</v>
      </c>
      <c r="N5353" s="110">
        <f>K5353-tblAquisições[[#This Row],[QUANTIDADE PLANEJADA]]</f>
        <v>-25</v>
      </c>
      <c r="O5353" s="106" t="str">
        <f t="shared" si="167"/>
        <v>Faltando Comprar</v>
      </c>
    </row>
    <row r="5354" spans="1:15" ht="47.25">
      <c r="A5354" s="16" t="s">
        <v>3077</v>
      </c>
      <c r="B5354" s="16" t="s">
        <v>3078</v>
      </c>
      <c r="C5354" s="17" t="s">
        <v>19</v>
      </c>
      <c r="D5354" s="18" t="s">
        <v>3082</v>
      </c>
      <c r="E5354" s="18">
        <v>10</v>
      </c>
      <c r="F5354" s="18" t="s">
        <v>58</v>
      </c>
      <c r="G5354" s="18" t="s">
        <v>22</v>
      </c>
      <c r="H5354" s="18" t="s">
        <v>23</v>
      </c>
      <c r="I5354" s="19">
        <v>27.63</v>
      </c>
      <c r="J5354" s="40">
        <f t="shared" si="166"/>
        <v>276.3</v>
      </c>
      <c r="K5354" s="106"/>
      <c r="L5354" s="114"/>
      <c r="M5354" s="114">
        <f>tblAquisições[[#This Row],[VALOR UNITARIO COMPRADO]]*tblAquisições[[#This Row],[QUANTIDADE COMPRADA]]</f>
        <v>0</v>
      </c>
      <c r="N5354" s="110">
        <f>K5354-tblAquisições[[#This Row],[QUANTIDADE PLANEJADA]]</f>
        <v>-10</v>
      </c>
      <c r="O5354" s="106" t="str">
        <f t="shared" si="167"/>
        <v>Faltando Comprar</v>
      </c>
    </row>
    <row r="5355" spans="1:15" ht="47.25">
      <c r="A5355" s="16" t="s">
        <v>3077</v>
      </c>
      <c r="B5355" s="16" t="s">
        <v>3083</v>
      </c>
      <c r="C5355" s="17" t="s">
        <v>19</v>
      </c>
      <c r="D5355" s="18" t="s">
        <v>2712</v>
      </c>
      <c r="E5355" s="18">
        <v>12</v>
      </c>
      <c r="F5355" s="18" t="s">
        <v>96</v>
      </c>
      <c r="G5355" s="18" t="s">
        <v>39</v>
      </c>
      <c r="H5355" s="18" t="s">
        <v>23</v>
      </c>
      <c r="I5355" s="19">
        <v>21.33</v>
      </c>
      <c r="J5355" s="40">
        <f t="shared" si="166"/>
        <v>255.95999999999998</v>
      </c>
      <c r="K5355" s="106"/>
      <c r="L5355" s="114"/>
      <c r="M5355" s="114">
        <f>tblAquisições[[#This Row],[VALOR UNITARIO COMPRADO]]*tblAquisições[[#This Row],[QUANTIDADE COMPRADA]]</f>
        <v>0</v>
      </c>
      <c r="N5355" s="110">
        <f>K5355-tblAquisições[[#This Row],[QUANTIDADE PLANEJADA]]</f>
        <v>-12</v>
      </c>
      <c r="O5355" s="106" t="str">
        <f t="shared" si="167"/>
        <v>Faltando Comprar</v>
      </c>
    </row>
    <row r="5356" spans="1:15" ht="47.25">
      <c r="A5356" s="16" t="s">
        <v>3077</v>
      </c>
      <c r="B5356" s="16" t="s">
        <v>3084</v>
      </c>
      <c r="C5356" s="17" t="s">
        <v>19</v>
      </c>
      <c r="D5356" s="18" t="s">
        <v>2712</v>
      </c>
      <c r="E5356" s="18">
        <v>10</v>
      </c>
      <c r="F5356" s="18" t="s">
        <v>96</v>
      </c>
      <c r="G5356" s="18" t="s">
        <v>39</v>
      </c>
      <c r="H5356" s="18" t="s">
        <v>23</v>
      </c>
      <c r="I5356" s="19">
        <v>21.33</v>
      </c>
      <c r="J5356" s="40">
        <f t="shared" si="166"/>
        <v>213.29999999999998</v>
      </c>
      <c r="K5356" s="106"/>
      <c r="L5356" s="114"/>
      <c r="M5356" s="114">
        <f>tblAquisições[[#This Row],[VALOR UNITARIO COMPRADO]]*tblAquisições[[#This Row],[QUANTIDADE COMPRADA]]</f>
        <v>0</v>
      </c>
      <c r="N5356" s="110">
        <f>K5356-tblAquisições[[#This Row],[QUANTIDADE PLANEJADA]]</f>
        <v>-10</v>
      </c>
      <c r="O5356" s="106" t="str">
        <f t="shared" si="167"/>
        <v>Faltando Comprar</v>
      </c>
    </row>
    <row r="5357" spans="1:15" ht="47.25">
      <c r="A5357" s="16" t="s">
        <v>3077</v>
      </c>
      <c r="B5357" s="16" t="s">
        <v>3078</v>
      </c>
      <c r="C5357" s="17" t="s">
        <v>19</v>
      </c>
      <c r="D5357" s="18" t="s">
        <v>3085</v>
      </c>
      <c r="E5357" s="18">
        <v>2</v>
      </c>
      <c r="F5357" s="18" t="s">
        <v>58</v>
      </c>
      <c r="G5357" s="18" t="s">
        <v>22</v>
      </c>
      <c r="H5357" s="18" t="s">
        <v>23</v>
      </c>
      <c r="I5357" s="19">
        <v>21.33</v>
      </c>
      <c r="J5357" s="40">
        <f t="shared" si="166"/>
        <v>42.66</v>
      </c>
      <c r="K5357" s="106"/>
      <c r="L5357" s="114"/>
      <c r="M5357" s="114">
        <f>tblAquisições[[#This Row],[VALOR UNITARIO COMPRADO]]*tblAquisições[[#This Row],[QUANTIDADE COMPRADA]]</f>
        <v>0</v>
      </c>
      <c r="N5357" s="110">
        <f>K5357-tblAquisições[[#This Row],[QUANTIDADE PLANEJADA]]</f>
        <v>-2</v>
      </c>
      <c r="O5357" s="106" t="str">
        <f t="shared" si="167"/>
        <v>Faltando Comprar</v>
      </c>
    </row>
    <row r="5358" spans="1:15" ht="47.25">
      <c r="A5358" s="16" t="s">
        <v>3077</v>
      </c>
      <c r="B5358" s="16" t="s">
        <v>3080</v>
      </c>
      <c r="C5358" s="17" t="s">
        <v>19</v>
      </c>
      <c r="D5358" s="18" t="s">
        <v>3085</v>
      </c>
      <c r="E5358" s="18">
        <v>6</v>
      </c>
      <c r="F5358" s="18" t="s">
        <v>58</v>
      </c>
      <c r="G5358" s="18" t="s">
        <v>22</v>
      </c>
      <c r="H5358" s="18" t="s">
        <v>65</v>
      </c>
      <c r="I5358" s="24">
        <v>17.309999999999999</v>
      </c>
      <c r="J5358" s="40">
        <f t="shared" si="166"/>
        <v>103.85999999999999</v>
      </c>
      <c r="K5358" s="106"/>
      <c r="L5358" s="114"/>
      <c r="M5358" s="114">
        <f>tblAquisições[[#This Row],[VALOR UNITARIO COMPRADO]]*tblAquisições[[#This Row],[QUANTIDADE COMPRADA]]</f>
        <v>0</v>
      </c>
      <c r="N5358" s="110">
        <f>K5358-tblAquisições[[#This Row],[QUANTIDADE PLANEJADA]]</f>
        <v>-6</v>
      </c>
      <c r="O5358" s="106" t="str">
        <f t="shared" si="167"/>
        <v>Faltando Comprar</v>
      </c>
    </row>
    <row r="5359" spans="1:15" ht="47.25">
      <c r="A5359" s="16" t="s">
        <v>3077</v>
      </c>
      <c r="B5359" s="16" t="s">
        <v>3083</v>
      </c>
      <c r="C5359" s="17" t="s">
        <v>19</v>
      </c>
      <c r="D5359" s="18" t="s">
        <v>2907</v>
      </c>
      <c r="E5359" s="18">
        <v>6</v>
      </c>
      <c r="F5359" s="18" t="s">
        <v>96</v>
      </c>
      <c r="G5359" s="18" t="s">
        <v>39</v>
      </c>
      <c r="H5359" s="18" t="s">
        <v>23</v>
      </c>
      <c r="I5359" s="19">
        <v>6.56</v>
      </c>
      <c r="J5359" s="40">
        <f t="shared" si="166"/>
        <v>39.36</v>
      </c>
      <c r="K5359" s="106"/>
      <c r="L5359" s="114"/>
      <c r="M5359" s="114">
        <f>tblAquisições[[#This Row],[VALOR UNITARIO COMPRADO]]*tblAquisições[[#This Row],[QUANTIDADE COMPRADA]]</f>
        <v>0</v>
      </c>
      <c r="N5359" s="110">
        <f>K5359-tblAquisições[[#This Row],[QUANTIDADE PLANEJADA]]</f>
        <v>-6</v>
      </c>
      <c r="O5359" s="106" t="str">
        <f t="shared" si="167"/>
        <v>Faltando Comprar</v>
      </c>
    </row>
    <row r="5360" spans="1:15" ht="47.25">
      <c r="A5360" s="16" t="s">
        <v>3077</v>
      </c>
      <c r="B5360" s="16" t="s">
        <v>3084</v>
      </c>
      <c r="C5360" s="17" t="s">
        <v>19</v>
      </c>
      <c r="D5360" s="18" t="s">
        <v>2908</v>
      </c>
      <c r="E5360" s="18">
        <v>20</v>
      </c>
      <c r="F5360" s="18" t="s">
        <v>96</v>
      </c>
      <c r="G5360" s="18" t="s">
        <v>39</v>
      </c>
      <c r="H5360" s="18" t="s">
        <v>65</v>
      </c>
      <c r="I5360" s="24">
        <v>64.16</v>
      </c>
      <c r="J5360" s="40">
        <f t="shared" si="166"/>
        <v>1283.1999999999998</v>
      </c>
      <c r="K5360" s="106"/>
      <c r="L5360" s="114"/>
      <c r="M5360" s="114">
        <f>tblAquisições[[#This Row],[VALOR UNITARIO COMPRADO]]*tblAquisições[[#This Row],[QUANTIDADE COMPRADA]]</f>
        <v>0</v>
      </c>
      <c r="N5360" s="110">
        <f>K5360-tblAquisições[[#This Row],[QUANTIDADE PLANEJADA]]</f>
        <v>-20</v>
      </c>
      <c r="O5360" s="106" t="str">
        <f t="shared" si="167"/>
        <v>Faltando Comprar</v>
      </c>
    </row>
    <row r="5361" spans="1:15" ht="47.25">
      <c r="A5361" s="16" t="s">
        <v>3077</v>
      </c>
      <c r="B5361" s="16" t="s">
        <v>3083</v>
      </c>
      <c r="C5361" s="17" t="s">
        <v>19</v>
      </c>
      <c r="D5361" s="18" t="s">
        <v>3086</v>
      </c>
      <c r="E5361" s="18">
        <v>24</v>
      </c>
      <c r="F5361" s="18" t="s">
        <v>96</v>
      </c>
      <c r="G5361" s="18" t="s">
        <v>39</v>
      </c>
      <c r="H5361" s="18" t="s">
        <v>23</v>
      </c>
      <c r="I5361" s="19">
        <v>4.2300000000000004</v>
      </c>
      <c r="J5361" s="40">
        <f t="shared" si="166"/>
        <v>101.52000000000001</v>
      </c>
      <c r="K5361" s="106"/>
      <c r="L5361" s="114"/>
      <c r="M5361" s="114">
        <f>tblAquisições[[#This Row],[VALOR UNITARIO COMPRADO]]*tblAquisições[[#This Row],[QUANTIDADE COMPRADA]]</f>
        <v>0</v>
      </c>
      <c r="N5361" s="110">
        <f>K5361-tblAquisições[[#This Row],[QUANTIDADE PLANEJADA]]</f>
        <v>-24</v>
      </c>
      <c r="O5361" s="106" t="str">
        <f t="shared" si="167"/>
        <v>Faltando Comprar</v>
      </c>
    </row>
    <row r="5362" spans="1:15" ht="47.25">
      <c r="A5362" s="16" t="s">
        <v>3077</v>
      </c>
      <c r="B5362" s="16" t="s">
        <v>3083</v>
      </c>
      <c r="C5362" s="17" t="s">
        <v>19</v>
      </c>
      <c r="D5362" s="18" t="s">
        <v>3087</v>
      </c>
      <c r="E5362" s="18">
        <v>12</v>
      </c>
      <c r="F5362" s="18" t="s">
        <v>96</v>
      </c>
      <c r="G5362" s="18" t="s">
        <v>39</v>
      </c>
      <c r="H5362" s="18" t="s">
        <v>23</v>
      </c>
      <c r="I5362" s="19">
        <v>9.5</v>
      </c>
      <c r="J5362" s="40">
        <f t="shared" si="166"/>
        <v>114</v>
      </c>
      <c r="K5362" s="106"/>
      <c r="L5362" s="114"/>
      <c r="M5362" s="114">
        <f>tblAquisições[[#This Row],[VALOR UNITARIO COMPRADO]]*tblAquisições[[#This Row],[QUANTIDADE COMPRADA]]</f>
        <v>0</v>
      </c>
      <c r="N5362" s="110">
        <f>K5362-tblAquisições[[#This Row],[QUANTIDADE PLANEJADA]]</f>
        <v>-12</v>
      </c>
      <c r="O5362" s="106" t="str">
        <f t="shared" si="167"/>
        <v>Faltando Comprar</v>
      </c>
    </row>
    <row r="5363" spans="1:15" ht="47.25">
      <c r="A5363" s="16" t="s">
        <v>3077</v>
      </c>
      <c r="B5363" s="16" t="s">
        <v>3084</v>
      </c>
      <c r="C5363" s="17" t="s">
        <v>19</v>
      </c>
      <c r="D5363" s="18" t="s">
        <v>2910</v>
      </c>
      <c r="E5363" s="18">
        <v>10</v>
      </c>
      <c r="F5363" s="18" t="s">
        <v>96</v>
      </c>
      <c r="G5363" s="18" t="s">
        <v>39</v>
      </c>
      <c r="H5363" s="18" t="s">
        <v>23</v>
      </c>
      <c r="I5363" s="19">
        <v>22.71</v>
      </c>
      <c r="J5363" s="40">
        <f t="shared" si="166"/>
        <v>227.10000000000002</v>
      </c>
      <c r="K5363" s="106"/>
      <c r="L5363" s="114"/>
      <c r="M5363" s="114">
        <f>tblAquisições[[#This Row],[VALOR UNITARIO COMPRADO]]*tblAquisições[[#This Row],[QUANTIDADE COMPRADA]]</f>
        <v>0</v>
      </c>
      <c r="N5363" s="110">
        <f>K5363-tblAquisições[[#This Row],[QUANTIDADE PLANEJADA]]</f>
        <v>-10</v>
      </c>
      <c r="O5363" s="106" t="str">
        <f t="shared" si="167"/>
        <v>Faltando Comprar</v>
      </c>
    </row>
    <row r="5364" spans="1:15" ht="47.25">
      <c r="A5364" s="16" t="s">
        <v>3077</v>
      </c>
      <c r="B5364" s="16" t="s">
        <v>3077</v>
      </c>
      <c r="C5364" s="17" t="s">
        <v>19</v>
      </c>
      <c r="D5364" s="18" t="s">
        <v>2718</v>
      </c>
      <c r="E5364" s="18">
        <v>10</v>
      </c>
      <c r="F5364" s="18" t="s">
        <v>96</v>
      </c>
      <c r="G5364" s="18" t="s">
        <v>39</v>
      </c>
      <c r="H5364" s="18" t="s">
        <v>65</v>
      </c>
      <c r="I5364" s="24">
        <v>55.8</v>
      </c>
      <c r="J5364" s="40">
        <f t="shared" si="166"/>
        <v>558</v>
      </c>
      <c r="K5364" s="106"/>
      <c r="L5364" s="114"/>
      <c r="M5364" s="114">
        <f>tblAquisições[[#This Row],[VALOR UNITARIO COMPRADO]]*tblAquisições[[#This Row],[QUANTIDADE COMPRADA]]</f>
        <v>0</v>
      </c>
      <c r="N5364" s="110">
        <f>K5364-tblAquisições[[#This Row],[QUANTIDADE PLANEJADA]]</f>
        <v>-10</v>
      </c>
      <c r="O5364" s="106" t="str">
        <f t="shared" si="167"/>
        <v>Faltando Comprar</v>
      </c>
    </row>
    <row r="5365" spans="1:15" ht="47.25">
      <c r="A5365" s="16" t="s">
        <v>3077</v>
      </c>
      <c r="B5365" s="16" t="s">
        <v>3080</v>
      </c>
      <c r="C5365" s="17" t="s">
        <v>19</v>
      </c>
      <c r="D5365" s="18" t="s">
        <v>75</v>
      </c>
      <c r="E5365" s="18">
        <v>7</v>
      </c>
      <c r="F5365" s="18" t="s">
        <v>58</v>
      </c>
      <c r="G5365" s="18" t="s">
        <v>22</v>
      </c>
      <c r="H5365" s="18" t="s">
        <v>65</v>
      </c>
      <c r="I5365" s="24">
        <v>55.8</v>
      </c>
      <c r="J5365" s="40">
        <f t="shared" si="166"/>
        <v>390.59999999999997</v>
      </c>
      <c r="K5365" s="106"/>
      <c r="L5365" s="114"/>
      <c r="M5365" s="114">
        <f>tblAquisições[[#This Row],[VALOR UNITARIO COMPRADO]]*tblAquisições[[#This Row],[QUANTIDADE COMPRADA]]</f>
        <v>0</v>
      </c>
      <c r="N5365" s="110">
        <f>K5365-tblAquisições[[#This Row],[QUANTIDADE PLANEJADA]]</f>
        <v>-7</v>
      </c>
      <c r="O5365" s="106" t="str">
        <f t="shared" si="167"/>
        <v>Faltando Comprar</v>
      </c>
    </row>
    <row r="5366" spans="1:15" ht="47.25">
      <c r="A5366" s="16" t="s">
        <v>3077</v>
      </c>
      <c r="B5366" s="16" t="s">
        <v>3083</v>
      </c>
      <c r="C5366" s="17" t="s">
        <v>19</v>
      </c>
      <c r="D5366" s="18" t="s">
        <v>3088</v>
      </c>
      <c r="E5366" s="18">
        <v>6</v>
      </c>
      <c r="F5366" s="18" t="s">
        <v>147</v>
      </c>
      <c r="G5366" s="18" t="s">
        <v>39</v>
      </c>
      <c r="H5366" s="18" t="s">
        <v>23</v>
      </c>
      <c r="I5366" s="19">
        <v>2.06</v>
      </c>
      <c r="J5366" s="40">
        <f t="shared" si="166"/>
        <v>12.36</v>
      </c>
      <c r="K5366" s="106"/>
      <c r="L5366" s="114"/>
      <c r="M5366" s="114">
        <f>tblAquisições[[#This Row],[VALOR UNITARIO COMPRADO]]*tblAquisições[[#This Row],[QUANTIDADE COMPRADA]]</f>
        <v>0</v>
      </c>
      <c r="N5366" s="110">
        <f>K5366-tblAquisições[[#This Row],[QUANTIDADE PLANEJADA]]</f>
        <v>-6</v>
      </c>
      <c r="O5366" s="106" t="str">
        <f t="shared" si="167"/>
        <v>Faltando Comprar</v>
      </c>
    </row>
    <row r="5367" spans="1:15" ht="47.25">
      <c r="A5367" s="16" t="s">
        <v>3077</v>
      </c>
      <c r="B5367" s="16" t="s">
        <v>3083</v>
      </c>
      <c r="C5367" s="17" t="s">
        <v>19</v>
      </c>
      <c r="D5367" s="18" t="s">
        <v>2723</v>
      </c>
      <c r="E5367" s="18">
        <v>12</v>
      </c>
      <c r="F5367" s="18" t="s">
        <v>96</v>
      </c>
      <c r="G5367" s="18" t="s">
        <v>39</v>
      </c>
      <c r="H5367" s="18" t="s">
        <v>23</v>
      </c>
      <c r="I5367" s="19">
        <v>23.1</v>
      </c>
      <c r="J5367" s="40">
        <f t="shared" si="166"/>
        <v>277.20000000000005</v>
      </c>
      <c r="K5367" s="106"/>
      <c r="L5367" s="114"/>
      <c r="M5367" s="114">
        <f>tblAquisições[[#This Row],[VALOR UNITARIO COMPRADO]]*tblAquisições[[#This Row],[QUANTIDADE COMPRADA]]</f>
        <v>0</v>
      </c>
      <c r="N5367" s="110">
        <f>K5367-tblAquisições[[#This Row],[QUANTIDADE PLANEJADA]]</f>
        <v>-12</v>
      </c>
      <c r="O5367" s="106" t="str">
        <f t="shared" si="167"/>
        <v>Faltando Comprar</v>
      </c>
    </row>
    <row r="5368" spans="1:15" ht="47.25">
      <c r="A5368" s="16" t="s">
        <v>3077</v>
      </c>
      <c r="B5368" s="16" t="s">
        <v>3084</v>
      </c>
      <c r="C5368" s="17" t="s">
        <v>19</v>
      </c>
      <c r="D5368" s="18" t="s">
        <v>2723</v>
      </c>
      <c r="E5368" s="18">
        <v>20</v>
      </c>
      <c r="F5368" s="18" t="s">
        <v>96</v>
      </c>
      <c r="G5368" s="18" t="s">
        <v>39</v>
      </c>
      <c r="H5368" s="18" t="s">
        <v>65</v>
      </c>
      <c r="I5368" s="24">
        <v>10.050000000000001</v>
      </c>
      <c r="J5368" s="40">
        <f t="shared" si="166"/>
        <v>201</v>
      </c>
      <c r="K5368" s="106"/>
      <c r="L5368" s="114"/>
      <c r="M5368" s="114">
        <f>tblAquisições[[#This Row],[VALOR UNITARIO COMPRADO]]*tblAquisições[[#This Row],[QUANTIDADE COMPRADA]]</f>
        <v>0</v>
      </c>
      <c r="N5368" s="110">
        <f>K5368-tblAquisições[[#This Row],[QUANTIDADE PLANEJADA]]</f>
        <v>-20</v>
      </c>
      <c r="O5368" s="106" t="str">
        <f t="shared" si="167"/>
        <v>Faltando Comprar</v>
      </c>
    </row>
    <row r="5369" spans="1:15" ht="47.25">
      <c r="A5369" s="16" t="s">
        <v>3077</v>
      </c>
      <c r="B5369" s="16" t="s">
        <v>3077</v>
      </c>
      <c r="C5369" s="17" t="s">
        <v>19</v>
      </c>
      <c r="D5369" s="18" t="s">
        <v>95</v>
      </c>
      <c r="E5369" s="18">
        <v>24</v>
      </c>
      <c r="F5369" s="18" t="s">
        <v>96</v>
      </c>
      <c r="G5369" s="18" t="s">
        <v>39</v>
      </c>
      <c r="H5369" s="18" t="s">
        <v>23</v>
      </c>
      <c r="I5369" s="19">
        <v>4.59</v>
      </c>
      <c r="J5369" s="40">
        <f t="shared" si="166"/>
        <v>110.16</v>
      </c>
      <c r="K5369" s="106"/>
      <c r="L5369" s="114"/>
      <c r="M5369" s="114">
        <f>tblAquisições[[#This Row],[VALOR UNITARIO COMPRADO]]*tblAquisições[[#This Row],[QUANTIDADE COMPRADA]]</f>
        <v>0</v>
      </c>
      <c r="N5369" s="110">
        <f>K5369-tblAquisições[[#This Row],[QUANTIDADE PLANEJADA]]</f>
        <v>-24</v>
      </c>
      <c r="O5369" s="106" t="str">
        <f t="shared" si="167"/>
        <v>Faltando Comprar</v>
      </c>
    </row>
    <row r="5370" spans="1:15" ht="47.25">
      <c r="A5370" s="16" t="s">
        <v>3077</v>
      </c>
      <c r="B5370" s="16" t="s">
        <v>3083</v>
      </c>
      <c r="C5370" s="17" t="s">
        <v>19</v>
      </c>
      <c r="D5370" s="18" t="s">
        <v>95</v>
      </c>
      <c r="E5370" s="18">
        <v>36</v>
      </c>
      <c r="F5370" s="18" t="s">
        <v>96</v>
      </c>
      <c r="G5370" s="18" t="s">
        <v>39</v>
      </c>
      <c r="H5370" s="18" t="s">
        <v>23</v>
      </c>
      <c r="I5370" s="19">
        <v>4.59</v>
      </c>
      <c r="J5370" s="40">
        <f t="shared" si="166"/>
        <v>165.24</v>
      </c>
      <c r="K5370" s="106"/>
      <c r="L5370" s="114"/>
      <c r="M5370" s="114">
        <f>tblAquisições[[#This Row],[VALOR UNITARIO COMPRADO]]*tblAquisições[[#This Row],[QUANTIDADE COMPRADA]]</f>
        <v>0</v>
      </c>
      <c r="N5370" s="110">
        <f>K5370-tblAquisições[[#This Row],[QUANTIDADE PLANEJADA]]</f>
        <v>-36</v>
      </c>
      <c r="O5370" s="106" t="str">
        <f t="shared" si="167"/>
        <v>Faltando Comprar</v>
      </c>
    </row>
    <row r="5371" spans="1:15" ht="47.25">
      <c r="A5371" s="16" t="s">
        <v>3077</v>
      </c>
      <c r="B5371" s="16" t="s">
        <v>3084</v>
      </c>
      <c r="C5371" s="17" t="s">
        <v>19</v>
      </c>
      <c r="D5371" s="18" t="s">
        <v>95</v>
      </c>
      <c r="E5371" s="18">
        <v>30</v>
      </c>
      <c r="F5371" s="18" t="s">
        <v>96</v>
      </c>
      <c r="G5371" s="18" t="s">
        <v>39</v>
      </c>
      <c r="H5371" s="18" t="s">
        <v>23</v>
      </c>
      <c r="I5371" s="19">
        <v>4.59</v>
      </c>
      <c r="J5371" s="40">
        <f t="shared" si="166"/>
        <v>137.69999999999999</v>
      </c>
      <c r="K5371" s="106"/>
      <c r="L5371" s="114"/>
      <c r="M5371" s="114">
        <f>tblAquisições[[#This Row],[VALOR UNITARIO COMPRADO]]*tblAquisições[[#This Row],[QUANTIDADE COMPRADA]]</f>
        <v>0</v>
      </c>
      <c r="N5371" s="110">
        <f>K5371-tblAquisições[[#This Row],[QUANTIDADE PLANEJADA]]</f>
        <v>-30</v>
      </c>
      <c r="O5371" s="106" t="str">
        <f t="shared" si="167"/>
        <v>Faltando Comprar</v>
      </c>
    </row>
    <row r="5372" spans="1:15" ht="47.25">
      <c r="A5372" s="16" t="s">
        <v>3077</v>
      </c>
      <c r="B5372" s="16" t="s">
        <v>3078</v>
      </c>
      <c r="C5372" s="17" t="s">
        <v>19</v>
      </c>
      <c r="D5372" s="18" t="s">
        <v>128</v>
      </c>
      <c r="E5372" s="18">
        <v>1</v>
      </c>
      <c r="F5372" s="18" t="s">
        <v>126</v>
      </c>
      <c r="G5372" s="18" t="s">
        <v>127</v>
      </c>
      <c r="H5372" s="18" t="s">
        <v>23</v>
      </c>
      <c r="I5372" s="19">
        <v>6066.34</v>
      </c>
      <c r="J5372" s="40">
        <f t="shared" si="166"/>
        <v>6066.34</v>
      </c>
      <c r="K5372" s="106"/>
      <c r="L5372" s="114"/>
      <c r="M5372" s="114">
        <f>tblAquisições[[#This Row],[VALOR UNITARIO COMPRADO]]*tblAquisições[[#This Row],[QUANTIDADE COMPRADA]]</f>
        <v>0</v>
      </c>
      <c r="N5372" s="110">
        <f>K5372-tblAquisições[[#This Row],[QUANTIDADE PLANEJADA]]</f>
        <v>-1</v>
      </c>
      <c r="O5372" s="106" t="str">
        <f t="shared" si="167"/>
        <v>Faltando Comprar</v>
      </c>
    </row>
    <row r="5373" spans="1:15" ht="47.25">
      <c r="A5373" s="16" t="s">
        <v>3077</v>
      </c>
      <c r="B5373" s="16" t="s">
        <v>3078</v>
      </c>
      <c r="C5373" s="17" t="s">
        <v>19</v>
      </c>
      <c r="D5373" s="18" t="s">
        <v>3089</v>
      </c>
      <c r="E5373" s="18">
        <v>2</v>
      </c>
      <c r="F5373" s="18" t="s">
        <v>58</v>
      </c>
      <c r="G5373" s="18" t="s">
        <v>22</v>
      </c>
      <c r="H5373" s="18" t="s">
        <v>23</v>
      </c>
      <c r="I5373" s="19">
        <v>242</v>
      </c>
      <c r="J5373" s="40">
        <f t="shared" si="166"/>
        <v>484</v>
      </c>
      <c r="K5373" s="106"/>
      <c r="L5373" s="114"/>
      <c r="M5373" s="114">
        <f>tblAquisições[[#This Row],[VALOR UNITARIO COMPRADO]]*tblAquisições[[#This Row],[QUANTIDADE COMPRADA]]</f>
        <v>0</v>
      </c>
      <c r="N5373" s="110">
        <f>K5373-tblAquisições[[#This Row],[QUANTIDADE PLANEJADA]]</f>
        <v>-2</v>
      </c>
      <c r="O5373" s="106" t="str">
        <f t="shared" si="167"/>
        <v>Faltando Comprar</v>
      </c>
    </row>
    <row r="5374" spans="1:15" ht="47.25">
      <c r="A5374" s="16" t="s">
        <v>3077</v>
      </c>
      <c r="B5374" s="16" t="s">
        <v>3083</v>
      </c>
      <c r="C5374" s="17" t="s">
        <v>19</v>
      </c>
      <c r="D5374" s="18" t="s">
        <v>2725</v>
      </c>
      <c r="E5374" s="18">
        <v>3</v>
      </c>
      <c r="F5374" s="18" t="s">
        <v>96</v>
      </c>
      <c r="G5374" s="18" t="s">
        <v>39</v>
      </c>
      <c r="H5374" s="18" t="s">
        <v>23</v>
      </c>
      <c r="I5374" s="19">
        <v>7.52</v>
      </c>
      <c r="J5374" s="40">
        <f t="shared" si="166"/>
        <v>22.56</v>
      </c>
      <c r="K5374" s="106"/>
      <c r="L5374" s="114"/>
      <c r="M5374" s="114">
        <f>tblAquisições[[#This Row],[VALOR UNITARIO COMPRADO]]*tblAquisições[[#This Row],[QUANTIDADE COMPRADA]]</f>
        <v>0</v>
      </c>
      <c r="N5374" s="110">
        <f>K5374-tblAquisições[[#This Row],[QUANTIDADE PLANEJADA]]</f>
        <v>-3</v>
      </c>
      <c r="O5374" s="106" t="str">
        <f t="shared" si="167"/>
        <v>Faltando Comprar</v>
      </c>
    </row>
    <row r="5375" spans="1:15" ht="47.25">
      <c r="A5375" s="16" t="s">
        <v>3077</v>
      </c>
      <c r="B5375" s="16" t="s">
        <v>3080</v>
      </c>
      <c r="C5375" s="17" t="s">
        <v>19</v>
      </c>
      <c r="D5375" s="18" t="s">
        <v>138</v>
      </c>
      <c r="E5375" s="18">
        <v>8</v>
      </c>
      <c r="F5375" s="18" t="s">
        <v>58</v>
      </c>
      <c r="G5375" s="18" t="s">
        <v>22</v>
      </c>
      <c r="H5375" s="18" t="s">
        <v>23</v>
      </c>
      <c r="I5375" s="19">
        <v>7.52</v>
      </c>
      <c r="J5375" s="40">
        <f t="shared" si="166"/>
        <v>60.16</v>
      </c>
      <c r="K5375" s="106"/>
      <c r="L5375" s="114"/>
      <c r="M5375" s="114">
        <f>tblAquisições[[#This Row],[VALOR UNITARIO COMPRADO]]*tblAquisições[[#This Row],[QUANTIDADE COMPRADA]]</f>
        <v>0</v>
      </c>
      <c r="N5375" s="110">
        <f>K5375-tblAquisições[[#This Row],[QUANTIDADE PLANEJADA]]</f>
        <v>-8</v>
      </c>
      <c r="O5375" s="106" t="str">
        <f t="shared" si="167"/>
        <v>Faltando Comprar</v>
      </c>
    </row>
    <row r="5376" spans="1:15" ht="47.25">
      <c r="A5376" s="16" t="s">
        <v>3077</v>
      </c>
      <c r="B5376" s="16" t="s">
        <v>3083</v>
      </c>
      <c r="C5376" s="17" t="s">
        <v>19</v>
      </c>
      <c r="D5376" s="18" t="s">
        <v>139</v>
      </c>
      <c r="E5376" s="18">
        <v>24</v>
      </c>
      <c r="F5376" s="18" t="s">
        <v>96</v>
      </c>
      <c r="G5376" s="18" t="s">
        <v>39</v>
      </c>
      <c r="H5376" s="18" t="s">
        <v>23</v>
      </c>
      <c r="I5376" s="19">
        <v>9.59</v>
      </c>
      <c r="J5376" s="40">
        <f t="shared" si="166"/>
        <v>230.16</v>
      </c>
      <c r="K5376" s="106"/>
      <c r="L5376" s="114"/>
      <c r="M5376" s="114">
        <f>tblAquisições[[#This Row],[VALOR UNITARIO COMPRADO]]*tblAquisições[[#This Row],[QUANTIDADE COMPRADA]]</f>
        <v>0</v>
      </c>
      <c r="N5376" s="110">
        <f>K5376-tblAquisições[[#This Row],[QUANTIDADE PLANEJADA]]</f>
        <v>-24</v>
      </c>
      <c r="O5376" s="106" t="str">
        <f t="shared" si="167"/>
        <v>Faltando Comprar</v>
      </c>
    </row>
    <row r="5377" spans="1:15" ht="47.25">
      <c r="A5377" s="16" t="s">
        <v>3077</v>
      </c>
      <c r="B5377" s="16" t="s">
        <v>3084</v>
      </c>
      <c r="C5377" s="17" t="s">
        <v>19</v>
      </c>
      <c r="D5377" s="18" t="s">
        <v>139</v>
      </c>
      <c r="E5377" s="18">
        <v>10</v>
      </c>
      <c r="F5377" s="18" t="s">
        <v>96</v>
      </c>
      <c r="G5377" s="18" t="s">
        <v>39</v>
      </c>
      <c r="H5377" s="18" t="s">
        <v>23</v>
      </c>
      <c r="I5377" s="19">
        <v>9.59</v>
      </c>
      <c r="J5377" s="40">
        <f t="shared" si="166"/>
        <v>95.9</v>
      </c>
      <c r="K5377" s="106"/>
      <c r="L5377" s="114"/>
      <c r="M5377" s="114">
        <f>tblAquisições[[#This Row],[VALOR UNITARIO COMPRADO]]*tblAquisições[[#This Row],[QUANTIDADE COMPRADA]]</f>
        <v>0</v>
      </c>
      <c r="N5377" s="110">
        <f>K5377-tblAquisições[[#This Row],[QUANTIDADE PLANEJADA]]</f>
        <v>-10</v>
      </c>
      <c r="O5377" s="106" t="str">
        <f t="shared" si="167"/>
        <v>Faltando Comprar</v>
      </c>
    </row>
    <row r="5378" spans="1:15" ht="47.25">
      <c r="A5378" s="16" t="s">
        <v>3077</v>
      </c>
      <c r="B5378" s="16" t="s">
        <v>3083</v>
      </c>
      <c r="C5378" s="17" t="s">
        <v>19</v>
      </c>
      <c r="D5378" s="18" t="s">
        <v>2726</v>
      </c>
      <c r="E5378" s="18">
        <v>12</v>
      </c>
      <c r="F5378" s="18" t="s">
        <v>96</v>
      </c>
      <c r="G5378" s="18" t="s">
        <v>39</v>
      </c>
      <c r="H5378" s="18" t="s">
        <v>23</v>
      </c>
      <c r="I5378" s="19">
        <v>19.75</v>
      </c>
      <c r="J5378" s="40">
        <f t="shared" ref="J5378:J5441" si="168">E5378*I5378</f>
        <v>237</v>
      </c>
      <c r="K5378" s="106"/>
      <c r="L5378" s="114"/>
      <c r="M5378" s="114">
        <f>tblAquisições[[#This Row],[VALOR UNITARIO COMPRADO]]*tblAquisições[[#This Row],[QUANTIDADE COMPRADA]]</f>
        <v>0</v>
      </c>
      <c r="N5378" s="110">
        <f>K5378-tblAquisições[[#This Row],[QUANTIDADE PLANEJADA]]</f>
        <v>-12</v>
      </c>
      <c r="O5378" s="106" t="str">
        <f t="shared" ref="O5378:O5441" si="169">IF(K5378=E5378,"OK",IF(K5378&lt;E5378,"Faltando Comprar","Excedente"))</f>
        <v>Faltando Comprar</v>
      </c>
    </row>
    <row r="5379" spans="1:15" ht="47.25">
      <c r="A5379" s="16" t="s">
        <v>3077</v>
      </c>
      <c r="B5379" s="16" t="s">
        <v>3078</v>
      </c>
      <c r="C5379" s="17" t="s">
        <v>19</v>
      </c>
      <c r="D5379" s="18" t="s">
        <v>3090</v>
      </c>
      <c r="E5379" s="18">
        <v>2</v>
      </c>
      <c r="F5379" s="18" t="s">
        <v>58</v>
      </c>
      <c r="G5379" s="18" t="s">
        <v>22</v>
      </c>
      <c r="H5379" s="18" t="s">
        <v>23</v>
      </c>
      <c r="I5379" s="19">
        <v>19.75</v>
      </c>
      <c r="J5379" s="40">
        <f t="shared" si="168"/>
        <v>39.5</v>
      </c>
      <c r="K5379" s="106"/>
      <c r="L5379" s="114"/>
      <c r="M5379" s="114">
        <f>tblAquisições[[#This Row],[VALOR UNITARIO COMPRADO]]*tblAquisições[[#This Row],[QUANTIDADE COMPRADA]]</f>
        <v>0</v>
      </c>
      <c r="N5379" s="110">
        <f>K5379-tblAquisições[[#This Row],[QUANTIDADE PLANEJADA]]</f>
        <v>-2</v>
      </c>
      <c r="O5379" s="106" t="str">
        <f t="shared" si="169"/>
        <v>Faltando Comprar</v>
      </c>
    </row>
    <row r="5380" spans="1:15" ht="47.25">
      <c r="A5380" s="16" t="s">
        <v>3077</v>
      </c>
      <c r="B5380" s="16" t="s">
        <v>3080</v>
      </c>
      <c r="C5380" s="17" t="s">
        <v>19</v>
      </c>
      <c r="D5380" s="18" t="s">
        <v>3090</v>
      </c>
      <c r="E5380" s="18">
        <v>10</v>
      </c>
      <c r="F5380" s="18" t="s">
        <v>58</v>
      </c>
      <c r="G5380" s="18" t="s">
        <v>22</v>
      </c>
      <c r="H5380" s="18" t="s">
        <v>65</v>
      </c>
      <c r="I5380" s="24">
        <v>18.45</v>
      </c>
      <c r="J5380" s="40">
        <f t="shared" si="168"/>
        <v>184.5</v>
      </c>
      <c r="K5380" s="106"/>
      <c r="L5380" s="114"/>
      <c r="M5380" s="114">
        <f>tblAquisições[[#This Row],[VALOR UNITARIO COMPRADO]]*tblAquisições[[#This Row],[QUANTIDADE COMPRADA]]</f>
        <v>0</v>
      </c>
      <c r="N5380" s="110">
        <f>K5380-tblAquisições[[#This Row],[QUANTIDADE PLANEJADA]]</f>
        <v>-10</v>
      </c>
      <c r="O5380" s="106" t="str">
        <f t="shared" si="169"/>
        <v>Faltando Comprar</v>
      </c>
    </row>
    <row r="5381" spans="1:15" ht="47.25">
      <c r="A5381" s="16" t="s">
        <v>3077</v>
      </c>
      <c r="B5381" s="16" t="s">
        <v>3077</v>
      </c>
      <c r="C5381" s="17" t="s">
        <v>19</v>
      </c>
      <c r="D5381" s="18" t="s">
        <v>2727</v>
      </c>
      <c r="E5381" s="18">
        <v>10</v>
      </c>
      <c r="F5381" s="18" t="s">
        <v>96</v>
      </c>
      <c r="G5381" s="18" t="s">
        <v>39</v>
      </c>
      <c r="H5381" s="18" t="s">
        <v>23</v>
      </c>
      <c r="I5381" s="19">
        <v>26.9</v>
      </c>
      <c r="J5381" s="40">
        <f t="shared" si="168"/>
        <v>269</v>
      </c>
      <c r="K5381" s="106"/>
      <c r="L5381" s="114"/>
      <c r="M5381" s="114">
        <f>tblAquisições[[#This Row],[VALOR UNITARIO COMPRADO]]*tblAquisições[[#This Row],[QUANTIDADE COMPRADA]]</f>
        <v>0</v>
      </c>
      <c r="N5381" s="110">
        <f>K5381-tblAquisições[[#This Row],[QUANTIDADE PLANEJADA]]</f>
        <v>-10</v>
      </c>
      <c r="O5381" s="106" t="str">
        <f t="shared" si="169"/>
        <v>Faltando Comprar</v>
      </c>
    </row>
    <row r="5382" spans="1:15" ht="47.25">
      <c r="A5382" s="16" t="s">
        <v>3077</v>
      </c>
      <c r="B5382" s="16" t="s">
        <v>3083</v>
      </c>
      <c r="C5382" s="17" t="s">
        <v>19</v>
      </c>
      <c r="D5382" s="18" t="s">
        <v>2727</v>
      </c>
      <c r="E5382" s="18">
        <v>12</v>
      </c>
      <c r="F5382" s="18" t="s">
        <v>96</v>
      </c>
      <c r="G5382" s="18" t="s">
        <v>39</v>
      </c>
      <c r="H5382" s="18" t="s">
        <v>23</v>
      </c>
      <c r="I5382" s="19">
        <v>26.9</v>
      </c>
      <c r="J5382" s="40">
        <f t="shared" si="168"/>
        <v>322.79999999999995</v>
      </c>
      <c r="K5382" s="106"/>
      <c r="L5382" s="114"/>
      <c r="M5382" s="114">
        <f>tblAquisições[[#This Row],[VALOR UNITARIO COMPRADO]]*tblAquisições[[#This Row],[QUANTIDADE COMPRADA]]</f>
        <v>0</v>
      </c>
      <c r="N5382" s="110">
        <f>K5382-tblAquisições[[#This Row],[QUANTIDADE PLANEJADA]]</f>
        <v>-12</v>
      </c>
      <c r="O5382" s="106" t="str">
        <f t="shared" si="169"/>
        <v>Faltando Comprar</v>
      </c>
    </row>
    <row r="5383" spans="1:15" ht="47.25">
      <c r="A5383" s="16" t="s">
        <v>3077</v>
      </c>
      <c r="B5383" s="16" t="s">
        <v>3078</v>
      </c>
      <c r="C5383" s="17" t="s">
        <v>19</v>
      </c>
      <c r="D5383" s="18" t="s">
        <v>3091</v>
      </c>
      <c r="E5383" s="18">
        <v>2</v>
      </c>
      <c r="F5383" s="18" t="s">
        <v>58</v>
      </c>
      <c r="G5383" s="18" t="s">
        <v>22</v>
      </c>
      <c r="H5383" s="18" t="s">
        <v>23</v>
      </c>
      <c r="I5383" s="19">
        <v>26.9</v>
      </c>
      <c r="J5383" s="40">
        <f t="shared" si="168"/>
        <v>53.8</v>
      </c>
      <c r="K5383" s="106"/>
      <c r="L5383" s="114"/>
      <c r="M5383" s="114">
        <f>tblAquisições[[#This Row],[VALOR UNITARIO COMPRADO]]*tblAquisições[[#This Row],[QUANTIDADE COMPRADA]]</f>
        <v>0</v>
      </c>
      <c r="N5383" s="110">
        <f>K5383-tblAquisições[[#This Row],[QUANTIDADE PLANEJADA]]</f>
        <v>-2</v>
      </c>
      <c r="O5383" s="106" t="str">
        <f t="shared" si="169"/>
        <v>Faltando Comprar</v>
      </c>
    </row>
    <row r="5384" spans="1:15" ht="47.25">
      <c r="A5384" s="16" t="s">
        <v>3077</v>
      </c>
      <c r="B5384" s="16" t="s">
        <v>3080</v>
      </c>
      <c r="C5384" s="17" t="s">
        <v>19</v>
      </c>
      <c r="D5384" s="18" t="s">
        <v>3091</v>
      </c>
      <c r="E5384" s="18">
        <v>8</v>
      </c>
      <c r="F5384" s="18" t="s">
        <v>58</v>
      </c>
      <c r="G5384" s="18" t="s">
        <v>22</v>
      </c>
      <c r="H5384" s="18" t="s">
        <v>65</v>
      </c>
      <c r="I5384" s="24">
        <v>16.329999999999998</v>
      </c>
      <c r="J5384" s="40">
        <f t="shared" si="168"/>
        <v>130.63999999999999</v>
      </c>
      <c r="K5384" s="106"/>
      <c r="L5384" s="114"/>
      <c r="M5384" s="114">
        <f>tblAquisições[[#This Row],[VALOR UNITARIO COMPRADO]]*tblAquisições[[#This Row],[QUANTIDADE COMPRADA]]</f>
        <v>0</v>
      </c>
      <c r="N5384" s="110">
        <f>K5384-tblAquisições[[#This Row],[QUANTIDADE PLANEJADA]]</f>
        <v>-8</v>
      </c>
      <c r="O5384" s="106" t="str">
        <f t="shared" si="169"/>
        <v>Faltando Comprar</v>
      </c>
    </row>
    <row r="5385" spans="1:15" ht="47.25">
      <c r="A5385" s="16" t="s">
        <v>3077</v>
      </c>
      <c r="B5385" s="16" t="s">
        <v>3083</v>
      </c>
      <c r="C5385" s="17" t="s">
        <v>19</v>
      </c>
      <c r="D5385" s="18" t="s">
        <v>2728</v>
      </c>
      <c r="E5385" s="18">
        <v>12</v>
      </c>
      <c r="F5385" s="18" t="s">
        <v>96</v>
      </c>
      <c r="G5385" s="18" t="s">
        <v>39</v>
      </c>
      <c r="H5385" s="18" t="s">
        <v>23</v>
      </c>
      <c r="I5385" s="19">
        <v>7.06</v>
      </c>
      <c r="J5385" s="40">
        <f t="shared" si="168"/>
        <v>84.72</v>
      </c>
      <c r="K5385" s="106"/>
      <c r="L5385" s="114"/>
      <c r="M5385" s="114">
        <f>tblAquisições[[#This Row],[VALOR UNITARIO COMPRADO]]*tblAquisições[[#This Row],[QUANTIDADE COMPRADA]]</f>
        <v>0</v>
      </c>
      <c r="N5385" s="110">
        <f>K5385-tblAquisições[[#This Row],[QUANTIDADE PLANEJADA]]</f>
        <v>-12</v>
      </c>
      <c r="O5385" s="106" t="str">
        <f t="shared" si="169"/>
        <v>Faltando Comprar</v>
      </c>
    </row>
    <row r="5386" spans="1:15" ht="47.25">
      <c r="A5386" s="16" t="s">
        <v>3077</v>
      </c>
      <c r="B5386" s="16" t="s">
        <v>3084</v>
      </c>
      <c r="C5386" s="17" t="s">
        <v>19</v>
      </c>
      <c r="D5386" s="18" t="s">
        <v>2728</v>
      </c>
      <c r="E5386" s="18">
        <v>20</v>
      </c>
      <c r="F5386" s="18" t="s">
        <v>96</v>
      </c>
      <c r="G5386" s="18" t="s">
        <v>39</v>
      </c>
      <c r="H5386" s="18" t="s">
        <v>23</v>
      </c>
      <c r="I5386" s="19">
        <v>7.06</v>
      </c>
      <c r="J5386" s="40">
        <f t="shared" si="168"/>
        <v>141.19999999999999</v>
      </c>
      <c r="K5386" s="106"/>
      <c r="L5386" s="114"/>
      <c r="M5386" s="114">
        <f>tblAquisições[[#This Row],[VALOR UNITARIO COMPRADO]]*tblAquisições[[#This Row],[QUANTIDADE COMPRADA]]</f>
        <v>0</v>
      </c>
      <c r="N5386" s="110">
        <f>K5386-tblAquisições[[#This Row],[QUANTIDADE PLANEJADA]]</f>
        <v>-20</v>
      </c>
      <c r="O5386" s="106" t="str">
        <f t="shared" si="169"/>
        <v>Faltando Comprar</v>
      </c>
    </row>
    <row r="5387" spans="1:15" ht="47.25">
      <c r="A5387" s="16" t="s">
        <v>3077</v>
      </c>
      <c r="B5387" s="16" t="s">
        <v>3077</v>
      </c>
      <c r="C5387" s="17" t="s">
        <v>19</v>
      </c>
      <c r="D5387" s="18" t="s">
        <v>2915</v>
      </c>
      <c r="E5387" s="18">
        <v>10</v>
      </c>
      <c r="F5387" s="18" t="s">
        <v>96</v>
      </c>
      <c r="G5387" s="18" t="s">
        <v>39</v>
      </c>
      <c r="H5387" s="18" t="s">
        <v>23</v>
      </c>
      <c r="I5387" s="19">
        <v>5.9</v>
      </c>
      <c r="J5387" s="40">
        <f t="shared" si="168"/>
        <v>59</v>
      </c>
      <c r="K5387" s="106"/>
      <c r="L5387" s="114"/>
      <c r="M5387" s="114">
        <f>tblAquisições[[#This Row],[VALOR UNITARIO COMPRADO]]*tblAquisições[[#This Row],[QUANTIDADE COMPRADA]]</f>
        <v>0</v>
      </c>
      <c r="N5387" s="110">
        <f>K5387-tblAquisições[[#This Row],[QUANTIDADE PLANEJADA]]</f>
        <v>-10</v>
      </c>
      <c r="O5387" s="106" t="str">
        <f t="shared" si="169"/>
        <v>Faltando Comprar</v>
      </c>
    </row>
    <row r="5388" spans="1:15" ht="31.5">
      <c r="A5388" s="16" t="s">
        <v>3077</v>
      </c>
      <c r="B5388" s="16" t="s">
        <v>3077</v>
      </c>
      <c r="C5388" s="17" t="s">
        <v>19</v>
      </c>
      <c r="D5388" s="18" t="s">
        <v>2917</v>
      </c>
      <c r="E5388" s="18">
        <v>8</v>
      </c>
      <c r="F5388" s="18" t="s">
        <v>56</v>
      </c>
      <c r="G5388" s="18" t="s">
        <v>39</v>
      </c>
      <c r="H5388" s="18" t="s">
        <v>23</v>
      </c>
      <c r="I5388" s="19">
        <v>6.8</v>
      </c>
      <c r="J5388" s="40">
        <f t="shared" si="168"/>
        <v>54.4</v>
      </c>
      <c r="K5388" s="106"/>
      <c r="L5388" s="114"/>
      <c r="M5388" s="114">
        <f>tblAquisições[[#This Row],[VALOR UNITARIO COMPRADO]]*tblAquisições[[#This Row],[QUANTIDADE COMPRADA]]</f>
        <v>0</v>
      </c>
      <c r="N5388" s="110">
        <f>K5388-tblAquisições[[#This Row],[QUANTIDADE PLANEJADA]]</f>
        <v>-8</v>
      </c>
      <c r="O5388" s="106" t="str">
        <f t="shared" si="169"/>
        <v>Faltando Comprar</v>
      </c>
    </row>
    <row r="5389" spans="1:15" ht="31.5">
      <c r="A5389" s="16" t="s">
        <v>3077</v>
      </c>
      <c r="B5389" s="16" t="s">
        <v>3083</v>
      </c>
      <c r="C5389" s="17" t="s">
        <v>19</v>
      </c>
      <c r="D5389" s="18" t="s">
        <v>2917</v>
      </c>
      <c r="E5389" s="18">
        <v>6</v>
      </c>
      <c r="F5389" s="18" t="s">
        <v>56</v>
      </c>
      <c r="G5389" s="18" t="s">
        <v>39</v>
      </c>
      <c r="H5389" s="18" t="s">
        <v>23</v>
      </c>
      <c r="I5389" s="19">
        <v>6.8</v>
      </c>
      <c r="J5389" s="40">
        <f t="shared" si="168"/>
        <v>40.799999999999997</v>
      </c>
      <c r="K5389" s="106"/>
      <c r="L5389" s="114"/>
      <c r="M5389" s="114">
        <f>tblAquisições[[#This Row],[VALOR UNITARIO COMPRADO]]*tblAquisições[[#This Row],[QUANTIDADE COMPRADA]]</f>
        <v>0</v>
      </c>
      <c r="N5389" s="110">
        <f>K5389-tblAquisições[[#This Row],[QUANTIDADE PLANEJADA]]</f>
        <v>-6</v>
      </c>
      <c r="O5389" s="106" t="str">
        <f t="shared" si="169"/>
        <v>Faltando Comprar</v>
      </c>
    </row>
    <row r="5390" spans="1:15" ht="31.5">
      <c r="A5390" s="16" t="s">
        <v>3077</v>
      </c>
      <c r="B5390" s="16" t="s">
        <v>3080</v>
      </c>
      <c r="C5390" s="17" t="s">
        <v>19</v>
      </c>
      <c r="D5390" s="18" t="s">
        <v>3092</v>
      </c>
      <c r="E5390" s="18">
        <v>6</v>
      </c>
      <c r="F5390" s="18" t="s">
        <v>170</v>
      </c>
      <c r="G5390" s="18" t="s">
        <v>22</v>
      </c>
      <c r="H5390" s="18" t="s">
        <v>65</v>
      </c>
      <c r="I5390" s="24">
        <v>50.5</v>
      </c>
      <c r="J5390" s="40">
        <f t="shared" si="168"/>
        <v>303</v>
      </c>
      <c r="K5390" s="106"/>
      <c r="L5390" s="114"/>
      <c r="M5390" s="114">
        <f>tblAquisições[[#This Row],[VALOR UNITARIO COMPRADO]]*tblAquisições[[#This Row],[QUANTIDADE COMPRADA]]</f>
        <v>0</v>
      </c>
      <c r="N5390" s="110">
        <f>K5390-tblAquisições[[#This Row],[QUANTIDADE PLANEJADA]]</f>
        <v>-6</v>
      </c>
      <c r="O5390" s="106" t="str">
        <f t="shared" si="169"/>
        <v>Faltando Comprar</v>
      </c>
    </row>
    <row r="5391" spans="1:15" ht="47.25">
      <c r="A5391" s="16" t="s">
        <v>3077</v>
      </c>
      <c r="B5391" s="16" t="s">
        <v>3077</v>
      </c>
      <c r="C5391" s="17" t="s">
        <v>19</v>
      </c>
      <c r="D5391" s="18" t="s">
        <v>3093</v>
      </c>
      <c r="E5391" s="18">
        <v>6</v>
      </c>
      <c r="F5391" s="18" t="s">
        <v>96</v>
      </c>
      <c r="G5391" s="18" t="s">
        <v>39</v>
      </c>
      <c r="H5391" s="18" t="s">
        <v>65</v>
      </c>
      <c r="I5391" s="24">
        <v>55</v>
      </c>
      <c r="J5391" s="40">
        <f t="shared" si="168"/>
        <v>330</v>
      </c>
      <c r="K5391" s="106"/>
      <c r="L5391" s="114"/>
      <c r="M5391" s="114">
        <f>tblAquisições[[#This Row],[VALOR UNITARIO COMPRADO]]*tblAquisições[[#This Row],[QUANTIDADE COMPRADA]]</f>
        <v>0</v>
      </c>
      <c r="N5391" s="110">
        <f>K5391-tblAquisições[[#This Row],[QUANTIDADE PLANEJADA]]</f>
        <v>-6</v>
      </c>
      <c r="O5391" s="106" t="str">
        <f t="shared" si="169"/>
        <v>Faltando Comprar</v>
      </c>
    </row>
    <row r="5392" spans="1:15" ht="47.25">
      <c r="A5392" s="16" t="s">
        <v>3077</v>
      </c>
      <c r="B5392" s="16" t="s">
        <v>3083</v>
      </c>
      <c r="C5392" s="17" t="s">
        <v>19</v>
      </c>
      <c r="D5392" s="18" t="s">
        <v>3093</v>
      </c>
      <c r="E5392" s="18">
        <v>6</v>
      </c>
      <c r="F5392" s="18" t="s">
        <v>96</v>
      </c>
      <c r="G5392" s="18" t="s">
        <v>39</v>
      </c>
      <c r="H5392" s="18" t="s">
        <v>23</v>
      </c>
      <c r="I5392" s="19">
        <v>5.5</v>
      </c>
      <c r="J5392" s="40">
        <f t="shared" si="168"/>
        <v>33</v>
      </c>
      <c r="K5392" s="106"/>
      <c r="L5392" s="114"/>
      <c r="M5392" s="114">
        <f>tblAquisições[[#This Row],[VALOR UNITARIO COMPRADO]]*tblAquisições[[#This Row],[QUANTIDADE COMPRADA]]</f>
        <v>0</v>
      </c>
      <c r="N5392" s="110">
        <f>K5392-tblAquisições[[#This Row],[QUANTIDADE PLANEJADA]]</f>
        <v>-6</v>
      </c>
      <c r="O5392" s="106" t="str">
        <f t="shared" si="169"/>
        <v>Faltando Comprar</v>
      </c>
    </row>
    <row r="5393" spans="1:15" ht="47.25">
      <c r="A5393" s="16" t="s">
        <v>3077</v>
      </c>
      <c r="B5393" s="16" t="s">
        <v>3080</v>
      </c>
      <c r="C5393" s="17" t="s">
        <v>19</v>
      </c>
      <c r="D5393" s="18" t="s">
        <v>3094</v>
      </c>
      <c r="E5393" s="18">
        <v>3</v>
      </c>
      <c r="F5393" s="18" t="s">
        <v>58</v>
      </c>
      <c r="G5393" s="18" t="s">
        <v>22</v>
      </c>
      <c r="H5393" s="18" t="s">
        <v>65</v>
      </c>
      <c r="I5393" s="24">
        <v>55</v>
      </c>
      <c r="J5393" s="40">
        <f t="shared" si="168"/>
        <v>165</v>
      </c>
      <c r="K5393" s="106"/>
      <c r="L5393" s="114"/>
      <c r="M5393" s="114">
        <f>tblAquisições[[#This Row],[VALOR UNITARIO COMPRADO]]*tblAquisições[[#This Row],[QUANTIDADE COMPRADA]]</f>
        <v>0</v>
      </c>
      <c r="N5393" s="110">
        <f>K5393-tblAquisições[[#This Row],[QUANTIDADE PLANEJADA]]</f>
        <v>-3</v>
      </c>
      <c r="O5393" s="106" t="str">
        <f t="shared" si="169"/>
        <v>Faltando Comprar</v>
      </c>
    </row>
    <row r="5394" spans="1:15" ht="47.25">
      <c r="A5394" s="16" t="s">
        <v>3077</v>
      </c>
      <c r="B5394" s="16" t="s">
        <v>3083</v>
      </c>
      <c r="C5394" s="17" t="s">
        <v>19</v>
      </c>
      <c r="D5394" s="18" t="s">
        <v>2731</v>
      </c>
      <c r="E5394" s="18">
        <v>12</v>
      </c>
      <c r="F5394" s="18" t="s">
        <v>96</v>
      </c>
      <c r="G5394" s="18" t="s">
        <v>39</v>
      </c>
      <c r="H5394" s="18" t="s">
        <v>23</v>
      </c>
      <c r="I5394" s="19">
        <v>15.25</v>
      </c>
      <c r="J5394" s="40">
        <f t="shared" si="168"/>
        <v>183</v>
      </c>
      <c r="K5394" s="106"/>
      <c r="L5394" s="114"/>
      <c r="M5394" s="114">
        <f>tblAquisições[[#This Row],[VALOR UNITARIO COMPRADO]]*tblAquisições[[#This Row],[QUANTIDADE COMPRADA]]</f>
        <v>0</v>
      </c>
      <c r="N5394" s="110">
        <f>K5394-tblAquisições[[#This Row],[QUANTIDADE PLANEJADA]]</f>
        <v>-12</v>
      </c>
      <c r="O5394" s="106" t="str">
        <f t="shared" si="169"/>
        <v>Faltando Comprar</v>
      </c>
    </row>
    <row r="5395" spans="1:15" ht="47.25">
      <c r="A5395" s="16" t="s">
        <v>3077</v>
      </c>
      <c r="B5395" s="16" t="s">
        <v>3084</v>
      </c>
      <c r="C5395" s="17" t="s">
        <v>19</v>
      </c>
      <c r="D5395" s="18" t="s">
        <v>2731</v>
      </c>
      <c r="E5395" s="18">
        <v>20</v>
      </c>
      <c r="F5395" s="18" t="s">
        <v>96</v>
      </c>
      <c r="G5395" s="18" t="s">
        <v>39</v>
      </c>
      <c r="H5395" s="18" t="s">
        <v>23</v>
      </c>
      <c r="I5395" s="19">
        <v>15.25</v>
      </c>
      <c r="J5395" s="40">
        <f t="shared" si="168"/>
        <v>305</v>
      </c>
      <c r="K5395" s="106"/>
      <c r="L5395" s="114"/>
      <c r="M5395" s="114">
        <f>tblAquisições[[#This Row],[VALOR UNITARIO COMPRADO]]*tblAquisições[[#This Row],[QUANTIDADE COMPRADA]]</f>
        <v>0</v>
      </c>
      <c r="N5395" s="110">
        <f>K5395-tblAquisições[[#This Row],[QUANTIDADE PLANEJADA]]</f>
        <v>-20</v>
      </c>
      <c r="O5395" s="106" t="str">
        <f t="shared" si="169"/>
        <v>Faltando Comprar</v>
      </c>
    </row>
    <row r="5396" spans="1:15" ht="47.25">
      <c r="A5396" s="16" t="s">
        <v>3077</v>
      </c>
      <c r="B5396" s="16" t="s">
        <v>3078</v>
      </c>
      <c r="C5396" s="17" t="s">
        <v>19</v>
      </c>
      <c r="D5396" s="18" t="s">
        <v>142</v>
      </c>
      <c r="E5396" s="18">
        <v>2</v>
      </c>
      <c r="F5396" s="18" t="s">
        <v>58</v>
      </c>
      <c r="G5396" s="18" t="s">
        <v>22</v>
      </c>
      <c r="H5396" s="18" t="s">
        <v>23</v>
      </c>
      <c r="I5396" s="19">
        <v>15.25</v>
      </c>
      <c r="J5396" s="40">
        <f t="shared" si="168"/>
        <v>30.5</v>
      </c>
      <c r="K5396" s="106"/>
      <c r="L5396" s="114"/>
      <c r="M5396" s="114">
        <f>tblAquisições[[#This Row],[VALOR UNITARIO COMPRADO]]*tblAquisições[[#This Row],[QUANTIDADE COMPRADA]]</f>
        <v>0</v>
      </c>
      <c r="N5396" s="110">
        <f>K5396-tblAquisições[[#This Row],[QUANTIDADE PLANEJADA]]</f>
        <v>-2</v>
      </c>
      <c r="O5396" s="106" t="str">
        <f t="shared" si="169"/>
        <v>Faltando Comprar</v>
      </c>
    </row>
    <row r="5397" spans="1:15" ht="47.25">
      <c r="A5397" s="16" t="s">
        <v>3077</v>
      </c>
      <c r="B5397" s="16" t="s">
        <v>3080</v>
      </c>
      <c r="C5397" s="17" t="s">
        <v>19</v>
      </c>
      <c r="D5397" s="18" t="s">
        <v>142</v>
      </c>
      <c r="E5397" s="18">
        <v>8</v>
      </c>
      <c r="F5397" s="18" t="s">
        <v>58</v>
      </c>
      <c r="G5397" s="18" t="s">
        <v>22</v>
      </c>
      <c r="H5397" s="18" t="s">
        <v>65</v>
      </c>
      <c r="I5397" s="24">
        <v>18.440000000000001</v>
      </c>
      <c r="J5397" s="40">
        <f t="shared" si="168"/>
        <v>147.52000000000001</v>
      </c>
      <c r="K5397" s="106"/>
      <c r="L5397" s="114"/>
      <c r="M5397" s="114">
        <f>tblAquisições[[#This Row],[VALOR UNITARIO COMPRADO]]*tblAquisições[[#This Row],[QUANTIDADE COMPRADA]]</f>
        <v>0</v>
      </c>
      <c r="N5397" s="110">
        <f>K5397-tblAquisições[[#This Row],[QUANTIDADE PLANEJADA]]</f>
        <v>-8</v>
      </c>
      <c r="O5397" s="106" t="str">
        <f t="shared" si="169"/>
        <v>Faltando Comprar</v>
      </c>
    </row>
    <row r="5398" spans="1:15" ht="47.25">
      <c r="A5398" s="16" t="s">
        <v>3077</v>
      </c>
      <c r="B5398" s="16" t="s">
        <v>3084</v>
      </c>
      <c r="C5398" s="17" t="s">
        <v>19</v>
      </c>
      <c r="D5398" s="18" t="s">
        <v>2733</v>
      </c>
      <c r="E5398" s="18">
        <v>20</v>
      </c>
      <c r="F5398" s="18" t="s">
        <v>96</v>
      </c>
      <c r="G5398" s="18" t="s">
        <v>39</v>
      </c>
      <c r="H5398" s="18" t="s">
        <v>23</v>
      </c>
      <c r="I5398" s="19">
        <v>6.46</v>
      </c>
      <c r="J5398" s="40">
        <f t="shared" si="168"/>
        <v>129.19999999999999</v>
      </c>
      <c r="K5398" s="106"/>
      <c r="L5398" s="114"/>
      <c r="M5398" s="114">
        <f>tblAquisições[[#This Row],[VALOR UNITARIO COMPRADO]]*tblAquisições[[#This Row],[QUANTIDADE COMPRADA]]</f>
        <v>0</v>
      </c>
      <c r="N5398" s="110">
        <f>K5398-tblAquisições[[#This Row],[QUANTIDADE PLANEJADA]]</f>
        <v>-20</v>
      </c>
      <c r="O5398" s="106" t="str">
        <f t="shared" si="169"/>
        <v>Faltando Comprar</v>
      </c>
    </row>
    <row r="5399" spans="1:15" ht="47.25">
      <c r="A5399" s="16" t="s">
        <v>3077</v>
      </c>
      <c r="B5399" s="16" t="s">
        <v>3083</v>
      </c>
      <c r="C5399" s="17" t="s">
        <v>19</v>
      </c>
      <c r="D5399" s="18" t="s">
        <v>2734</v>
      </c>
      <c r="E5399" s="18">
        <v>12</v>
      </c>
      <c r="F5399" s="18" t="s">
        <v>96</v>
      </c>
      <c r="G5399" s="18" t="s">
        <v>39</v>
      </c>
      <c r="H5399" s="18" t="s">
        <v>65</v>
      </c>
      <c r="I5399" s="19">
        <v>3.71</v>
      </c>
      <c r="J5399" s="40">
        <f t="shared" si="168"/>
        <v>44.519999999999996</v>
      </c>
      <c r="K5399" s="106"/>
      <c r="L5399" s="114"/>
      <c r="M5399" s="114">
        <f>tblAquisições[[#This Row],[VALOR UNITARIO COMPRADO]]*tblAquisições[[#This Row],[QUANTIDADE COMPRADA]]</f>
        <v>0</v>
      </c>
      <c r="N5399" s="110">
        <f>K5399-tblAquisições[[#This Row],[QUANTIDADE PLANEJADA]]</f>
        <v>-12</v>
      </c>
      <c r="O5399" s="106" t="str">
        <f t="shared" si="169"/>
        <v>Faltando Comprar</v>
      </c>
    </row>
    <row r="5400" spans="1:15" ht="31.5">
      <c r="A5400" s="16" t="s">
        <v>3077</v>
      </c>
      <c r="B5400" s="16" t="s">
        <v>3083</v>
      </c>
      <c r="C5400" s="17" t="s">
        <v>19</v>
      </c>
      <c r="D5400" s="18" t="s">
        <v>2920</v>
      </c>
      <c r="E5400" s="18">
        <v>5</v>
      </c>
      <c r="F5400" s="18" t="s">
        <v>56</v>
      </c>
      <c r="G5400" s="18" t="s">
        <v>39</v>
      </c>
      <c r="H5400" s="18" t="s">
        <v>23</v>
      </c>
      <c r="I5400" s="19">
        <v>99.96</v>
      </c>
      <c r="J5400" s="40">
        <f t="shared" si="168"/>
        <v>499.79999999999995</v>
      </c>
      <c r="K5400" s="106"/>
      <c r="L5400" s="114"/>
      <c r="M5400" s="114">
        <f>tblAquisições[[#This Row],[VALOR UNITARIO COMPRADO]]*tblAquisições[[#This Row],[QUANTIDADE COMPRADA]]</f>
        <v>0</v>
      </c>
      <c r="N5400" s="110">
        <f>K5400-tblAquisições[[#This Row],[QUANTIDADE PLANEJADA]]</f>
        <v>-5</v>
      </c>
      <c r="O5400" s="106" t="str">
        <f t="shared" si="169"/>
        <v>Faltando Comprar</v>
      </c>
    </row>
    <row r="5401" spans="1:15" ht="47.25">
      <c r="A5401" s="16" t="s">
        <v>3077</v>
      </c>
      <c r="B5401" s="16" t="s">
        <v>3083</v>
      </c>
      <c r="C5401" s="17" t="s">
        <v>19</v>
      </c>
      <c r="D5401" s="18" t="s">
        <v>2921</v>
      </c>
      <c r="E5401" s="18">
        <v>12</v>
      </c>
      <c r="F5401" s="18" t="s">
        <v>96</v>
      </c>
      <c r="G5401" s="18" t="s">
        <v>39</v>
      </c>
      <c r="H5401" s="18" t="s">
        <v>23</v>
      </c>
      <c r="I5401" s="19">
        <v>4.5</v>
      </c>
      <c r="J5401" s="40">
        <f t="shared" si="168"/>
        <v>54</v>
      </c>
      <c r="K5401" s="106"/>
      <c r="L5401" s="114"/>
      <c r="M5401" s="114">
        <f>tblAquisições[[#This Row],[VALOR UNITARIO COMPRADO]]*tblAquisições[[#This Row],[QUANTIDADE COMPRADA]]</f>
        <v>0</v>
      </c>
      <c r="N5401" s="110">
        <f>K5401-tblAquisições[[#This Row],[QUANTIDADE PLANEJADA]]</f>
        <v>-12</v>
      </c>
      <c r="O5401" s="106" t="str">
        <f t="shared" si="169"/>
        <v>Faltando Comprar</v>
      </c>
    </row>
    <row r="5402" spans="1:15" ht="63">
      <c r="A5402" s="16" t="s">
        <v>3077</v>
      </c>
      <c r="B5402" s="16" t="s">
        <v>3084</v>
      </c>
      <c r="C5402" s="17" t="s">
        <v>19</v>
      </c>
      <c r="D5402" s="18" t="s">
        <v>3095</v>
      </c>
      <c r="E5402" s="18">
        <v>5</v>
      </c>
      <c r="F5402" s="18" t="s">
        <v>2678</v>
      </c>
      <c r="G5402" s="18" t="s">
        <v>775</v>
      </c>
      <c r="H5402" s="18" t="s">
        <v>23</v>
      </c>
      <c r="I5402" s="19">
        <v>530.87</v>
      </c>
      <c r="J5402" s="40">
        <f t="shared" si="168"/>
        <v>2654.35</v>
      </c>
      <c r="K5402" s="106"/>
      <c r="L5402" s="114"/>
      <c r="M5402" s="114">
        <f>tblAquisições[[#This Row],[VALOR UNITARIO COMPRADO]]*tblAquisições[[#This Row],[QUANTIDADE COMPRADA]]</f>
        <v>0</v>
      </c>
      <c r="N5402" s="110">
        <f>K5402-tblAquisições[[#This Row],[QUANTIDADE PLANEJADA]]</f>
        <v>-5</v>
      </c>
      <c r="O5402" s="106" t="str">
        <f t="shared" si="169"/>
        <v>Faltando Comprar</v>
      </c>
    </row>
    <row r="5403" spans="1:15" ht="47.25">
      <c r="A5403" s="16" t="s">
        <v>3077</v>
      </c>
      <c r="B5403" s="16" t="s">
        <v>3084</v>
      </c>
      <c r="C5403" s="17" t="s">
        <v>19</v>
      </c>
      <c r="D5403" s="18" t="s">
        <v>3096</v>
      </c>
      <c r="E5403" s="18">
        <v>10</v>
      </c>
      <c r="F5403" s="18" t="s">
        <v>96</v>
      </c>
      <c r="G5403" s="18" t="s">
        <v>39</v>
      </c>
      <c r="H5403" s="18" t="s">
        <v>23</v>
      </c>
      <c r="I5403" s="19">
        <v>20.53</v>
      </c>
      <c r="J5403" s="40">
        <f t="shared" si="168"/>
        <v>205.3</v>
      </c>
      <c r="K5403" s="106"/>
      <c r="L5403" s="114"/>
      <c r="M5403" s="114">
        <f>tblAquisições[[#This Row],[VALOR UNITARIO COMPRADO]]*tblAquisições[[#This Row],[QUANTIDADE COMPRADA]]</f>
        <v>0</v>
      </c>
      <c r="N5403" s="110">
        <f>K5403-tblAquisições[[#This Row],[QUANTIDADE PLANEJADA]]</f>
        <v>-10</v>
      </c>
      <c r="O5403" s="106" t="str">
        <f t="shared" si="169"/>
        <v>Faltando Comprar</v>
      </c>
    </row>
    <row r="5404" spans="1:15" ht="47.25">
      <c r="A5404" s="16" t="s">
        <v>3077</v>
      </c>
      <c r="B5404" s="16" t="s">
        <v>3084</v>
      </c>
      <c r="C5404" s="17" t="s">
        <v>19</v>
      </c>
      <c r="D5404" s="18" t="s">
        <v>237</v>
      </c>
      <c r="E5404" s="18">
        <v>50</v>
      </c>
      <c r="F5404" s="18" t="s">
        <v>191</v>
      </c>
      <c r="G5404" s="18" t="s">
        <v>39</v>
      </c>
      <c r="H5404" s="18" t="s">
        <v>23</v>
      </c>
      <c r="I5404" s="19">
        <v>15.54</v>
      </c>
      <c r="J5404" s="40">
        <f t="shared" si="168"/>
        <v>777</v>
      </c>
      <c r="K5404" s="106"/>
      <c r="L5404" s="114"/>
      <c r="M5404" s="114">
        <f>tblAquisições[[#This Row],[VALOR UNITARIO COMPRADO]]*tblAquisições[[#This Row],[QUANTIDADE COMPRADA]]</f>
        <v>0</v>
      </c>
      <c r="N5404" s="110">
        <f>K5404-tblAquisições[[#This Row],[QUANTIDADE PLANEJADA]]</f>
        <v>-50</v>
      </c>
      <c r="O5404" s="106" t="str">
        <f t="shared" si="169"/>
        <v>Faltando Comprar</v>
      </c>
    </row>
    <row r="5405" spans="1:15" ht="47.25">
      <c r="A5405" s="16" t="s">
        <v>3077</v>
      </c>
      <c r="B5405" s="16" t="s">
        <v>3077</v>
      </c>
      <c r="C5405" s="17" t="s">
        <v>19</v>
      </c>
      <c r="D5405" s="18" t="s">
        <v>2744</v>
      </c>
      <c r="E5405" s="18">
        <v>30</v>
      </c>
      <c r="F5405" s="18" t="s">
        <v>191</v>
      </c>
      <c r="G5405" s="18" t="s">
        <v>39</v>
      </c>
      <c r="H5405" s="18" t="s">
        <v>23</v>
      </c>
      <c r="I5405" s="19">
        <v>37.049999999999997</v>
      </c>
      <c r="J5405" s="40">
        <f t="shared" si="168"/>
        <v>1111.5</v>
      </c>
      <c r="K5405" s="106"/>
      <c r="L5405" s="114"/>
      <c r="M5405" s="114">
        <f>tblAquisições[[#This Row],[VALOR UNITARIO COMPRADO]]*tblAquisições[[#This Row],[QUANTIDADE COMPRADA]]</f>
        <v>0</v>
      </c>
      <c r="N5405" s="110">
        <f>K5405-tblAquisições[[#This Row],[QUANTIDADE PLANEJADA]]</f>
        <v>-30</v>
      </c>
      <c r="O5405" s="106" t="str">
        <f t="shared" si="169"/>
        <v>Faltando Comprar</v>
      </c>
    </row>
    <row r="5406" spans="1:15" ht="47.25">
      <c r="A5406" s="16" t="s">
        <v>3077</v>
      </c>
      <c r="B5406" s="16" t="s">
        <v>3083</v>
      </c>
      <c r="C5406" s="17" t="s">
        <v>19</v>
      </c>
      <c r="D5406" s="18" t="s">
        <v>2744</v>
      </c>
      <c r="E5406" s="18">
        <v>36</v>
      </c>
      <c r="F5406" s="18" t="s">
        <v>191</v>
      </c>
      <c r="G5406" s="18" t="s">
        <v>39</v>
      </c>
      <c r="H5406" s="18" t="s">
        <v>23</v>
      </c>
      <c r="I5406" s="19">
        <v>37.049999999999997</v>
      </c>
      <c r="J5406" s="40">
        <f t="shared" si="168"/>
        <v>1333.8</v>
      </c>
      <c r="K5406" s="106"/>
      <c r="L5406" s="114"/>
      <c r="M5406" s="114">
        <f>tblAquisições[[#This Row],[VALOR UNITARIO COMPRADO]]*tblAquisições[[#This Row],[QUANTIDADE COMPRADA]]</f>
        <v>0</v>
      </c>
      <c r="N5406" s="110">
        <f>K5406-tblAquisições[[#This Row],[QUANTIDADE PLANEJADA]]</f>
        <v>-36</v>
      </c>
      <c r="O5406" s="106" t="str">
        <f t="shared" si="169"/>
        <v>Faltando Comprar</v>
      </c>
    </row>
    <row r="5407" spans="1:15" ht="47.25">
      <c r="A5407" s="16" t="s">
        <v>3077</v>
      </c>
      <c r="B5407" s="16" t="s">
        <v>3084</v>
      </c>
      <c r="C5407" s="17" t="s">
        <v>19</v>
      </c>
      <c r="D5407" s="18" t="s">
        <v>2744</v>
      </c>
      <c r="E5407" s="18">
        <v>50</v>
      </c>
      <c r="F5407" s="18" t="s">
        <v>191</v>
      </c>
      <c r="G5407" s="18" t="s">
        <v>39</v>
      </c>
      <c r="H5407" s="18" t="s">
        <v>23</v>
      </c>
      <c r="I5407" s="19">
        <v>37.049999999999997</v>
      </c>
      <c r="J5407" s="40">
        <f t="shared" si="168"/>
        <v>1852.4999999999998</v>
      </c>
      <c r="K5407" s="106"/>
      <c r="L5407" s="114"/>
      <c r="M5407" s="114">
        <f>tblAquisições[[#This Row],[VALOR UNITARIO COMPRADO]]*tblAquisições[[#This Row],[QUANTIDADE COMPRADA]]</f>
        <v>0</v>
      </c>
      <c r="N5407" s="110">
        <f>K5407-tblAquisições[[#This Row],[QUANTIDADE PLANEJADA]]</f>
        <v>-50</v>
      </c>
      <c r="O5407" s="106" t="str">
        <f t="shared" si="169"/>
        <v>Faltando Comprar</v>
      </c>
    </row>
    <row r="5408" spans="1:15" ht="31.5">
      <c r="A5408" s="16" t="s">
        <v>3077</v>
      </c>
      <c r="B5408" s="16" t="s">
        <v>3083</v>
      </c>
      <c r="C5408" s="17" t="s">
        <v>19</v>
      </c>
      <c r="D5408" s="18" t="s">
        <v>3097</v>
      </c>
      <c r="E5408" s="18">
        <v>6</v>
      </c>
      <c r="F5408" s="18" t="s">
        <v>82</v>
      </c>
      <c r="G5408" s="18" t="s">
        <v>39</v>
      </c>
      <c r="H5408" s="18" t="s">
        <v>23</v>
      </c>
      <c r="I5408" s="19">
        <v>665</v>
      </c>
      <c r="J5408" s="40">
        <f t="shared" si="168"/>
        <v>3990</v>
      </c>
      <c r="K5408" s="106"/>
      <c r="L5408" s="114"/>
      <c r="M5408" s="114">
        <f>tblAquisições[[#This Row],[VALOR UNITARIO COMPRADO]]*tblAquisições[[#This Row],[QUANTIDADE COMPRADA]]</f>
        <v>0</v>
      </c>
      <c r="N5408" s="110">
        <f>K5408-tblAquisições[[#This Row],[QUANTIDADE PLANEJADA]]</f>
        <v>-6</v>
      </c>
      <c r="O5408" s="106" t="str">
        <f t="shared" si="169"/>
        <v>Faltando Comprar</v>
      </c>
    </row>
    <row r="5409" spans="1:15" ht="31.5">
      <c r="A5409" s="16" t="s">
        <v>3077</v>
      </c>
      <c r="B5409" s="16" t="s">
        <v>3078</v>
      </c>
      <c r="C5409" s="17" t="s">
        <v>19</v>
      </c>
      <c r="D5409" s="18" t="s">
        <v>343</v>
      </c>
      <c r="E5409" s="18">
        <v>3</v>
      </c>
      <c r="F5409" s="18" t="s">
        <v>21</v>
      </c>
      <c r="G5409" s="18" t="s">
        <v>22</v>
      </c>
      <c r="H5409" s="18" t="s">
        <v>23</v>
      </c>
      <c r="I5409" s="19">
        <v>24.63</v>
      </c>
      <c r="J5409" s="40">
        <f t="shared" si="168"/>
        <v>73.89</v>
      </c>
      <c r="K5409" s="106"/>
      <c r="L5409" s="114"/>
      <c r="M5409" s="114">
        <f>tblAquisições[[#This Row],[VALOR UNITARIO COMPRADO]]*tblAquisições[[#This Row],[QUANTIDADE COMPRADA]]</f>
        <v>0</v>
      </c>
      <c r="N5409" s="110">
        <f>K5409-tblAquisições[[#This Row],[QUANTIDADE PLANEJADA]]</f>
        <v>-3</v>
      </c>
      <c r="O5409" s="106" t="str">
        <f t="shared" si="169"/>
        <v>Faltando Comprar</v>
      </c>
    </row>
    <row r="5410" spans="1:15" ht="31.5">
      <c r="A5410" s="16" t="s">
        <v>3077</v>
      </c>
      <c r="B5410" s="16" t="s">
        <v>3080</v>
      </c>
      <c r="C5410" s="17" t="s">
        <v>19</v>
      </c>
      <c r="D5410" s="18" t="s">
        <v>343</v>
      </c>
      <c r="E5410" s="18">
        <v>10</v>
      </c>
      <c r="F5410" s="18" t="s">
        <v>21</v>
      </c>
      <c r="G5410" s="18" t="s">
        <v>22</v>
      </c>
      <c r="H5410" s="18" t="s">
        <v>23</v>
      </c>
      <c r="I5410" s="19">
        <v>24.63</v>
      </c>
      <c r="J5410" s="40">
        <f t="shared" si="168"/>
        <v>246.29999999999998</v>
      </c>
      <c r="K5410" s="106"/>
      <c r="L5410" s="114"/>
      <c r="M5410" s="114">
        <f>tblAquisições[[#This Row],[VALOR UNITARIO COMPRADO]]*tblAquisições[[#This Row],[QUANTIDADE COMPRADA]]</f>
        <v>0</v>
      </c>
      <c r="N5410" s="110">
        <f>K5410-tblAquisições[[#This Row],[QUANTIDADE PLANEJADA]]</f>
        <v>-10</v>
      </c>
      <c r="O5410" s="106" t="str">
        <f t="shared" si="169"/>
        <v>Faltando Comprar</v>
      </c>
    </row>
    <row r="5411" spans="1:15" ht="47.25">
      <c r="A5411" s="16" t="s">
        <v>3077</v>
      </c>
      <c r="B5411" s="16" t="s">
        <v>3077</v>
      </c>
      <c r="C5411" s="17" t="s">
        <v>19</v>
      </c>
      <c r="D5411" s="18" t="s">
        <v>2749</v>
      </c>
      <c r="E5411" s="18">
        <v>20</v>
      </c>
      <c r="F5411" s="18" t="s">
        <v>2750</v>
      </c>
      <c r="G5411" s="18" t="s">
        <v>39</v>
      </c>
      <c r="H5411" s="18" t="s">
        <v>23</v>
      </c>
      <c r="I5411" s="19">
        <v>1.57</v>
      </c>
      <c r="J5411" s="40">
        <f t="shared" si="168"/>
        <v>31.400000000000002</v>
      </c>
      <c r="K5411" s="106"/>
      <c r="L5411" s="114"/>
      <c r="M5411" s="114">
        <f>tblAquisições[[#This Row],[VALOR UNITARIO COMPRADO]]*tblAquisições[[#This Row],[QUANTIDADE COMPRADA]]</f>
        <v>0</v>
      </c>
      <c r="N5411" s="110">
        <f>K5411-tblAquisições[[#This Row],[QUANTIDADE PLANEJADA]]</f>
        <v>-20</v>
      </c>
      <c r="O5411" s="106" t="str">
        <f t="shared" si="169"/>
        <v>Faltando Comprar</v>
      </c>
    </row>
    <row r="5412" spans="1:15" ht="47.25">
      <c r="A5412" s="16" t="s">
        <v>3077</v>
      </c>
      <c r="B5412" s="16" t="s">
        <v>3083</v>
      </c>
      <c r="C5412" s="17" t="s">
        <v>19</v>
      </c>
      <c r="D5412" s="18" t="s">
        <v>2749</v>
      </c>
      <c r="E5412" s="18">
        <v>30</v>
      </c>
      <c r="F5412" s="18" t="s">
        <v>2750</v>
      </c>
      <c r="G5412" s="18" t="s">
        <v>39</v>
      </c>
      <c r="H5412" s="18" t="s">
        <v>23</v>
      </c>
      <c r="I5412" s="19">
        <v>1.57</v>
      </c>
      <c r="J5412" s="40">
        <f t="shared" si="168"/>
        <v>47.1</v>
      </c>
      <c r="K5412" s="106"/>
      <c r="L5412" s="114"/>
      <c r="M5412" s="114">
        <f>tblAquisições[[#This Row],[VALOR UNITARIO COMPRADO]]*tblAquisições[[#This Row],[QUANTIDADE COMPRADA]]</f>
        <v>0</v>
      </c>
      <c r="N5412" s="110">
        <f>K5412-tblAquisições[[#This Row],[QUANTIDADE PLANEJADA]]</f>
        <v>-30</v>
      </c>
      <c r="O5412" s="106" t="str">
        <f t="shared" si="169"/>
        <v>Faltando Comprar</v>
      </c>
    </row>
    <row r="5413" spans="1:15" ht="47.25">
      <c r="A5413" s="16" t="s">
        <v>3077</v>
      </c>
      <c r="B5413" s="16" t="s">
        <v>3080</v>
      </c>
      <c r="C5413" s="17" t="s">
        <v>19</v>
      </c>
      <c r="D5413" s="18" t="s">
        <v>344</v>
      </c>
      <c r="E5413" s="18">
        <v>2</v>
      </c>
      <c r="F5413" s="18" t="s">
        <v>313</v>
      </c>
      <c r="G5413" s="18" t="s">
        <v>22</v>
      </c>
      <c r="H5413" s="18" t="s">
        <v>65</v>
      </c>
      <c r="I5413" s="24">
        <v>35.1</v>
      </c>
      <c r="J5413" s="40">
        <f t="shared" si="168"/>
        <v>70.2</v>
      </c>
      <c r="K5413" s="106"/>
      <c r="L5413" s="114"/>
      <c r="M5413" s="114">
        <f>tblAquisições[[#This Row],[VALOR UNITARIO COMPRADO]]*tblAquisições[[#This Row],[QUANTIDADE COMPRADA]]</f>
        <v>0</v>
      </c>
      <c r="N5413" s="110">
        <f>K5413-tblAquisições[[#This Row],[QUANTIDADE PLANEJADA]]</f>
        <v>-2</v>
      </c>
      <c r="O5413" s="106" t="str">
        <f t="shared" si="169"/>
        <v>Faltando Comprar</v>
      </c>
    </row>
    <row r="5414" spans="1:15" ht="47.25">
      <c r="A5414" s="16" t="s">
        <v>3077</v>
      </c>
      <c r="B5414" s="16" t="s">
        <v>3083</v>
      </c>
      <c r="C5414" s="17" t="s">
        <v>19</v>
      </c>
      <c r="D5414" s="18" t="s">
        <v>3098</v>
      </c>
      <c r="E5414" s="18">
        <v>24</v>
      </c>
      <c r="F5414" s="18" t="s">
        <v>96</v>
      </c>
      <c r="G5414" s="18" t="s">
        <v>39</v>
      </c>
      <c r="H5414" s="18" t="s">
        <v>23</v>
      </c>
      <c r="I5414" s="19">
        <v>28.79</v>
      </c>
      <c r="J5414" s="40">
        <f t="shared" si="168"/>
        <v>690.96</v>
      </c>
      <c r="K5414" s="106"/>
      <c r="L5414" s="114"/>
      <c r="M5414" s="114">
        <f>tblAquisições[[#This Row],[VALOR UNITARIO COMPRADO]]*tblAquisições[[#This Row],[QUANTIDADE COMPRADA]]</f>
        <v>0</v>
      </c>
      <c r="N5414" s="110">
        <f>K5414-tblAquisições[[#This Row],[QUANTIDADE PLANEJADA]]</f>
        <v>-24</v>
      </c>
      <c r="O5414" s="106" t="str">
        <f t="shared" si="169"/>
        <v>Faltando Comprar</v>
      </c>
    </row>
    <row r="5415" spans="1:15" ht="31.5">
      <c r="A5415" s="16" t="s">
        <v>3077</v>
      </c>
      <c r="B5415" s="16" t="s">
        <v>3080</v>
      </c>
      <c r="C5415" s="17" t="s">
        <v>19</v>
      </c>
      <c r="D5415" s="18" t="s">
        <v>3099</v>
      </c>
      <c r="E5415" s="18">
        <v>16</v>
      </c>
      <c r="F5415" s="18" t="s">
        <v>21</v>
      </c>
      <c r="G5415" s="18" t="s">
        <v>22</v>
      </c>
      <c r="H5415" s="18" t="s">
        <v>23</v>
      </c>
      <c r="I5415" s="19">
        <v>11.99</v>
      </c>
      <c r="J5415" s="40">
        <f t="shared" si="168"/>
        <v>191.84</v>
      </c>
      <c r="K5415" s="106"/>
      <c r="L5415" s="114"/>
      <c r="M5415" s="114">
        <f>tblAquisições[[#This Row],[VALOR UNITARIO COMPRADO]]*tblAquisições[[#This Row],[QUANTIDADE COMPRADA]]</f>
        <v>0</v>
      </c>
      <c r="N5415" s="110">
        <f>K5415-tblAquisições[[#This Row],[QUANTIDADE PLANEJADA]]</f>
        <v>-16</v>
      </c>
      <c r="O5415" s="106" t="str">
        <f t="shared" si="169"/>
        <v>Faltando Comprar</v>
      </c>
    </row>
    <row r="5416" spans="1:15" ht="47.25">
      <c r="A5416" s="16" t="s">
        <v>3077</v>
      </c>
      <c r="B5416" s="16" t="s">
        <v>3083</v>
      </c>
      <c r="C5416" s="17" t="s">
        <v>19</v>
      </c>
      <c r="D5416" s="18" t="s">
        <v>2757</v>
      </c>
      <c r="E5416" s="18">
        <v>12</v>
      </c>
      <c r="F5416" s="18" t="s">
        <v>2750</v>
      </c>
      <c r="G5416" s="18" t="s">
        <v>39</v>
      </c>
      <c r="H5416" s="18" t="s">
        <v>23</v>
      </c>
      <c r="I5416" s="19">
        <v>14.16</v>
      </c>
      <c r="J5416" s="40">
        <f t="shared" si="168"/>
        <v>169.92000000000002</v>
      </c>
      <c r="K5416" s="106"/>
      <c r="L5416" s="114"/>
      <c r="M5416" s="114">
        <f>tblAquisições[[#This Row],[VALOR UNITARIO COMPRADO]]*tblAquisições[[#This Row],[QUANTIDADE COMPRADA]]</f>
        <v>0</v>
      </c>
      <c r="N5416" s="110">
        <f>K5416-tblAquisições[[#This Row],[QUANTIDADE PLANEJADA]]</f>
        <v>-12</v>
      </c>
      <c r="O5416" s="106" t="str">
        <f t="shared" si="169"/>
        <v>Faltando Comprar</v>
      </c>
    </row>
    <row r="5417" spans="1:15" ht="47.25">
      <c r="A5417" s="16" t="s">
        <v>3077</v>
      </c>
      <c r="B5417" s="16" t="s">
        <v>3080</v>
      </c>
      <c r="C5417" s="17" t="s">
        <v>19</v>
      </c>
      <c r="D5417" s="18" t="s">
        <v>431</v>
      </c>
      <c r="E5417" s="18">
        <v>6</v>
      </c>
      <c r="F5417" s="18" t="s">
        <v>313</v>
      </c>
      <c r="G5417" s="18" t="s">
        <v>22</v>
      </c>
      <c r="H5417" s="18" t="s">
        <v>65</v>
      </c>
      <c r="I5417" s="19">
        <v>14.16</v>
      </c>
      <c r="J5417" s="40">
        <f t="shared" si="168"/>
        <v>84.960000000000008</v>
      </c>
      <c r="K5417" s="106"/>
      <c r="L5417" s="114"/>
      <c r="M5417" s="114">
        <f>tblAquisições[[#This Row],[VALOR UNITARIO COMPRADO]]*tblAquisições[[#This Row],[QUANTIDADE COMPRADA]]</f>
        <v>0</v>
      </c>
      <c r="N5417" s="110">
        <f>K5417-tblAquisições[[#This Row],[QUANTIDADE PLANEJADA]]</f>
        <v>-6</v>
      </c>
      <c r="O5417" s="106" t="str">
        <f t="shared" si="169"/>
        <v>Faltando Comprar</v>
      </c>
    </row>
    <row r="5418" spans="1:15" ht="47.25">
      <c r="A5418" s="16" t="s">
        <v>3077</v>
      </c>
      <c r="B5418" s="16" t="s">
        <v>3077</v>
      </c>
      <c r="C5418" s="17" t="s">
        <v>19</v>
      </c>
      <c r="D5418" s="18" t="s">
        <v>2928</v>
      </c>
      <c r="E5418" s="18">
        <v>6</v>
      </c>
      <c r="F5418" s="18" t="s">
        <v>96</v>
      </c>
      <c r="G5418" s="18" t="s">
        <v>39</v>
      </c>
      <c r="H5418" s="18" t="s">
        <v>23</v>
      </c>
      <c r="I5418" s="19">
        <v>12.5</v>
      </c>
      <c r="J5418" s="40">
        <f t="shared" si="168"/>
        <v>75</v>
      </c>
      <c r="K5418" s="106"/>
      <c r="L5418" s="114"/>
      <c r="M5418" s="114">
        <f>tblAquisições[[#This Row],[VALOR UNITARIO COMPRADO]]*tblAquisições[[#This Row],[QUANTIDADE COMPRADA]]</f>
        <v>0</v>
      </c>
      <c r="N5418" s="110">
        <f>K5418-tblAquisições[[#This Row],[QUANTIDADE PLANEJADA]]</f>
        <v>-6</v>
      </c>
      <c r="O5418" s="106" t="str">
        <f t="shared" si="169"/>
        <v>Faltando Comprar</v>
      </c>
    </row>
    <row r="5419" spans="1:15" ht="47.25">
      <c r="A5419" s="16" t="s">
        <v>3077</v>
      </c>
      <c r="B5419" s="16" t="s">
        <v>3083</v>
      </c>
      <c r="C5419" s="17" t="s">
        <v>19</v>
      </c>
      <c r="D5419" s="18" t="s">
        <v>2928</v>
      </c>
      <c r="E5419" s="18">
        <v>6</v>
      </c>
      <c r="F5419" s="18" t="s">
        <v>96</v>
      </c>
      <c r="G5419" s="18" t="s">
        <v>39</v>
      </c>
      <c r="H5419" s="18" t="s">
        <v>23</v>
      </c>
      <c r="I5419" s="19">
        <v>12.5</v>
      </c>
      <c r="J5419" s="40">
        <f t="shared" si="168"/>
        <v>75</v>
      </c>
      <c r="K5419" s="106"/>
      <c r="L5419" s="114"/>
      <c r="M5419" s="114">
        <f>tblAquisições[[#This Row],[VALOR UNITARIO COMPRADO]]*tblAquisições[[#This Row],[QUANTIDADE COMPRADA]]</f>
        <v>0</v>
      </c>
      <c r="N5419" s="110">
        <f>K5419-tblAquisições[[#This Row],[QUANTIDADE PLANEJADA]]</f>
        <v>-6</v>
      </c>
      <c r="O5419" s="106" t="str">
        <f t="shared" si="169"/>
        <v>Faltando Comprar</v>
      </c>
    </row>
    <row r="5420" spans="1:15" ht="47.25">
      <c r="A5420" s="16" t="s">
        <v>3077</v>
      </c>
      <c r="B5420" s="16" t="s">
        <v>3077</v>
      </c>
      <c r="C5420" s="17" t="s">
        <v>19</v>
      </c>
      <c r="D5420" s="18" t="s">
        <v>464</v>
      </c>
      <c r="E5420" s="18">
        <v>2</v>
      </c>
      <c r="F5420" s="18" t="s">
        <v>96</v>
      </c>
      <c r="G5420" s="18" t="s">
        <v>39</v>
      </c>
      <c r="H5420" s="18" t="s">
        <v>65</v>
      </c>
      <c r="I5420" s="24">
        <v>301.66000000000003</v>
      </c>
      <c r="J5420" s="40">
        <f t="shared" si="168"/>
        <v>603.32000000000005</v>
      </c>
      <c r="K5420" s="106"/>
      <c r="L5420" s="114"/>
      <c r="M5420" s="114">
        <f>tblAquisições[[#This Row],[VALOR UNITARIO COMPRADO]]*tblAquisições[[#This Row],[QUANTIDADE COMPRADA]]</f>
        <v>0</v>
      </c>
      <c r="N5420" s="110">
        <f>K5420-tblAquisições[[#This Row],[QUANTIDADE PLANEJADA]]</f>
        <v>-2</v>
      </c>
      <c r="O5420" s="106" t="str">
        <f t="shared" si="169"/>
        <v>Faltando Comprar</v>
      </c>
    </row>
    <row r="5421" spans="1:15" ht="47.25">
      <c r="A5421" s="16" t="s">
        <v>3077</v>
      </c>
      <c r="B5421" s="16" t="s">
        <v>3083</v>
      </c>
      <c r="C5421" s="17" t="s">
        <v>19</v>
      </c>
      <c r="D5421" s="18" t="s">
        <v>464</v>
      </c>
      <c r="E5421" s="18">
        <v>3</v>
      </c>
      <c r="F5421" s="18" t="s">
        <v>96</v>
      </c>
      <c r="G5421" s="18" t="s">
        <v>39</v>
      </c>
      <c r="H5421" s="18" t="s">
        <v>65</v>
      </c>
      <c r="I5421" s="24">
        <v>301.66000000000003</v>
      </c>
      <c r="J5421" s="40">
        <f t="shared" si="168"/>
        <v>904.98</v>
      </c>
      <c r="K5421" s="106"/>
      <c r="L5421" s="114"/>
      <c r="M5421" s="114">
        <f>tblAquisições[[#This Row],[VALOR UNITARIO COMPRADO]]*tblAquisições[[#This Row],[QUANTIDADE COMPRADA]]</f>
        <v>0</v>
      </c>
      <c r="N5421" s="110">
        <f>K5421-tblAquisições[[#This Row],[QUANTIDADE PLANEJADA]]</f>
        <v>-3</v>
      </c>
      <c r="O5421" s="106" t="str">
        <f t="shared" si="169"/>
        <v>Faltando Comprar</v>
      </c>
    </row>
    <row r="5422" spans="1:15" ht="47.25">
      <c r="A5422" s="16" t="s">
        <v>3077</v>
      </c>
      <c r="B5422" s="16" t="s">
        <v>3084</v>
      </c>
      <c r="C5422" s="17" t="s">
        <v>19</v>
      </c>
      <c r="D5422" s="18" t="s">
        <v>464</v>
      </c>
      <c r="E5422" s="18">
        <v>3</v>
      </c>
      <c r="F5422" s="18" t="s">
        <v>96</v>
      </c>
      <c r="G5422" s="18" t="s">
        <v>39</v>
      </c>
      <c r="H5422" s="18" t="s">
        <v>65</v>
      </c>
      <c r="I5422" s="24">
        <v>301.66000000000003</v>
      </c>
      <c r="J5422" s="40">
        <f t="shared" si="168"/>
        <v>904.98</v>
      </c>
      <c r="K5422" s="106"/>
      <c r="L5422" s="114"/>
      <c r="M5422" s="114">
        <f>tblAquisições[[#This Row],[VALOR UNITARIO COMPRADO]]*tblAquisições[[#This Row],[QUANTIDADE COMPRADA]]</f>
        <v>0</v>
      </c>
      <c r="N5422" s="110">
        <f>K5422-tblAquisições[[#This Row],[QUANTIDADE PLANEJADA]]</f>
        <v>-3</v>
      </c>
      <c r="O5422" s="106" t="str">
        <f t="shared" si="169"/>
        <v>Faltando Comprar</v>
      </c>
    </row>
    <row r="5423" spans="1:15" ht="47.25">
      <c r="A5423" s="16" t="s">
        <v>3077</v>
      </c>
      <c r="B5423" s="16" t="s">
        <v>3080</v>
      </c>
      <c r="C5423" s="17" t="s">
        <v>19</v>
      </c>
      <c r="D5423" s="18" t="s">
        <v>465</v>
      </c>
      <c r="E5423" s="18">
        <v>6</v>
      </c>
      <c r="F5423" s="18" t="s">
        <v>58</v>
      </c>
      <c r="G5423" s="18" t="s">
        <v>22</v>
      </c>
      <c r="H5423" s="18" t="s">
        <v>65</v>
      </c>
      <c r="I5423" s="24">
        <v>301.66000000000003</v>
      </c>
      <c r="J5423" s="40">
        <f t="shared" si="168"/>
        <v>1809.96</v>
      </c>
      <c r="K5423" s="106"/>
      <c r="L5423" s="114"/>
      <c r="M5423" s="114">
        <f>tblAquisições[[#This Row],[VALOR UNITARIO COMPRADO]]*tblAquisições[[#This Row],[QUANTIDADE COMPRADA]]</f>
        <v>0</v>
      </c>
      <c r="N5423" s="110">
        <f>K5423-tblAquisições[[#This Row],[QUANTIDADE PLANEJADA]]</f>
        <v>-6</v>
      </c>
      <c r="O5423" s="106" t="str">
        <f t="shared" si="169"/>
        <v>Faltando Comprar</v>
      </c>
    </row>
    <row r="5424" spans="1:15" ht="47.25">
      <c r="A5424" s="16" t="s">
        <v>3077</v>
      </c>
      <c r="B5424" s="16" t="s">
        <v>3084</v>
      </c>
      <c r="C5424" s="17" t="s">
        <v>19</v>
      </c>
      <c r="D5424" s="18" t="s">
        <v>3100</v>
      </c>
      <c r="E5424" s="18">
        <v>10</v>
      </c>
      <c r="F5424" s="18" t="s">
        <v>96</v>
      </c>
      <c r="G5424" s="18" t="s">
        <v>39</v>
      </c>
      <c r="H5424" s="18" t="s">
        <v>65</v>
      </c>
      <c r="I5424" s="24">
        <v>25.31</v>
      </c>
      <c r="J5424" s="40">
        <f t="shared" si="168"/>
        <v>253.1</v>
      </c>
      <c r="K5424" s="106"/>
      <c r="L5424" s="114"/>
      <c r="M5424" s="114">
        <f>tblAquisições[[#This Row],[VALOR UNITARIO COMPRADO]]*tblAquisições[[#This Row],[QUANTIDADE COMPRADA]]</f>
        <v>0</v>
      </c>
      <c r="N5424" s="110">
        <f>K5424-tblAquisições[[#This Row],[QUANTIDADE PLANEJADA]]</f>
        <v>-10</v>
      </c>
      <c r="O5424" s="106" t="str">
        <f t="shared" si="169"/>
        <v>Faltando Comprar</v>
      </c>
    </row>
    <row r="5425" spans="1:15" ht="47.25">
      <c r="A5425" s="16" t="s">
        <v>3077</v>
      </c>
      <c r="B5425" s="16" t="s">
        <v>3084</v>
      </c>
      <c r="C5425" s="17" t="s">
        <v>19</v>
      </c>
      <c r="D5425" s="18" t="s">
        <v>3101</v>
      </c>
      <c r="E5425" s="18">
        <v>10</v>
      </c>
      <c r="F5425" s="18" t="s">
        <v>96</v>
      </c>
      <c r="G5425" s="18" t="s">
        <v>39</v>
      </c>
      <c r="H5425" s="18" t="s">
        <v>65</v>
      </c>
      <c r="I5425" s="24">
        <v>25.31</v>
      </c>
      <c r="J5425" s="40">
        <f t="shared" si="168"/>
        <v>253.1</v>
      </c>
      <c r="K5425" s="106"/>
      <c r="L5425" s="114"/>
      <c r="M5425" s="114">
        <f>tblAquisições[[#This Row],[VALOR UNITARIO COMPRADO]]*tblAquisições[[#This Row],[QUANTIDADE COMPRADA]]</f>
        <v>0</v>
      </c>
      <c r="N5425" s="110">
        <f>K5425-tblAquisições[[#This Row],[QUANTIDADE PLANEJADA]]</f>
        <v>-10</v>
      </c>
      <c r="O5425" s="106" t="str">
        <f t="shared" si="169"/>
        <v>Faltando Comprar</v>
      </c>
    </row>
    <row r="5426" spans="1:15" ht="47.25">
      <c r="A5426" s="16" t="s">
        <v>3077</v>
      </c>
      <c r="B5426" s="16" t="s">
        <v>3080</v>
      </c>
      <c r="C5426" s="17" t="s">
        <v>19</v>
      </c>
      <c r="D5426" s="18" t="s">
        <v>547</v>
      </c>
      <c r="E5426" s="18">
        <v>50</v>
      </c>
      <c r="F5426" s="18" t="s">
        <v>58</v>
      </c>
      <c r="G5426" s="18" t="s">
        <v>22</v>
      </c>
      <c r="H5426" s="18" t="s">
        <v>23</v>
      </c>
      <c r="I5426" s="19">
        <v>16.510000000000002</v>
      </c>
      <c r="J5426" s="40">
        <f t="shared" si="168"/>
        <v>825.50000000000011</v>
      </c>
      <c r="K5426" s="106"/>
      <c r="L5426" s="114"/>
      <c r="M5426" s="114">
        <f>tblAquisições[[#This Row],[VALOR UNITARIO COMPRADO]]*tblAquisições[[#This Row],[QUANTIDADE COMPRADA]]</f>
        <v>0</v>
      </c>
      <c r="N5426" s="110">
        <f>K5426-tblAquisições[[#This Row],[QUANTIDADE PLANEJADA]]</f>
        <v>-50</v>
      </c>
      <c r="O5426" s="106" t="str">
        <f t="shared" si="169"/>
        <v>Faltando Comprar</v>
      </c>
    </row>
    <row r="5427" spans="1:15" ht="31.5">
      <c r="A5427" s="16" t="s">
        <v>3077</v>
      </c>
      <c r="B5427" s="16" t="s">
        <v>3078</v>
      </c>
      <c r="C5427" s="17" t="s">
        <v>19</v>
      </c>
      <c r="D5427" s="18" t="s">
        <v>552</v>
      </c>
      <c r="E5427" s="18">
        <v>1</v>
      </c>
      <c r="F5427" s="18" t="s">
        <v>21</v>
      </c>
      <c r="G5427" s="18" t="s">
        <v>22</v>
      </c>
      <c r="H5427" s="18" t="s">
        <v>65</v>
      </c>
      <c r="I5427" s="24">
        <v>50.43</v>
      </c>
      <c r="J5427" s="40">
        <f t="shared" si="168"/>
        <v>50.43</v>
      </c>
      <c r="K5427" s="106"/>
      <c r="L5427" s="114"/>
      <c r="M5427" s="114">
        <f>tblAquisições[[#This Row],[VALOR UNITARIO COMPRADO]]*tblAquisições[[#This Row],[QUANTIDADE COMPRADA]]</f>
        <v>0</v>
      </c>
      <c r="N5427" s="110">
        <f>K5427-tblAquisições[[#This Row],[QUANTIDADE PLANEJADA]]</f>
        <v>-1</v>
      </c>
      <c r="O5427" s="106" t="str">
        <f t="shared" si="169"/>
        <v>Faltando Comprar</v>
      </c>
    </row>
    <row r="5428" spans="1:15" ht="47.25">
      <c r="A5428" s="16" t="s">
        <v>3077</v>
      </c>
      <c r="B5428" s="16" t="s">
        <v>3084</v>
      </c>
      <c r="C5428" s="17" t="s">
        <v>19</v>
      </c>
      <c r="D5428" s="18" t="s">
        <v>3102</v>
      </c>
      <c r="E5428" s="18">
        <v>10</v>
      </c>
      <c r="F5428" s="18" t="s">
        <v>96</v>
      </c>
      <c r="G5428" s="18" t="s">
        <v>39</v>
      </c>
      <c r="H5428" s="18" t="s">
        <v>23</v>
      </c>
      <c r="I5428" s="19">
        <v>22.33</v>
      </c>
      <c r="J5428" s="40">
        <f t="shared" si="168"/>
        <v>223.29999999999998</v>
      </c>
      <c r="K5428" s="106"/>
      <c r="L5428" s="114"/>
      <c r="M5428" s="114">
        <f>tblAquisições[[#This Row],[VALOR UNITARIO COMPRADO]]*tblAquisições[[#This Row],[QUANTIDADE COMPRADA]]</f>
        <v>0</v>
      </c>
      <c r="N5428" s="110">
        <f>K5428-tblAquisições[[#This Row],[QUANTIDADE PLANEJADA]]</f>
        <v>-10</v>
      </c>
      <c r="O5428" s="106" t="str">
        <f t="shared" si="169"/>
        <v>Faltando Comprar</v>
      </c>
    </row>
    <row r="5429" spans="1:15" ht="47.25">
      <c r="A5429" s="16" t="s">
        <v>3077</v>
      </c>
      <c r="B5429" s="16" t="s">
        <v>3084</v>
      </c>
      <c r="C5429" s="17" t="s">
        <v>19</v>
      </c>
      <c r="D5429" s="18" t="s">
        <v>3103</v>
      </c>
      <c r="E5429" s="18">
        <v>20</v>
      </c>
      <c r="F5429" s="18" t="s">
        <v>217</v>
      </c>
      <c r="G5429" s="18" t="s">
        <v>39</v>
      </c>
      <c r="H5429" s="18" t="s">
        <v>23</v>
      </c>
      <c r="I5429" s="19">
        <v>16.399999999999999</v>
      </c>
      <c r="J5429" s="40">
        <f t="shared" si="168"/>
        <v>328</v>
      </c>
      <c r="K5429" s="106"/>
      <c r="L5429" s="114"/>
      <c r="M5429" s="114">
        <f>tblAquisições[[#This Row],[VALOR UNITARIO COMPRADO]]*tblAquisições[[#This Row],[QUANTIDADE COMPRADA]]</f>
        <v>0</v>
      </c>
      <c r="N5429" s="110">
        <f>K5429-tblAquisições[[#This Row],[QUANTIDADE PLANEJADA]]</f>
        <v>-20</v>
      </c>
      <c r="O5429" s="106" t="str">
        <f t="shared" si="169"/>
        <v>Faltando Comprar</v>
      </c>
    </row>
    <row r="5430" spans="1:15" ht="47.25">
      <c r="A5430" s="16" t="s">
        <v>3077</v>
      </c>
      <c r="B5430" s="16" t="s">
        <v>3083</v>
      </c>
      <c r="C5430" s="17" t="s">
        <v>19</v>
      </c>
      <c r="D5430" s="18" t="s">
        <v>3104</v>
      </c>
      <c r="E5430" s="18">
        <v>12</v>
      </c>
      <c r="F5430" s="18" t="s">
        <v>96</v>
      </c>
      <c r="G5430" s="18" t="s">
        <v>39</v>
      </c>
      <c r="H5430" s="18" t="s">
        <v>23</v>
      </c>
      <c r="I5430" s="19">
        <v>66.959999999999994</v>
      </c>
      <c r="J5430" s="40">
        <f t="shared" si="168"/>
        <v>803.52</v>
      </c>
      <c r="K5430" s="106"/>
      <c r="L5430" s="114"/>
      <c r="M5430" s="114">
        <f>tblAquisições[[#This Row],[VALOR UNITARIO COMPRADO]]*tblAquisições[[#This Row],[QUANTIDADE COMPRADA]]</f>
        <v>0</v>
      </c>
      <c r="N5430" s="110">
        <f>K5430-tblAquisições[[#This Row],[QUANTIDADE PLANEJADA]]</f>
        <v>-12</v>
      </c>
      <c r="O5430" s="106" t="str">
        <f t="shared" si="169"/>
        <v>Faltando Comprar</v>
      </c>
    </row>
    <row r="5431" spans="1:15" ht="47.25">
      <c r="A5431" s="16" t="s">
        <v>3077</v>
      </c>
      <c r="B5431" s="16" t="s">
        <v>3084</v>
      </c>
      <c r="C5431" s="17" t="s">
        <v>19</v>
      </c>
      <c r="D5431" s="18" t="s">
        <v>3105</v>
      </c>
      <c r="E5431" s="18">
        <v>10</v>
      </c>
      <c r="F5431" s="18" t="s">
        <v>96</v>
      </c>
      <c r="G5431" s="18" t="s">
        <v>39</v>
      </c>
      <c r="H5431" s="18" t="s">
        <v>23</v>
      </c>
      <c r="I5431" s="19">
        <v>8.9600000000000009</v>
      </c>
      <c r="J5431" s="40">
        <f t="shared" si="168"/>
        <v>89.600000000000009</v>
      </c>
      <c r="K5431" s="106"/>
      <c r="L5431" s="114"/>
      <c r="M5431" s="114">
        <f>tblAquisições[[#This Row],[VALOR UNITARIO COMPRADO]]*tblAquisições[[#This Row],[QUANTIDADE COMPRADA]]</f>
        <v>0</v>
      </c>
      <c r="N5431" s="110">
        <f>K5431-tblAquisições[[#This Row],[QUANTIDADE PLANEJADA]]</f>
        <v>-10</v>
      </c>
      <c r="O5431" s="106" t="str">
        <f t="shared" si="169"/>
        <v>Faltando Comprar</v>
      </c>
    </row>
    <row r="5432" spans="1:15" ht="47.25">
      <c r="A5432" s="16" t="s">
        <v>3077</v>
      </c>
      <c r="B5432" s="16" t="s">
        <v>3084</v>
      </c>
      <c r="C5432" s="17" t="s">
        <v>19</v>
      </c>
      <c r="D5432" s="18" t="s">
        <v>2770</v>
      </c>
      <c r="E5432" s="18">
        <v>2</v>
      </c>
      <c r="F5432" s="18" t="s">
        <v>96</v>
      </c>
      <c r="G5432" s="18" t="s">
        <v>39</v>
      </c>
      <c r="H5432" s="18" t="s">
        <v>65</v>
      </c>
      <c r="I5432" s="24">
        <v>50</v>
      </c>
      <c r="J5432" s="40">
        <f t="shared" si="168"/>
        <v>100</v>
      </c>
      <c r="K5432" s="106"/>
      <c r="L5432" s="114"/>
      <c r="M5432" s="114">
        <f>tblAquisições[[#This Row],[VALOR UNITARIO COMPRADO]]*tblAquisições[[#This Row],[QUANTIDADE COMPRADA]]</f>
        <v>0</v>
      </c>
      <c r="N5432" s="110">
        <f>K5432-tblAquisições[[#This Row],[QUANTIDADE PLANEJADA]]</f>
        <v>-2</v>
      </c>
      <c r="O5432" s="106" t="str">
        <f t="shared" si="169"/>
        <v>Faltando Comprar</v>
      </c>
    </row>
    <row r="5433" spans="1:15" ht="31.5">
      <c r="A5433" s="16" t="s">
        <v>3077</v>
      </c>
      <c r="B5433" s="16" t="s">
        <v>3084</v>
      </c>
      <c r="C5433" s="17" t="s">
        <v>19</v>
      </c>
      <c r="D5433" s="18" t="s">
        <v>3106</v>
      </c>
      <c r="E5433" s="18">
        <v>5</v>
      </c>
      <c r="F5433" s="18" t="s">
        <v>82</v>
      </c>
      <c r="G5433" s="18" t="s">
        <v>39</v>
      </c>
      <c r="H5433" s="18" t="s">
        <v>23</v>
      </c>
      <c r="I5433" s="19">
        <v>55.89</v>
      </c>
      <c r="J5433" s="40">
        <f t="shared" si="168"/>
        <v>279.45</v>
      </c>
      <c r="K5433" s="106"/>
      <c r="L5433" s="114"/>
      <c r="M5433" s="114">
        <f>tblAquisições[[#This Row],[VALOR UNITARIO COMPRADO]]*tblAquisições[[#This Row],[QUANTIDADE COMPRADA]]</f>
        <v>0</v>
      </c>
      <c r="N5433" s="110">
        <f>K5433-tblAquisições[[#This Row],[QUANTIDADE PLANEJADA]]</f>
        <v>-5</v>
      </c>
      <c r="O5433" s="106" t="str">
        <f t="shared" si="169"/>
        <v>Faltando Comprar</v>
      </c>
    </row>
    <row r="5434" spans="1:15" ht="47.25">
      <c r="A5434" s="16" t="s">
        <v>3077</v>
      </c>
      <c r="B5434" s="16" t="s">
        <v>3080</v>
      </c>
      <c r="C5434" s="17" t="s">
        <v>19</v>
      </c>
      <c r="D5434" s="18" t="s">
        <v>644</v>
      </c>
      <c r="E5434" s="18">
        <v>2</v>
      </c>
      <c r="F5434" s="18" t="s">
        <v>78</v>
      </c>
      <c r="G5434" s="18" t="s">
        <v>22</v>
      </c>
      <c r="H5434" s="18" t="s">
        <v>275</v>
      </c>
      <c r="I5434" s="24">
        <v>13.71</v>
      </c>
      <c r="J5434" s="40">
        <f t="shared" si="168"/>
        <v>27.42</v>
      </c>
      <c r="K5434" s="106"/>
      <c r="L5434" s="114"/>
      <c r="M5434" s="114">
        <f>tblAquisições[[#This Row],[VALOR UNITARIO COMPRADO]]*tblAquisições[[#This Row],[QUANTIDADE COMPRADA]]</f>
        <v>0</v>
      </c>
      <c r="N5434" s="110">
        <f>K5434-tblAquisições[[#This Row],[QUANTIDADE PLANEJADA]]</f>
        <v>-2</v>
      </c>
      <c r="O5434" s="106" t="str">
        <f t="shared" si="169"/>
        <v>Faltando Comprar</v>
      </c>
    </row>
    <row r="5435" spans="1:15" ht="47.25">
      <c r="A5435" s="16" t="s">
        <v>3077</v>
      </c>
      <c r="B5435" s="16" t="s">
        <v>3084</v>
      </c>
      <c r="C5435" s="17" t="s">
        <v>19</v>
      </c>
      <c r="D5435" s="18" t="s">
        <v>2940</v>
      </c>
      <c r="E5435" s="18">
        <v>5</v>
      </c>
      <c r="F5435" s="18" t="s">
        <v>96</v>
      </c>
      <c r="G5435" s="18" t="s">
        <v>39</v>
      </c>
      <c r="H5435" s="18" t="s">
        <v>23</v>
      </c>
      <c r="I5435" s="19">
        <v>19.91</v>
      </c>
      <c r="J5435" s="40">
        <f t="shared" si="168"/>
        <v>99.55</v>
      </c>
      <c r="K5435" s="106"/>
      <c r="L5435" s="114"/>
      <c r="M5435" s="114">
        <f>tblAquisições[[#This Row],[VALOR UNITARIO COMPRADO]]*tblAquisições[[#This Row],[QUANTIDADE COMPRADA]]</f>
        <v>0</v>
      </c>
      <c r="N5435" s="110">
        <f>K5435-tblAquisições[[#This Row],[QUANTIDADE PLANEJADA]]</f>
        <v>-5</v>
      </c>
      <c r="O5435" s="106" t="str">
        <f t="shared" si="169"/>
        <v>Faltando Comprar</v>
      </c>
    </row>
    <row r="5436" spans="1:15" ht="47.25">
      <c r="A5436" s="16" t="s">
        <v>3077</v>
      </c>
      <c r="B5436" s="16" t="s">
        <v>3084</v>
      </c>
      <c r="C5436" s="17" t="s">
        <v>19</v>
      </c>
      <c r="D5436" s="18" t="s">
        <v>3107</v>
      </c>
      <c r="E5436" s="18">
        <v>120</v>
      </c>
      <c r="F5436" s="18" t="s">
        <v>96</v>
      </c>
      <c r="G5436" s="18" t="s">
        <v>39</v>
      </c>
      <c r="H5436" s="18" t="s">
        <v>23</v>
      </c>
      <c r="I5436" s="19">
        <v>65.06</v>
      </c>
      <c r="J5436" s="40">
        <f t="shared" si="168"/>
        <v>7807.2000000000007</v>
      </c>
      <c r="K5436" s="106"/>
      <c r="L5436" s="114"/>
      <c r="M5436" s="114">
        <f>tblAquisições[[#This Row],[VALOR UNITARIO COMPRADO]]*tblAquisições[[#This Row],[QUANTIDADE COMPRADA]]</f>
        <v>0</v>
      </c>
      <c r="N5436" s="110">
        <f>K5436-tblAquisições[[#This Row],[QUANTIDADE PLANEJADA]]</f>
        <v>-120</v>
      </c>
      <c r="O5436" s="106" t="str">
        <f t="shared" si="169"/>
        <v>Faltando Comprar</v>
      </c>
    </row>
    <row r="5437" spans="1:15" ht="47.25">
      <c r="A5437" s="16" t="s">
        <v>3077</v>
      </c>
      <c r="B5437" s="16" t="s">
        <v>3084</v>
      </c>
      <c r="C5437" s="17" t="s">
        <v>19</v>
      </c>
      <c r="D5437" s="18" t="s">
        <v>3108</v>
      </c>
      <c r="E5437" s="18">
        <v>1000</v>
      </c>
      <c r="F5437" s="18" t="s">
        <v>96</v>
      </c>
      <c r="G5437" s="18" t="s">
        <v>39</v>
      </c>
      <c r="H5437" s="18" t="s">
        <v>23</v>
      </c>
      <c r="I5437" s="19">
        <v>3.32</v>
      </c>
      <c r="J5437" s="40">
        <f t="shared" si="168"/>
        <v>3320</v>
      </c>
      <c r="K5437" s="106"/>
      <c r="L5437" s="114"/>
      <c r="M5437" s="114">
        <f>tblAquisições[[#This Row],[VALOR UNITARIO COMPRADO]]*tblAquisições[[#This Row],[QUANTIDADE COMPRADA]]</f>
        <v>0</v>
      </c>
      <c r="N5437" s="110">
        <f>K5437-tblAquisições[[#This Row],[QUANTIDADE PLANEJADA]]</f>
        <v>-1000</v>
      </c>
      <c r="O5437" s="106" t="str">
        <f t="shared" si="169"/>
        <v>Faltando Comprar</v>
      </c>
    </row>
    <row r="5438" spans="1:15" ht="47.25">
      <c r="A5438" s="16" t="s">
        <v>3077</v>
      </c>
      <c r="B5438" s="16" t="s">
        <v>3083</v>
      </c>
      <c r="C5438" s="17" t="s">
        <v>19</v>
      </c>
      <c r="D5438" s="18" t="s">
        <v>3109</v>
      </c>
      <c r="E5438" s="18">
        <v>12</v>
      </c>
      <c r="F5438" s="18" t="s">
        <v>147</v>
      </c>
      <c r="G5438" s="18" t="s">
        <v>39</v>
      </c>
      <c r="H5438" s="18" t="s">
        <v>23</v>
      </c>
      <c r="I5438" s="19">
        <v>8.6999999999999993</v>
      </c>
      <c r="J5438" s="40">
        <f t="shared" si="168"/>
        <v>104.39999999999999</v>
      </c>
      <c r="K5438" s="106"/>
      <c r="L5438" s="114"/>
      <c r="M5438" s="114">
        <f>tblAquisições[[#This Row],[VALOR UNITARIO COMPRADO]]*tblAquisições[[#This Row],[QUANTIDADE COMPRADA]]</f>
        <v>0</v>
      </c>
      <c r="N5438" s="110">
        <f>K5438-tblAquisições[[#This Row],[QUANTIDADE PLANEJADA]]</f>
        <v>-12</v>
      </c>
      <c r="O5438" s="106" t="str">
        <f t="shared" si="169"/>
        <v>Faltando Comprar</v>
      </c>
    </row>
    <row r="5439" spans="1:15" ht="47.25">
      <c r="A5439" s="16" t="s">
        <v>3077</v>
      </c>
      <c r="B5439" s="16" t="s">
        <v>3083</v>
      </c>
      <c r="C5439" s="17" t="s">
        <v>19</v>
      </c>
      <c r="D5439" s="18" t="s">
        <v>2941</v>
      </c>
      <c r="E5439" s="18">
        <v>3</v>
      </c>
      <c r="F5439" s="18" t="s">
        <v>147</v>
      </c>
      <c r="G5439" s="18" t="s">
        <v>39</v>
      </c>
      <c r="H5439" s="18" t="s">
        <v>23</v>
      </c>
      <c r="I5439" s="19">
        <v>80.540000000000006</v>
      </c>
      <c r="J5439" s="40">
        <f t="shared" si="168"/>
        <v>241.62</v>
      </c>
      <c r="K5439" s="106"/>
      <c r="L5439" s="114"/>
      <c r="M5439" s="114">
        <f>tblAquisições[[#This Row],[VALOR UNITARIO COMPRADO]]*tblAquisições[[#This Row],[QUANTIDADE COMPRADA]]</f>
        <v>0</v>
      </c>
      <c r="N5439" s="110">
        <f>K5439-tblAquisições[[#This Row],[QUANTIDADE PLANEJADA]]</f>
        <v>-3</v>
      </c>
      <c r="O5439" s="106" t="str">
        <f t="shared" si="169"/>
        <v>Faltando Comprar</v>
      </c>
    </row>
    <row r="5440" spans="1:15" ht="47.25">
      <c r="A5440" s="16" t="s">
        <v>3077</v>
      </c>
      <c r="B5440" s="16" t="s">
        <v>3080</v>
      </c>
      <c r="C5440" s="17" t="s">
        <v>19</v>
      </c>
      <c r="D5440" s="18" t="s">
        <v>3110</v>
      </c>
      <c r="E5440" s="18">
        <v>2</v>
      </c>
      <c r="F5440" s="18" t="s">
        <v>78</v>
      </c>
      <c r="G5440" s="18" t="s">
        <v>22</v>
      </c>
      <c r="H5440" s="18" t="s">
        <v>23</v>
      </c>
      <c r="I5440" s="19">
        <v>80.540000000000006</v>
      </c>
      <c r="J5440" s="40">
        <f t="shared" si="168"/>
        <v>161.08000000000001</v>
      </c>
      <c r="K5440" s="106"/>
      <c r="L5440" s="114"/>
      <c r="M5440" s="114">
        <f>tblAquisições[[#This Row],[VALOR UNITARIO COMPRADO]]*tblAquisições[[#This Row],[QUANTIDADE COMPRADA]]</f>
        <v>0</v>
      </c>
      <c r="N5440" s="110">
        <f>K5440-tblAquisições[[#This Row],[QUANTIDADE PLANEJADA]]</f>
        <v>-2</v>
      </c>
      <c r="O5440" s="106" t="str">
        <f t="shared" si="169"/>
        <v>Faltando Comprar</v>
      </c>
    </row>
    <row r="5441" spans="1:15" ht="47.25">
      <c r="A5441" s="16" t="s">
        <v>3077</v>
      </c>
      <c r="B5441" s="16" t="s">
        <v>3083</v>
      </c>
      <c r="C5441" s="17" t="s">
        <v>19</v>
      </c>
      <c r="D5441" s="18" t="s">
        <v>2774</v>
      </c>
      <c r="E5441" s="18">
        <v>3</v>
      </c>
      <c r="F5441" s="18" t="s">
        <v>147</v>
      </c>
      <c r="G5441" s="18" t="s">
        <v>39</v>
      </c>
      <c r="H5441" s="18" t="s">
        <v>23</v>
      </c>
      <c r="I5441" s="19">
        <v>6.43</v>
      </c>
      <c r="J5441" s="40">
        <f t="shared" si="168"/>
        <v>19.29</v>
      </c>
      <c r="K5441" s="106"/>
      <c r="L5441" s="114"/>
      <c r="M5441" s="114">
        <f>tblAquisições[[#This Row],[VALOR UNITARIO COMPRADO]]*tblAquisições[[#This Row],[QUANTIDADE COMPRADA]]</f>
        <v>0</v>
      </c>
      <c r="N5441" s="110">
        <f>K5441-tblAquisições[[#This Row],[QUANTIDADE PLANEJADA]]</f>
        <v>-3</v>
      </c>
      <c r="O5441" s="106" t="str">
        <f t="shared" si="169"/>
        <v>Faltando Comprar</v>
      </c>
    </row>
    <row r="5442" spans="1:15" ht="47.25">
      <c r="A5442" s="16" t="s">
        <v>3077</v>
      </c>
      <c r="B5442" s="16" t="s">
        <v>3084</v>
      </c>
      <c r="C5442" s="17" t="s">
        <v>19</v>
      </c>
      <c r="D5442" s="18" t="s">
        <v>3111</v>
      </c>
      <c r="E5442" s="18">
        <v>10</v>
      </c>
      <c r="F5442" s="18" t="s">
        <v>96</v>
      </c>
      <c r="G5442" s="18" t="s">
        <v>39</v>
      </c>
      <c r="H5442" s="18" t="s">
        <v>23</v>
      </c>
      <c r="I5442" s="19">
        <v>4.8600000000000003</v>
      </c>
      <c r="J5442" s="40">
        <f t="shared" ref="J5442:J5505" si="170">E5442*I5442</f>
        <v>48.6</v>
      </c>
      <c r="K5442" s="106"/>
      <c r="L5442" s="114"/>
      <c r="M5442" s="114">
        <f>tblAquisições[[#This Row],[VALOR UNITARIO COMPRADO]]*tblAquisições[[#This Row],[QUANTIDADE COMPRADA]]</f>
        <v>0</v>
      </c>
      <c r="N5442" s="110">
        <f>K5442-tblAquisições[[#This Row],[QUANTIDADE PLANEJADA]]</f>
        <v>-10</v>
      </c>
      <c r="O5442" s="106" t="str">
        <f t="shared" ref="O5442:O5505" si="171">IF(K5442=E5442,"OK",IF(K5442&lt;E5442,"Faltando Comprar","Excedente"))</f>
        <v>Faltando Comprar</v>
      </c>
    </row>
    <row r="5443" spans="1:15" ht="47.25">
      <c r="A5443" s="16" t="s">
        <v>3077</v>
      </c>
      <c r="B5443" s="16" t="s">
        <v>3084</v>
      </c>
      <c r="C5443" s="17" t="s">
        <v>19</v>
      </c>
      <c r="D5443" s="18" t="s">
        <v>3112</v>
      </c>
      <c r="E5443" s="18">
        <v>3</v>
      </c>
      <c r="F5443" s="18" t="s">
        <v>147</v>
      </c>
      <c r="G5443" s="18" t="s">
        <v>39</v>
      </c>
      <c r="H5443" s="18" t="s">
        <v>23</v>
      </c>
      <c r="I5443" s="19">
        <v>91.24</v>
      </c>
      <c r="J5443" s="40">
        <f t="shared" si="170"/>
        <v>273.71999999999997</v>
      </c>
      <c r="K5443" s="106"/>
      <c r="L5443" s="114"/>
      <c r="M5443" s="114">
        <f>tblAquisições[[#This Row],[VALOR UNITARIO COMPRADO]]*tblAquisições[[#This Row],[QUANTIDADE COMPRADA]]</f>
        <v>0</v>
      </c>
      <c r="N5443" s="110">
        <f>K5443-tblAquisições[[#This Row],[QUANTIDADE PLANEJADA]]</f>
        <v>-3</v>
      </c>
      <c r="O5443" s="106" t="str">
        <f t="shared" si="171"/>
        <v>Faltando Comprar</v>
      </c>
    </row>
    <row r="5444" spans="1:15" ht="47.25">
      <c r="A5444" s="16" t="s">
        <v>3077</v>
      </c>
      <c r="B5444" s="16" t="s">
        <v>3083</v>
      </c>
      <c r="C5444" s="17" t="s">
        <v>19</v>
      </c>
      <c r="D5444" s="18" t="s">
        <v>3113</v>
      </c>
      <c r="E5444" s="18">
        <v>12</v>
      </c>
      <c r="F5444" s="18" t="s">
        <v>96</v>
      </c>
      <c r="G5444" s="18" t="s">
        <v>39</v>
      </c>
      <c r="H5444" s="18" t="s">
        <v>65</v>
      </c>
      <c r="I5444" s="24">
        <v>10.050000000000001</v>
      </c>
      <c r="J5444" s="40">
        <f t="shared" si="170"/>
        <v>120.60000000000001</v>
      </c>
      <c r="K5444" s="106"/>
      <c r="L5444" s="114"/>
      <c r="M5444" s="114">
        <f>tblAquisições[[#This Row],[VALOR UNITARIO COMPRADO]]*tblAquisições[[#This Row],[QUANTIDADE COMPRADA]]</f>
        <v>0</v>
      </c>
      <c r="N5444" s="110">
        <f>K5444-tblAquisições[[#This Row],[QUANTIDADE PLANEJADA]]</f>
        <v>-12</v>
      </c>
      <c r="O5444" s="106" t="str">
        <f t="shared" si="171"/>
        <v>Faltando Comprar</v>
      </c>
    </row>
    <row r="5445" spans="1:15" ht="47.25">
      <c r="A5445" s="16" t="s">
        <v>3077</v>
      </c>
      <c r="B5445" s="16" t="s">
        <v>3084</v>
      </c>
      <c r="C5445" s="17" t="s">
        <v>19</v>
      </c>
      <c r="D5445" s="18" t="s">
        <v>3114</v>
      </c>
      <c r="E5445" s="18">
        <v>20</v>
      </c>
      <c r="F5445" s="18" t="s">
        <v>2750</v>
      </c>
      <c r="G5445" s="18" t="s">
        <v>39</v>
      </c>
      <c r="H5445" s="18" t="s">
        <v>23</v>
      </c>
      <c r="I5445" s="19">
        <v>2</v>
      </c>
      <c r="J5445" s="40">
        <f t="shared" si="170"/>
        <v>40</v>
      </c>
      <c r="K5445" s="106"/>
      <c r="L5445" s="114"/>
      <c r="M5445" s="114">
        <f>tblAquisições[[#This Row],[VALOR UNITARIO COMPRADO]]*tblAquisições[[#This Row],[QUANTIDADE COMPRADA]]</f>
        <v>0</v>
      </c>
      <c r="N5445" s="110">
        <f>K5445-tblAquisições[[#This Row],[QUANTIDADE PLANEJADA]]</f>
        <v>-20</v>
      </c>
      <c r="O5445" s="106" t="str">
        <f t="shared" si="171"/>
        <v>Faltando Comprar</v>
      </c>
    </row>
    <row r="5446" spans="1:15" ht="47.25">
      <c r="A5446" s="16" t="s">
        <v>3077</v>
      </c>
      <c r="B5446" s="16" t="s">
        <v>3083</v>
      </c>
      <c r="C5446" s="17" t="s">
        <v>19</v>
      </c>
      <c r="D5446" s="18" t="s">
        <v>3115</v>
      </c>
      <c r="E5446" s="18">
        <v>12</v>
      </c>
      <c r="F5446" s="18" t="s">
        <v>96</v>
      </c>
      <c r="G5446" s="18" t="s">
        <v>39</v>
      </c>
      <c r="H5446" s="18" t="s">
        <v>65</v>
      </c>
      <c r="I5446" s="24">
        <v>10.050000000000001</v>
      </c>
      <c r="J5446" s="40">
        <f t="shared" si="170"/>
        <v>120.60000000000001</v>
      </c>
      <c r="K5446" s="106"/>
      <c r="L5446" s="114"/>
      <c r="M5446" s="114">
        <f>tblAquisições[[#This Row],[VALOR UNITARIO COMPRADO]]*tblAquisições[[#This Row],[QUANTIDADE COMPRADA]]</f>
        <v>0</v>
      </c>
      <c r="N5446" s="110">
        <f>K5446-tblAquisições[[#This Row],[QUANTIDADE PLANEJADA]]</f>
        <v>-12</v>
      </c>
      <c r="O5446" s="106" t="str">
        <f t="shared" si="171"/>
        <v>Faltando Comprar</v>
      </c>
    </row>
    <row r="5447" spans="1:15" ht="47.25">
      <c r="A5447" s="16" t="s">
        <v>3077</v>
      </c>
      <c r="B5447" s="16" t="s">
        <v>3084</v>
      </c>
      <c r="C5447" s="17" t="s">
        <v>19</v>
      </c>
      <c r="D5447" s="18" t="s">
        <v>761</v>
      </c>
      <c r="E5447" s="18">
        <v>2</v>
      </c>
      <c r="F5447" s="18" t="s">
        <v>96</v>
      </c>
      <c r="G5447" s="18" t="s">
        <v>39</v>
      </c>
      <c r="H5447" s="18" t="s">
        <v>23</v>
      </c>
      <c r="I5447" s="19">
        <v>46.02</v>
      </c>
      <c r="J5447" s="40">
        <f t="shared" si="170"/>
        <v>92.04</v>
      </c>
      <c r="K5447" s="106"/>
      <c r="L5447" s="114"/>
      <c r="M5447" s="114">
        <f>tblAquisições[[#This Row],[VALOR UNITARIO COMPRADO]]*tblAquisições[[#This Row],[QUANTIDADE COMPRADA]]</f>
        <v>0</v>
      </c>
      <c r="N5447" s="110">
        <f>K5447-tblAquisições[[#This Row],[QUANTIDADE PLANEJADA]]</f>
        <v>-2</v>
      </c>
      <c r="O5447" s="106" t="str">
        <f t="shared" si="171"/>
        <v>Faltando Comprar</v>
      </c>
    </row>
    <row r="5448" spans="1:15" ht="47.25">
      <c r="A5448" s="16" t="s">
        <v>3077</v>
      </c>
      <c r="B5448" s="16" t="s">
        <v>3084</v>
      </c>
      <c r="C5448" s="17" t="s">
        <v>19</v>
      </c>
      <c r="D5448" s="18" t="s">
        <v>3116</v>
      </c>
      <c r="E5448" s="18">
        <v>30</v>
      </c>
      <c r="F5448" s="18" t="s">
        <v>96</v>
      </c>
      <c r="G5448" s="18" t="s">
        <v>39</v>
      </c>
      <c r="H5448" s="18" t="s">
        <v>23</v>
      </c>
      <c r="I5448" s="19">
        <v>19.149999999999999</v>
      </c>
      <c r="J5448" s="40">
        <f t="shared" si="170"/>
        <v>574.5</v>
      </c>
      <c r="K5448" s="106"/>
      <c r="L5448" s="114"/>
      <c r="M5448" s="114">
        <f>tblAquisições[[#This Row],[VALOR UNITARIO COMPRADO]]*tblAquisições[[#This Row],[QUANTIDADE COMPRADA]]</f>
        <v>0</v>
      </c>
      <c r="N5448" s="110">
        <f>K5448-tblAquisições[[#This Row],[QUANTIDADE PLANEJADA]]</f>
        <v>-30</v>
      </c>
      <c r="O5448" s="106" t="str">
        <f t="shared" si="171"/>
        <v>Faltando Comprar</v>
      </c>
    </row>
    <row r="5449" spans="1:15" ht="47.25">
      <c r="A5449" s="16" t="s">
        <v>3077</v>
      </c>
      <c r="B5449" s="16" t="s">
        <v>3083</v>
      </c>
      <c r="C5449" s="17" t="s">
        <v>19</v>
      </c>
      <c r="D5449" s="18" t="s">
        <v>3117</v>
      </c>
      <c r="E5449" s="18">
        <v>12</v>
      </c>
      <c r="F5449" s="18" t="s">
        <v>96</v>
      </c>
      <c r="G5449" s="18" t="s">
        <v>39</v>
      </c>
      <c r="H5449" s="18" t="s">
        <v>23</v>
      </c>
      <c r="I5449" s="19">
        <v>12.26</v>
      </c>
      <c r="J5449" s="40">
        <f t="shared" si="170"/>
        <v>147.12</v>
      </c>
      <c r="K5449" s="106"/>
      <c r="L5449" s="114"/>
      <c r="M5449" s="114">
        <f>tblAquisições[[#This Row],[VALOR UNITARIO COMPRADO]]*tblAquisições[[#This Row],[QUANTIDADE COMPRADA]]</f>
        <v>0</v>
      </c>
      <c r="N5449" s="110">
        <f>K5449-tblAquisições[[#This Row],[QUANTIDADE PLANEJADA]]</f>
        <v>-12</v>
      </c>
      <c r="O5449" s="106" t="str">
        <f t="shared" si="171"/>
        <v>Faltando Comprar</v>
      </c>
    </row>
    <row r="5450" spans="1:15" ht="47.25">
      <c r="A5450" s="16" t="s">
        <v>3077</v>
      </c>
      <c r="B5450" s="16" t="s">
        <v>3083</v>
      </c>
      <c r="C5450" s="17" t="s">
        <v>19</v>
      </c>
      <c r="D5450" s="18" t="s">
        <v>3118</v>
      </c>
      <c r="E5450" s="18">
        <v>12</v>
      </c>
      <c r="F5450" s="18" t="s">
        <v>96</v>
      </c>
      <c r="G5450" s="18" t="s">
        <v>39</v>
      </c>
      <c r="H5450" s="18" t="s">
        <v>23</v>
      </c>
      <c r="I5450" s="19">
        <v>6</v>
      </c>
      <c r="J5450" s="40">
        <f t="shared" si="170"/>
        <v>72</v>
      </c>
      <c r="K5450" s="106"/>
      <c r="L5450" s="114"/>
      <c r="M5450" s="114">
        <f>tblAquisições[[#This Row],[VALOR UNITARIO COMPRADO]]*tblAquisições[[#This Row],[QUANTIDADE COMPRADA]]</f>
        <v>0</v>
      </c>
      <c r="N5450" s="110">
        <f>K5450-tblAquisições[[#This Row],[QUANTIDADE PLANEJADA]]</f>
        <v>-12</v>
      </c>
      <c r="O5450" s="106" t="str">
        <f t="shared" si="171"/>
        <v>Faltando Comprar</v>
      </c>
    </row>
    <row r="5451" spans="1:15" ht="47.25">
      <c r="A5451" s="16" t="s">
        <v>3077</v>
      </c>
      <c r="B5451" s="16" t="s">
        <v>3080</v>
      </c>
      <c r="C5451" s="17" t="s">
        <v>19</v>
      </c>
      <c r="D5451" s="18" t="s">
        <v>3119</v>
      </c>
      <c r="E5451" s="18">
        <v>15</v>
      </c>
      <c r="F5451" s="18" t="s">
        <v>58</v>
      </c>
      <c r="G5451" s="18" t="s">
        <v>22</v>
      </c>
      <c r="H5451" s="18" t="s">
        <v>23</v>
      </c>
      <c r="I5451" s="19">
        <v>6</v>
      </c>
      <c r="J5451" s="40">
        <f t="shared" si="170"/>
        <v>90</v>
      </c>
      <c r="K5451" s="106"/>
      <c r="L5451" s="114"/>
      <c r="M5451" s="114">
        <f>tblAquisições[[#This Row],[VALOR UNITARIO COMPRADO]]*tblAquisições[[#This Row],[QUANTIDADE COMPRADA]]</f>
        <v>0</v>
      </c>
      <c r="N5451" s="110">
        <f>K5451-tblAquisições[[#This Row],[QUANTIDADE PLANEJADA]]</f>
        <v>-15</v>
      </c>
      <c r="O5451" s="106" t="str">
        <f t="shared" si="171"/>
        <v>Faltando Comprar</v>
      </c>
    </row>
    <row r="5452" spans="1:15" ht="47.25">
      <c r="A5452" s="16" t="s">
        <v>3077</v>
      </c>
      <c r="B5452" s="16" t="s">
        <v>3077</v>
      </c>
      <c r="C5452" s="17" t="s">
        <v>19</v>
      </c>
      <c r="D5452" s="18" t="s">
        <v>2943</v>
      </c>
      <c r="E5452" s="18">
        <v>6</v>
      </c>
      <c r="F5452" s="18" t="s">
        <v>96</v>
      </c>
      <c r="G5452" s="18" t="s">
        <v>39</v>
      </c>
      <c r="H5452" s="18" t="s">
        <v>23</v>
      </c>
      <c r="I5452" s="19">
        <v>29.89</v>
      </c>
      <c r="J5452" s="40">
        <f t="shared" si="170"/>
        <v>179.34</v>
      </c>
      <c r="K5452" s="106"/>
      <c r="L5452" s="114"/>
      <c r="M5452" s="114">
        <f>tblAquisições[[#This Row],[VALOR UNITARIO COMPRADO]]*tblAquisições[[#This Row],[QUANTIDADE COMPRADA]]</f>
        <v>0</v>
      </c>
      <c r="N5452" s="110">
        <f>K5452-tblAquisições[[#This Row],[QUANTIDADE PLANEJADA]]</f>
        <v>-6</v>
      </c>
      <c r="O5452" s="106" t="str">
        <f t="shared" si="171"/>
        <v>Faltando Comprar</v>
      </c>
    </row>
    <row r="5453" spans="1:15" ht="47.25">
      <c r="A5453" s="16" t="s">
        <v>3077</v>
      </c>
      <c r="B5453" s="16" t="s">
        <v>3084</v>
      </c>
      <c r="C5453" s="17" t="s">
        <v>19</v>
      </c>
      <c r="D5453" s="18" t="s">
        <v>2943</v>
      </c>
      <c r="E5453" s="18">
        <v>10</v>
      </c>
      <c r="F5453" s="18" t="s">
        <v>96</v>
      </c>
      <c r="G5453" s="18" t="s">
        <v>39</v>
      </c>
      <c r="H5453" s="18" t="s">
        <v>23</v>
      </c>
      <c r="I5453" s="19">
        <v>29.89</v>
      </c>
      <c r="J5453" s="40">
        <f t="shared" si="170"/>
        <v>298.89999999999998</v>
      </c>
      <c r="K5453" s="106"/>
      <c r="L5453" s="114"/>
      <c r="M5453" s="114">
        <f>tblAquisições[[#This Row],[VALOR UNITARIO COMPRADO]]*tblAquisições[[#This Row],[QUANTIDADE COMPRADA]]</f>
        <v>0</v>
      </c>
      <c r="N5453" s="110">
        <f>K5453-tblAquisições[[#This Row],[QUANTIDADE PLANEJADA]]</f>
        <v>-10</v>
      </c>
      <c r="O5453" s="106" t="str">
        <f t="shared" si="171"/>
        <v>Faltando Comprar</v>
      </c>
    </row>
    <row r="5454" spans="1:15" ht="47.25">
      <c r="A5454" s="16" t="s">
        <v>3077</v>
      </c>
      <c r="B5454" s="16" t="s">
        <v>3080</v>
      </c>
      <c r="C5454" s="17" t="s">
        <v>19</v>
      </c>
      <c r="D5454" s="18" t="s">
        <v>3120</v>
      </c>
      <c r="E5454" s="18">
        <v>2</v>
      </c>
      <c r="F5454" s="18" t="s">
        <v>78</v>
      </c>
      <c r="G5454" s="18" t="s">
        <v>22</v>
      </c>
      <c r="H5454" s="18" t="s">
        <v>65</v>
      </c>
      <c r="I5454" s="24">
        <v>33</v>
      </c>
      <c r="J5454" s="40">
        <f t="shared" si="170"/>
        <v>66</v>
      </c>
      <c r="K5454" s="106"/>
      <c r="L5454" s="114"/>
      <c r="M5454" s="114">
        <f>tblAquisições[[#This Row],[VALOR UNITARIO COMPRADO]]*tblAquisições[[#This Row],[QUANTIDADE COMPRADA]]</f>
        <v>0</v>
      </c>
      <c r="N5454" s="110">
        <f>K5454-tblAquisições[[#This Row],[QUANTIDADE PLANEJADA]]</f>
        <v>-2</v>
      </c>
      <c r="O5454" s="106" t="str">
        <f t="shared" si="171"/>
        <v>Faltando Comprar</v>
      </c>
    </row>
    <row r="5455" spans="1:15" ht="47.25">
      <c r="A5455" s="16" t="s">
        <v>3077</v>
      </c>
      <c r="B5455" s="16" t="s">
        <v>3084</v>
      </c>
      <c r="C5455" s="17" t="s">
        <v>19</v>
      </c>
      <c r="D5455" s="18" t="s">
        <v>826</v>
      </c>
      <c r="E5455" s="18">
        <v>20</v>
      </c>
      <c r="F5455" s="18" t="s">
        <v>96</v>
      </c>
      <c r="G5455" s="18" t="s">
        <v>39</v>
      </c>
      <c r="H5455" s="18" t="s">
        <v>65</v>
      </c>
      <c r="I5455" s="24">
        <v>25.31</v>
      </c>
      <c r="J5455" s="40">
        <f t="shared" si="170"/>
        <v>506.2</v>
      </c>
      <c r="K5455" s="106"/>
      <c r="L5455" s="114"/>
      <c r="M5455" s="114">
        <f>tblAquisições[[#This Row],[VALOR UNITARIO COMPRADO]]*tblAquisições[[#This Row],[QUANTIDADE COMPRADA]]</f>
        <v>0</v>
      </c>
      <c r="N5455" s="110">
        <f>K5455-tblAquisições[[#This Row],[QUANTIDADE PLANEJADA]]</f>
        <v>-20</v>
      </c>
      <c r="O5455" s="106" t="str">
        <f t="shared" si="171"/>
        <v>Faltando Comprar</v>
      </c>
    </row>
    <row r="5456" spans="1:15" ht="47.25">
      <c r="A5456" s="16" t="s">
        <v>3077</v>
      </c>
      <c r="B5456" s="16" t="s">
        <v>3083</v>
      </c>
      <c r="C5456" s="17" t="s">
        <v>19</v>
      </c>
      <c r="D5456" s="18" t="s">
        <v>3121</v>
      </c>
      <c r="E5456" s="18">
        <v>6</v>
      </c>
      <c r="F5456" s="18" t="s">
        <v>96</v>
      </c>
      <c r="G5456" s="18" t="s">
        <v>39</v>
      </c>
      <c r="H5456" s="18" t="s">
        <v>65</v>
      </c>
      <c r="I5456" s="24">
        <v>13.83</v>
      </c>
      <c r="J5456" s="40">
        <f t="shared" si="170"/>
        <v>82.98</v>
      </c>
      <c r="K5456" s="106"/>
      <c r="L5456" s="114"/>
      <c r="M5456" s="114">
        <f>tblAquisições[[#This Row],[VALOR UNITARIO COMPRADO]]*tblAquisições[[#This Row],[QUANTIDADE COMPRADA]]</f>
        <v>0</v>
      </c>
      <c r="N5456" s="110">
        <f>K5456-tblAquisições[[#This Row],[QUANTIDADE PLANEJADA]]</f>
        <v>-6</v>
      </c>
      <c r="O5456" s="106" t="str">
        <f t="shared" si="171"/>
        <v>Faltando Comprar</v>
      </c>
    </row>
    <row r="5457" spans="1:15" ht="31.5">
      <c r="A5457" s="16" t="s">
        <v>3077</v>
      </c>
      <c r="B5457" s="16" t="s">
        <v>3084</v>
      </c>
      <c r="C5457" s="17" t="s">
        <v>19</v>
      </c>
      <c r="D5457" s="18" t="s">
        <v>3122</v>
      </c>
      <c r="E5457" s="18">
        <v>5</v>
      </c>
      <c r="F5457" s="18" t="s">
        <v>38</v>
      </c>
      <c r="G5457" s="18" t="s">
        <v>39</v>
      </c>
      <c r="H5457" s="18" t="s">
        <v>23</v>
      </c>
      <c r="I5457" s="19">
        <v>38.520000000000003</v>
      </c>
      <c r="J5457" s="40">
        <f t="shared" si="170"/>
        <v>192.60000000000002</v>
      </c>
      <c r="K5457" s="106"/>
      <c r="L5457" s="114"/>
      <c r="M5457" s="114">
        <f>tblAquisições[[#This Row],[VALOR UNITARIO COMPRADO]]*tblAquisições[[#This Row],[QUANTIDADE COMPRADA]]</f>
        <v>0</v>
      </c>
      <c r="N5457" s="110">
        <f>K5457-tblAquisições[[#This Row],[QUANTIDADE PLANEJADA]]</f>
        <v>-5</v>
      </c>
      <c r="O5457" s="106" t="str">
        <f t="shared" si="171"/>
        <v>Faltando Comprar</v>
      </c>
    </row>
    <row r="5458" spans="1:15" ht="31.5">
      <c r="A5458" s="16" t="s">
        <v>3077</v>
      </c>
      <c r="B5458" s="16" t="s">
        <v>3080</v>
      </c>
      <c r="C5458" s="17" t="s">
        <v>19</v>
      </c>
      <c r="D5458" s="18" t="s">
        <v>3123</v>
      </c>
      <c r="E5458" s="18">
        <v>4</v>
      </c>
      <c r="F5458" s="18" t="s">
        <v>21</v>
      </c>
      <c r="G5458" s="18" t="s">
        <v>22</v>
      </c>
      <c r="H5458" s="18" t="s">
        <v>23</v>
      </c>
      <c r="I5458" s="19">
        <v>38.520000000000003</v>
      </c>
      <c r="J5458" s="40">
        <f t="shared" si="170"/>
        <v>154.08000000000001</v>
      </c>
      <c r="K5458" s="106"/>
      <c r="L5458" s="114"/>
      <c r="M5458" s="114">
        <f>tblAquisições[[#This Row],[VALOR UNITARIO COMPRADO]]*tblAquisições[[#This Row],[QUANTIDADE COMPRADA]]</f>
        <v>0</v>
      </c>
      <c r="N5458" s="110">
        <f>K5458-tblAquisições[[#This Row],[QUANTIDADE PLANEJADA]]</f>
        <v>-4</v>
      </c>
      <c r="O5458" s="106" t="str">
        <f t="shared" si="171"/>
        <v>Faltando Comprar</v>
      </c>
    </row>
    <row r="5459" spans="1:15" ht="47.25">
      <c r="A5459" s="16" t="s">
        <v>3077</v>
      </c>
      <c r="B5459" s="16" t="s">
        <v>3084</v>
      </c>
      <c r="C5459" s="17" t="s">
        <v>19</v>
      </c>
      <c r="D5459" s="18" t="s">
        <v>3124</v>
      </c>
      <c r="E5459" s="18">
        <v>10</v>
      </c>
      <c r="F5459" s="18" t="s">
        <v>96</v>
      </c>
      <c r="G5459" s="18" t="s">
        <v>39</v>
      </c>
      <c r="H5459" s="18" t="s">
        <v>23</v>
      </c>
      <c r="I5459" s="19">
        <v>21.6</v>
      </c>
      <c r="J5459" s="40">
        <f t="shared" si="170"/>
        <v>216</v>
      </c>
      <c r="K5459" s="106"/>
      <c r="L5459" s="114"/>
      <c r="M5459" s="114">
        <f>tblAquisições[[#This Row],[VALOR UNITARIO COMPRADO]]*tblAquisições[[#This Row],[QUANTIDADE COMPRADA]]</f>
        <v>0</v>
      </c>
      <c r="N5459" s="110">
        <f>K5459-tblAquisições[[#This Row],[QUANTIDADE PLANEJADA]]</f>
        <v>-10</v>
      </c>
      <c r="O5459" s="106" t="str">
        <f t="shared" si="171"/>
        <v>Faltando Comprar</v>
      </c>
    </row>
    <row r="5460" spans="1:15" ht="47.25">
      <c r="A5460" s="16" t="s">
        <v>3077</v>
      </c>
      <c r="B5460" s="16" t="s">
        <v>3077</v>
      </c>
      <c r="C5460" s="17" t="s">
        <v>19</v>
      </c>
      <c r="D5460" s="18" t="s">
        <v>2781</v>
      </c>
      <c r="E5460" s="18">
        <v>8</v>
      </c>
      <c r="F5460" s="18" t="s">
        <v>147</v>
      </c>
      <c r="G5460" s="18" t="s">
        <v>39</v>
      </c>
      <c r="H5460" s="18" t="s">
        <v>23</v>
      </c>
      <c r="I5460" s="19">
        <v>7.06</v>
      </c>
      <c r="J5460" s="40">
        <f t="shared" si="170"/>
        <v>56.48</v>
      </c>
      <c r="K5460" s="106"/>
      <c r="L5460" s="114"/>
      <c r="M5460" s="114">
        <f>tblAquisições[[#This Row],[VALOR UNITARIO COMPRADO]]*tblAquisições[[#This Row],[QUANTIDADE COMPRADA]]</f>
        <v>0</v>
      </c>
      <c r="N5460" s="110">
        <f>K5460-tblAquisições[[#This Row],[QUANTIDADE PLANEJADA]]</f>
        <v>-8</v>
      </c>
      <c r="O5460" s="106" t="str">
        <f t="shared" si="171"/>
        <v>Faltando Comprar</v>
      </c>
    </row>
    <row r="5461" spans="1:15" ht="47.25">
      <c r="A5461" s="16" t="s">
        <v>3077</v>
      </c>
      <c r="B5461" s="16" t="s">
        <v>3078</v>
      </c>
      <c r="C5461" s="17" t="s">
        <v>19</v>
      </c>
      <c r="D5461" s="18" t="s">
        <v>885</v>
      </c>
      <c r="E5461" s="18">
        <v>5</v>
      </c>
      <c r="F5461" s="18" t="s">
        <v>78</v>
      </c>
      <c r="G5461" s="18" t="s">
        <v>22</v>
      </c>
      <c r="H5461" s="18" t="s">
        <v>23</v>
      </c>
      <c r="I5461" s="19">
        <v>7.06</v>
      </c>
      <c r="J5461" s="40">
        <f t="shared" si="170"/>
        <v>35.299999999999997</v>
      </c>
      <c r="K5461" s="106"/>
      <c r="L5461" s="114"/>
      <c r="M5461" s="114">
        <f>tblAquisições[[#This Row],[VALOR UNITARIO COMPRADO]]*tblAquisições[[#This Row],[QUANTIDADE COMPRADA]]</f>
        <v>0</v>
      </c>
      <c r="N5461" s="110">
        <f>K5461-tblAquisições[[#This Row],[QUANTIDADE PLANEJADA]]</f>
        <v>-5</v>
      </c>
      <c r="O5461" s="106" t="str">
        <f t="shared" si="171"/>
        <v>Faltando Comprar</v>
      </c>
    </row>
    <row r="5462" spans="1:15" ht="47.25">
      <c r="A5462" s="16" t="s">
        <v>3077</v>
      </c>
      <c r="B5462" s="16" t="s">
        <v>3080</v>
      </c>
      <c r="C5462" s="17" t="s">
        <v>19</v>
      </c>
      <c r="D5462" s="18" t="s">
        <v>885</v>
      </c>
      <c r="E5462" s="18">
        <v>1</v>
      </c>
      <c r="F5462" s="18" t="s">
        <v>78</v>
      </c>
      <c r="G5462" s="18" t="s">
        <v>22</v>
      </c>
      <c r="H5462" s="18" t="s">
        <v>65</v>
      </c>
      <c r="I5462" s="24">
        <v>22</v>
      </c>
      <c r="J5462" s="40">
        <f t="shared" si="170"/>
        <v>22</v>
      </c>
      <c r="K5462" s="106"/>
      <c r="L5462" s="114"/>
      <c r="M5462" s="114">
        <f>tblAquisições[[#This Row],[VALOR UNITARIO COMPRADO]]*tblAquisições[[#This Row],[QUANTIDADE COMPRADA]]</f>
        <v>0</v>
      </c>
      <c r="N5462" s="110">
        <f>K5462-tblAquisições[[#This Row],[QUANTIDADE PLANEJADA]]</f>
        <v>-1</v>
      </c>
      <c r="O5462" s="106" t="str">
        <f t="shared" si="171"/>
        <v>Faltando Comprar</v>
      </c>
    </row>
    <row r="5463" spans="1:15" ht="47.25">
      <c r="A5463" s="16" t="s">
        <v>3077</v>
      </c>
      <c r="B5463" s="16" t="s">
        <v>3080</v>
      </c>
      <c r="C5463" s="17" t="s">
        <v>19</v>
      </c>
      <c r="D5463" s="18" t="s">
        <v>3125</v>
      </c>
      <c r="E5463" s="18">
        <v>6</v>
      </c>
      <c r="F5463" s="18" t="s">
        <v>78</v>
      </c>
      <c r="G5463" s="18" t="s">
        <v>22</v>
      </c>
      <c r="H5463" s="18" t="s">
        <v>65</v>
      </c>
      <c r="I5463" s="24">
        <v>51.23</v>
      </c>
      <c r="J5463" s="40">
        <f t="shared" si="170"/>
        <v>307.38</v>
      </c>
      <c r="K5463" s="106"/>
      <c r="L5463" s="114"/>
      <c r="M5463" s="114">
        <f>tblAquisições[[#This Row],[VALOR UNITARIO COMPRADO]]*tblAquisições[[#This Row],[QUANTIDADE COMPRADA]]</f>
        <v>0</v>
      </c>
      <c r="N5463" s="110">
        <f>K5463-tblAquisições[[#This Row],[QUANTIDADE PLANEJADA]]</f>
        <v>-6</v>
      </c>
      <c r="O5463" s="106" t="str">
        <f t="shared" si="171"/>
        <v>Faltando Comprar</v>
      </c>
    </row>
    <row r="5464" spans="1:15" ht="31.5">
      <c r="A5464" s="16" t="s">
        <v>3077</v>
      </c>
      <c r="B5464" s="16" t="s">
        <v>3084</v>
      </c>
      <c r="C5464" s="17" t="s">
        <v>19</v>
      </c>
      <c r="D5464" s="18" t="s">
        <v>2947</v>
      </c>
      <c r="E5464" s="18">
        <v>5</v>
      </c>
      <c r="F5464" s="18" t="s">
        <v>38</v>
      </c>
      <c r="G5464" s="18" t="s">
        <v>39</v>
      </c>
      <c r="H5464" s="18" t="s">
        <v>65</v>
      </c>
      <c r="I5464" s="24">
        <v>48.32</v>
      </c>
      <c r="J5464" s="40">
        <f t="shared" si="170"/>
        <v>241.6</v>
      </c>
      <c r="K5464" s="106"/>
      <c r="L5464" s="114"/>
      <c r="M5464" s="114">
        <f>tblAquisições[[#This Row],[VALOR UNITARIO COMPRADO]]*tblAquisições[[#This Row],[QUANTIDADE COMPRADA]]</f>
        <v>0</v>
      </c>
      <c r="N5464" s="110">
        <f>K5464-tblAquisições[[#This Row],[QUANTIDADE PLANEJADA]]</f>
        <v>-5</v>
      </c>
      <c r="O5464" s="106" t="str">
        <f t="shared" si="171"/>
        <v>Faltando Comprar</v>
      </c>
    </row>
    <row r="5465" spans="1:15" ht="47.25">
      <c r="A5465" s="16" t="s">
        <v>3077</v>
      </c>
      <c r="B5465" s="16" t="s">
        <v>3080</v>
      </c>
      <c r="C5465" s="17" t="s">
        <v>19</v>
      </c>
      <c r="D5465" s="18" t="s">
        <v>3126</v>
      </c>
      <c r="E5465" s="18">
        <v>10</v>
      </c>
      <c r="F5465" s="18" t="s">
        <v>58</v>
      </c>
      <c r="G5465" s="18" t="s">
        <v>22</v>
      </c>
      <c r="H5465" s="18" t="s">
        <v>65</v>
      </c>
      <c r="I5465" s="24">
        <v>25.31</v>
      </c>
      <c r="J5465" s="40">
        <f t="shared" si="170"/>
        <v>253.1</v>
      </c>
      <c r="K5465" s="106"/>
      <c r="L5465" s="114"/>
      <c r="M5465" s="114">
        <f>tblAquisições[[#This Row],[VALOR UNITARIO COMPRADO]]*tblAquisições[[#This Row],[QUANTIDADE COMPRADA]]</f>
        <v>0</v>
      </c>
      <c r="N5465" s="110">
        <f>K5465-tblAquisições[[#This Row],[QUANTIDADE PLANEJADA]]</f>
        <v>-10</v>
      </c>
      <c r="O5465" s="106" t="str">
        <f t="shared" si="171"/>
        <v>Faltando Comprar</v>
      </c>
    </row>
    <row r="5466" spans="1:15" ht="47.25">
      <c r="A5466" s="16" t="s">
        <v>3077</v>
      </c>
      <c r="B5466" s="16" t="s">
        <v>3083</v>
      </c>
      <c r="C5466" s="17" t="s">
        <v>19</v>
      </c>
      <c r="D5466" s="18" t="s">
        <v>3127</v>
      </c>
      <c r="E5466" s="18">
        <v>24</v>
      </c>
      <c r="F5466" s="18" t="s">
        <v>96</v>
      </c>
      <c r="G5466" s="18" t="s">
        <v>39</v>
      </c>
      <c r="H5466" s="18" t="s">
        <v>23</v>
      </c>
      <c r="I5466" s="19">
        <v>12.37</v>
      </c>
      <c r="J5466" s="40">
        <f t="shared" si="170"/>
        <v>296.88</v>
      </c>
      <c r="K5466" s="106"/>
      <c r="L5466" s="114"/>
      <c r="M5466" s="114">
        <f>tblAquisições[[#This Row],[VALOR UNITARIO COMPRADO]]*tblAquisições[[#This Row],[QUANTIDADE COMPRADA]]</f>
        <v>0</v>
      </c>
      <c r="N5466" s="110">
        <f>K5466-tblAquisições[[#This Row],[QUANTIDADE PLANEJADA]]</f>
        <v>-24</v>
      </c>
      <c r="O5466" s="106" t="str">
        <f t="shared" si="171"/>
        <v>Faltando Comprar</v>
      </c>
    </row>
    <row r="5467" spans="1:15" ht="31.5">
      <c r="A5467" s="16" t="s">
        <v>3077</v>
      </c>
      <c r="B5467" s="16" t="s">
        <v>3078</v>
      </c>
      <c r="C5467" s="17" t="s">
        <v>19</v>
      </c>
      <c r="D5467" s="18" t="s">
        <v>921</v>
      </c>
      <c r="E5467" s="18">
        <v>10</v>
      </c>
      <c r="F5467" s="18" t="s">
        <v>21</v>
      </c>
      <c r="G5467" s="18" t="s">
        <v>22</v>
      </c>
      <c r="H5467" s="18" t="s">
        <v>23</v>
      </c>
      <c r="I5467" s="19">
        <v>7.9</v>
      </c>
      <c r="J5467" s="40">
        <f t="shared" si="170"/>
        <v>79</v>
      </c>
      <c r="K5467" s="106"/>
      <c r="L5467" s="114"/>
      <c r="M5467" s="114">
        <f>tblAquisições[[#This Row],[VALOR UNITARIO COMPRADO]]*tblAquisições[[#This Row],[QUANTIDADE COMPRADA]]</f>
        <v>0</v>
      </c>
      <c r="N5467" s="110">
        <f>K5467-tblAquisições[[#This Row],[QUANTIDADE PLANEJADA]]</f>
        <v>-10</v>
      </c>
      <c r="O5467" s="106" t="str">
        <f t="shared" si="171"/>
        <v>Faltando Comprar</v>
      </c>
    </row>
    <row r="5468" spans="1:15" ht="47.25">
      <c r="A5468" s="16" t="s">
        <v>3077</v>
      </c>
      <c r="B5468" s="16" t="s">
        <v>3077</v>
      </c>
      <c r="C5468" s="17" t="s">
        <v>19</v>
      </c>
      <c r="D5468" s="18" t="s">
        <v>3128</v>
      </c>
      <c r="E5468" s="18">
        <v>10</v>
      </c>
      <c r="F5468" s="18" t="s">
        <v>96</v>
      </c>
      <c r="G5468" s="18" t="s">
        <v>39</v>
      </c>
      <c r="H5468" s="18" t="s">
        <v>23</v>
      </c>
      <c r="I5468" s="19">
        <v>38.270000000000003</v>
      </c>
      <c r="J5468" s="40">
        <f t="shared" si="170"/>
        <v>382.70000000000005</v>
      </c>
      <c r="K5468" s="106"/>
      <c r="L5468" s="114"/>
      <c r="M5468" s="114">
        <f>tblAquisições[[#This Row],[VALOR UNITARIO COMPRADO]]*tblAquisições[[#This Row],[QUANTIDADE COMPRADA]]</f>
        <v>0</v>
      </c>
      <c r="N5468" s="110">
        <f>K5468-tblAquisições[[#This Row],[QUANTIDADE PLANEJADA]]</f>
        <v>-10</v>
      </c>
      <c r="O5468" s="106" t="str">
        <f t="shared" si="171"/>
        <v>Faltando Comprar</v>
      </c>
    </row>
    <row r="5469" spans="1:15" ht="47.25">
      <c r="A5469" s="16" t="s">
        <v>3077</v>
      </c>
      <c r="B5469" s="16" t="s">
        <v>3078</v>
      </c>
      <c r="C5469" s="17" t="s">
        <v>19</v>
      </c>
      <c r="D5469" s="18" t="s">
        <v>3129</v>
      </c>
      <c r="E5469" s="18">
        <v>25</v>
      </c>
      <c r="F5469" s="18" t="s">
        <v>58</v>
      </c>
      <c r="G5469" s="18" t="s">
        <v>22</v>
      </c>
      <c r="H5469" s="18" t="s">
        <v>23</v>
      </c>
      <c r="I5469" s="19">
        <v>46.92</v>
      </c>
      <c r="J5469" s="40">
        <f t="shared" si="170"/>
        <v>1173</v>
      </c>
      <c r="K5469" s="106"/>
      <c r="L5469" s="114"/>
      <c r="M5469" s="114">
        <f>tblAquisições[[#This Row],[VALOR UNITARIO COMPRADO]]*tblAquisições[[#This Row],[QUANTIDADE COMPRADA]]</f>
        <v>0</v>
      </c>
      <c r="N5469" s="110">
        <f>K5469-tblAquisições[[#This Row],[QUANTIDADE PLANEJADA]]</f>
        <v>-25</v>
      </c>
      <c r="O5469" s="106" t="str">
        <f t="shared" si="171"/>
        <v>Faltando Comprar</v>
      </c>
    </row>
    <row r="5470" spans="1:15" ht="47.25">
      <c r="A5470" s="16" t="s">
        <v>3077</v>
      </c>
      <c r="B5470" s="16" t="s">
        <v>3084</v>
      </c>
      <c r="C5470" s="17" t="s">
        <v>19</v>
      </c>
      <c r="D5470" s="18" t="s">
        <v>3130</v>
      </c>
      <c r="E5470" s="18">
        <v>100</v>
      </c>
      <c r="F5470" s="18" t="s">
        <v>96</v>
      </c>
      <c r="G5470" s="18" t="s">
        <v>39</v>
      </c>
      <c r="H5470" s="18" t="s">
        <v>23</v>
      </c>
      <c r="I5470" s="19">
        <v>10.9</v>
      </c>
      <c r="J5470" s="40">
        <f t="shared" si="170"/>
        <v>1090</v>
      </c>
      <c r="K5470" s="106"/>
      <c r="L5470" s="114"/>
      <c r="M5470" s="114">
        <f>tblAquisições[[#This Row],[VALOR UNITARIO COMPRADO]]*tblAquisições[[#This Row],[QUANTIDADE COMPRADA]]</f>
        <v>0</v>
      </c>
      <c r="N5470" s="110">
        <f>K5470-tblAquisições[[#This Row],[QUANTIDADE PLANEJADA]]</f>
        <v>-100</v>
      </c>
      <c r="O5470" s="106" t="str">
        <f t="shared" si="171"/>
        <v>Faltando Comprar</v>
      </c>
    </row>
    <row r="5471" spans="1:15" ht="47.25">
      <c r="A5471" s="16" t="s">
        <v>3077</v>
      </c>
      <c r="B5471" s="16" t="s">
        <v>3084</v>
      </c>
      <c r="C5471" s="17" t="s">
        <v>19</v>
      </c>
      <c r="D5471" s="18" t="s">
        <v>3131</v>
      </c>
      <c r="E5471" s="18">
        <v>2</v>
      </c>
      <c r="F5471" s="18" t="s">
        <v>96</v>
      </c>
      <c r="G5471" s="18" t="s">
        <v>39</v>
      </c>
      <c r="H5471" s="18" t="s">
        <v>23</v>
      </c>
      <c r="I5471" s="19">
        <v>18.29</v>
      </c>
      <c r="J5471" s="40">
        <f t="shared" si="170"/>
        <v>36.58</v>
      </c>
      <c r="K5471" s="106"/>
      <c r="L5471" s="114"/>
      <c r="M5471" s="114">
        <f>tblAquisições[[#This Row],[VALOR UNITARIO COMPRADO]]*tblAquisições[[#This Row],[QUANTIDADE COMPRADA]]</f>
        <v>0</v>
      </c>
      <c r="N5471" s="110">
        <f>K5471-tblAquisições[[#This Row],[QUANTIDADE PLANEJADA]]</f>
        <v>-2</v>
      </c>
      <c r="O5471" s="106" t="str">
        <f t="shared" si="171"/>
        <v>Faltando Comprar</v>
      </c>
    </row>
    <row r="5472" spans="1:15" ht="47.25">
      <c r="A5472" s="16" t="s">
        <v>3077</v>
      </c>
      <c r="B5472" s="16" t="s">
        <v>3084</v>
      </c>
      <c r="C5472" s="17" t="s">
        <v>19</v>
      </c>
      <c r="D5472" s="18" t="s">
        <v>3132</v>
      </c>
      <c r="E5472" s="18">
        <v>5</v>
      </c>
      <c r="F5472" s="18" t="s">
        <v>96</v>
      </c>
      <c r="G5472" s="18" t="s">
        <v>39</v>
      </c>
      <c r="H5472" s="18" t="s">
        <v>23</v>
      </c>
      <c r="I5472" s="19">
        <v>3.19</v>
      </c>
      <c r="J5472" s="40">
        <f t="shared" si="170"/>
        <v>15.95</v>
      </c>
      <c r="K5472" s="106"/>
      <c r="L5472" s="114"/>
      <c r="M5472" s="114">
        <f>tblAquisições[[#This Row],[VALOR UNITARIO COMPRADO]]*tblAquisições[[#This Row],[QUANTIDADE COMPRADA]]</f>
        <v>0</v>
      </c>
      <c r="N5472" s="110">
        <f>K5472-tblAquisições[[#This Row],[QUANTIDADE PLANEJADA]]</f>
        <v>-5</v>
      </c>
      <c r="O5472" s="106" t="str">
        <f t="shared" si="171"/>
        <v>Faltando Comprar</v>
      </c>
    </row>
    <row r="5473" spans="1:15" ht="47.25">
      <c r="A5473" s="16" t="s">
        <v>3077</v>
      </c>
      <c r="B5473" s="16" t="s">
        <v>3077</v>
      </c>
      <c r="C5473" s="17" t="s">
        <v>19</v>
      </c>
      <c r="D5473" s="18" t="s">
        <v>3133</v>
      </c>
      <c r="E5473" s="18">
        <v>6</v>
      </c>
      <c r="F5473" s="18" t="s">
        <v>96</v>
      </c>
      <c r="G5473" s="18" t="s">
        <v>39</v>
      </c>
      <c r="H5473" s="18" t="s">
        <v>23</v>
      </c>
      <c r="I5473" s="19">
        <v>17.63</v>
      </c>
      <c r="J5473" s="40">
        <f t="shared" si="170"/>
        <v>105.78</v>
      </c>
      <c r="K5473" s="106"/>
      <c r="L5473" s="114"/>
      <c r="M5473" s="114">
        <f>tblAquisições[[#This Row],[VALOR UNITARIO COMPRADO]]*tblAquisições[[#This Row],[QUANTIDADE COMPRADA]]</f>
        <v>0</v>
      </c>
      <c r="N5473" s="110">
        <f>K5473-tblAquisições[[#This Row],[QUANTIDADE PLANEJADA]]</f>
        <v>-6</v>
      </c>
      <c r="O5473" s="106" t="str">
        <f t="shared" si="171"/>
        <v>Faltando Comprar</v>
      </c>
    </row>
    <row r="5474" spans="1:15" ht="47.25">
      <c r="A5474" s="16" t="s">
        <v>3077</v>
      </c>
      <c r="B5474" s="16" t="s">
        <v>3084</v>
      </c>
      <c r="C5474" s="17" t="s">
        <v>19</v>
      </c>
      <c r="D5474" s="18" t="s">
        <v>3134</v>
      </c>
      <c r="E5474" s="18">
        <v>20</v>
      </c>
      <c r="F5474" s="18" t="s">
        <v>147</v>
      </c>
      <c r="G5474" s="18" t="s">
        <v>39</v>
      </c>
      <c r="H5474" s="18" t="s">
        <v>23</v>
      </c>
      <c r="I5474" s="19">
        <v>31.9</v>
      </c>
      <c r="J5474" s="40">
        <f t="shared" si="170"/>
        <v>638</v>
      </c>
      <c r="K5474" s="106"/>
      <c r="L5474" s="114"/>
      <c r="M5474" s="114">
        <f>tblAquisições[[#This Row],[VALOR UNITARIO COMPRADO]]*tblAquisições[[#This Row],[QUANTIDADE COMPRADA]]</f>
        <v>0</v>
      </c>
      <c r="N5474" s="110">
        <f>K5474-tblAquisições[[#This Row],[QUANTIDADE PLANEJADA]]</f>
        <v>-20</v>
      </c>
      <c r="O5474" s="106" t="str">
        <f t="shared" si="171"/>
        <v>Faltando Comprar</v>
      </c>
    </row>
    <row r="5475" spans="1:15" ht="47.25">
      <c r="A5475" s="16" t="s">
        <v>3077</v>
      </c>
      <c r="B5475" s="16" t="s">
        <v>3078</v>
      </c>
      <c r="C5475" s="17" t="s">
        <v>19</v>
      </c>
      <c r="D5475" s="18" t="s">
        <v>3135</v>
      </c>
      <c r="E5475" s="18">
        <v>3</v>
      </c>
      <c r="F5475" s="18" t="s">
        <v>58</v>
      </c>
      <c r="G5475" s="18" t="s">
        <v>22</v>
      </c>
      <c r="H5475" s="18" t="s">
        <v>23</v>
      </c>
      <c r="I5475" s="19">
        <v>8.1</v>
      </c>
      <c r="J5475" s="40">
        <f t="shared" si="170"/>
        <v>24.299999999999997</v>
      </c>
      <c r="K5475" s="106"/>
      <c r="L5475" s="114"/>
      <c r="M5475" s="114">
        <f>tblAquisições[[#This Row],[VALOR UNITARIO COMPRADO]]*tblAquisições[[#This Row],[QUANTIDADE COMPRADA]]</f>
        <v>0</v>
      </c>
      <c r="N5475" s="110">
        <f>K5475-tblAquisições[[#This Row],[QUANTIDADE PLANEJADA]]</f>
        <v>-3</v>
      </c>
      <c r="O5475" s="106" t="str">
        <f t="shared" si="171"/>
        <v>Faltando Comprar</v>
      </c>
    </row>
    <row r="5476" spans="1:15" ht="31.5">
      <c r="A5476" s="16" t="s">
        <v>3077</v>
      </c>
      <c r="B5476" s="16" t="s">
        <v>3084</v>
      </c>
      <c r="C5476" s="17" t="s">
        <v>19</v>
      </c>
      <c r="D5476" s="18" t="s">
        <v>1136</v>
      </c>
      <c r="E5476" s="18">
        <v>5</v>
      </c>
      <c r="F5476" s="18" t="s">
        <v>56</v>
      </c>
      <c r="G5476" s="18" t="s">
        <v>39</v>
      </c>
      <c r="H5476" s="18" t="s">
        <v>23</v>
      </c>
      <c r="I5476" s="19">
        <v>2263.21</v>
      </c>
      <c r="J5476" s="40">
        <f t="shared" si="170"/>
        <v>11316.05</v>
      </c>
      <c r="K5476" s="106"/>
      <c r="L5476" s="114"/>
      <c r="M5476" s="114">
        <f>tblAquisições[[#This Row],[VALOR UNITARIO COMPRADO]]*tblAquisições[[#This Row],[QUANTIDADE COMPRADA]]</f>
        <v>0</v>
      </c>
      <c r="N5476" s="110">
        <f>K5476-tblAquisições[[#This Row],[QUANTIDADE PLANEJADA]]</f>
        <v>-5</v>
      </c>
      <c r="O5476" s="106" t="str">
        <f t="shared" si="171"/>
        <v>Faltando Comprar</v>
      </c>
    </row>
    <row r="5477" spans="1:15" ht="47.25">
      <c r="A5477" s="16" t="s">
        <v>3077</v>
      </c>
      <c r="B5477" s="16" t="s">
        <v>3077</v>
      </c>
      <c r="C5477" s="17" t="s">
        <v>19</v>
      </c>
      <c r="D5477" s="18" t="s">
        <v>1138</v>
      </c>
      <c r="E5477" s="18">
        <v>10</v>
      </c>
      <c r="F5477" s="18" t="s">
        <v>56</v>
      </c>
      <c r="G5477" s="18" t="s">
        <v>39</v>
      </c>
      <c r="H5477" s="18" t="s">
        <v>23</v>
      </c>
      <c r="I5477" s="19">
        <v>22.33</v>
      </c>
      <c r="J5477" s="40">
        <f t="shared" si="170"/>
        <v>223.29999999999998</v>
      </c>
      <c r="K5477" s="106"/>
      <c r="L5477" s="114"/>
      <c r="M5477" s="114">
        <f>tblAquisições[[#This Row],[VALOR UNITARIO COMPRADO]]*tblAquisições[[#This Row],[QUANTIDADE COMPRADA]]</f>
        <v>0</v>
      </c>
      <c r="N5477" s="110">
        <f>K5477-tblAquisições[[#This Row],[QUANTIDADE PLANEJADA]]</f>
        <v>-10</v>
      </c>
      <c r="O5477" s="106" t="str">
        <f t="shared" si="171"/>
        <v>Faltando Comprar</v>
      </c>
    </row>
    <row r="5478" spans="1:15" ht="47.25">
      <c r="A5478" s="16" t="s">
        <v>3077</v>
      </c>
      <c r="B5478" s="16" t="s">
        <v>3083</v>
      </c>
      <c r="C5478" s="17" t="s">
        <v>19</v>
      </c>
      <c r="D5478" s="18" t="s">
        <v>1138</v>
      </c>
      <c r="E5478" s="18">
        <v>10</v>
      </c>
      <c r="F5478" s="18" t="s">
        <v>56</v>
      </c>
      <c r="G5478" s="18" t="s">
        <v>39</v>
      </c>
      <c r="H5478" s="18" t="s">
        <v>23</v>
      </c>
      <c r="I5478" s="19">
        <v>22.33</v>
      </c>
      <c r="J5478" s="40">
        <f t="shared" si="170"/>
        <v>223.29999999999998</v>
      </c>
      <c r="K5478" s="106"/>
      <c r="L5478" s="114"/>
      <c r="M5478" s="114">
        <f>tblAquisições[[#This Row],[VALOR UNITARIO COMPRADO]]*tblAquisições[[#This Row],[QUANTIDADE COMPRADA]]</f>
        <v>0</v>
      </c>
      <c r="N5478" s="110">
        <f>K5478-tblAquisições[[#This Row],[QUANTIDADE PLANEJADA]]</f>
        <v>-10</v>
      </c>
      <c r="O5478" s="106" t="str">
        <f t="shared" si="171"/>
        <v>Faltando Comprar</v>
      </c>
    </row>
    <row r="5479" spans="1:15" ht="47.25">
      <c r="A5479" s="16" t="s">
        <v>3077</v>
      </c>
      <c r="B5479" s="16" t="s">
        <v>3084</v>
      </c>
      <c r="C5479" s="17" t="s">
        <v>19</v>
      </c>
      <c r="D5479" s="18" t="s">
        <v>3136</v>
      </c>
      <c r="E5479" s="18">
        <v>100</v>
      </c>
      <c r="F5479" s="18" t="s">
        <v>217</v>
      </c>
      <c r="G5479" s="18" t="s">
        <v>39</v>
      </c>
      <c r="H5479" s="18" t="s">
        <v>23</v>
      </c>
      <c r="I5479" s="19">
        <v>123.22</v>
      </c>
      <c r="J5479" s="40">
        <f t="shared" si="170"/>
        <v>12322</v>
      </c>
      <c r="K5479" s="106"/>
      <c r="L5479" s="114"/>
      <c r="M5479" s="114">
        <f>tblAquisições[[#This Row],[VALOR UNITARIO COMPRADO]]*tblAquisições[[#This Row],[QUANTIDADE COMPRADA]]</f>
        <v>0</v>
      </c>
      <c r="N5479" s="110">
        <f>K5479-tblAquisições[[#This Row],[QUANTIDADE PLANEJADA]]</f>
        <v>-100</v>
      </c>
      <c r="O5479" s="106" t="str">
        <f t="shared" si="171"/>
        <v>Faltando Comprar</v>
      </c>
    </row>
    <row r="5480" spans="1:15" ht="47.25">
      <c r="A5480" s="16" t="s">
        <v>3077</v>
      </c>
      <c r="B5480" s="16" t="s">
        <v>3077</v>
      </c>
      <c r="C5480" s="17" t="s">
        <v>19</v>
      </c>
      <c r="D5480" s="18" t="s">
        <v>2792</v>
      </c>
      <c r="E5480" s="18">
        <v>10</v>
      </c>
      <c r="F5480" s="18" t="s">
        <v>147</v>
      </c>
      <c r="G5480" s="18" t="s">
        <v>39</v>
      </c>
      <c r="H5480" s="18" t="s">
        <v>23</v>
      </c>
      <c r="I5480" s="19">
        <v>5.0199999999999996</v>
      </c>
      <c r="J5480" s="40">
        <f t="shared" si="170"/>
        <v>50.199999999999996</v>
      </c>
      <c r="K5480" s="106"/>
      <c r="L5480" s="114"/>
      <c r="M5480" s="114">
        <f>tblAquisições[[#This Row],[VALOR UNITARIO COMPRADO]]*tblAquisições[[#This Row],[QUANTIDADE COMPRADA]]</f>
        <v>0</v>
      </c>
      <c r="N5480" s="110">
        <f>K5480-tblAquisições[[#This Row],[QUANTIDADE PLANEJADA]]</f>
        <v>-10</v>
      </c>
      <c r="O5480" s="106" t="str">
        <f t="shared" si="171"/>
        <v>Faltando Comprar</v>
      </c>
    </row>
    <row r="5481" spans="1:15" ht="47.25">
      <c r="A5481" s="16" t="s">
        <v>3077</v>
      </c>
      <c r="B5481" s="16" t="s">
        <v>3083</v>
      </c>
      <c r="C5481" s="17" t="s">
        <v>19</v>
      </c>
      <c r="D5481" s="18" t="s">
        <v>2792</v>
      </c>
      <c r="E5481" s="18">
        <v>24</v>
      </c>
      <c r="F5481" s="18" t="s">
        <v>147</v>
      </c>
      <c r="G5481" s="18" t="s">
        <v>39</v>
      </c>
      <c r="H5481" s="18" t="s">
        <v>23</v>
      </c>
      <c r="I5481" s="19">
        <v>5.0199999999999996</v>
      </c>
      <c r="J5481" s="40">
        <f t="shared" si="170"/>
        <v>120.47999999999999</v>
      </c>
      <c r="K5481" s="106"/>
      <c r="L5481" s="114"/>
      <c r="M5481" s="114">
        <f>tblAquisições[[#This Row],[VALOR UNITARIO COMPRADO]]*tblAquisições[[#This Row],[QUANTIDADE COMPRADA]]</f>
        <v>0</v>
      </c>
      <c r="N5481" s="110">
        <f>K5481-tblAquisições[[#This Row],[QUANTIDADE PLANEJADA]]</f>
        <v>-24</v>
      </c>
      <c r="O5481" s="106" t="str">
        <f t="shared" si="171"/>
        <v>Faltando Comprar</v>
      </c>
    </row>
    <row r="5482" spans="1:15" ht="47.25">
      <c r="A5482" s="16" t="s">
        <v>3077</v>
      </c>
      <c r="B5482" s="16" t="s">
        <v>3080</v>
      </c>
      <c r="C5482" s="17" t="s">
        <v>19</v>
      </c>
      <c r="D5482" s="18" t="s">
        <v>3137</v>
      </c>
      <c r="E5482" s="18">
        <v>4</v>
      </c>
      <c r="F5482" s="18" t="s">
        <v>78</v>
      </c>
      <c r="G5482" s="18" t="s">
        <v>22</v>
      </c>
      <c r="H5482" s="18" t="s">
        <v>65</v>
      </c>
      <c r="I5482" s="24">
        <v>13.32</v>
      </c>
      <c r="J5482" s="40">
        <f t="shared" si="170"/>
        <v>53.28</v>
      </c>
      <c r="K5482" s="106"/>
      <c r="L5482" s="114"/>
      <c r="M5482" s="114">
        <f>tblAquisições[[#This Row],[VALOR UNITARIO COMPRADO]]*tblAquisições[[#This Row],[QUANTIDADE COMPRADA]]</f>
        <v>0</v>
      </c>
      <c r="N5482" s="110">
        <f>K5482-tblAquisições[[#This Row],[QUANTIDADE PLANEJADA]]</f>
        <v>-4</v>
      </c>
      <c r="O5482" s="106" t="str">
        <f t="shared" si="171"/>
        <v>Faltando Comprar</v>
      </c>
    </row>
    <row r="5483" spans="1:15" ht="47.25">
      <c r="A5483" s="16" t="s">
        <v>3077</v>
      </c>
      <c r="B5483" s="16" t="s">
        <v>3084</v>
      </c>
      <c r="C5483" s="17" t="s">
        <v>19</v>
      </c>
      <c r="D5483" s="18" t="s">
        <v>1181</v>
      </c>
      <c r="E5483" s="18">
        <v>50</v>
      </c>
      <c r="F5483" s="18" t="s">
        <v>191</v>
      </c>
      <c r="G5483" s="18" t="s">
        <v>39</v>
      </c>
      <c r="H5483" s="18" t="s">
        <v>23</v>
      </c>
      <c r="I5483" s="19">
        <v>8.66</v>
      </c>
      <c r="J5483" s="40">
        <f t="shared" si="170"/>
        <v>433</v>
      </c>
      <c r="K5483" s="106"/>
      <c r="L5483" s="114"/>
      <c r="M5483" s="114">
        <f>tblAquisições[[#This Row],[VALOR UNITARIO COMPRADO]]*tblAquisições[[#This Row],[QUANTIDADE COMPRADA]]</f>
        <v>0</v>
      </c>
      <c r="N5483" s="110">
        <f>K5483-tblAquisições[[#This Row],[QUANTIDADE PLANEJADA]]</f>
        <v>-50</v>
      </c>
      <c r="O5483" s="106" t="str">
        <f t="shared" si="171"/>
        <v>Faltando Comprar</v>
      </c>
    </row>
    <row r="5484" spans="1:15" ht="63">
      <c r="A5484" s="16" t="s">
        <v>3077</v>
      </c>
      <c r="B5484" s="16" t="s">
        <v>3084</v>
      </c>
      <c r="C5484" s="17" t="s">
        <v>19</v>
      </c>
      <c r="D5484" s="18" t="s">
        <v>3138</v>
      </c>
      <c r="E5484" s="18">
        <v>5</v>
      </c>
      <c r="F5484" s="18" t="s">
        <v>2678</v>
      </c>
      <c r="G5484" s="18" t="s">
        <v>775</v>
      </c>
      <c r="H5484" s="18" t="s">
        <v>23</v>
      </c>
      <c r="I5484" s="19">
        <v>2102.02</v>
      </c>
      <c r="J5484" s="40">
        <f t="shared" si="170"/>
        <v>10510.1</v>
      </c>
      <c r="K5484" s="106"/>
      <c r="L5484" s="114"/>
      <c r="M5484" s="114">
        <f>tblAquisições[[#This Row],[VALOR UNITARIO COMPRADO]]*tblAquisições[[#This Row],[QUANTIDADE COMPRADA]]</f>
        <v>0</v>
      </c>
      <c r="N5484" s="110">
        <f>K5484-tblAquisições[[#This Row],[QUANTIDADE PLANEJADA]]</f>
        <v>-5</v>
      </c>
      <c r="O5484" s="106" t="str">
        <f t="shared" si="171"/>
        <v>Faltando Comprar</v>
      </c>
    </row>
    <row r="5485" spans="1:15" ht="47.25">
      <c r="A5485" s="16" t="s">
        <v>3077</v>
      </c>
      <c r="B5485" s="16" t="s">
        <v>3083</v>
      </c>
      <c r="C5485" s="17" t="s">
        <v>19</v>
      </c>
      <c r="D5485" s="18" t="s">
        <v>3139</v>
      </c>
      <c r="E5485" s="18">
        <v>3</v>
      </c>
      <c r="F5485" s="18" t="s">
        <v>96</v>
      </c>
      <c r="G5485" s="18" t="s">
        <v>39</v>
      </c>
      <c r="H5485" s="18" t="s">
        <v>65</v>
      </c>
      <c r="I5485" s="19">
        <v>226.11</v>
      </c>
      <c r="J5485" s="40">
        <f t="shared" si="170"/>
        <v>678.33</v>
      </c>
      <c r="K5485" s="106"/>
      <c r="L5485" s="114"/>
      <c r="M5485" s="114">
        <f>tblAquisições[[#This Row],[VALOR UNITARIO COMPRADO]]*tblAquisições[[#This Row],[QUANTIDADE COMPRADA]]</f>
        <v>0</v>
      </c>
      <c r="N5485" s="110">
        <f>K5485-tblAquisições[[#This Row],[QUANTIDADE PLANEJADA]]</f>
        <v>-3</v>
      </c>
      <c r="O5485" s="106" t="str">
        <f t="shared" si="171"/>
        <v>Faltando Comprar</v>
      </c>
    </row>
    <row r="5486" spans="1:15" ht="47.25">
      <c r="A5486" s="16" t="s">
        <v>3077</v>
      </c>
      <c r="B5486" s="16" t="s">
        <v>3084</v>
      </c>
      <c r="C5486" s="17" t="s">
        <v>19</v>
      </c>
      <c r="D5486" s="18" t="s">
        <v>2796</v>
      </c>
      <c r="E5486" s="18">
        <v>5</v>
      </c>
      <c r="F5486" s="18" t="s">
        <v>96</v>
      </c>
      <c r="G5486" s="18" t="s">
        <v>39</v>
      </c>
      <c r="H5486" s="18" t="s">
        <v>65</v>
      </c>
      <c r="I5486" s="24">
        <v>36.43</v>
      </c>
      <c r="J5486" s="40">
        <f t="shared" si="170"/>
        <v>182.15</v>
      </c>
      <c r="K5486" s="106"/>
      <c r="L5486" s="114"/>
      <c r="M5486" s="114">
        <f>tblAquisições[[#This Row],[VALOR UNITARIO COMPRADO]]*tblAquisições[[#This Row],[QUANTIDADE COMPRADA]]</f>
        <v>0</v>
      </c>
      <c r="N5486" s="110">
        <f>K5486-tblAquisições[[#This Row],[QUANTIDADE PLANEJADA]]</f>
        <v>-5</v>
      </c>
      <c r="O5486" s="106" t="str">
        <f t="shared" si="171"/>
        <v>Faltando Comprar</v>
      </c>
    </row>
    <row r="5487" spans="1:15" ht="63">
      <c r="A5487" s="16" t="s">
        <v>3077</v>
      </c>
      <c r="B5487" s="16" t="s">
        <v>3084</v>
      </c>
      <c r="C5487" s="17" t="s">
        <v>19</v>
      </c>
      <c r="D5487" s="18" t="s">
        <v>2797</v>
      </c>
      <c r="E5487" s="18">
        <v>5</v>
      </c>
      <c r="F5487" s="18" t="s">
        <v>2678</v>
      </c>
      <c r="G5487" s="18" t="s">
        <v>775</v>
      </c>
      <c r="H5487" s="18" t="s">
        <v>23</v>
      </c>
      <c r="I5487" s="19">
        <v>190.1</v>
      </c>
      <c r="J5487" s="40">
        <f t="shared" si="170"/>
        <v>950.5</v>
      </c>
      <c r="K5487" s="106"/>
      <c r="L5487" s="114"/>
      <c r="M5487" s="114">
        <f>tblAquisições[[#This Row],[VALOR UNITARIO COMPRADO]]*tblAquisições[[#This Row],[QUANTIDADE COMPRADA]]</f>
        <v>0</v>
      </c>
      <c r="N5487" s="110">
        <f>K5487-tblAquisições[[#This Row],[QUANTIDADE PLANEJADA]]</f>
        <v>-5</v>
      </c>
      <c r="O5487" s="106" t="str">
        <f t="shared" si="171"/>
        <v>Faltando Comprar</v>
      </c>
    </row>
    <row r="5488" spans="1:15" ht="47.25">
      <c r="A5488" s="16" t="s">
        <v>3077</v>
      </c>
      <c r="B5488" s="16" t="s">
        <v>3080</v>
      </c>
      <c r="C5488" s="17" t="s">
        <v>19</v>
      </c>
      <c r="D5488" s="18" t="s">
        <v>3140</v>
      </c>
      <c r="E5488" s="18">
        <v>1</v>
      </c>
      <c r="F5488" s="18" t="s">
        <v>214</v>
      </c>
      <c r="G5488" s="18" t="s">
        <v>127</v>
      </c>
      <c r="H5488" s="18" t="s">
        <v>23</v>
      </c>
      <c r="I5488" s="19">
        <v>190.1</v>
      </c>
      <c r="J5488" s="40">
        <f t="shared" si="170"/>
        <v>190.1</v>
      </c>
      <c r="K5488" s="106"/>
      <c r="L5488" s="114"/>
      <c r="M5488" s="114">
        <f>tblAquisições[[#This Row],[VALOR UNITARIO COMPRADO]]*tblAquisições[[#This Row],[QUANTIDADE COMPRADA]]</f>
        <v>0</v>
      </c>
      <c r="N5488" s="110">
        <f>K5488-tblAquisições[[#This Row],[QUANTIDADE PLANEJADA]]</f>
        <v>-1</v>
      </c>
      <c r="O5488" s="106" t="str">
        <f t="shared" si="171"/>
        <v>Faltando Comprar</v>
      </c>
    </row>
    <row r="5489" spans="1:15" ht="78.75">
      <c r="A5489" s="16" t="s">
        <v>3077</v>
      </c>
      <c r="B5489" s="16" t="s">
        <v>3084</v>
      </c>
      <c r="C5489" s="17" t="s">
        <v>19</v>
      </c>
      <c r="D5489" s="18" t="s">
        <v>3141</v>
      </c>
      <c r="E5489" s="18">
        <v>3</v>
      </c>
      <c r="F5489" s="18" t="s">
        <v>3019</v>
      </c>
      <c r="G5489" s="18" t="s">
        <v>39</v>
      </c>
      <c r="H5489" s="18" t="s">
        <v>23</v>
      </c>
      <c r="I5489" s="19">
        <v>191.73</v>
      </c>
      <c r="J5489" s="40">
        <f t="shared" si="170"/>
        <v>575.18999999999994</v>
      </c>
      <c r="K5489" s="106"/>
      <c r="L5489" s="114"/>
      <c r="M5489" s="114">
        <f>tblAquisições[[#This Row],[VALOR UNITARIO COMPRADO]]*tblAquisições[[#This Row],[QUANTIDADE COMPRADA]]</f>
        <v>0</v>
      </c>
      <c r="N5489" s="110">
        <f>K5489-tblAquisições[[#This Row],[QUANTIDADE PLANEJADA]]</f>
        <v>-3</v>
      </c>
      <c r="O5489" s="106" t="str">
        <f t="shared" si="171"/>
        <v>Faltando Comprar</v>
      </c>
    </row>
    <row r="5490" spans="1:15" ht="63">
      <c r="A5490" s="16" t="s">
        <v>3077</v>
      </c>
      <c r="B5490" s="16" t="s">
        <v>3084</v>
      </c>
      <c r="C5490" s="17" t="s">
        <v>19</v>
      </c>
      <c r="D5490" s="18" t="s">
        <v>3142</v>
      </c>
      <c r="E5490" s="18">
        <v>15</v>
      </c>
      <c r="F5490" s="18" t="s">
        <v>2678</v>
      </c>
      <c r="G5490" s="18" t="s">
        <v>775</v>
      </c>
      <c r="H5490" s="18" t="s">
        <v>23</v>
      </c>
      <c r="I5490" s="19">
        <v>300.66000000000003</v>
      </c>
      <c r="J5490" s="40">
        <f t="shared" si="170"/>
        <v>4509.9000000000005</v>
      </c>
      <c r="K5490" s="106"/>
      <c r="L5490" s="114"/>
      <c r="M5490" s="114">
        <f>tblAquisições[[#This Row],[VALOR UNITARIO COMPRADO]]*tblAquisições[[#This Row],[QUANTIDADE COMPRADA]]</f>
        <v>0</v>
      </c>
      <c r="N5490" s="110">
        <f>K5490-tblAquisições[[#This Row],[QUANTIDADE PLANEJADA]]</f>
        <v>-15</v>
      </c>
      <c r="O5490" s="106" t="str">
        <f t="shared" si="171"/>
        <v>Faltando Comprar</v>
      </c>
    </row>
    <row r="5491" spans="1:15" ht="47.25">
      <c r="A5491" s="16" t="s">
        <v>3077</v>
      </c>
      <c r="B5491" s="16" t="s">
        <v>3084</v>
      </c>
      <c r="C5491" s="17" t="s">
        <v>19</v>
      </c>
      <c r="D5491" s="18" t="s">
        <v>3143</v>
      </c>
      <c r="E5491" s="18">
        <v>3</v>
      </c>
      <c r="F5491" s="18" t="s">
        <v>96</v>
      </c>
      <c r="G5491" s="18" t="s">
        <v>39</v>
      </c>
      <c r="H5491" s="18" t="s">
        <v>65</v>
      </c>
      <c r="I5491" s="19">
        <v>33.47</v>
      </c>
      <c r="J5491" s="40">
        <f t="shared" si="170"/>
        <v>100.41</v>
      </c>
      <c r="K5491" s="106"/>
      <c r="L5491" s="114"/>
      <c r="M5491" s="114">
        <f>tblAquisições[[#This Row],[VALOR UNITARIO COMPRADO]]*tblAquisições[[#This Row],[QUANTIDADE COMPRADA]]</f>
        <v>0</v>
      </c>
      <c r="N5491" s="110">
        <f>K5491-tblAquisições[[#This Row],[QUANTIDADE PLANEJADA]]</f>
        <v>-3</v>
      </c>
      <c r="O5491" s="106" t="str">
        <f t="shared" si="171"/>
        <v>Faltando Comprar</v>
      </c>
    </row>
    <row r="5492" spans="1:15" ht="31.5">
      <c r="A5492" s="16" t="s">
        <v>3077</v>
      </c>
      <c r="B5492" s="16" t="s">
        <v>3083</v>
      </c>
      <c r="C5492" s="17" t="s">
        <v>19</v>
      </c>
      <c r="D5492" s="18" t="s">
        <v>2967</v>
      </c>
      <c r="E5492" s="18">
        <v>5</v>
      </c>
      <c r="F5492" s="18" t="s">
        <v>56</v>
      </c>
      <c r="G5492" s="18" t="s">
        <v>39</v>
      </c>
      <c r="H5492" s="18" t="s">
        <v>23</v>
      </c>
      <c r="I5492" s="19">
        <v>66.34</v>
      </c>
      <c r="J5492" s="40">
        <f t="shared" si="170"/>
        <v>331.70000000000005</v>
      </c>
      <c r="K5492" s="106"/>
      <c r="L5492" s="114"/>
      <c r="M5492" s="114">
        <f>tblAquisições[[#This Row],[VALOR UNITARIO COMPRADO]]*tblAquisições[[#This Row],[QUANTIDADE COMPRADA]]</f>
        <v>0</v>
      </c>
      <c r="N5492" s="110">
        <f>K5492-tblAquisições[[#This Row],[QUANTIDADE PLANEJADA]]</f>
        <v>-5</v>
      </c>
      <c r="O5492" s="106" t="str">
        <f t="shared" si="171"/>
        <v>Faltando Comprar</v>
      </c>
    </row>
    <row r="5493" spans="1:15" ht="47.25">
      <c r="A5493" s="16" t="s">
        <v>3077</v>
      </c>
      <c r="B5493" s="16" t="s">
        <v>3084</v>
      </c>
      <c r="C5493" s="17" t="s">
        <v>19</v>
      </c>
      <c r="D5493" s="18" t="s">
        <v>3144</v>
      </c>
      <c r="E5493" s="18">
        <v>1000</v>
      </c>
      <c r="F5493" s="18" t="s">
        <v>96</v>
      </c>
      <c r="G5493" s="18" t="s">
        <v>39</v>
      </c>
      <c r="H5493" s="18" t="s">
        <v>23</v>
      </c>
      <c r="I5493" s="19">
        <v>5.07</v>
      </c>
      <c r="J5493" s="40">
        <f t="shared" si="170"/>
        <v>5070</v>
      </c>
      <c r="K5493" s="106"/>
      <c r="L5493" s="114"/>
      <c r="M5493" s="114">
        <f>tblAquisições[[#This Row],[VALOR UNITARIO COMPRADO]]*tblAquisições[[#This Row],[QUANTIDADE COMPRADA]]</f>
        <v>0</v>
      </c>
      <c r="N5493" s="110">
        <f>K5493-tblAquisições[[#This Row],[QUANTIDADE PLANEJADA]]</f>
        <v>-1000</v>
      </c>
      <c r="O5493" s="106" t="str">
        <f t="shared" si="171"/>
        <v>Faltando Comprar</v>
      </c>
    </row>
    <row r="5494" spans="1:15" ht="47.25">
      <c r="A5494" s="16" t="s">
        <v>3077</v>
      </c>
      <c r="B5494" s="16" t="s">
        <v>3084</v>
      </c>
      <c r="C5494" s="17" t="s">
        <v>19</v>
      </c>
      <c r="D5494" s="18" t="s">
        <v>1386</v>
      </c>
      <c r="E5494" s="18">
        <v>10</v>
      </c>
      <c r="F5494" s="18" t="s">
        <v>96</v>
      </c>
      <c r="G5494" s="18" t="s">
        <v>39</v>
      </c>
      <c r="H5494" s="18" t="s">
        <v>23</v>
      </c>
      <c r="I5494" s="19">
        <v>44.66</v>
      </c>
      <c r="J5494" s="40">
        <f t="shared" si="170"/>
        <v>446.59999999999997</v>
      </c>
      <c r="K5494" s="106"/>
      <c r="L5494" s="114"/>
      <c r="M5494" s="114">
        <f>tblAquisições[[#This Row],[VALOR UNITARIO COMPRADO]]*tblAquisições[[#This Row],[QUANTIDADE COMPRADA]]</f>
        <v>0</v>
      </c>
      <c r="N5494" s="110">
        <f>K5494-tblAquisições[[#This Row],[QUANTIDADE PLANEJADA]]</f>
        <v>-10</v>
      </c>
      <c r="O5494" s="106" t="str">
        <f t="shared" si="171"/>
        <v>Faltando Comprar</v>
      </c>
    </row>
    <row r="5495" spans="1:15" ht="47.25">
      <c r="A5495" s="16" t="s">
        <v>3077</v>
      </c>
      <c r="B5495" s="16" t="s">
        <v>3077</v>
      </c>
      <c r="C5495" s="17" t="s">
        <v>19</v>
      </c>
      <c r="D5495" s="18" t="s">
        <v>3145</v>
      </c>
      <c r="E5495" s="18">
        <v>6</v>
      </c>
      <c r="F5495" s="18" t="s">
        <v>96</v>
      </c>
      <c r="G5495" s="18" t="s">
        <v>39</v>
      </c>
      <c r="H5495" s="18" t="s">
        <v>23</v>
      </c>
      <c r="I5495" s="19">
        <v>23.2</v>
      </c>
      <c r="J5495" s="40">
        <f t="shared" si="170"/>
        <v>139.19999999999999</v>
      </c>
      <c r="K5495" s="106"/>
      <c r="L5495" s="114"/>
      <c r="M5495" s="114">
        <f>tblAquisições[[#This Row],[VALOR UNITARIO COMPRADO]]*tblAquisições[[#This Row],[QUANTIDADE COMPRADA]]</f>
        <v>0</v>
      </c>
      <c r="N5495" s="110">
        <f>K5495-tblAquisições[[#This Row],[QUANTIDADE PLANEJADA]]</f>
        <v>-6</v>
      </c>
      <c r="O5495" s="106" t="str">
        <f t="shared" si="171"/>
        <v>Faltando Comprar</v>
      </c>
    </row>
    <row r="5496" spans="1:15" ht="63">
      <c r="A5496" s="16" t="s">
        <v>3077</v>
      </c>
      <c r="B5496" s="16" t="s">
        <v>3077</v>
      </c>
      <c r="C5496" s="17" t="s">
        <v>19</v>
      </c>
      <c r="D5496" s="18" t="s">
        <v>2969</v>
      </c>
      <c r="E5496" s="18">
        <v>10</v>
      </c>
      <c r="F5496" s="18" t="s">
        <v>2678</v>
      </c>
      <c r="G5496" s="18" t="s">
        <v>775</v>
      </c>
      <c r="H5496" s="18" t="s">
        <v>23</v>
      </c>
      <c r="I5496" s="19">
        <v>814.63</v>
      </c>
      <c r="J5496" s="40">
        <f t="shared" si="170"/>
        <v>8146.3</v>
      </c>
      <c r="K5496" s="106"/>
      <c r="L5496" s="114"/>
      <c r="M5496" s="114">
        <f>tblAquisições[[#This Row],[VALOR UNITARIO COMPRADO]]*tblAquisições[[#This Row],[QUANTIDADE COMPRADA]]</f>
        <v>0</v>
      </c>
      <c r="N5496" s="110">
        <f>K5496-tblAquisições[[#This Row],[QUANTIDADE PLANEJADA]]</f>
        <v>-10</v>
      </c>
      <c r="O5496" s="106" t="str">
        <f t="shared" si="171"/>
        <v>Faltando Comprar</v>
      </c>
    </row>
    <row r="5497" spans="1:15" ht="63">
      <c r="A5497" s="16" t="s">
        <v>3077</v>
      </c>
      <c r="B5497" s="16" t="s">
        <v>3083</v>
      </c>
      <c r="C5497" s="17" t="s">
        <v>19</v>
      </c>
      <c r="D5497" s="18" t="s">
        <v>2969</v>
      </c>
      <c r="E5497" s="18">
        <v>8</v>
      </c>
      <c r="F5497" s="18" t="s">
        <v>2678</v>
      </c>
      <c r="G5497" s="18" t="s">
        <v>775</v>
      </c>
      <c r="H5497" s="18" t="s">
        <v>23</v>
      </c>
      <c r="I5497" s="19">
        <v>814.63</v>
      </c>
      <c r="J5497" s="40">
        <f t="shared" si="170"/>
        <v>6517.04</v>
      </c>
      <c r="K5497" s="106"/>
      <c r="L5497" s="114"/>
      <c r="M5497" s="114">
        <f>tblAquisições[[#This Row],[VALOR UNITARIO COMPRADO]]*tblAquisições[[#This Row],[QUANTIDADE COMPRADA]]</f>
        <v>0</v>
      </c>
      <c r="N5497" s="110">
        <f>K5497-tblAquisições[[#This Row],[QUANTIDADE PLANEJADA]]</f>
        <v>-8</v>
      </c>
      <c r="O5497" s="106" t="str">
        <f t="shared" si="171"/>
        <v>Faltando Comprar</v>
      </c>
    </row>
    <row r="5498" spans="1:15" ht="63">
      <c r="A5498" s="16" t="s">
        <v>3077</v>
      </c>
      <c r="B5498" s="16" t="s">
        <v>3084</v>
      </c>
      <c r="C5498" s="17" t="s">
        <v>19</v>
      </c>
      <c r="D5498" s="18" t="s">
        <v>2969</v>
      </c>
      <c r="E5498" s="18">
        <v>5</v>
      </c>
      <c r="F5498" s="18" t="s">
        <v>2678</v>
      </c>
      <c r="G5498" s="18" t="s">
        <v>775</v>
      </c>
      <c r="H5498" s="18" t="s">
        <v>23</v>
      </c>
      <c r="I5498" s="19">
        <v>814.63</v>
      </c>
      <c r="J5498" s="40">
        <f t="shared" si="170"/>
        <v>4073.15</v>
      </c>
      <c r="K5498" s="106"/>
      <c r="L5498" s="114"/>
      <c r="M5498" s="114">
        <f>tblAquisições[[#This Row],[VALOR UNITARIO COMPRADO]]*tblAquisições[[#This Row],[QUANTIDADE COMPRADA]]</f>
        <v>0</v>
      </c>
      <c r="N5498" s="110">
        <f>K5498-tblAquisições[[#This Row],[QUANTIDADE PLANEJADA]]</f>
        <v>-5</v>
      </c>
      <c r="O5498" s="106" t="str">
        <f t="shared" si="171"/>
        <v>Faltando Comprar</v>
      </c>
    </row>
    <row r="5499" spans="1:15" ht="47.25">
      <c r="A5499" s="16" t="s">
        <v>3077</v>
      </c>
      <c r="B5499" s="16" t="s">
        <v>3078</v>
      </c>
      <c r="C5499" s="17" t="s">
        <v>19</v>
      </c>
      <c r="D5499" s="18" t="s">
        <v>3146</v>
      </c>
      <c r="E5499" s="18">
        <v>10</v>
      </c>
      <c r="F5499" s="18" t="s">
        <v>214</v>
      </c>
      <c r="G5499" s="18" t="s">
        <v>127</v>
      </c>
      <c r="H5499" s="18" t="s">
        <v>23</v>
      </c>
      <c r="I5499" s="19">
        <v>814.63</v>
      </c>
      <c r="J5499" s="40">
        <f t="shared" si="170"/>
        <v>8146.3</v>
      </c>
      <c r="K5499" s="106"/>
      <c r="L5499" s="114"/>
      <c r="M5499" s="114">
        <f>tblAquisições[[#This Row],[VALOR UNITARIO COMPRADO]]*tblAquisições[[#This Row],[QUANTIDADE COMPRADA]]</f>
        <v>0</v>
      </c>
      <c r="N5499" s="110">
        <f>K5499-tblAquisições[[#This Row],[QUANTIDADE PLANEJADA]]</f>
        <v>-10</v>
      </c>
      <c r="O5499" s="106" t="str">
        <f t="shared" si="171"/>
        <v>Faltando Comprar</v>
      </c>
    </row>
    <row r="5500" spans="1:15" ht="31.5">
      <c r="A5500" s="16" t="s">
        <v>3077</v>
      </c>
      <c r="B5500" s="16" t="s">
        <v>3077</v>
      </c>
      <c r="C5500" s="17" t="s">
        <v>19</v>
      </c>
      <c r="D5500" s="18" t="s">
        <v>3147</v>
      </c>
      <c r="E5500" s="18">
        <v>12</v>
      </c>
      <c r="F5500" s="18" t="s">
        <v>56</v>
      </c>
      <c r="G5500" s="18" t="s">
        <v>39</v>
      </c>
      <c r="H5500" s="18" t="s">
        <v>23</v>
      </c>
      <c r="I5500" s="19">
        <v>152</v>
      </c>
      <c r="J5500" s="40">
        <f t="shared" si="170"/>
        <v>1824</v>
      </c>
      <c r="K5500" s="106"/>
      <c r="L5500" s="114"/>
      <c r="M5500" s="114">
        <f>tblAquisições[[#This Row],[VALOR UNITARIO COMPRADO]]*tblAquisições[[#This Row],[QUANTIDADE COMPRADA]]</f>
        <v>0</v>
      </c>
      <c r="N5500" s="110">
        <f>K5500-tblAquisições[[#This Row],[QUANTIDADE PLANEJADA]]</f>
        <v>-12</v>
      </c>
      <c r="O5500" s="106" t="str">
        <f t="shared" si="171"/>
        <v>Faltando Comprar</v>
      </c>
    </row>
    <row r="5501" spans="1:15" ht="31.5">
      <c r="A5501" s="16" t="s">
        <v>3077</v>
      </c>
      <c r="B5501" s="16" t="s">
        <v>3083</v>
      </c>
      <c r="C5501" s="17" t="s">
        <v>19</v>
      </c>
      <c r="D5501" s="18" t="s">
        <v>3147</v>
      </c>
      <c r="E5501" s="18">
        <v>6</v>
      </c>
      <c r="F5501" s="18" t="s">
        <v>56</v>
      </c>
      <c r="G5501" s="18" t="s">
        <v>39</v>
      </c>
      <c r="H5501" s="18" t="s">
        <v>23</v>
      </c>
      <c r="I5501" s="19">
        <v>152</v>
      </c>
      <c r="J5501" s="40">
        <f t="shared" si="170"/>
        <v>912</v>
      </c>
      <c r="K5501" s="106"/>
      <c r="L5501" s="114"/>
      <c r="M5501" s="114">
        <f>tblAquisições[[#This Row],[VALOR UNITARIO COMPRADO]]*tblAquisições[[#This Row],[QUANTIDADE COMPRADA]]</f>
        <v>0</v>
      </c>
      <c r="N5501" s="110">
        <f>K5501-tblAquisições[[#This Row],[QUANTIDADE PLANEJADA]]</f>
        <v>-6</v>
      </c>
      <c r="O5501" s="106" t="str">
        <f t="shared" si="171"/>
        <v>Faltando Comprar</v>
      </c>
    </row>
    <row r="5502" spans="1:15" ht="63">
      <c r="A5502" s="16" t="s">
        <v>3077</v>
      </c>
      <c r="B5502" s="16" t="s">
        <v>3083</v>
      </c>
      <c r="C5502" s="17" t="s">
        <v>19</v>
      </c>
      <c r="D5502" s="18" t="s">
        <v>2806</v>
      </c>
      <c r="E5502" s="18">
        <v>8</v>
      </c>
      <c r="F5502" s="18" t="s">
        <v>2678</v>
      </c>
      <c r="G5502" s="18" t="s">
        <v>775</v>
      </c>
      <c r="H5502" s="18" t="s">
        <v>23</v>
      </c>
      <c r="I5502" s="19">
        <v>701.25</v>
      </c>
      <c r="J5502" s="40">
        <f t="shared" si="170"/>
        <v>5610</v>
      </c>
      <c r="K5502" s="106"/>
      <c r="L5502" s="114"/>
      <c r="M5502" s="114">
        <f>tblAquisições[[#This Row],[VALOR UNITARIO COMPRADO]]*tblAquisições[[#This Row],[QUANTIDADE COMPRADA]]</f>
        <v>0</v>
      </c>
      <c r="N5502" s="110">
        <f>K5502-tblAquisições[[#This Row],[QUANTIDADE PLANEJADA]]</f>
        <v>-8</v>
      </c>
      <c r="O5502" s="106" t="str">
        <f t="shared" si="171"/>
        <v>Faltando Comprar</v>
      </c>
    </row>
    <row r="5503" spans="1:15" ht="47.25">
      <c r="A5503" s="16" t="s">
        <v>3077</v>
      </c>
      <c r="B5503" s="16" t="s">
        <v>3077</v>
      </c>
      <c r="C5503" s="17" t="s">
        <v>19</v>
      </c>
      <c r="D5503" s="18" t="s">
        <v>3148</v>
      </c>
      <c r="E5503" s="18">
        <v>6</v>
      </c>
      <c r="F5503" s="18" t="s">
        <v>96</v>
      </c>
      <c r="G5503" s="18" t="s">
        <v>39</v>
      </c>
      <c r="H5503" s="18" t="s">
        <v>23</v>
      </c>
      <c r="I5503" s="19">
        <v>27.66</v>
      </c>
      <c r="J5503" s="40">
        <f t="shared" si="170"/>
        <v>165.96</v>
      </c>
      <c r="K5503" s="106"/>
      <c r="L5503" s="114"/>
      <c r="M5503" s="114">
        <f>tblAquisições[[#This Row],[VALOR UNITARIO COMPRADO]]*tblAquisições[[#This Row],[QUANTIDADE COMPRADA]]</f>
        <v>0</v>
      </c>
      <c r="N5503" s="110">
        <f>K5503-tblAquisições[[#This Row],[QUANTIDADE PLANEJADA]]</f>
        <v>-6</v>
      </c>
      <c r="O5503" s="106" t="str">
        <f t="shared" si="171"/>
        <v>Faltando Comprar</v>
      </c>
    </row>
    <row r="5504" spans="1:15" ht="47.25">
      <c r="A5504" s="16" t="s">
        <v>3077</v>
      </c>
      <c r="B5504" s="16" t="s">
        <v>3083</v>
      </c>
      <c r="C5504" s="17" t="s">
        <v>19</v>
      </c>
      <c r="D5504" s="18" t="s">
        <v>3148</v>
      </c>
      <c r="E5504" s="18">
        <v>12</v>
      </c>
      <c r="F5504" s="18" t="s">
        <v>96</v>
      </c>
      <c r="G5504" s="18" t="s">
        <v>39</v>
      </c>
      <c r="H5504" s="18" t="s">
        <v>23</v>
      </c>
      <c r="I5504" s="19">
        <v>27.66</v>
      </c>
      <c r="J5504" s="40">
        <f t="shared" si="170"/>
        <v>331.92</v>
      </c>
      <c r="K5504" s="106"/>
      <c r="L5504" s="114"/>
      <c r="M5504" s="114">
        <f>tblAquisições[[#This Row],[VALOR UNITARIO COMPRADO]]*tblAquisições[[#This Row],[QUANTIDADE COMPRADA]]</f>
        <v>0</v>
      </c>
      <c r="N5504" s="110">
        <f>K5504-tblAquisições[[#This Row],[QUANTIDADE PLANEJADA]]</f>
        <v>-12</v>
      </c>
      <c r="O5504" s="106" t="str">
        <f t="shared" si="171"/>
        <v>Faltando Comprar</v>
      </c>
    </row>
    <row r="5505" spans="1:15" ht="31.5">
      <c r="A5505" s="16" t="s">
        <v>3077</v>
      </c>
      <c r="B5505" s="16" t="s">
        <v>3083</v>
      </c>
      <c r="C5505" s="17" t="s">
        <v>19</v>
      </c>
      <c r="D5505" s="18" t="s">
        <v>1586</v>
      </c>
      <c r="E5505" s="18">
        <v>8</v>
      </c>
      <c r="F5505" s="18" t="s">
        <v>56</v>
      </c>
      <c r="G5505" s="18" t="s">
        <v>39</v>
      </c>
      <c r="H5505" s="18" t="s">
        <v>23</v>
      </c>
      <c r="I5505" s="19">
        <v>86.29</v>
      </c>
      <c r="J5505" s="40">
        <f t="shared" si="170"/>
        <v>690.32</v>
      </c>
      <c r="K5505" s="106"/>
      <c r="L5505" s="114"/>
      <c r="M5505" s="114">
        <f>tblAquisições[[#This Row],[VALOR UNITARIO COMPRADO]]*tblAquisições[[#This Row],[QUANTIDADE COMPRADA]]</f>
        <v>0</v>
      </c>
      <c r="N5505" s="110">
        <f>K5505-tblAquisições[[#This Row],[QUANTIDADE PLANEJADA]]</f>
        <v>-8</v>
      </c>
      <c r="O5505" s="106" t="str">
        <f t="shared" si="171"/>
        <v>Faltando Comprar</v>
      </c>
    </row>
    <row r="5506" spans="1:15" ht="31.5">
      <c r="A5506" s="16" t="s">
        <v>3077</v>
      </c>
      <c r="B5506" s="16" t="s">
        <v>3084</v>
      </c>
      <c r="C5506" s="17" t="s">
        <v>19</v>
      </c>
      <c r="D5506" s="18" t="s">
        <v>1586</v>
      </c>
      <c r="E5506" s="18">
        <v>10</v>
      </c>
      <c r="F5506" s="18" t="s">
        <v>56</v>
      </c>
      <c r="G5506" s="18" t="s">
        <v>39</v>
      </c>
      <c r="H5506" s="18" t="s">
        <v>23</v>
      </c>
      <c r="I5506" s="19">
        <v>86.29</v>
      </c>
      <c r="J5506" s="40">
        <f t="shared" ref="J5506:J5569" si="172">E5506*I5506</f>
        <v>862.90000000000009</v>
      </c>
      <c r="K5506" s="106"/>
      <c r="L5506" s="114"/>
      <c r="M5506" s="114">
        <f>tblAquisições[[#This Row],[VALOR UNITARIO COMPRADO]]*tblAquisições[[#This Row],[QUANTIDADE COMPRADA]]</f>
        <v>0</v>
      </c>
      <c r="N5506" s="110">
        <f>K5506-tblAquisições[[#This Row],[QUANTIDADE PLANEJADA]]</f>
        <v>-10</v>
      </c>
      <c r="O5506" s="106" t="str">
        <f t="shared" ref="O5506:O5569" si="173">IF(K5506=E5506,"OK",IF(K5506&lt;E5506,"Faltando Comprar","Excedente"))</f>
        <v>Faltando Comprar</v>
      </c>
    </row>
    <row r="5507" spans="1:15" ht="31.5">
      <c r="A5507" s="16" t="s">
        <v>3077</v>
      </c>
      <c r="B5507" s="16" t="s">
        <v>3078</v>
      </c>
      <c r="C5507" s="17" t="s">
        <v>19</v>
      </c>
      <c r="D5507" s="18" t="s">
        <v>1587</v>
      </c>
      <c r="E5507" s="18">
        <v>10</v>
      </c>
      <c r="F5507" s="18" t="s">
        <v>170</v>
      </c>
      <c r="G5507" s="18" t="s">
        <v>22</v>
      </c>
      <c r="H5507" s="18" t="s">
        <v>23</v>
      </c>
      <c r="I5507" s="19">
        <v>86.29</v>
      </c>
      <c r="J5507" s="40">
        <f t="shared" si="172"/>
        <v>862.90000000000009</v>
      </c>
      <c r="K5507" s="106"/>
      <c r="L5507" s="114"/>
      <c r="M5507" s="114">
        <f>tblAquisições[[#This Row],[VALOR UNITARIO COMPRADO]]*tblAquisições[[#This Row],[QUANTIDADE COMPRADA]]</f>
        <v>0</v>
      </c>
      <c r="N5507" s="110">
        <f>K5507-tblAquisições[[#This Row],[QUANTIDADE PLANEJADA]]</f>
        <v>-10</v>
      </c>
      <c r="O5507" s="106" t="str">
        <f t="shared" si="173"/>
        <v>Faltando Comprar</v>
      </c>
    </row>
    <row r="5508" spans="1:15" ht="31.5">
      <c r="A5508" s="16" t="s">
        <v>3077</v>
      </c>
      <c r="B5508" s="16" t="s">
        <v>3080</v>
      </c>
      <c r="C5508" s="17" t="s">
        <v>19</v>
      </c>
      <c r="D5508" s="18" t="s">
        <v>1587</v>
      </c>
      <c r="E5508" s="18">
        <v>16</v>
      </c>
      <c r="F5508" s="18" t="s">
        <v>170</v>
      </c>
      <c r="G5508" s="18" t="s">
        <v>22</v>
      </c>
      <c r="H5508" s="18" t="s">
        <v>23</v>
      </c>
      <c r="I5508" s="19">
        <v>86.29</v>
      </c>
      <c r="J5508" s="40">
        <f t="shared" si="172"/>
        <v>1380.64</v>
      </c>
      <c r="K5508" s="106"/>
      <c r="L5508" s="114"/>
      <c r="M5508" s="114">
        <f>tblAquisições[[#This Row],[VALOR UNITARIO COMPRADO]]*tblAquisições[[#This Row],[QUANTIDADE COMPRADA]]</f>
        <v>0</v>
      </c>
      <c r="N5508" s="110">
        <f>K5508-tblAquisições[[#This Row],[QUANTIDADE PLANEJADA]]</f>
        <v>-16</v>
      </c>
      <c r="O5508" s="106" t="str">
        <f t="shared" si="173"/>
        <v>Faltando Comprar</v>
      </c>
    </row>
    <row r="5509" spans="1:15" ht="31.5">
      <c r="A5509" s="16" t="s">
        <v>3077</v>
      </c>
      <c r="B5509" s="16" t="s">
        <v>3078</v>
      </c>
      <c r="C5509" s="17" t="s">
        <v>19</v>
      </c>
      <c r="D5509" s="18" t="s">
        <v>3149</v>
      </c>
      <c r="E5509" s="18">
        <v>10</v>
      </c>
      <c r="F5509" s="18" t="s">
        <v>170</v>
      </c>
      <c r="G5509" s="18" t="s">
        <v>22</v>
      </c>
      <c r="H5509" s="18" t="s">
        <v>23</v>
      </c>
      <c r="I5509" s="19">
        <v>22</v>
      </c>
      <c r="J5509" s="40">
        <f t="shared" si="172"/>
        <v>220</v>
      </c>
      <c r="K5509" s="106"/>
      <c r="L5509" s="114"/>
      <c r="M5509" s="114">
        <f>tblAquisições[[#This Row],[VALOR UNITARIO COMPRADO]]*tblAquisições[[#This Row],[QUANTIDADE COMPRADA]]</f>
        <v>0</v>
      </c>
      <c r="N5509" s="110">
        <f>K5509-tblAquisições[[#This Row],[QUANTIDADE PLANEJADA]]</f>
        <v>-10</v>
      </c>
      <c r="O5509" s="106" t="str">
        <f t="shared" si="173"/>
        <v>Faltando Comprar</v>
      </c>
    </row>
    <row r="5510" spans="1:15" ht="31.5">
      <c r="A5510" s="16" t="s">
        <v>3077</v>
      </c>
      <c r="B5510" s="16" t="s">
        <v>3080</v>
      </c>
      <c r="C5510" s="17" t="s">
        <v>19</v>
      </c>
      <c r="D5510" s="18" t="s">
        <v>3149</v>
      </c>
      <c r="E5510" s="18">
        <v>3</v>
      </c>
      <c r="F5510" s="18" t="s">
        <v>170</v>
      </c>
      <c r="G5510" s="18" t="s">
        <v>22</v>
      </c>
      <c r="H5510" s="18" t="s">
        <v>23</v>
      </c>
      <c r="I5510" s="19">
        <v>22</v>
      </c>
      <c r="J5510" s="40">
        <f t="shared" si="172"/>
        <v>66</v>
      </c>
      <c r="K5510" s="106"/>
      <c r="L5510" s="114"/>
      <c r="M5510" s="114">
        <f>tblAquisições[[#This Row],[VALOR UNITARIO COMPRADO]]*tblAquisições[[#This Row],[QUANTIDADE COMPRADA]]</f>
        <v>0</v>
      </c>
      <c r="N5510" s="110">
        <f>K5510-tblAquisições[[#This Row],[QUANTIDADE PLANEJADA]]</f>
        <v>-3</v>
      </c>
      <c r="O5510" s="106" t="str">
        <f t="shared" si="173"/>
        <v>Faltando Comprar</v>
      </c>
    </row>
    <row r="5511" spans="1:15" ht="47.25">
      <c r="A5511" s="16" t="s">
        <v>3077</v>
      </c>
      <c r="B5511" s="16" t="s">
        <v>3077</v>
      </c>
      <c r="C5511" s="17" t="s">
        <v>19</v>
      </c>
      <c r="D5511" s="18" t="s">
        <v>2808</v>
      </c>
      <c r="E5511" s="18">
        <v>10</v>
      </c>
      <c r="F5511" s="18" t="s">
        <v>96</v>
      </c>
      <c r="G5511" s="18" t="s">
        <v>39</v>
      </c>
      <c r="H5511" s="18" t="s">
        <v>23</v>
      </c>
      <c r="I5511" s="19">
        <v>17</v>
      </c>
      <c r="J5511" s="40">
        <f t="shared" si="172"/>
        <v>170</v>
      </c>
      <c r="K5511" s="106"/>
      <c r="L5511" s="114"/>
      <c r="M5511" s="114">
        <f>tblAquisições[[#This Row],[VALOR UNITARIO COMPRADO]]*tblAquisições[[#This Row],[QUANTIDADE COMPRADA]]</f>
        <v>0</v>
      </c>
      <c r="N5511" s="110">
        <f>K5511-tblAquisições[[#This Row],[QUANTIDADE PLANEJADA]]</f>
        <v>-10</v>
      </c>
      <c r="O5511" s="106" t="str">
        <f t="shared" si="173"/>
        <v>Faltando Comprar</v>
      </c>
    </row>
    <row r="5512" spans="1:15" ht="47.25">
      <c r="A5512" s="16" t="s">
        <v>3077</v>
      </c>
      <c r="B5512" s="16" t="s">
        <v>3084</v>
      </c>
      <c r="C5512" s="17" t="s">
        <v>19</v>
      </c>
      <c r="D5512" s="18" t="s">
        <v>2808</v>
      </c>
      <c r="E5512" s="18">
        <v>20</v>
      </c>
      <c r="F5512" s="18" t="s">
        <v>96</v>
      </c>
      <c r="G5512" s="18" t="s">
        <v>39</v>
      </c>
      <c r="H5512" s="18" t="s">
        <v>23</v>
      </c>
      <c r="I5512" s="19">
        <v>17</v>
      </c>
      <c r="J5512" s="40">
        <f t="shared" si="172"/>
        <v>340</v>
      </c>
      <c r="K5512" s="106"/>
      <c r="L5512" s="114"/>
      <c r="M5512" s="114">
        <f>tblAquisições[[#This Row],[VALOR UNITARIO COMPRADO]]*tblAquisições[[#This Row],[QUANTIDADE COMPRADA]]</f>
        <v>0</v>
      </c>
      <c r="N5512" s="110">
        <f>K5512-tblAquisições[[#This Row],[QUANTIDADE PLANEJADA]]</f>
        <v>-20</v>
      </c>
      <c r="O5512" s="106" t="str">
        <f t="shared" si="173"/>
        <v>Faltando Comprar</v>
      </c>
    </row>
    <row r="5513" spans="1:15" ht="47.25">
      <c r="A5513" s="16" t="s">
        <v>3077</v>
      </c>
      <c r="B5513" s="16" t="s">
        <v>3083</v>
      </c>
      <c r="C5513" s="17" t="s">
        <v>19</v>
      </c>
      <c r="D5513" s="18" t="s">
        <v>1594</v>
      </c>
      <c r="E5513" s="18">
        <v>12</v>
      </c>
      <c r="F5513" s="18" t="s">
        <v>96</v>
      </c>
      <c r="G5513" s="18" t="s">
        <v>39</v>
      </c>
      <c r="H5513" s="18" t="s">
        <v>23</v>
      </c>
      <c r="I5513" s="19">
        <v>9.01</v>
      </c>
      <c r="J5513" s="40">
        <f t="shared" si="172"/>
        <v>108.12</v>
      </c>
      <c r="K5513" s="106"/>
      <c r="L5513" s="114"/>
      <c r="M5513" s="114">
        <f>tblAquisições[[#This Row],[VALOR UNITARIO COMPRADO]]*tblAquisições[[#This Row],[QUANTIDADE COMPRADA]]</f>
        <v>0</v>
      </c>
      <c r="N5513" s="110">
        <f>K5513-tblAquisições[[#This Row],[QUANTIDADE PLANEJADA]]</f>
        <v>-12</v>
      </c>
      <c r="O5513" s="106" t="str">
        <f t="shared" si="173"/>
        <v>Faltando Comprar</v>
      </c>
    </row>
    <row r="5514" spans="1:15" ht="47.25">
      <c r="A5514" s="16" t="s">
        <v>3077</v>
      </c>
      <c r="B5514" s="16" t="s">
        <v>3084</v>
      </c>
      <c r="C5514" s="17" t="s">
        <v>19</v>
      </c>
      <c r="D5514" s="18" t="s">
        <v>1594</v>
      </c>
      <c r="E5514" s="18">
        <v>20</v>
      </c>
      <c r="F5514" s="18" t="s">
        <v>96</v>
      </c>
      <c r="G5514" s="18" t="s">
        <v>39</v>
      </c>
      <c r="H5514" s="18" t="s">
        <v>23</v>
      </c>
      <c r="I5514" s="19">
        <v>9.01</v>
      </c>
      <c r="J5514" s="40">
        <f t="shared" si="172"/>
        <v>180.2</v>
      </c>
      <c r="K5514" s="106"/>
      <c r="L5514" s="114"/>
      <c r="M5514" s="114">
        <f>tblAquisições[[#This Row],[VALOR UNITARIO COMPRADO]]*tblAquisições[[#This Row],[QUANTIDADE COMPRADA]]</f>
        <v>0</v>
      </c>
      <c r="N5514" s="110">
        <f>K5514-tblAquisições[[#This Row],[QUANTIDADE PLANEJADA]]</f>
        <v>-20</v>
      </c>
      <c r="O5514" s="106" t="str">
        <f t="shared" si="173"/>
        <v>Faltando Comprar</v>
      </c>
    </row>
    <row r="5515" spans="1:15" ht="47.25">
      <c r="A5515" s="16" t="s">
        <v>3077</v>
      </c>
      <c r="B5515" s="16" t="s">
        <v>3078</v>
      </c>
      <c r="C5515" s="17" t="s">
        <v>19</v>
      </c>
      <c r="D5515" s="18" t="s">
        <v>1595</v>
      </c>
      <c r="E5515" s="18">
        <v>2</v>
      </c>
      <c r="F5515" s="18" t="s">
        <v>58</v>
      </c>
      <c r="G5515" s="18" t="s">
        <v>22</v>
      </c>
      <c r="H5515" s="18" t="s">
        <v>23</v>
      </c>
      <c r="I5515" s="19">
        <v>9.01</v>
      </c>
      <c r="J5515" s="40">
        <f t="shared" si="172"/>
        <v>18.02</v>
      </c>
      <c r="K5515" s="106"/>
      <c r="L5515" s="114"/>
      <c r="M5515" s="114">
        <f>tblAquisições[[#This Row],[VALOR UNITARIO COMPRADO]]*tblAquisições[[#This Row],[QUANTIDADE COMPRADA]]</f>
        <v>0</v>
      </c>
      <c r="N5515" s="110">
        <f>K5515-tblAquisições[[#This Row],[QUANTIDADE PLANEJADA]]</f>
        <v>-2</v>
      </c>
      <c r="O5515" s="106" t="str">
        <f t="shared" si="173"/>
        <v>Faltando Comprar</v>
      </c>
    </row>
    <row r="5516" spans="1:15" ht="47.25">
      <c r="A5516" s="16" t="s">
        <v>3077</v>
      </c>
      <c r="B5516" s="16" t="s">
        <v>3080</v>
      </c>
      <c r="C5516" s="17" t="s">
        <v>19</v>
      </c>
      <c r="D5516" s="18" t="s">
        <v>1595</v>
      </c>
      <c r="E5516" s="18">
        <v>6</v>
      </c>
      <c r="F5516" s="18" t="s">
        <v>58</v>
      </c>
      <c r="G5516" s="18" t="s">
        <v>22</v>
      </c>
      <c r="H5516" s="18" t="s">
        <v>65</v>
      </c>
      <c r="I5516" s="24">
        <v>16.440000000000001</v>
      </c>
      <c r="J5516" s="40">
        <f t="shared" si="172"/>
        <v>98.640000000000015</v>
      </c>
      <c r="K5516" s="106"/>
      <c r="L5516" s="114"/>
      <c r="M5516" s="114">
        <f>tblAquisições[[#This Row],[VALOR UNITARIO COMPRADO]]*tblAquisições[[#This Row],[QUANTIDADE COMPRADA]]</f>
        <v>0</v>
      </c>
      <c r="N5516" s="110">
        <f>K5516-tblAquisições[[#This Row],[QUANTIDADE PLANEJADA]]</f>
        <v>-6</v>
      </c>
      <c r="O5516" s="106" t="str">
        <f t="shared" si="173"/>
        <v>Faltando Comprar</v>
      </c>
    </row>
    <row r="5517" spans="1:15" ht="47.25">
      <c r="A5517" s="16" t="s">
        <v>3077</v>
      </c>
      <c r="B5517" s="16" t="s">
        <v>3080</v>
      </c>
      <c r="C5517" s="17" t="s">
        <v>19</v>
      </c>
      <c r="D5517" s="18" t="s">
        <v>3150</v>
      </c>
      <c r="E5517" s="18">
        <v>4</v>
      </c>
      <c r="F5517" s="18" t="s">
        <v>58</v>
      </c>
      <c r="G5517" s="18" t="s">
        <v>22</v>
      </c>
      <c r="H5517" s="18" t="s">
        <v>65</v>
      </c>
      <c r="I5517" s="24">
        <v>67.3</v>
      </c>
      <c r="J5517" s="40">
        <f t="shared" si="172"/>
        <v>269.2</v>
      </c>
      <c r="K5517" s="106"/>
      <c r="L5517" s="114"/>
      <c r="M5517" s="114">
        <f>tblAquisições[[#This Row],[VALOR UNITARIO COMPRADO]]*tblAquisições[[#This Row],[QUANTIDADE COMPRADA]]</f>
        <v>0</v>
      </c>
      <c r="N5517" s="110">
        <f>K5517-tblAquisições[[#This Row],[QUANTIDADE PLANEJADA]]</f>
        <v>-4</v>
      </c>
      <c r="O5517" s="106" t="str">
        <f t="shared" si="173"/>
        <v>Faltando Comprar</v>
      </c>
    </row>
    <row r="5518" spans="1:15" ht="47.25">
      <c r="A5518" s="16" t="s">
        <v>3077</v>
      </c>
      <c r="B5518" s="16" t="s">
        <v>3080</v>
      </c>
      <c r="C5518" s="17" t="s">
        <v>19</v>
      </c>
      <c r="D5518" s="18" t="s">
        <v>3151</v>
      </c>
      <c r="E5518" s="18">
        <v>2</v>
      </c>
      <c r="F5518" s="18" t="s">
        <v>58</v>
      </c>
      <c r="G5518" s="18" t="s">
        <v>22</v>
      </c>
      <c r="H5518" s="18" t="s">
        <v>65</v>
      </c>
      <c r="I5518" s="24">
        <v>61.3</v>
      </c>
      <c r="J5518" s="40">
        <f t="shared" si="172"/>
        <v>122.6</v>
      </c>
      <c r="K5518" s="106"/>
      <c r="L5518" s="114"/>
      <c r="M5518" s="114">
        <f>tblAquisições[[#This Row],[VALOR UNITARIO COMPRADO]]*tblAquisições[[#This Row],[QUANTIDADE COMPRADA]]</f>
        <v>0</v>
      </c>
      <c r="N5518" s="110">
        <f>K5518-tblAquisições[[#This Row],[QUANTIDADE PLANEJADA]]</f>
        <v>-2</v>
      </c>
      <c r="O5518" s="106" t="str">
        <f t="shared" si="173"/>
        <v>Faltando Comprar</v>
      </c>
    </row>
    <row r="5519" spans="1:15" ht="47.25">
      <c r="A5519" s="16" t="s">
        <v>3077</v>
      </c>
      <c r="B5519" s="16" t="s">
        <v>3083</v>
      </c>
      <c r="C5519" s="17" t="s">
        <v>19</v>
      </c>
      <c r="D5519" s="18" t="s">
        <v>3152</v>
      </c>
      <c r="E5519" s="18">
        <v>12</v>
      </c>
      <c r="F5519" s="18" t="s">
        <v>96</v>
      </c>
      <c r="G5519" s="18" t="s">
        <v>39</v>
      </c>
      <c r="H5519" s="18" t="s">
        <v>23</v>
      </c>
      <c r="I5519" s="19">
        <v>7.7</v>
      </c>
      <c r="J5519" s="40">
        <f t="shared" si="172"/>
        <v>92.4</v>
      </c>
      <c r="K5519" s="106"/>
      <c r="L5519" s="114"/>
      <c r="M5519" s="114">
        <f>tblAquisições[[#This Row],[VALOR UNITARIO COMPRADO]]*tblAquisições[[#This Row],[QUANTIDADE COMPRADA]]</f>
        <v>0</v>
      </c>
      <c r="N5519" s="110">
        <f>K5519-tblAquisições[[#This Row],[QUANTIDADE PLANEJADA]]</f>
        <v>-12</v>
      </c>
      <c r="O5519" s="106" t="str">
        <f t="shared" si="173"/>
        <v>Faltando Comprar</v>
      </c>
    </row>
    <row r="5520" spans="1:15" ht="31.5">
      <c r="A5520" s="16" t="s">
        <v>3077</v>
      </c>
      <c r="B5520" s="16" t="s">
        <v>3080</v>
      </c>
      <c r="C5520" s="17" t="s">
        <v>19</v>
      </c>
      <c r="D5520" s="18" t="s">
        <v>3153</v>
      </c>
      <c r="E5520" s="18">
        <v>8</v>
      </c>
      <c r="F5520" s="18" t="s">
        <v>170</v>
      </c>
      <c r="G5520" s="18" t="s">
        <v>22</v>
      </c>
      <c r="H5520" s="18" t="s">
        <v>23</v>
      </c>
      <c r="I5520" s="19">
        <v>42.47</v>
      </c>
      <c r="J5520" s="40">
        <f t="shared" si="172"/>
        <v>339.76</v>
      </c>
      <c r="K5520" s="106"/>
      <c r="L5520" s="114"/>
      <c r="M5520" s="114">
        <f>tblAquisições[[#This Row],[VALOR UNITARIO COMPRADO]]*tblAquisições[[#This Row],[QUANTIDADE COMPRADA]]</f>
        <v>0</v>
      </c>
      <c r="N5520" s="110">
        <f>K5520-tblAquisições[[#This Row],[QUANTIDADE PLANEJADA]]</f>
        <v>-8</v>
      </c>
      <c r="O5520" s="106" t="str">
        <f t="shared" si="173"/>
        <v>Faltando Comprar</v>
      </c>
    </row>
    <row r="5521" spans="1:15" ht="47.25">
      <c r="A5521" s="16" t="s">
        <v>3077</v>
      </c>
      <c r="B5521" s="16" t="s">
        <v>3083</v>
      </c>
      <c r="C5521" s="17" t="s">
        <v>19</v>
      </c>
      <c r="D5521" s="18" t="s">
        <v>1755</v>
      </c>
      <c r="E5521" s="18">
        <v>24</v>
      </c>
      <c r="F5521" s="18" t="s">
        <v>96</v>
      </c>
      <c r="G5521" s="18" t="s">
        <v>39</v>
      </c>
      <c r="H5521" s="18" t="s">
        <v>23</v>
      </c>
      <c r="I5521" s="19">
        <v>9.33</v>
      </c>
      <c r="J5521" s="40">
        <f t="shared" si="172"/>
        <v>223.92000000000002</v>
      </c>
      <c r="K5521" s="106"/>
      <c r="L5521" s="114"/>
      <c r="M5521" s="114">
        <f>tblAquisições[[#This Row],[VALOR UNITARIO COMPRADO]]*tblAquisições[[#This Row],[QUANTIDADE COMPRADA]]</f>
        <v>0</v>
      </c>
      <c r="N5521" s="110">
        <f>K5521-tblAquisições[[#This Row],[QUANTIDADE PLANEJADA]]</f>
        <v>-24</v>
      </c>
      <c r="O5521" s="106" t="str">
        <f t="shared" si="173"/>
        <v>Faltando Comprar</v>
      </c>
    </row>
    <row r="5522" spans="1:15" ht="47.25">
      <c r="A5522" s="16" t="s">
        <v>3077</v>
      </c>
      <c r="B5522" s="16" t="s">
        <v>3084</v>
      </c>
      <c r="C5522" s="17" t="s">
        <v>19</v>
      </c>
      <c r="D5522" s="18" t="s">
        <v>1755</v>
      </c>
      <c r="E5522" s="18">
        <v>10</v>
      </c>
      <c r="F5522" s="18" t="s">
        <v>96</v>
      </c>
      <c r="G5522" s="18" t="s">
        <v>39</v>
      </c>
      <c r="H5522" s="18" t="s">
        <v>23</v>
      </c>
      <c r="I5522" s="19">
        <v>9.33</v>
      </c>
      <c r="J5522" s="40">
        <f t="shared" si="172"/>
        <v>93.3</v>
      </c>
      <c r="K5522" s="106"/>
      <c r="L5522" s="114"/>
      <c r="M5522" s="114">
        <f>tblAquisições[[#This Row],[VALOR UNITARIO COMPRADO]]*tblAquisições[[#This Row],[QUANTIDADE COMPRADA]]</f>
        <v>0</v>
      </c>
      <c r="N5522" s="110">
        <f>K5522-tblAquisições[[#This Row],[QUANTIDADE PLANEJADA]]</f>
        <v>-10</v>
      </c>
      <c r="O5522" s="106" t="str">
        <f t="shared" si="173"/>
        <v>Faltando Comprar</v>
      </c>
    </row>
    <row r="5523" spans="1:15" ht="47.25">
      <c r="A5523" s="16" t="s">
        <v>3077</v>
      </c>
      <c r="B5523" s="16" t="s">
        <v>3078</v>
      </c>
      <c r="C5523" s="17" t="s">
        <v>19</v>
      </c>
      <c r="D5523" s="18" t="s">
        <v>3154</v>
      </c>
      <c r="E5523" s="18">
        <v>1</v>
      </c>
      <c r="F5523" s="18" t="s">
        <v>58</v>
      </c>
      <c r="G5523" s="18" t="s">
        <v>22</v>
      </c>
      <c r="H5523" s="18" t="s">
        <v>65</v>
      </c>
      <c r="I5523" s="24">
        <v>41.29</v>
      </c>
      <c r="J5523" s="40">
        <f t="shared" si="172"/>
        <v>41.29</v>
      </c>
      <c r="K5523" s="106"/>
      <c r="L5523" s="114"/>
      <c r="M5523" s="114">
        <f>tblAquisições[[#This Row],[VALOR UNITARIO COMPRADO]]*tblAquisições[[#This Row],[QUANTIDADE COMPRADA]]</f>
        <v>0</v>
      </c>
      <c r="N5523" s="110">
        <f>K5523-tblAquisições[[#This Row],[QUANTIDADE PLANEJADA]]</f>
        <v>-1</v>
      </c>
      <c r="O5523" s="106" t="str">
        <f t="shared" si="173"/>
        <v>Faltando Comprar</v>
      </c>
    </row>
    <row r="5524" spans="1:15" ht="47.25">
      <c r="A5524" s="16" t="s">
        <v>3077</v>
      </c>
      <c r="B5524" s="16" t="s">
        <v>3083</v>
      </c>
      <c r="C5524" s="17" t="s">
        <v>19</v>
      </c>
      <c r="D5524" s="18" t="s">
        <v>3007</v>
      </c>
      <c r="E5524" s="18">
        <v>12</v>
      </c>
      <c r="F5524" s="18" t="s">
        <v>96</v>
      </c>
      <c r="G5524" s="18" t="s">
        <v>39</v>
      </c>
      <c r="H5524" s="18" t="s">
        <v>23</v>
      </c>
      <c r="I5524" s="19">
        <v>3.13</v>
      </c>
      <c r="J5524" s="40">
        <f t="shared" si="172"/>
        <v>37.56</v>
      </c>
      <c r="K5524" s="106"/>
      <c r="L5524" s="114"/>
      <c r="M5524" s="114">
        <f>tblAquisições[[#This Row],[VALOR UNITARIO COMPRADO]]*tblAquisições[[#This Row],[QUANTIDADE COMPRADA]]</f>
        <v>0</v>
      </c>
      <c r="N5524" s="110">
        <f>K5524-tblAquisições[[#This Row],[QUANTIDADE PLANEJADA]]</f>
        <v>-12</v>
      </c>
      <c r="O5524" s="106" t="str">
        <f t="shared" si="173"/>
        <v>Faltando Comprar</v>
      </c>
    </row>
    <row r="5525" spans="1:15" ht="47.25">
      <c r="A5525" s="16" t="s">
        <v>3077</v>
      </c>
      <c r="B5525" s="16" t="s">
        <v>3084</v>
      </c>
      <c r="C5525" s="17" t="s">
        <v>19</v>
      </c>
      <c r="D5525" s="18" t="s">
        <v>3007</v>
      </c>
      <c r="E5525" s="18">
        <v>50</v>
      </c>
      <c r="F5525" s="18" t="s">
        <v>96</v>
      </c>
      <c r="G5525" s="18" t="s">
        <v>39</v>
      </c>
      <c r="H5525" s="18" t="s">
        <v>23</v>
      </c>
      <c r="I5525" s="19">
        <v>3.13</v>
      </c>
      <c r="J5525" s="40">
        <f t="shared" si="172"/>
        <v>156.5</v>
      </c>
      <c r="K5525" s="106"/>
      <c r="L5525" s="114"/>
      <c r="M5525" s="114">
        <f>tblAquisições[[#This Row],[VALOR UNITARIO COMPRADO]]*tblAquisições[[#This Row],[QUANTIDADE COMPRADA]]</f>
        <v>0</v>
      </c>
      <c r="N5525" s="110">
        <f>K5525-tblAquisições[[#This Row],[QUANTIDADE PLANEJADA]]</f>
        <v>-50</v>
      </c>
      <c r="O5525" s="106" t="str">
        <f t="shared" si="173"/>
        <v>Faltando Comprar</v>
      </c>
    </row>
    <row r="5526" spans="1:15" ht="47.25">
      <c r="A5526" s="16" t="s">
        <v>3077</v>
      </c>
      <c r="B5526" s="16" t="s">
        <v>3078</v>
      </c>
      <c r="C5526" s="17" t="s">
        <v>19</v>
      </c>
      <c r="D5526" s="18" t="s">
        <v>1965</v>
      </c>
      <c r="E5526" s="18">
        <v>25</v>
      </c>
      <c r="F5526" s="18" t="s">
        <v>58</v>
      </c>
      <c r="G5526" s="18" t="s">
        <v>22</v>
      </c>
      <c r="H5526" s="18" t="s">
        <v>23</v>
      </c>
      <c r="I5526" s="19">
        <v>3.13</v>
      </c>
      <c r="J5526" s="40">
        <f t="shared" si="172"/>
        <v>78.25</v>
      </c>
      <c r="K5526" s="106"/>
      <c r="L5526" s="114"/>
      <c r="M5526" s="114">
        <f>tblAquisições[[#This Row],[VALOR UNITARIO COMPRADO]]*tblAquisições[[#This Row],[QUANTIDADE COMPRADA]]</f>
        <v>0</v>
      </c>
      <c r="N5526" s="110">
        <f>K5526-tblAquisições[[#This Row],[QUANTIDADE PLANEJADA]]</f>
        <v>-25</v>
      </c>
      <c r="O5526" s="106" t="str">
        <f t="shared" si="173"/>
        <v>Faltando Comprar</v>
      </c>
    </row>
    <row r="5527" spans="1:15" ht="63">
      <c r="A5527" s="16" t="s">
        <v>3077</v>
      </c>
      <c r="B5527" s="16" t="s">
        <v>3080</v>
      </c>
      <c r="C5527" s="17" t="s">
        <v>19</v>
      </c>
      <c r="D5527" s="18" t="s">
        <v>3155</v>
      </c>
      <c r="E5527" s="18">
        <v>2</v>
      </c>
      <c r="F5527" s="18" t="s">
        <v>170</v>
      </c>
      <c r="G5527" s="18" t="s">
        <v>22</v>
      </c>
      <c r="H5527" s="18" t="s">
        <v>23</v>
      </c>
      <c r="I5527" s="19">
        <v>175.96</v>
      </c>
      <c r="J5527" s="40">
        <f t="shared" si="172"/>
        <v>351.92</v>
      </c>
      <c r="K5527" s="106"/>
      <c r="L5527" s="114"/>
      <c r="M5527" s="114">
        <f>tblAquisições[[#This Row],[VALOR UNITARIO COMPRADO]]*tblAquisições[[#This Row],[QUANTIDADE COMPRADA]]</f>
        <v>0</v>
      </c>
      <c r="N5527" s="110">
        <f>K5527-tblAquisições[[#This Row],[QUANTIDADE PLANEJADA]]</f>
        <v>-2</v>
      </c>
      <c r="O5527" s="106" t="str">
        <f t="shared" si="173"/>
        <v>Faltando Comprar</v>
      </c>
    </row>
    <row r="5528" spans="1:15" ht="31.5">
      <c r="A5528" s="16" t="s">
        <v>3077</v>
      </c>
      <c r="B5528" s="16" t="s">
        <v>3084</v>
      </c>
      <c r="C5528" s="17" t="s">
        <v>19</v>
      </c>
      <c r="D5528" s="18" t="s">
        <v>2828</v>
      </c>
      <c r="E5528" s="18">
        <v>50</v>
      </c>
      <c r="F5528" s="18" t="s">
        <v>252</v>
      </c>
      <c r="G5528" s="18" t="s">
        <v>39</v>
      </c>
      <c r="H5528" s="18" t="s">
        <v>23</v>
      </c>
      <c r="I5528" s="19">
        <v>4.93</v>
      </c>
      <c r="J5528" s="40">
        <f t="shared" si="172"/>
        <v>246.5</v>
      </c>
      <c r="K5528" s="106"/>
      <c r="L5528" s="114"/>
      <c r="M5528" s="114">
        <f>tblAquisições[[#This Row],[VALOR UNITARIO COMPRADO]]*tblAquisições[[#This Row],[QUANTIDADE COMPRADA]]</f>
        <v>0</v>
      </c>
      <c r="N5528" s="110">
        <f>K5528-tblAquisições[[#This Row],[QUANTIDADE PLANEJADA]]</f>
        <v>-50</v>
      </c>
      <c r="O5528" s="106" t="str">
        <f t="shared" si="173"/>
        <v>Faltando Comprar</v>
      </c>
    </row>
    <row r="5529" spans="1:15" ht="31.5">
      <c r="A5529" s="16" t="s">
        <v>3077</v>
      </c>
      <c r="B5529" s="16" t="s">
        <v>3080</v>
      </c>
      <c r="C5529" s="17" t="s">
        <v>19</v>
      </c>
      <c r="D5529" s="18" t="s">
        <v>3156</v>
      </c>
      <c r="E5529" s="18">
        <v>6</v>
      </c>
      <c r="F5529" s="18" t="s">
        <v>30</v>
      </c>
      <c r="G5529" s="18" t="s">
        <v>22</v>
      </c>
      <c r="H5529" s="18" t="s">
        <v>65</v>
      </c>
      <c r="I5529" s="19">
        <v>11.27</v>
      </c>
      <c r="J5529" s="40">
        <f t="shared" si="172"/>
        <v>67.62</v>
      </c>
      <c r="K5529" s="106"/>
      <c r="L5529" s="114"/>
      <c r="M5529" s="114">
        <f>tblAquisições[[#This Row],[VALOR UNITARIO COMPRADO]]*tblAquisições[[#This Row],[QUANTIDADE COMPRADA]]</f>
        <v>0</v>
      </c>
      <c r="N5529" s="110">
        <f>K5529-tblAquisições[[#This Row],[QUANTIDADE PLANEJADA]]</f>
        <v>-6</v>
      </c>
      <c r="O5529" s="106" t="str">
        <f t="shared" si="173"/>
        <v>Faltando Comprar</v>
      </c>
    </row>
    <row r="5530" spans="1:15" ht="47.25">
      <c r="A5530" s="16" t="s">
        <v>3077</v>
      </c>
      <c r="B5530" s="16" t="s">
        <v>3083</v>
      </c>
      <c r="C5530" s="17" t="s">
        <v>19</v>
      </c>
      <c r="D5530" s="18" t="s">
        <v>3157</v>
      </c>
      <c r="E5530" s="18">
        <v>6</v>
      </c>
      <c r="F5530" s="18" t="s">
        <v>96</v>
      </c>
      <c r="G5530" s="18" t="s">
        <v>39</v>
      </c>
      <c r="H5530" s="18" t="s">
        <v>23</v>
      </c>
      <c r="I5530" s="19">
        <v>50.28</v>
      </c>
      <c r="J5530" s="40">
        <f t="shared" si="172"/>
        <v>301.68</v>
      </c>
      <c r="K5530" s="106"/>
      <c r="L5530" s="114"/>
      <c r="M5530" s="114">
        <f>tblAquisições[[#This Row],[VALOR UNITARIO COMPRADO]]*tblAquisições[[#This Row],[QUANTIDADE COMPRADA]]</f>
        <v>0</v>
      </c>
      <c r="N5530" s="110">
        <f>K5530-tblAquisições[[#This Row],[QUANTIDADE PLANEJADA]]</f>
        <v>-6</v>
      </c>
      <c r="O5530" s="106" t="str">
        <f t="shared" si="173"/>
        <v>Faltando Comprar</v>
      </c>
    </row>
    <row r="5531" spans="1:15" ht="78.75">
      <c r="A5531" s="16" t="s">
        <v>3077</v>
      </c>
      <c r="B5531" s="16" t="s">
        <v>3084</v>
      </c>
      <c r="C5531" s="17" t="s">
        <v>19</v>
      </c>
      <c r="D5531" s="18" t="s">
        <v>3158</v>
      </c>
      <c r="E5531" s="18">
        <v>5</v>
      </c>
      <c r="F5531" s="18" t="s">
        <v>3019</v>
      </c>
      <c r="G5531" s="18" t="s">
        <v>39</v>
      </c>
      <c r="H5531" s="18" t="s">
        <v>23</v>
      </c>
      <c r="I5531" s="19">
        <v>16.71</v>
      </c>
      <c r="J5531" s="40">
        <f t="shared" si="172"/>
        <v>83.550000000000011</v>
      </c>
      <c r="K5531" s="106"/>
      <c r="L5531" s="114"/>
      <c r="M5531" s="114">
        <f>tblAquisições[[#This Row],[VALOR UNITARIO COMPRADO]]*tblAquisições[[#This Row],[QUANTIDADE COMPRADA]]</f>
        <v>0</v>
      </c>
      <c r="N5531" s="110">
        <f>K5531-tblAquisições[[#This Row],[QUANTIDADE PLANEJADA]]</f>
        <v>-5</v>
      </c>
      <c r="O5531" s="106" t="str">
        <f t="shared" si="173"/>
        <v>Faltando Comprar</v>
      </c>
    </row>
    <row r="5532" spans="1:15" ht="47.25">
      <c r="A5532" s="16" t="s">
        <v>3077</v>
      </c>
      <c r="B5532" s="16" t="s">
        <v>3077</v>
      </c>
      <c r="C5532" s="17" t="s">
        <v>19</v>
      </c>
      <c r="D5532" s="18" t="s">
        <v>3159</v>
      </c>
      <c r="E5532" s="18">
        <v>6</v>
      </c>
      <c r="F5532" s="18" t="s">
        <v>96</v>
      </c>
      <c r="G5532" s="18" t="s">
        <v>39</v>
      </c>
      <c r="H5532" s="18" t="s">
        <v>23</v>
      </c>
      <c r="I5532" s="19">
        <v>12.43</v>
      </c>
      <c r="J5532" s="40">
        <f t="shared" si="172"/>
        <v>74.58</v>
      </c>
      <c r="K5532" s="106"/>
      <c r="L5532" s="114"/>
      <c r="M5532" s="114">
        <f>tblAquisições[[#This Row],[VALOR UNITARIO COMPRADO]]*tblAquisições[[#This Row],[QUANTIDADE COMPRADA]]</f>
        <v>0</v>
      </c>
      <c r="N5532" s="110">
        <f>K5532-tblAquisições[[#This Row],[QUANTIDADE PLANEJADA]]</f>
        <v>-6</v>
      </c>
      <c r="O5532" s="106" t="str">
        <f t="shared" si="173"/>
        <v>Faltando Comprar</v>
      </c>
    </row>
    <row r="5533" spans="1:15" ht="63">
      <c r="A5533" s="16" t="s">
        <v>3077</v>
      </c>
      <c r="B5533" s="16" t="s">
        <v>3080</v>
      </c>
      <c r="C5533" s="17" t="s">
        <v>19</v>
      </c>
      <c r="D5533" s="18" t="s">
        <v>2326</v>
      </c>
      <c r="E5533" s="18">
        <v>3</v>
      </c>
      <c r="F5533" s="18" t="s">
        <v>1455</v>
      </c>
      <c r="G5533" s="18" t="s">
        <v>127</v>
      </c>
      <c r="H5533" s="18" t="s">
        <v>23</v>
      </c>
      <c r="I5533" s="19">
        <v>3000</v>
      </c>
      <c r="J5533" s="40">
        <f t="shared" si="172"/>
        <v>9000</v>
      </c>
      <c r="K5533" s="106"/>
      <c r="L5533" s="114"/>
      <c r="M5533" s="114">
        <f>tblAquisições[[#This Row],[VALOR UNITARIO COMPRADO]]*tblAquisições[[#This Row],[QUANTIDADE COMPRADA]]</f>
        <v>0</v>
      </c>
      <c r="N5533" s="110">
        <f>K5533-tblAquisições[[#This Row],[QUANTIDADE PLANEJADA]]</f>
        <v>-3</v>
      </c>
      <c r="O5533" s="106" t="str">
        <f t="shared" si="173"/>
        <v>Faltando Comprar</v>
      </c>
    </row>
    <row r="5534" spans="1:15" ht="47.25">
      <c r="A5534" s="16" t="s">
        <v>3077</v>
      </c>
      <c r="B5534" s="16" t="s">
        <v>3084</v>
      </c>
      <c r="C5534" s="17" t="s">
        <v>19</v>
      </c>
      <c r="D5534" s="18" t="s">
        <v>2836</v>
      </c>
      <c r="E5534" s="18">
        <v>10</v>
      </c>
      <c r="F5534" s="18" t="s">
        <v>96</v>
      </c>
      <c r="G5534" s="18" t="s">
        <v>39</v>
      </c>
      <c r="H5534" s="18" t="s">
        <v>23</v>
      </c>
      <c r="I5534" s="19">
        <v>24.63</v>
      </c>
      <c r="J5534" s="40">
        <f t="shared" si="172"/>
        <v>246.29999999999998</v>
      </c>
      <c r="K5534" s="106"/>
      <c r="L5534" s="114"/>
      <c r="M5534" s="114">
        <f>tblAquisições[[#This Row],[VALOR UNITARIO COMPRADO]]*tblAquisições[[#This Row],[QUANTIDADE COMPRADA]]</f>
        <v>0</v>
      </c>
      <c r="N5534" s="110">
        <f>K5534-tblAquisições[[#This Row],[QUANTIDADE PLANEJADA]]</f>
        <v>-10</v>
      </c>
      <c r="O5534" s="106" t="str">
        <f t="shared" si="173"/>
        <v>Faltando Comprar</v>
      </c>
    </row>
    <row r="5535" spans="1:15" ht="31.5">
      <c r="A5535" s="16" t="s">
        <v>3077</v>
      </c>
      <c r="B5535" s="16" t="s">
        <v>3084</v>
      </c>
      <c r="C5535" s="17" t="s">
        <v>19</v>
      </c>
      <c r="D5535" s="18" t="s">
        <v>2840</v>
      </c>
      <c r="E5535" s="18">
        <v>1</v>
      </c>
      <c r="F5535" s="18" t="s">
        <v>56</v>
      </c>
      <c r="G5535" s="18" t="s">
        <v>39</v>
      </c>
      <c r="H5535" s="18" t="s">
        <v>23</v>
      </c>
      <c r="I5535" s="19">
        <v>92.44</v>
      </c>
      <c r="J5535" s="40">
        <f t="shared" si="172"/>
        <v>92.44</v>
      </c>
      <c r="K5535" s="106"/>
      <c r="L5535" s="114"/>
      <c r="M5535" s="114">
        <f>tblAquisições[[#This Row],[VALOR UNITARIO COMPRADO]]*tblAquisições[[#This Row],[QUANTIDADE COMPRADA]]</f>
        <v>0</v>
      </c>
      <c r="N5535" s="110">
        <f>K5535-tblAquisições[[#This Row],[QUANTIDADE PLANEJADA]]</f>
        <v>-1</v>
      </c>
      <c r="O5535" s="106" t="str">
        <f t="shared" si="173"/>
        <v>Faltando Comprar</v>
      </c>
    </row>
    <row r="5536" spans="1:15" ht="63">
      <c r="A5536" s="16" t="s">
        <v>3077</v>
      </c>
      <c r="B5536" s="16" t="s">
        <v>3077</v>
      </c>
      <c r="C5536" s="17" t="s">
        <v>19</v>
      </c>
      <c r="D5536" s="18" t="s">
        <v>3039</v>
      </c>
      <c r="E5536" s="18">
        <v>10</v>
      </c>
      <c r="F5536" s="18" t="s">
        <v>1468</v>
      </c>
      <c r="G5536" s="18" t="s">
        <v>775</v>
      </c>
      <c r="H5536" s="18" t="s">
        <v>23</v>
      </c>
      <c r="I5536" s="19">
        <v>3500</v>
      </c>
      <c r="J5536" s="40">
        <f t="shared" si="172"/>
        <v>35000</v>
      </c>
      <c r="K5536" s="106"/>
      <c r="L5536" s="114"/>
      <c r="M5536" s="114">
        <f>tblAquisições[[#This Row],[VALOR UNITARIO COMPRADO]]*tblAquisições[[#This Row],[QUANTIDADE COMPRADA]]</f>
        <v>0</v>
      </c>
      <c r="N5536" s="110">
        <f>K5536-tblAquisições[[#This Row],[QUANTIDADE PLANEJADA]]</f>
        <v>-10</v>
      </c>
      <c r="O5536" s="106" t="str">
        <f t="shared" si="173"/>
        <v>Faltando Comprar</v>
      </c>
    </row>
    <row r="5537" spans="1:15" ht="63">
      <c r="A5537" s="16" t="s">
        <v>3077</v>
      </c>
      <c r="B5537" s="16" t="s">
        <v>3083</v>
      </c>
      <c r="C5537" s="17" t="s">
        <v>19</v>
      </c>
      <c r="D5537" s="18" t="s">
        <v>3039</v>
      </c>
      <c r="E5537" s="18">
        <v>10</v>
      </c>
      <c r="F5537" s="18" t="s">
        <v>1468</v>
      </c>
      <c r="G5537" s="18" t="s">
        <v>775</v>
      </c>
      <c r="H5537" s="18" t="s">
        <v>23</v>
      </c>
      <c r="I5537" s="19">
        <v>3500</v>
      </c>
      <c r="J5537" s="40">
        <f t="shared" si="172"/>
        <v>35000</v>
      </c>
      <c r="K5537" s="106"/>
      <c r="L5537" s="114"/>
      <c r="M5537" s="114">
        <f>tblAquisições[[#This Row],[VALOR UNITARIO COMPRADO]]*tblAquisições[[#This Row],[QUANTIDADE COMPRADA]]</f>
        <v>0</v>
      </c>
      <c r="N5537" s="110">
        <f>K5537-tblAquisições[[#This Row],[QUANTIDADE PLANEJADA]]</f>
        <v>-10</v>
      </c>
      <c r="O5537" s="106" t="str">
        <f t="shared" si="173"/>
        <v>Faltando Comprar</v>
      </c>
    </row>
    <row r="5538" spans="1:15" ht="63">
      <c r="A5538" s="16" t="s">
        <v>3077</v>
      </c>
      <c r="B5538" s="16" t="s">
        <v>3084</v>
      </c>
      <c r="C5538" s="17" t="s">
        <v>19</v>
      </c>
      <c r="D5538" s="18" t="s">
        <v>3039</v>
      </c>
      <c r="E5538" s="18">
        <v>20</v>
      </c>
      <c r="F5538" s="18" t="s">
        <v>1468</v>
      </c>
      <c r="G5538" s="18" t="s">
        <v>775</v>
      </c>
      <c r="H5538" s="18" t="s">
        <v>23</v>
      </c>
      <c r="I5538" s="19">
        <v>3500</v>
      </c>
      <c r="J5538" s="40">
        <f t="shared" si="172"/>
        <v>70000</v>
      </c>
      <c r="K5538" s="106"/>
      <c r="L5538" s="114"/>
      <c r="M5538" s="114">
        <f>tblAquisições[[#This Row],[VALOR UNITARIO COMPRADO]]*tblAquisições[[#This Row],[QUANTIDADE COMPRADA]]</f>
        <v>0</v>
      </c>
      <c r="N5538" s="110">
        <f>K5538-tblAquisições[[#This Row],[QUANTIDADE PLANEJADA]]</f>
        <v>-20</v>
      </c>
      <c r="O5538" s="106" t="str">
        <f t="shared" si="173"/>
        <v>Faltando Comprar</v>
      </c>
    </row>
    <row r="5539" spans="1:15" ht="63">
      <c r="A5539" s="16" t="s">
        <v>3077</v>
      </c>
      <c r="B5539" s="16" t="s">
        <v>3078</v>
      </c>
      <c r="C5539" s="17" t="s">
        <v>19</v>
      </c>
      <c r="D5539" s="18" t="s">
        <v>2389</v>
      </c>
      <c r="E5539" s="18">
        <v>5</v>
      </c>
      <c r="F5539" s="18" t="s">
        <v>1371</v>
      </c>
      <c r="G5539" s="18" t="s">
        <v>127</v>
      </c>
      <c r="H5539" s="18" t="s">
        <v>23</v>
      </c>
      <c r="I5539" s="19">
        <v>3500</v>
      </c>
      <c r="J5539" s="40">
        <f t="shared" si="172"/>
        <v>17500</v>
      </c>
      <c r="K5539" s="106"/>
      <c r="L5539" s="114"/>
      <c r="M5539" s="114">
        <f>tblAquisições[[#This Row],[VALOR UNITARIO COMPRADO]]*tblAquisições[[#This Row],[QUANTIDADE COMPRADA]]</f>
        <v>0</v>
      </c>
      <c r="N5539" s="110">
        <f>K5539-tblAquisições[[#This Row],[QUANTIDADE PLANEJADA]]</f>
        <v>-5</v>
      </c>
      <c r="O5539" s="106" t="str">
        <f t="shared" si="173"/>
        <v>Faltando Comprar</v>
      </c>
    </row>
    <row r="5540" spans="1:15" ht="78.75">
      <c r="A5540" s="16" t="s">
        <v>3077</v>
      </c>
      <c r="B5540" s="16" t="s">
        <v>3084</v>
      </c>
      <c r="C5540" s="17" t="s">
        <v>19</v>
      </c>
      <c r="D5540" s="18" t="s">
        <v>3160</v>
      </c>
      <c r="E5540" s="18">
        <v>3</v>
      </c>
      <c r="F5540" s="18" t="s">
        <v>3019</v>
      </c>
      <c r="G5540" s="18" t="s">
        <v>39</v>
      </c>
      <c r="H5540" s="18" t="s">
        <v>23</v>
      </c>
      <c r="I5540" s="19">
        <v>870</v>
      </c>
      <c r="J5540" s="40">
        <f t="shared" si="172"/>
        <v>2610</v>
      </c>
      <c r="K5540" s="106"/>
      <c r="L5540" s="114"/>
      <c r="M5540" s="114">
        <f>tblAquisições[[#This Row],[VALOR UNITARIO COMPRADO]]*tblAquisições[[#This Row],[QUANTIDADE COMPRADA]]</f>
        <v>0</v>
      </c>
      <c r="N5540" s="110">
        <f>K5540-tblAquisições[[#This Row],[QUANTIDADE PLANEJADA]]</f>
        <v>-3</v>
      </c>
      <c r="O5540" s="106" t="str">
        <f t="shared" si="173"/>
        <v>Faltando Comprar</v>
      </c>
    </row>
    <row r="5541" spans="1:15" ht="47.25">
      <c r="A5541" s="16" t="s">
        <v>3077</v>
      </c>
      <c r="B5541" s="16" t="s">
        <v>3080</v>
      </c>
      <c r="C5541" s="17" t="s">
        <v>19</v>
      </c>
      <c r="D5541" s="18" t="s">
        <v>3161</v>
      </c>
      <c r="E5541" s="18">
        <v>20</v>
      </c>
      <c r="F5541" s="18" t="s">
        <v>58</v>
      </c>
      <c r="G5541" s="18" t="s">
        <v>22</v>
      </c>
      <c r="H5541" s="18" t="s">
        <v>23</v>
      </c>
      <c r="I5541" s="19">
        <v>12.26</v>
      </c>
      <c r="J5541" s="40">
        <f t="shared" si="172"/>
        <v>245.2</v>
      </c>
      <c r="K5541" s="106"/>
      <c r="L5541" s="114"/>
      <c r="M5541" s="114">
        <f>tblAquisições[[#This Row],[VALOR UNITARIO COMPRADO]]*tblAquisições[[#This Row],[QUANTIDADE COMPRADA]]</f>
        <v>0</v>
      </c>
      <c r="N5541" s="110">
        <f>K5541-tblAquisições[[#This Row],[QUANTIDADE PLANEJADA]]</f>
        <v>-20</v>
      </c>
      <c r="O5541" s="106" t="str">
        <f t="shared" si="173"/>
        <v>Faltando Comprar</v>
      </c>
    </row>
    <row r="5542" spans="1:15" ht="31.5">
      <c r="A5542" s="16" t="s">
        <v>3077</v>
      </c>
      <c r="B5542" s="16" t="s">
        <v>3084</v>
      </c>
      <c r="C5542" s="17" t="s">
        <v>19</v>
      </c>
      <c r="D5542" s="18" t="s">
        <v>2516</v>
      </c>
      <c r="E5542" s="18">
        <v>20</v>
      </c>
      <c r="F5542" s="18" t="s">
        <v>56</v>
      </c>
      <c r="G5542" s="18" t="s">
        <v>39</v>
      </c>
      <c r="H5542" s="18" t="s">
        <v>23</v>
      </c>
      <c r="I5542" s="19">
        <v>252</v>
      </c>
      <c r="J5542" s="40">
        <f t="shared" si="172"/>
        <v>5040</v>
      </c>
      <c r="K5542" s="106"/>
      <c r="L5542" s="114"/>
      <c r="M5542" s="114">
        <f>tblAquisições[[#This Row],[VALOR UNITARIO COMPRADO]]*tblAquisições[[#This Row],[QUANTIDADE COMPRADA]]</f>
        <v>0</v>
      </c>
      <c r="N5542" s="110">
        <f>K5542-tblAquisições[[#This Row],[QUANTIDADE PLANEJADA]]</f>
        <v>-20</v>
      </c>
      <c r="O5542" s="106" t="str">
        <f t="shared" si="173"/>
        <v>Faltando Comprar</v>
      </c>
    </row>
    <row r="5543" spans="1:15" ht="47.25">
      <c r="A5543" s="16" t="s">
        <v>3077</v>
      </c>
      <c r="B5543" s="16" t="s">
        <v>3078</v>
      </c>
      <c r="C5543" s="17" t="s">
        <v>19</v>
      </c>
      <c r="D5543" s="18" t="s">
        <v>2533</v>
      </c>
      <c r="E5543" s="18">
        <v>1</v>
      </c>
      <c r="F5543" s="18" t="s">
        <v>214</v>
      </c>
      <c r="G5543" s="18" t="s">
        <v>127</v>
      </c>
      <c r="H5543" s="18" t="s">
        <v>23</v>
      </c>
      <c r="I5543" s="19">
        <v>3076.17</v>
      </c>
      <c r="J5543" s="40">
        <f t="shared" si="172"/>
        <v>3076.17</v>
      </c>
      <c r="K5543" s="106"/>
      <c r="L5543" s="114"/>
      <c r="M5543" s="114">
        <f>tblAquisições[[#This Row],[VALOR UNITARIO COMPRADO]]*tblAquisições[[#This Row],[QUANTIDADE COMPRADA]]</f>
        <v>0</v>
      </c>
      <c r="N5543" s="110">
        <f>K5543-tblAquisições[[#This Row],[QUANTIDADE PLANEJADA]]</f>
        <v>-1</v>
      </c>
      <c r="O5543" s="106" t="str">
        <f t="shared" si="173"/>
        <v>Faltando Comprar</v>
      </c>
    </row>
    <row r="5544" spans="1:15" ht="47.25">
      <c r="A5544" s="16" t="s">
        <v>3077</v>
      </c>
      <c r="B5544" s="16" t="s">
        <v>3078</v>
      </c>
      <c r="C5544" s="17" t="s">
        <v>19</v>
      </c>
      <c r="D5544" s="18" t="s">
        <v>2544</v>
      </c>
      <c r="E5544" s="18">
        <v>3</v>
      </c>
      <c r="F5544" s="18" t="s">
        <v>58</v>
      </c>
      <c r="G5544" s="18" t="s">
        <v>22</v>
      </c>
      <c r="H5544" s="18" t="s">
        <v>65</v>
      </c>
      <c r="I5544" s="24">
        <v>301.66000000000003</v>
      </c>
      <c r="J5544" s="40">
        <f t="shared" si="172"/>
        <v>904.98</v>
      </c>
      <c r="K5544" s="106"/>
      <c r="L5544" s="114"/>
      <c r="M5544" s="114">
        <f>tblAquisições[[#This Row],[VALOR UNITARIO COMPRADO]]*tblAquisições[[#This Row],[QUANTIDADE COMPRADA]]</f>
        <v>0</v>
      </c>
      <c r="N5544" s="110">
        <f>K5544-tblAquisições[[#This Row],[QUANTIDADE PLANEJADA]]</f>
        <v>-3</v>
      </c>
      <c r="O5544" s="106" t="str">
        <f t="shared" si="173"/>
        <v>Faltando Comprar</v>
      </c>
    </row>
    <row r="5545" spans="1:15" ht="31.5">
      <c r="A5545" s="16" t="s">
        <v>3077</v>
      </c>
      <c r="B5545" s="16" t="s">
        <v>3083</v>
      </c>
      <c r="C5545" s="17" t="s">
        <v>19</v>
      </c>
      <c r="D5545" s="18" t="s">
        <v>3056</v>
      </c>
      <c r="E5545" s="18">
        <v>2</v>
      </c>
      <c r="F5545" s="18" t="s">
        <v>56</v>
      </c>
      <c r="G5545" s="18" t="s">
        <v>39</v>
      </c>
      <c r="H5545" s="18" t="s">
        <v>23</v>
      </c>
      <c r="I5545" s="19">
        <v>1125</v>
      </c>
      <c r="J5545" s="40">
        <f t="shared" si="172"/>
        <v>2250</v>
      </c>
      <c r="K5545" s="106"/>
      <c r="L5545" s="114"/>
      <c r="M5545" s="114">
        <f>tblAquisições[[#This Row],[VALOR UNITARIO COMPRADO]]*tblAquisições[[#This Row],[QUANTIDADE COMPRADA]]</f>
        <v>0</v>
      </c>
      <c r="N5545" s="110">
        <f>K5545-tblAquisições[[#This Row],[QUANTIDADE PLANEJADA]]</f>
        <v>-2</v>
      </c>
      <c r="O5545" s="106" t="str">
        <f t="shared" si="173"/>
        <v>Faltando Comprar</v>
      </c>
    </row>
    <row r="5546" spans="1:15" ht="31.5">
      <c r="A5546" s="16" t="s">
        <v>3077</v>
      </c>
      <c r="B5546" s="16" t="s">
        <v>3083</v>
      </c>
      <c r="C5546" s="17" t="s">
        <v>19</v>
      </c>
      <c r="D5546" s="18" t="s">
        <v>2859</v>
      </c>
      <c r="E5546" s="18">
        <v>8</v>
      </c>
      <c r="F5546" s="18" t="s">
        <v>56</v>
      </c>
      <c r="G5546" s="18" t="s">
        <v>39</v>
      </c>
      <c r="H5546" s="18" t="s">
        <v>23</v>
      </c>
      <c r="I5546" s="19">
        <v>23.15</v>
      </c>
      <c r="J5546" s="40">
        <f t="shared" si="172"/>
        <v>185.2</v>
      </c>
      <c r="K5546" s="106"/>
      <c r="L5546" s="114"/>
      <c r="M5546" s="114">
        <f>tblAquisições[[#This Row],[VALOR UNITARIO COMPRADO]]*tblAquisições[[#This Row],[QUANTIDADE COMPRADA]]</f>
        <v>0</v>
      </c>
      <c r="N5546" s="110">
        <f>K5546-tblAquisições[[#This Row],[QUANTIDADE PLANEJADA]]</f>
        <v>-8</v>
      </c>
      <c r="O5546" s="106" t="str">
        <f t="shared" si="173"/>
        <v>Faltando Comprar</v>
      </c>
    </row>
    <row r="5547" spans="1:15" ht="47.25">
      <c r="A5547" s="16" t="s">
        <v>3077</v>
      </c>
      <c r="B5547" s="16" t="s">
        <v>3084</v>
      </c>
      <c r="C5547" s="17" t="s">
        <v>19</v>
      </c>
      <c r="D5547" s="18" t="s">
        <v>3162</v>
      </c>
      <c r="E5547" s="18">
        <v>10</v>
      </c>
      <c r="F5547" s="18" t="s">
        <v>96</v>
      </c>
      <c r="G5547" s="18" t="s">
        <v>39</v>
      </c>
      <c r="H5547" s="18" t="s">
        <v>23</v>
      </c>
      <c r="I5547" s="19">
        <v>282.41000000000003</v>
      </c>
      <c r="J5547" s="40">
        <f t="shared" si="172"/>
        <v>2824.1000000000004</v>
      </c>
      <c r="K5547" s="106"/>
      <c r="L5547" s="114"/>
      <c r="M5547" s="114">
        <f>tblAquisições[[#This Row],[VALOR UNITARIO COMPRADO]]*tblAquisições[[#This Row],[QUANTIDADE COMPRADA]]</f>
        <v>0</v>
      </c>
      <c r="N5547" s="110">
        <f>K5547-tblAquisições[[#This Row],[QUANTIDADE PLANEJADA]]</f>
        <v>-10</v>
      </c>
      <c r="O5547" s="106" t="str">
        <f t="shared" si="173"/>
        <v>Faltando Comprar</v>
      </c>
    </row>
    <row r="5548" spans="1:15" ht="47.25">
      <c r="A5548" s="16" t="s">
        <v>3077</v>
      </c>
      <c r="B5548" s="16" t="s">
        <v>3080</v>
      </c>
      <c r="C5548" s="17" t="s">
        <v>19</v>
      </c>
      <c r="D5548" s="18" t="s">
        <v>2593</v>
      </c>
      <c r="E5548" s="18">
        <v>36</v>
      </c>
      <c r="F5548" s="18" t="s">
        <v>239</v>
      </c>
      <c r="G5548" s="18" t="s">
        <v>22</v>
      </c>
      <c r="H5548" s="18" t="s">
        <v>23</v>
      </c>
      <c r="I5548" s="19">
        <v>5.29</v>
      </c>
      <c r="J5548" s="40">
        <f t="shared" si="172"/>
        <v>190.44</v>
      </c>
      <c r="K5548" s="106"/>
      <c r="L5548" s="114"/>
      <c r="M5548" s="114">
        <f>tblAquisições[[#This Row],[VALOR UNITARIO COMPRADO]]*tblAquisições[[#This Row],[QUANTIDADE COMPRADA]]</f>
        <v>0</v>
      </c>
      <c r="N5548" s="110">
        <f>K5548-tblAquisições[[#This Row],[QUANTIDADE PLANEJADA]]</f>
        <v>-36</v>
      </c>
      <c r="O5548" s="106" t="str">
        <f t="shared" si="173"/>
        <v>Faltando Comprar</v>
      </c>
    </row>
    <row r="5549" spans="1:15" ht="31.5">
      <c r="A5549" s="16" t="s">
        <v>3077</v>
      </c>
      <c r="B5549" s="16" t="s">
        <v>3077</v>
      </c>
      <c r="C5549" s="17" t="s">
        <v>19</v>
      </c>
      <c r="D5549" s="18" t="s">
        <v>3163</v>
      </c>
      <c r="E5549" s="18">
        <v>6</v>
      </c>
      <c r="F5549" s="18" t="s">
        <v>56</v>
      </c>
      <c r="G5549" s="18" t="s">
        <v>39</v>
      </c>
      <c r="H5549" s="18" t="s">
        <v>23</v>
      </c>
      <c r="I5549" s="19">
        <v>68.09</v>
      </c>
      <c r="J5549" s="40">
        <f t="shared" si="172"/>
        <v>408.54</v>
      </c>
      <c r="K5549" s="106"/>
      <c r="L5549" s="114"/>
      <c r="M5549" s="114">
        <f>tblAquisições[[#This Row],[VALOR UNITARIO COMPRADO]]*tblAquisições[[#This Row],[QUANTIDADE COMPRADA]]</f>
        <v>0</v>
      </c>
      <c r="N5549" s="110">
        <f>K5549-tblAquisições[[#This Row],[QUANTIDADE PLANEJADA]]</f>
        <v>-6</v>
      </c>
      <c r="O5549" s="106" t="str">
        <f t="shared" si="173"/>
        <v>Faltando Comprar</v>
      </c>
    </row>
    <row r="5550" spans="1:15" ht="63">
      <c r="A5550" s="16" t="s">
        <v>3077</v>
      </c>
      <c r="B5550" s="16" t="s">
        <v>3084</v>
      </c>
      <c r="C5550" s="17" t="s">
        <v>19</v>
      </c>
      <c r="D5550" s="18" t="s">
        <v>3164</v>
      </c>
      <c r="E5550" s="18">
        <v>1</v>
      </c>
      <c r="F5550" s="18" t="s">
        <v>2802</v>
      </c>
      <c r="G5550" s="18" t="s">
        <v>775</v>
      </c>
      <c r="H5550" s="18" t="s">
        <v>23</v>
      </c>
      <c r="I5550" s="19">
        <v>489.67</v>
      </c>
      <c r="J5550" s="40">
        <f t="shared" si="172"/>
        <v>489.67</v>
      </c>
      <c r="K5550" s="106"/>
      <c r="L5550" s="114"/>
      <c r="M5550" s="114">
        <f>tblAquisições[[#This Row],[VALOR UNITARIO COMPRADO]]*tblAquisições[[#This Row],[QUANTIDADE COMPRADA]]</f>
        <v>0</v>
      </c>
      <c r="N5550" s="110">
        <f>K5550-tblAquisições[[#This Row],[QUANTIDADE PLANEJADA]]</f>
        <v>-1</v>
      </c>
      <c r="O5550" s="106" t="str">
        <f t="shared" si="173"/>
        <v>Faltando Comprar</v>
      </c>
    </row>
    <row r="5551" spans="1:15" ht="31.5">
      <c r="A5551" s="16" t="s">
        <v>3077</v>
      </c>
      <c r="B5551" s="16" t="s">
        <v>3080</v>
      </c>
      <c r="C5551" s="17" t="s">
        <v>19</v>
      </c>
      <c r="D5551" s="18" t="s">
        <v>3165</v>
      </c>
      <c r="E5551" s="18">
        <v>4</v>
      </c>
      <c r="F5551" s="18" t="s">
        <v>1455</v>
      </c>
      <c r="G5551" s="18" t="s">
        <v>127</v>
      </c>
      <c r="H5551" s="18" t="s">
        <v>23</v>
      </c>
      <c r="I5551" s="19">
        <v>489.67</v>
      </c>
      <c r="J5551" s="40">
        <f t="shared" si="172"/>
        <v>1958.68</v>
      </c>
      <c r="K5551" s="106"/>
      <c r="L5551" s="114"/>
      <c r="M5551" s="114">
        <f>tblAquisições[[#This Row],[VALOR UNITARIO COMPRADO]]*tblAquisições[[#This Row],[QUANTIDADE COMPRADA]]</f>
        <v>0</v>
      </c>
      <c r="N5551" s="110">
        <f>K5551-tblAquisições[[#This Row],[QUANTIDADE PLANEJADA]]</f>
        <v>-4</v>
      </c>
      <c r="O5551" s="106" t="str">
        <f t="shared" si="173"/>
        <v>Faltando Comprar</v>
      </c>
    </row>
    <row r="5552" spans="1:15" ht="63">
      <c r="A5552" s="16" t="s">
        <v>3077</v>
      </c>
      <c r="B5552" s="16" t="s">
        <v>3083</v>
      </c>
      <c r="C5552" s="17" t="s">
        <v>19</v>
      </c>
      <c r="D5552" s="18" t="s">
        <v>3166</v>
      </c>
      <c r="E5552" s="18">
        <v>5</v>
      </c>
      <c r="F5552" s="18" t="s">
        <v>2802</v>
      </c>
      <c r="G5552" s="18" t="s">
        <v>775</v>
      </c>
      <c r="H5552" s="18" t="s">
        <v>23</v>
      </c>
      <c r="I5552" s="19">
        <v>266.52</v>
      </c>
      <c r="J5552" s="40">
        <f t="shared" si="172"/>
        <v>1332.6</v>
      </c>
      <c r="K5552" s="106"/>
      <c r="L5552" s="114"/>
      <c r="M5552" s="114">
        <f>tblAquisições[[#This Row],[VALOR UNITARIO COMPRADO]]*tblAquisições[[#This Row],[QUANTIDADE COMPRADA]]</f>
        <v>0</v>
      </c>
      <c r="N5552" s="110">
        <f>K5552-tblAquisições[[#This Row],[QUANTIDADE PLANEJADA]]</f>
        <v>-5</v>
      </c>
      <c r="O5552" s="106" t="str">
        <f t="shared" si="173"/>
        <v>Faltando Comprar</v>
      </c>
    </row>
    <row r="5553" spans="1:15" ht="63">
      <c r="A5553" s="16" t="s">
        <v>3077</v>
      </c>
      <c r="B5553" s="16" t="s">
        <v>3084</v>
      </c>
      <c r="C5553" s="17" t="s">
        <v>19</v>
      </c>
      <c r="D5553" s="18" t="s">
        <v>2867</v>
      </c>
      <c r="E5553" s="18">
        <v>10</v>
      </c>
      <c r="F5553" s="18" t="s">
        <v>2802</v>
      </c>
      <c r="G5553" s="18" t="s">
        <v>775</v>
      </c>
      <c r="H5553" s="18" t="s">
        <v>23</v>
      </c>
      <c r="I5553" s="19">
        <v>565</v>
      </c>
      <c r="J5553" s="40">
        <f t="shared" si="172"/>
        <v>5650</v>
      </c>
      <c r="K5553" s="106"/>
      <c r="L5553" s="114"/>
      <c r="M5553" s="114">
        <f>tblAquisições[[#This Row],[VALOR UNITARIO COMPRADO]]*tblAquisições[[#This Row],[QUANTIDADE COMPRADA]]</f>
        <v>0</v>
      </c>
      <c r="N5553" s="110">
        <f>K5553-tblAquisições[[#This Row],[QUANTIDADE PLANEJADA]]</f>
        <v>-10</v>
      </c>
      <c r="O5553" s="106" t="str">
        <f t="shared" si="173"/>
        <v>Faltando Comprar</v>
      </c>
    </row>
    <row r="5554" spans="1:15" ht="31.5">
      <c r="A5554" s="16" t="s">
        <v>3077</v>
      </c>
      <c r="B5554" s="16" t="s">
        <v>3084</v>
      </c>
      <c r="C5554" s="17" t="s">
        <v>19</v>
      </c>
      <c r="D5554" s="18" t="s">
        <v>3167</v>
      </c>
      <c r="E5554" s="18">
        <v>1</v>
      </c>
      <c r="F5554" s="18" t="s">
        <v>56</v>
      </c>
      <c r="G5554" s="18" t="s">
        <v>39</v>
      </c>
      <c r="H5554" s="18" t="s">
        <v>23</v>
      </c>
      <c r="I5554" s="19">
        <v>178.09</v>
      </c>
      <c r="J5554" s="40">
        <f t="shared" si="172"/>
        <v>178.09</v>
      </c>
      <c r="K5554" s="106"/>
      <c r="L5554" s="114"/>
      <c r="M5554" s="114">
        <f>tblAquisições[[#This Row],[VALOR UNITARIO COMPRADO]]*tblAquisições[[#This Row],[QUANTIDADE COMPRADA]]</f>
        <v>0</v>
      </c>
      <c r="N5554" s="110">
        <f>K5554-tblAquisições[[#This Row],[QUANTIDADE PLANEJADA]]</f>
        <v>-1</v>
      </c>
      <c r="O5554" s="106" t="str">
        <f t="shared" si="173"/>
        <v>Faltando Comprar</v>
      </c>
    </row>
    <row r="5555" spans="1:15" ht="330.75">
      <c r="A5555" s="16" t="s">
        <v>3077</v>
      </c>
      <c r="B5555" s="16" t="s">
        <v>3084</v>
      </c>
      <c r="C5555" s="17" t="s">
        <v>19</v>
      </c>
      <c r="D5555" s="18" t="s">
        <v>3168</v>
      </c>
      <c r="E5555" s="18">
        <v>1440</v>
      </c>
      <c r="F5555" s="18" t="s">
        <v>3169</v>
      </c>
      <c r="G5555" s="18" t="s">
        <v>775</v>
      </c>
      <c r="H5555" s="18" t="s">
        <v>23</v>
      </c>
      <c r="I5555" s="19">
        <v>34</v>
      </c>
      <c r="J5555" s="40">
        <f t="shared" si="172"/>
        <v>48960</v>
      </c>
      <c r="K5555" s="106"/>
      <c r="L5555" s="114"/>
      <c r="M5555" s="114">
        <f>tblAquisições[[#This Row],[VALOR UNITARIO COMPRADO]]*tblAquisições[[#This Row],[QUANTIDADE COMPRADA]]</f>
        <v>0</v>
      </c>
      <c r="N5555" s="110">
        <f>K5555-tblAquisições[[#This Row],[QUANTIDADE PLANEJADA]]</f>
        <v>-1440</v>
      </c>
      <c r="O5555" s="106" t="str">
        <f t="shared" si="173"/>
        <v>Faltando Comprar</v>
      </c>
    </row>
    <row r="5556" spans="1:15" ht="94.5">
      <c r="A5556" s="16" t="s">
        <v>3077</v>
      </c>
      <c r="B5556" s="16" t="s">
        <v>3084</v>
      </c>
      <c r="C5556" s="17" t="s">
        <v>19</v>
      </c>
      <c r="D5556" s="18" t="s">
        <v>3170</v>
      </c>
      <c r="E5556" s="18">
        <v>80</v>
      </c>
      <c r="F5556" s="18" t="s">
        <v>3169</v>
      </c>
      <c r="G5556" s="18" t="s">
        <v>775</v>
      </c>
      <c r="H5556" s="18" t="s">
        <v>23</v>
      </c>
      <c r="I5556" s="19">
        <v>75</v>
      </c>
      <c r="J5556" s="40">
        <f t="shared" si="172"/>
        <v>6000</v>
      </c>
      <c r="K5556" s="106"/>
      <c r="L5556" s="114"/>
      <c r="M5556" s="114">
        <f>tblAquisições[[#This Row],[VALOR UNITARIO COMPRADO]]*tblAquisições[[#This Row],[QUANTIDADE COMPRADA]]</f>
        <v>0</v>
      </c>
      <c r="N5556" s="110">
        <f>K5556-tblAquisições[[#This Row],[QUANTIDADE PLANEJADA]]</f>
        <v>-80</v>
      </c>
      <c r="O5556" s="106" t="str">
        <f t="shared" si="173"/>
        <v>Faltando Comprar</v>
      </c>
    </row>
    <row r="5557" spans="1:15" ht="220.5">
      <c r="A5557" s="16" t="s">
        <v>3077</v>
      </c>
      <c r="B5557" s="16" t="s">
        <v>3084</v>
      </c>
      <c r="C5557" s="17" t="s">
        <v>19</v>
      </c>
      <c r="D5557" s="18" t="s">
        <v>3171</v>
      </c>
      <c r="E5557" s="18">
        <v>4252</v>
      </c>
      <c r="F5557" s="18" t="s">
        <v>3169</v>
      </c>
      <c r="G5557" s="18" t="s">
        <v>775</v>
      </c>
      <c r="H5557" s="18" t="s">
        <v>23</v>
      </c>
      <c r="I5557" s="19">
        <v>103.53</v>
      </c>
      <c r="J5557" s="40">
        <f t="shared" si="172"/>
        <v>440209.56</v>
      </c>
      <c r="K5557" s="106"/>
      <c r="L5557" s="114"/>
      <c r="M5557" s="114">
        <f>tblAquisições[[#This Row],[VALOR UNITARIO COMPRADO]]*tblAquisições[[#This Row],[QUANTIDADE COMPRADA]]</f>
        <v>0</v>
      </c>
      <c r="N5557" s="110">
        <f>K5557-tblAquisições[[#This Row],[QUANTIDADE PLANEJADA]]</f>
        <v>-4252</v>
      </c>
      <c r="O5557" s="106" t="str">
        <f t="shared" si="173"/>
        <v>Faltando Comprar</v>
      </c>
    </row>
    <row r="5558" spans="1:15" ht="346.5">
      <c r="A5558" s="16" t="s">
        <v>3077</v>
      </c>
      <c r="B5558" s="16" t="s">
        <v>3084</v>
      </c>
      <c r="C5558" s="17" t="s">
        <v>19</v>
      </c>
      <c r="D5558" s="18" t="s">
        <v>3172</v>
      </c>
      <c r="E5558" s="18">
        <v>4252</v>
      </c>
      <c r="F5558" s="18" t="s">
        <v>3169</v>
      </c>
      <c r="G5558" s="18" t="s">
        <v>775</v>
      </c>
      <c r="H5558" s="18" t="s">
        <v>23</v>
      </c>
      <c r="I5558" s="19">
        <v>164.33</v>
      </c>
      <c r="J5558" s="40">
        <f t="shared" si="172"/>
        <v>698731.16</v>
      </c>
      <c r="K5558" s="106"/>
      <c r="L5558" s="114"/>
      <c r="M5558" s="114">
        <f>tblAquisições[[#This Row],[VALOR UNITARIO COMPRADO]]*tblAquisições[[#This Row],[QUANTIDADE COMPRADA]]</f>
        <v>0</v>
      </c>
      <c r="N5558" s="110">
        <f>K5558-tblAquisições[[#This Row],[QUANTIDADE PLANEJADA]]</f>
        <v>-4252</v>
      </c>
      <c r="O5558" s="106" t="str">
        <f t="shared" si="173"/>
        <v>Faltando Comprar</v>
      </c>
    </row>
    <row r="5559" spans="1:15" ht="63">
      <c r="A5559" s="16" t="s">
        <v>3077</v>
      </c>
      <c r="B5559" s="16" t="s">
        <v>3084</v>
      </c>
      <c r="C5559" s="17" t="s">
        <v>19</v>
      </c>
      <c r="D5559" s="18" t="s">
        <v>3173</v>
      </c>
      <c r="E5559" s="18">
        <v>2</v>
      </c>
      <c r="F5559" s="18" t="s">
        <v>3174</v>
      </c>
      <c r="G5559" s="18" t="s">
        <v>775</v>
      </c>
      <c r="H5559" s="18" t="s">
        <v>23</v>
      </c>
      <c r="I5559" s="19">
        <v>47.06</v>
      </c>
      <c r="J5559" s="40">
        <f t="shared" si="172"/>
        <v>94.12</v>
      </c>
      <c r="K5559" s="106"/>
      <c r="L5559" s="114"/>
      <c r="M5559" s="114">
        <f>tblAquisições[[#This Row],[VALOR UNITARIO COMPRADO]]*tblAquisições[[#This Row],[QUANTIDADE COMPRADA]]</f>
        <v>0</v>
      </c>
      <c r="N5559" s="110">
        <f>K5559-tblAquisições[[#This Row],[QUANTIDADE PLANEJADA]]</f>
        <v>-2</v>
      </c>
      <c r="O5559" s="106" t="str">
        <f t="shared" si="173"/>
        <v>Faltando Comprar</v>
      </c>
    </row>
    <row r="5560" spans="1:15" ht="63">
      <c r="A5560" s="16" t="s">
        <v>3077</v>
      </c>
      <c r="B5560" s="16" t="s">
        <v>3084</v>
      </c>
      <c r="C5560" s="17" t="s">
        <v>19</v>
      </c>
      <c r="D5560" s="18" t="s">
        <v>3175</v>
      </c>
      <c r="E5560" s="18">
        <v>2</v>
      </c>
      <c r="F5560" s="18" t="s">
        <v>3174</v>
      </c>
      <c r="G5560" s="18" t="s">
        <v>775</v>
      </c>
      <c r="H5560" s="18" t="s">
        <v>23</v>
      </c>
      <c r="I5560" s="19">
        <v>110.5</v>
      </c>
      <c r="J5560" s="40">
        <f t="shared" si="172"/>
        <v>221</v>
      </c>
      <c r="K5560" s="106"/>
      <c r="L5560" s="114"/>
      <c r="M5560" s="114">
        <f>tblAquisições[[#This Row],[VALOR UNITARIO COMPRADO]]*tblAquisições[[#This Row],[QUANTIDADE COMPRADA]]</f>
        <v>0</v>
      </c>
      <c r="N5560" s="110">
        <f>K5560-tblAquisições[[#This Row],[QUANTIDADE PLANEJADA]]</f>
        <v>-2</v>
      </c>
      <c r="O5560" s="106" t="str">
        <f t="shared" si="173"/>
        <v>Faltando Comprar</v>
      </c>
    </row>
    <row r="5561" spans="1:15" ht="63">
      <c r="A5561" s="16" t="s">
        <v>3077</v>
      </c>
      <c r="B5561" s="16" t="s">
        <v>3084</v>
      </c>
      <c r="C5561" s="17" t="s">
        <v>19</v>
      </c>
      <c r="D5561" s="18" t="s">
        <v>3176</v>
      </c>
      <c r="E5561" s="18">
        <v>2</v>
      </c>
      <c r="F5561" s="18" t="s">
        <v>3174</v>
      </c>
      <c r="G5561" s="18" t="s">
        <v>775</v>
      </c>
      <c r="H5561" s="18" t="s">
        <v>23</v>
      </c>
      <c r="I5561" s="19">
        <v>247</v>
      </c>
      <c r="J5561" s="40">
        <f t="shared" si="172"/>
        <v>494</v>
      </c>
      <c r="K5561" s="106"/>
      <c r="L5561" s="114"/>
      <c r="M5561" s="114">
        <f>tblAquisições[[#This Row],[VALOR UNITARIO COMPRADO]]*tblAquisições[[#This Row],[QUANTIDADE COMPRADA]]</f>
        <v>0</v>
      </c>
      <c r="N5561" s="110">
        <f>K5561-tblAquisições[[#This Row],[QUANTIDADE PLANEJADA]]</f>
        <v>-2</v>
      </c>
      <c r="O5561" s="106" t="str">
        <f t="shared" si="173"/>
        <v>Faltando Comprar</v>
      </c>
    </row>
    <row r="5562" spans="1:15" ht="63">
      <c r="A5562" s="16" t="s">
        <v>3077</v>
      </c>
      <c r="B5562" s="16" t="s">
        <v>3084</v>
      </c>
      <c r="C5562" s="17" t="s">
        <v>19</v>
      </c>
      <c r="D5562" s="18" t="s">
        <v>3177</v>
      </c>
      <c r="E5562" s="18">
        <v>2</v>
      </c>
      <c r="F5562" s="18" t="s">
        <v>3174</v>
      </c>
      <c r="G5562" s="18" t="s">
        <v>775</v>
      </c>
      <c r="H5562" s="18" t="s">
        <v>23</v>
      </c>
      <c r="I5562" s="19">
        <v>232.4</v>
      </c>
      <c r="J5562" s="40">
        <f t="shared" si="172"/>
        <v>464.8</v>
      </c>
      <c r="K5562" s="106"/>
      <c r="L5562" s="114"/>
      <c r="M5562" s="114">
        <f>tblAquisições[[#This Row],[VALOR UNITARIO COMPRADO]]*tblAquisições[[#This Row],[QUANTIDADE COMPRADA]]</f>
        <v>0</v>
      </c>
      <c r="N5562" s="110">
        <f>K5562-tblAquisições[[#This Row],[QUANTIDADE PLANEJADA]]</f>
        <v>-2</v>
      </c>
      <c r="O5562" s="106" t="str">
        <f t="shared" si="173"/>
        <v>Faltando Comprar</v>
      </c>
    </row>
    <row r="5563" spans="1:15" ht="63">
      <c r="A5563" s="16" t="s">
        <v>3077</v>
      </c>
      <c r="B5563" s="16" t="s">
        <v>3084</v>
      </c>
      <c r="C5563" s="17" t="s">
        <v>19</v>
      </c>
      <c r="D5563" s="18" t="s">
        <v>3178</v>
      </c>
      <c r="E5563" s="18">
        <v>5</v>
      </c>
      <c r="F5563" s="18" t="s">
        <v>3174</v>
      </c>
      <c r="G5563" s="18" t="s">
        <v>775</v>
      </c>
      <c r="H5563" s="18" t="s">
        <v>275</v>
      </c>
      <c r="I5563" s="24">
        <v>42.94</v>
      </c>
      <c r="J5563" s="40">
        <f t="shared" si="172"/>
        <v>214.7</v>
      </c>
      <c r="K5563" s="106"/>
      <c r="L5563" s="114"/>
      <c r="M5563" s="114">
        <f>tblAquisições[[#This Row],[VALOR UNITARIO COMPRADO]]*tblAquisições[[#This Row],[QUANTIDADE COMPRADA]]</f>
        <v>0</v>
      </c>
      <c r="N5563" s="110">
        <f>K5563-tblAquisições[[#This Row],[QUANTIDADE PLANEJADA]]</f>
        <v>-5</v>
      </c>
      <c r="O5563" s="106" t="str">
        <f t="shared" si="173"/>
        <v>Faltando Comprar</v>
      </c>
    </row>
    <row r="5564" spans="1:15" ht="63">
      <c r="A5564" s="16" t="s">
        <v>3077</v>
      </c>
      <c r="B5564" s="16" t="s">
        <v>3084</v>
      </c>
      <c r="C5564" s="17" t="s">
        <v>19</v>
      </c>
      <c r="D5564" s="18" t="s">
        <v>3179</v>
      </c>
      <c r="E5564" s="18">
        <v>2</v>
      </c>
      <c r="F5564" s="18" t="s">
        <v>3174</v>
      </c>
      <c r="G5564" s="18" t="s">
        <v>775</v>
      </c>
      <c r="H5564" s="18" t="s">
        <v>23</v>
      </c>
      <c r="I5564" s="19">
        <v>95.99</v>
      </c>
      <c r="J5564" s="40">
        <f t="shared" si="172"/>
        <v>191.98</v>
      </c>
      <c r="K5564" s="106"/>
      <c r="L5564" s="114"/>
      <c r="M5564" s="114">
        <f>tblAquisições[[#This Row],[VALOR UNITARIO COMPRADO]]*tblAquisições[[#This Row],[QUANTIDADE COMPRADA]]</f>
        <v>0</v>
      </c>
      <c r="N5564" s="110">
        <f>K5564-tblAquisições[[#This Row],[QUANTIDADE PLANEJADA]]</f>
        <v>-2</v>
      </c>
      <c r="O5564" s="106" t="str">
        <f t="shared" si="173"/>
        <v>Faltando Comprar</v>
      </c>
    </row>
    <row r="5565" spans="1:15" ht="63">
      <c r="A5565" s="16" t="s">
        <v>3077</v>
      </c>
      <c r="B5565" s="16" t="s">
        <v>3084</v>
      </c>
      <c r="C5565" s="17" t="s">
        <v>19</v>
      </c>
      <c r="D5565" s="18" t="s">
        <v>3180</v>
      </c>
      <c r="E5565" s="18">
        <v>10</v>
      </c>
      <c r="F5565" s="18" t="s">
        <v>3174</v>
      </c>
      <c r="G5565" s="18" t="s">
        <v>775</v>
      </c>
      <c r="H5565" s="18" t="s">
        <v>65</v>
      </c>
      <c r="I5565" s="24">
        <v>24.44</v>
      </c>
      <c r="J5565" s="40">
        <f t="shared" si="172"/>
        <v>244.4</v>
      </c>
      <c r="K5565" s="106"/>
      <c r="L5565" s="114"/>
      <c r="M5565" s="114">
        <f>tblAquisições[[#This Row],[VALOR UNITARIO COMPRADO]]*tblAquisições[[#This Row],[QUANTIDADE COMPRADA]]</f>
        <v>0</v>
      </c>
      <c r="N5565" s="110">
        <f>K5565-tblAquisições[[#This Row],[QUANTIDADE PLANEJADA]]</f>
        <v>-10</v>
      </c>
      <c r="O5565" s="106" t="str">
        <f t="shared" si="173"/>
        <v>Faltando Comprar</v>
      </c>
    </row>
    <row r="5566" spans="1:15" ht="63">
      <c r="A5566" s="16" t="s">
        <v>3077</v>
      </c>
      <c r="B5566" s="16" t="s">
        <v>3084</v>
      </c>
      <c r="C5566" s="17" t="s">
        <v>19</v>
      </c>
      <c r="D5566" s="18" t="s">
        <v>3181</v>
      </c>
      <c r="E5566" s="18">
        <v>10</v>
      </c>
      <c r="F5566" s="18" t="s">
        <v>3174</v>
      </c>
      <c r="G5566" s="18" t="s">
        <v>775</v>
      </c>
      <c r="H5566" s="18" t="s">
        <v>65</v>
      </c>
      <c r="I5566" s="24">
        <v>9</v>
      </c>
      <c r="J5566" s="40">
        <f t="shared" si="172"/>
        <v>90</v>
      </c>
      <c r="K5566" s="106"/>
      <c r="L5566" s="114"/>
      <c r="M5566" s="114">
        <f>tblAquisições[[#This Row],[VALOR UNITARIO COMPRADO]]*tblAquisições[[#This Row],[QUANTIDADE COMPRADA]]</f>
        <v>0</v>
      </c>
      <c r="N5566" s="110">
        <f>K5566-tblAquisições[[#This Row],[QUANTIDADE PLANEJADA]]</f>
        <v>-10</v>
      </c>
      <c r="O5566" s="106" t="str">
        <f t="shared" si="173"/>
        <v>Faltando Comprar</v>
      </c>
    </row>
    <row r="5567" spans="1:15" ht="63">
      <c r="A5567" s="16" t="s">
        <v>3077</v>
      </c>
      <c r="B5567" s="16" t="s">
        <v>3084</v>
      </c>
      <c r="C5567" s="17" t="s">
        <v>19</v>
      </c>
      <c r="D5567" s="18" t="s">
        <v>3182</v>
      </c>
      <c r="E5567" s="18">
        <v>5</v>
      </c>
      <c r="F5567" s="18" t="s">
        <v>3174</v>
      </c>
      <c r="G5567" s="18" t="s">
        <v>775</v>
      </c>
      <c r="H5567" s="18" t="s">
        <v>3183</v>
      </c>
      <c r="I5567" s="24">
        <v>28</v>
      </c>
      <c r="J5567" s="40">
        <f t="shared" si="172"/>
        <v>140</v>
      </c>
      <c r="K5567" s="106"/>
      <c r="L5567" s="114"/>
      <c r="M5567" s="114">
        <f>tblAquisições[[#This Row],[VALOR UNITARIO COMPRADO]]*tblAquisições[[#This Row],[QUANTIDADE COMPRADA]]</f>
        <v>0</v>
      </c>
      <c r="N5567" s="110">
        <f>K5567-tblAquisições[[#This Row],[QUANTIDADE PLANEJADA]]</f>
        <v>-5</v>
      </c>
      <c r="O5567" s="106" t="str">
        <f t="shared" si="173"/>
        <v>Faltando Comprar</v>
      </c>
    </row>
    <row r="5568" spans="1:15" ht="63">
      <c r="A5568" s="16" t="s">
        <v>3077</v>
      </c>
      <c r="B5568" s="16" t="s">
        <v>3084</v>
      </c>
      <c r="C5568" s="17" t="s">
        <v>19</v>
      </c>
      <c r="D5568" s="18" t="s">
        <v>3184</v>
      </c>
      <c r="E5568" s="18">
        <v>50</v>
      </c>
      <c r="F5568" s="18" t="s">
        <v>217</v>
      </c>
      <c r="G5568" s="18" t="s">
        <v>3185</v>
      </c>
      <c r="H5568" s="18" t="s">
        <v>23</v>
      </c>
      <c r="I5568" s="19">
        <v>479.73</v>
      </c>
      <c r="J5568" s="40">
        <f t="shared" si="172"/>
        <v>23986.5</v>
      </c>
      <c r="K5568" s="106"/>
      <c r="L5568" s="114"/>
      <c r="M5568" s="114">
        <f>tblAquisições[[#This Row],[VALOR UNITARIO COMPRADO]]*tblAquisições[[#This Row],[QUANTIDADE COMPRADA]]</f>
        <v>0</v>
      </c>
      <c r="N5568" s="110">
        <f>K5568-tblAquisições[[#This Row],[QUANTIDADE PLANEJADA]]</f>
        <v>-50</v>
      </c>
      <c r="O5568" s="106" t="str">
        <f t="shared" si="173"/>
        <v>Faltando Comprar</v>
      </c>
    </row>
    <row r="5569" spans="1:15" ht="173.25">
      <c r="A5569" s="16" t="s">
        <v>3077</v>
      </c>
      <c r="B5569" s="16" t="s">
        <v>3084</v>
      </c>
      <c r="C5569" s="17" t="s">
        <v>19</v>
      </c>
      <c r="D5569" s="18" t="s">
        <v>3186</v>
      </c>
      <c r="E5569" s="18">
        <v>50</v>
      </c>
      <c r="F5569" s="18" t="s">
        <v>217</v>
      </c>
      <c r="G5569" s="18" t="s">
        <v>3185</v>
      </c>
      <c r="H5569" s="18" t="s">
        <v>23</v>
      </c>
      <c r="I5569" s="19">
        <v>195</v>
      </c>
      <c r="J5569" s="40">
        <f t="shared" si="172"/>
        <v>9750</v>
      </c>
      <c r="K5569" s="106"/>
      <c r="L5569" s="114"/>
      <c r="M5569" s="114">
        <f>tblAquisições[[#This Row],[VALOR UNITARIO COMPRADO]]*tblAquisições[[#This Row],[QUANTIDADE COMPRADA]]</f>
        <v>0</v>
      </c>
      <c r="N5569" s="110">
        <f>K5569-tblAquisições[[#This Row],[QUANTIDADE PLANEJADA]]</f>
        <v>-50</v>
      </c>
      <c r="O5569" s="106" t="str">
        <f t="shared" si="173"/>
        <v>Faltando Comprar</v>
      </c>
    </row>
    <row r="5570" spans="1:15" ht="126">
      <c r="A5570" s="16" t="s">
        <v>3077</v>
      </c>
      <c r="B5570" s="16" t="s">
        <v>3084</v>
      </c>
      <c r="C5570" s="17" t="s">
        <v>19</v>
      </c>
      <c r="D5570" s="18" t="s">
        <v>3187</v>
      </c>
      <c r="E5570" s="18">
        <v>50</v>
      </c>
      <c r="F5570" s="18" t="s">
        <v>217</v>
      </c>
      <c r="G5570" s="18" t="s">
        <v>3185</v>
      </c>
      <c r="H5570" s="18" t="s">
        <v>23</v>
      </c>
      <c r="I5570" s="19">
        <v>120.27</v>
      </c>
      <c r="J5570" s="40">
        <f t="shared" ref="J5570:J5633" si="174">E5570*I5570</f>
        <v>6013.5</v>
      </c>
      <c r="K5570" s="106"/>
      <c r="L5570" s="114"/>
      <c r="M5570" s="114">
        <f>tblAquisições[[#This Row],[VALOR UNITARIO COMPRADO]]*tblAquisições[[#This Row],[QUANTIDADE COMPRADA]]</f>
        <v>0</v>
      </c>
      <c r="N5570" s="110">
        <f>K5570-tblAquisições[[#This Row],[QUANTIDADE PLANEJADA]]</f>
        <v>-50</v>
      </c>
      <c r="O5570" s="106" t="str">
        <f t="shared" ref="O5570:O5633" si="175">IF(K5570=E5570,"OK",IF(K5570&lt;E5570,"Faltando Comprar","Excedente"))</f>
        <v>Faltando Comprar</v>
      </c>
    </row>
    <row r="5571" spans="1:15" ht="189">
      <c r="A5571" s="16" t="s">
        <v>3077</v>
      </c>
      <c r="B5571" s="16" t="s">
        <v>3084</v>
      </c>
      <c r="C5571" s="17" t="s">
        <v>19</v>
      </c>
      <c r="D5571" s="33" t="s">
        <v>3188</v>
      </c>
      <c r="E5571" s="33">
        <v>200</v>
      </c>
      <c r="F5571" s="33" t="s">
        <v>217</v>
      </c>
      <c r="G5571" s="33" t="s">
        <v>3185</v>
      </c>
      <c r="H5571" s="33" t="s">
        <v>23</v>
      </c>
      <c r="I5571" s="19">
        <v>27.67</v>
      </c>
      <c r="J5571" s="40">
        <f t="shared" si="174"/>
        <v>5534</v>
      </c>
      <c r="K5571" s="106"/>
      <c r="L5571" s="114"/>
      <c r="M5571" s="114">
        <f>tblAquisições[[#This Row],[VALOR UNITARIO COMPRADO]]*tblAquisições[[#This Row],[QUANTIDADE COMPRADA]]</f>
        <v>0</v>
      </c>
      <c r="N5571" s="110">
        <f>K5571-tblAquisições[[#This Row],[QUANTIDADE PLANEJADA]]</f>
        <v>-200</v>
      </c>
      <c r="O5571" s="106" t="str">
        <f t="shared" si="175"/>
        <v>Faltando Comprar</v>
      </c>
    </row>
    <row r="5572" spans="1:15" ht="157.5">
      <c r="A5572" s="16" t="s">
        <v>3077</v>
      </c>
      <c r="B5572" s="16" t="s">
        <v>3084</v>
      </c>
      <c r="C5572" s="17" t="s">
        <v>19</v>
      </c>
      <c r="D5572" s="18" t="s">
        <v>3189</v>
      </c>
      <c r="E5572" s="18">
        <v>210</v>
      </c>
      <c r="F5572" s="18" t="s">
        <v>217</v>
      </c>
      <c r="G5572" s="18" t="s">
        <v>3185</v>
      </c>
      <c r="H5572" s="18" t="s">
        <v>23</v>
      </c>
      <c r="I5572" s="19">
        <v>17.329999999999998</v>
      </c>
      <c r="J5572" s="40">
        <f t="shared" si="174"/>
        <v>3639.2999999999997</v>
      </c>
      <c r="K5572" s="106"/>
      <c r="L5572" s="114"/>
      <c r="M5572" s="114">
        <f>tblAquisições[[#This Row],[VALOR UNITARIO COMPRADO]]*tblAquisições[[#This Row],[QUANTIDADE COMPRADA]]</f>
        <v>0</v>
      </c>
      <c r="N5572" s="110">
        <f>K5572-tblAquisições[[#This Row],[QUANTIDADE PLANEJADA]]</f>
        <v>-210</v>
      </c>
      <c r="O5572" s="106" t="str">
        <f t="shared" si="175"/>
        <v>Faltando Comprar</v>
      </c>
    </row>
    <row r="5573" spans="1:15" ht="47.25">
      <c r="A5573" s="16" t="s">
        <v>3077</v>
      </c>
      <c r="B5573" s="16" t="s">
        <v>3084</v>
      </c>
      <c r="C5573" s="17" t="s">
        <v>19</v>
      </c>
      <c r="D5573" s="18" t="s">
        <v>3190</v>
      </c>
      <c r="E5573" s="18">
        <v>120</v>
      </c>
      <c r="F5573" s="18" t="s">
        <v>217</v>
      </c>
      <c r="G5573" s="18" t="s">
        <v>3185</v>
      </c>
      <c r="H5573" s="18" t="s">
        <v>23</v>
      </c>
      <c r="I5573" s="19">
        <v>8.5</v>
      </c>
      <c r="J5573" s="40">
        <f t="shared" si="174"/>
        <v>1020</v>
      </c>
      <c r="K5573" s="106"/>
      <c r="L5573" s="114"/>
      <c r="M5573" s="114">
        <f>tblAquisições[[#This Row],[VALOR UNITARIO COMPRADO]]*tblAquisições[[#This Row],[QUANTIDADE COMPRADA]]</f>
        <v>0</v>
      </c>
      <c r="N5573" s="110">
        <f>K5573-tblAquisições[[#This Row],[QUANTIDADE PLANEJADA]]</f>
        <v>-120</v>
      </c>
      <c r="O5573" s="106" t="str">
        <f t="shared" si="175"/>
        <v>Faltando Comprar</v>
      </c>
    </row>
    <row r="5574" spans="1:15" ht="63">
      <c r="A5574" s="16" t="s">
        <v>3077</v>
      </c>
      <c r="B5574" s="16" t="s">
        <v>3084</v>
      </c>
      <c r="C5574" s="17" t="s">
        <v>19</v>
      </c>
      <c r="D5574" s="18" t="s">
        <v>3191</v>
      </c>
      <c r="E5574" s="18">
        <v>8</v>
      </c>
      <c r="F5574" s="18" t="s">
        <v>217</v>
      </c>
      <c r="G5574" s="18" t="s">
        <v>3185</v>
      </c>
      <c r="H5574" s="18" t="s">
        <v>65</v>
      </c>
      <c r="I5574" s="24">
        <v>26.4</v>
      </c>
      <c r="J5574" s="40">
        <f t="shared" si="174"/>
        <v>211.2</v>
      </c>
      <c r="K5574" s="106"/>
      <c r="L5574" s="114"/>
      <c r="M5574" s="114">
        <f>tblAquisições[[#This Row],[VALOR UNITARIO COMPRADO]]*tblAquisições[[#This Row],[QUANTIDADE COMPRADA]]</f>
        <v>0</v>
      </c>
      <c r="N5574" s="110">
        <f>K5574-tblAquisições[[#This Row],[QUANTIDADE PLANEJADA]]</f>
        <v>-8</v>
      </c>
      <c r="O5574" s="106" t="str">
        <f t="shared" si="175"/>
        <v>Faltando Comprar</v>
      </c>
    </row>
    <row r="5575" spans="1:15" ht="47.25">
      <c r="A5575" s="16" t="s">
        <v>3077</v>
      </c>
      <c r="B5575" s="16" t="s">
        <v>3084</v>
      </c>
      <c r="C5575" s="17" t="s">
        <v>19</v>
      </c>
      <c r="D5575" s="18" t="s">
        <v>3192</v>
      </c>
      <c r="E5575" s="18">
        <v>120</v>
      </c>
      <c r="F5575" s="18" t="s">
        <v>217</v>
      </c>
      <c r="G5575" s="18" t="s">
        <v>3185</v>
      </c>
      <c r="H5575" s="18" t="s">
        <v>23</v>
      </c>
      <c r="I5575" s="19">
        <v>3.9</v>
      </c>
      <c r="J5575" s="40">
        <f t="shared" si="174"/>
        <v>468</v>
      </c>
      <c r="K5575" s="106"/>
      <c r="L5575" s="114"/>
      <c r="M5575" s="114">
        <f>tblAquisições[[#This Row],[VALOR UNITARIO COMPRADO]]*tblAquisições[[#This Row],[QUANTIDADE COMPRADA]]</f>
        <v>0</v>
      </c>
      <c r="N5575" s="110">
        <f>K5575-tblAquisições[[#This Row],[QUANTIDADE PLANEJADA]]</f>
        <v>-120</v>
      </c>
      <c r="O5575" s="106" t="str">
        <f t="shared" si="175"/>
        <v>Faltando Comprar</v>
      </c>
    </row>
    <row r="5576" spans="1:15" ht="126">
      <c r="A5576" s="16" t="s">
        <v>3077</v>
      </c>
      <c r="B5576" s="16" t="s">
        <v>3084</v>
      </c>
      <c r="C5576" s="17" t="s">
        <v>19</v>
      </c>
      <c r="D5576" s="18" t="s">
        <v>3193</v>
      </c>
      <c r="E5576" s="18">
        <v>350</v>
      </c>
      <c r="F5576" s="18" t="s">
        <v>217</v>
      </c>
      <c r="G5576" s="18" t="s">
        <v>3185</v>
      </c>
      <c r="H5576" s="18" t="s">
        <v>23</v>
      </c>
      <c r="I5576" s="19">
        <v>6.79</v>
      </c>
      <c r="J5576" s="40">
        <f t="shared" si="174"/>
        <v>2376.5</v>
      </c>
      <c r="K5576" s="106"/>
      <c r="L5576" s="114"/>
      <c r="M5576" s="114">
        <f>tblAquisições[[#This Row],[VALOR UNITARIO COMPRADO]]*tblAquisições[[#This Row],[QUANTIDADE COMPRADA]]</f>
        <v>0</v>
      </c>
      <c r="N5576" s="110">
        <f>K5576-tblAquisições[[#This Row],[QUANTIDADE PLANEJADA]]</f>
        <v>-350</v>
      </c>
      <c r="O5576" s="106" t="str">
        <f t="shared" si="175"/>
        <v>Faltando Comprar</v>
      </c>
    </row>
    <row r="5577" spans="1:15" ht="157.5">
      <c r="A5577" s="16" t="s">
        <v>3077</v>
      </c>
      <c r="B5577" s="16" t="s">
        <v>3084</v>
      </c>
      <c r="C5577" s="17" t="s">
        <v>19</v>
      </c>
      <c r="D5577" s="18" t="s">
        <v>3194</v>
      </c>
      <c r="E5577" s="18">
        <v>1600</v>
      </c>
      <c r="F5577" s="18" t="s">
        <v>217</v>
      </c>
      <c r="G5577" s="18" t="s">
        <v>3185</v>
      </c>
      <c r="H5577" s="18" t="s">
        <v>23</v>
      </c>
      <c r="I5577" s="19">
        <v>22.61</v>
      </c>
      <c r="J5577" s="40">
        <f t="shared" si="174"/>
        <v>36176</v>
      </c>
      <c r="K5577" s="106"/>
      <c r="L5577" s="114"/>
      <c r="M5577" s="114">
        <f>tblAquisições[[#This Row],[VALOR UNITARIO COMPRADO]]*tblAquisições[[#This Row],[QUANTIDADE COMPRADA]]</f>
        <v>0</v>
      </c>
      <c r="N5577" s="110">
        <f>K5577-tblAquisições[[#This Row],[QUANTIDADE PLANEJADA]]</f>
        <v>-1600</v>
      </c>
      <c r="O5577" s="106" t="str">
        <f t="shared" si="175"/>
        <v>Faltando Comprar</v>
      </c>
    </row>
    <row r="5578" spans="1:15" ht="47.25">
      <c r="A5578" s="16" t="s">
        <v>3077</v>
      </c>
      <c r="B5578" s="16" t="s">
        <v>3084</v>
      </c>
      <c r="C5578" s="17" t="s">
        <v>19</v>
      </c>
      <c r="D5578" s="18" t="s">
        <v>3195</v>
      </c>
      <c r="E5578" s="18">
        <v>5</v>
      </c>
      <c r="F5578" s="18" t="s">
        <v>217</v>
      </c>
      <c r="G5578" s="18" t="s">
        <v>3185</v>
      </c>
      <c r="H5578" s="18" t="s">
        <v>23</v>
      </c>
      <c r="I5578" s="19">
        <v>20.13</v>
      </c>
      <c r="J5578" s="40">
        <f t="shared" si="174"/>
        <v>100.64999999999999</v>
      </c>
      <c r="K5578" s="106"/>
      <c r="L5578" s="114"/>
      <c r="M5578" s="114">
        <f>tblAquisições[[#This Row],[VALOR UNITARIO COMPRADO]]*tblAquisições[[#This Row],[QUANTIDADE COMPRADA]]</f>
        <v>0</v>
      </c>
      <c r="N5578" s="110">
        <f>K5578-tblAquisições[[#This Row],[QUANTIDADE PLANEJADA]]</f>
        <v>-5</v>
      </c>
      <c r="O5578" s="106" t="str">
        <f t="shared" si="175"/>
        <v>Faltando Comprar</v>
      </c>
    </row>
    <row r="5579" spans="1:15" ht="157.5">
      <c r="A5579" s="16" t="s">
        <v>3077</v>
      </c>
      <c r="B5579" s="16" t="s">
        <v>3084</v>
      </c>
      <c r="C5579" s="17" t="s">
        <v>19</v>
      </c>
      <c r="D5579" s="18" t="s">
        <v>3196</v>
      </c>
      <c r="E5579" s="18">
        <v>20</v>
      </c>
      <c r="F5579" s="18" t="s">
        <v>217</v>
      </c>
      <c r="G5579" s="18" t="s">
        <v>3185</v>
      </c>
      <c r="H5579" s="18" t="s">
        <v>23</v>
      </c>
      <c r="I5579" s="19">
        <v>42.54</v>
      </c>
      <c r="J5579" s="40">
        <f t="shared" si="174"/>
        <v>850.8</v>
      </c>
      <c r="K5579" s="106"/>
      <c r="L5579" s="114"/>
      <c r="M5579" s="114">
        <f>tblAquisições[[#This Row],[VALOR UNITARIO COMPRADO]]*tblAquisições[[#This Row],[QUANTIDADE COMPRADA]]</f>
        <v>0</v>
      </c>
      <c r="N5579" s="110">
        <f>K5579-tblAquisições[[#This Row],[QUANTIDADE PLANEJADA]]</f>
        <v>-20</v>
      </c>
      <c r="O5579" s="106" t="str">
        <f t="shared" si="175"/>
        <v>Faltando Comprar</v>
      </c>
    </row>
    <row r="5580" spans="1:15" ht="63">
      <c r="A5580" s="16" t="s">
        <v>3077</v>
      </c>
      <c r="B5580" s="16" t="s">
        <v>3084</v>
      </c>
      <c r="C5580" s="17" t="s">
        <v>19</v>
      </c>
      <c r="D5580" s="18" t="s">
        <v>3197</v>
      </c>
      <c r="E5580" s="18">
        <v>1100</v>
      </c>
      <c r="F5580" s="18" t="s">
        <v>217</v>
      </c>
      <c r="G5580" s="18" t="s">
        <v>3185</v>
      </c>
      <c r="H5580" s="18" t="s">
        <v>23</v>
      </c>
      <c r="I5580" s="19">
        <v>29.78</v>
      </c>
      <c r="J5580" s="40">
        <f t="shared" si="174"/>
        <v>32758</v>
      </c>
      <c r="K5580" s="106"/>
      <c r="L5580" s="114"/>
      <c r="M5580" s="114">
        <f>tblAquisições[[#This Row],[VALOR UNITARIO COMPRADO]]*tblAquisições[[#This Row],[QUANTIDADE COMPRADA]]</f>
        <v>0</v>
      </c>
      <c r="N5580" s="110">
        <f>K5580-tblAquisições[[#This Row],[QUANTIDADE PLANEJADA]]</f>
        <v>-1100</v>
      </c>
      <c r="O5580" s="106" t="str">
        <f t="shared" si="175"/>
        <v>Faltando Comprar</v>
      </c>
    </row>
    <row r="5581" spans="1:15" ht="94.5">
      <c r="A5581" s="16" t="s">
        <v>3077</v>
      </c>
      <c r="B5581" s="16" t="s">
        <v>3084</v>
      </c>
      <c r="C5581" s="17" t="s">
        <v>19</v>
      </c>
      <c r="D5581" s="18" t="s">
        <v>3198</v>
      </c>
      <c r="E5581" s="18">
        <v>40</v>
      </c>
      <c r="F5581" s="18" t="s">
        <v>217</v>
      </c>
      <c r="G5581" s="18" t="s">
        <v>3185</v>
      </c>
      <c r="H5581" s="18" t="s">
        <v>23</v>
      </c>
      <c r="I5581" s="19">
        <v>120</v>
      </c>
      <c r="J5581" s="40">
        <f t="shared" si="174"/>
        <v>4800</v>
      </c>
      <c r="K5581" s="106"/>
      <c r="L5581" s="114"/>
      <c r="M5581" s="114">
        <f>tblAquisições[[#This Row],[VALOR UNITARIO COMPRADO]]*tblAquisições[[#This Row],[QUANTIDADE COMPRADA]]</f>
        <v>0</v>
      </c>
      <c r="N5581" s="110">
        <f>K5581-tblAquisições[[#This Row],[QUANTIDADE PLANEJADA]]</f>
        <v>-40</v>
      </c>
      <c r="O5581" s="106" t="str">
        <f t="shared" si="175"/>
        <v>Faltando Comprar</v>
      </c>
    </row>
    <row r="5582" spans="1:15" ht="110.25">
      <c r="A5582" s="16" t="s">
        <v>3077</v>
      </c>
      <c r="B5582" s="16" t="s">
        <v>3084</v>
      </c>
      <c r="C5582" s="17" t="s">
        <v>19</v>
      </c>
      <c r="D5582" s="18" t="s">
        <v>3199</v>
      </c>
      <c r="E5582" s="18">
        <v>20</v>
      </c>
      <c r="F5582" s="18" t="s">
        <v>217</v>
      </c>
      <c r="G5582" s="18" t="s">
        <v>3185</v>
      </c>
      <c r="H5582" s="18" t="s">
        <v>23</v>
      </c>
      <c r="I5582" s="19">
        <v>350</v>
      </c>
      <c r="J5582" s="40">
        <f t="shared" si="174"/>
        <v>7000</v>
      </c>
      <c r="K5582" s="106"/>
      <c r="L5582" s="114"/>
      <c r="M5582" s="114">
        <f>tblAquisições[[#This Row],[VALOR UNITARIO COMPRADO]]*tblAquisições[[#This Row],[QUANTIDADE COMPRADA]]</f>
        <v>0</v>
      </c>
      <c r="N5582" s="110">
        <f>K5582-tblAquisições[[#This Row],[QUANTIDADE PLANEJADA]]</f>
        <v>-20</v>
      </c>
      <c r="O5582" s="106" t="str">
        <f t="shared" si="175"/>
        <v>Faltando Comprar</v>
      </c>
    </row>
    <row r="5583" spans="1:15" ht="110.25">
      <c r="A5583" s="16" t="s">
        <v>3077</v>
      </c>
      <c r="B5583" s="16" t="s">
        <v>3084</v>
      </c>
      <c r="C5583" s="17" t="s">
        <v>19</v>
      </c>
      <c r="D5583" s="18" t="s">
        <v>3200</v>
      </c>
      <c r="E5583" s="18">
        <v>5</v>
      </c>
      <c r="F5583" s="18" t="s">
        <v>217</v>
      </c>
      <c r="G5583" s="18" t="s">
        <v>3185</v>
      </c>
      <c r="H5583" s="18" t="s">
        <v>23</v>
      </c>
      <c r="I5583" s="19">
        <v>850</v>
      </c>
      <c r="J5583" s="40">
        <f t="shared" si="174"/>
        <v>4250</v>
      </c>
      <c r="K5583" s="106"/>
      <c r="L5583" s="114"/>
      <c r="M5583" s="114">
        <f>tblAquisições[[#This Row],[VALOR UNITARIO COMPRADO]]*tblAquisições[[#This Row],[QUANTIDADE COMPRADA]]</f>
        <v>0</v>
      </c>
      <c r="N5583" s="110">
        <f>K5583-tblAquisições[[#This Row],[QUANTIDADE PLANEJADA]]</f>
        <v>-5</v>
      </c>
      <c r="O5583" s="106" t="str">
        <f t="shared" si="175"/>
        <v>Faltando Comprar</v>
      </c>
    </row>
    <row r="5584" spans="1:15" ht="252">
      <c r="A5584" s="16" t="s">
        <v>3077</v>
      </c>
      <c r="B5584" s="16" t="s">
        <v>3084</v>
      </c>
      <c r="C5584" s="17" t="s">
        <v>19</v>
      </c>
      <c r="D5584" s="18" t="s">
        <v>3201</v>
      </c>
      <c r="E5584" s="18">
        <v>65</v>
      </c>
      <c r="F5584" s="18" t="s">
        <v>217</v>
      </c>
      <c r="G5584" s="18" t="s">
        <v>3185</v>
      </c>
      <c r="H5584" s="18" t="s">
        <v>23</v>
      </c>
      <c r="I5584" s="19">
        <v>48.33</v>
      </c>
      <c r="J5584" s="40">
        <f t="shared" si="174"/>
        <v>3141.45</v>
      </c>
      <c r="K5584" s="106"/>
      <c r="L5584" s="114"/>
      <c r="M5584" s="114">
        <f>tblAquisições[[#This Row],[VALOR UNITARIO COMPRADO]]*tblAquisições[[#This Row],[QUANTIDADE COMPRADA]]</f>
        <v>0</v>
      </c>
      <c r="N5584" s="110">
        <f>K5584-tblAquisições[[#This Row],[QUANTIDADE PLANEJADA]]</f>
        <v>-65</v>
      </c>
      <c r="O5584" s="106" t="str">
        <f t="shared" si="175"/>
        <v>Faltando Comprar</v>
      </c>
    </row>
    <row r="5585" spans="1:15" ht="110.25">
      <c r="A5585" s="16" t="s">
        <v>3077</v>
      </c>
      <c r="B5585" s="16" t="s">
        <v>3084</v>
      </c>
      <c r="C5585" s="17" t="s">
        <v>19</v>
      </c>
      <c r="D5585" s="18" t="s">
        <v>3202</v>
      </c>
      <c r="E5585" s="18">
        <v>6</v>
      </c>
      <c r="F5585" s="18" t="s">
        <v>217</v>
      </c>
      <c r="G5585" s="18" t="s">
        <v>3185</v>
      </c>
      <c r="H5585" s="18" t="s">
        <v>23</v>
      </c>
      <c r="I5585" s="19">
        <v>1335</v>
      </c>
      <c r="J5585" s="40">
        <f t="shared" si="174"/>
        <v>8010</v>
      </c>
      <c r="K5585" s="106"/>
      <c r="L5585" s="114"/>
      <c r="M5585" s="114">
        <f>tblAquisições[[#This Row],[VALOR UNITARIO COMPRADO]]*tblAquisições[[#This Row],[QUANTIDADE COMPRADA]]</f>
        <v>0</v>
      </c>
      <c r="N5585" s="110">
        <f>K5585-tblAquisições[[#This Row],[QUANTIDADE PLANEJADA]]</f>
        <v>-6</v>
      </c>
      <c r="O5585" s="106" t="str">
        <f t="shared" si="175"/>
        <v>Faltando Comprar</v>
      </c>
    </row>
    <row r="5586" spans="1:15" ht="236.25">
      <c r="A5586" s="16" t="s">
        <v>3077</v>
      </c>
      <c r="B5586" s="16" t="s">
        <v>3084</v>
      </c>
      <c r="C5586" s="17" t="s">
        <v>19</v>
      </c>
      <c r="D5586" s="18" t="s">
        <v>3203</v>
      </c>
      <c r="E5586" s="18">
        <v>15</v>
      </c>
      <c r="F5586" s="18" t="s">
        <v>217</v>
      </c>
      <c r="G5586" s="18" t="s">
        <v>3185</v>
      </c>
      <c r="H5586" s="18" t="s">
        <v>23</v>
      </c>
      <c r="I5586" s="19">
        <v>387.73</v>
      </c>
      <c r="J5586" s="40">
        <f t="shared" si="174"/>
        <v>5815.9500000000007</v>
      </c>
      <c r="K5586" s="106"/>
      <c r="L5586" s="114"/>
      <c r="M5586" s="114">
        <f>tblAquisições[[#This Row],[VALOR UNITARIO COMPRADO]]*tblAquisições[[#This Row],[QUANTIDADE COMPRADA]]</f>
        <v>0</v>
      </c>
      <c r="N5586" s="110">
        <f>K5586-tblAquisições[[#This Row],[QUANTIDADE PLANEJADA]]</f>
        <v>-15</v>
      </c>
      <c r="O5586" s="106" t="str">
        <f t="shared" si="175"/>
        <v>Faltando Comprar</v>
      </c>
    </row>
    <row r="5587" spans="1:15" ht="236.25">
      <c r="A5587" s="16" t="s">
        <v>3077</v>
      </c>
      <c r="B5587" s="16" t="s">
        <v>3084</v>
      </c>
      <c r="C5587" s="17" t="s">
        <v>19</v>
      </c>
      <c r="D5587" s="18" t="s">
        <v>3204</v>
      </c>
      <c r="E5587" s="18">
        <v>500</v>
      </c>
      <c r="F5587" s="18" t="s">
        <v>217</v>
      </c>
      <c r="G5587" s="18" t="s">
        <v>3185</v>
      </c>
      <c r="H5587" s="18" t="s">
        <v>23</v>
      </c>
      <c r="I5587" s="19">
        <v>9</v>
      </c>
      <c r="J5587" s="40">
        <f t="shared" si="174"/>
        <v>4500</v>
      </c>
      <c r="K5587" s="106"/>
      <c r="L5587" s="114"/>
      <c r="M5587" s="114">
        <f>tblAquisições[[#This Row],[VALOR UNITARIO COMPRADO]]*tblAquisições[[#This Row],[QUANTIDADE COMPRADA]]</f>
        <v>0</v>
      </c>
      <c r="N5587" s="110">
        <f>K5587-tblAquisições[[#This Row],[QUANTIDADE PLANEJADA]]</f>
        <v>-500</v>
      </c>
      <c r="O5587" s="106" t="str">
        <f t="shared" si="175"/>
        <v>Faltando Comprar</v>
      </c>
    </row>
    <row r="5588" spans="1:15" ht="110.25">
      <c r="A5588" s="16" t="s">
        <v>3077</v>
      </c>
      <c r="B5588" s="16" t="s">
        <v>3084</v>
      </c>
      <c r="C5588" s="17" t="s">
        <v>19</v>
      </c>
      <c r="D5588" s="18" t="s">
        <v>3205</v>
      </c>
      <c r="E5588" s="18">
        <v>500</v>
      </c>
      <c r="F5588" s="18" t="s">
        <v>217</v>
      </c>
      <c r="G5588" s="18" t="s">
        <v>3185</v>
      </c>
      <c r="H5588" s="18" t="s">
        <v>23</v>
      </c>
      <c r="I5588" s="19">
        <v>37.67</v>
      </c>
      <c r="J5588" s="40">
        <f t="shared" si="174"/>
        <v>18835</v>
      </c>
      <c r="K5588" s="106"/>
      <c r="L5588" s="114"/>
      <c r="M5588" s="114">
        <f>tblAquisições[[#This Row],[VALOR UNITARIO COMPRADO]]*tblAquisições[[#This Row],[QUANTIDADE COMPRADA]]</f>
        <v>0</v>
      </c>
      <c r="N5588" s="110">
        <f>K5588-tblAquisições[[#This Row],[QUANTIDADE PLANEJADA]]</f>
        <v>-500</v>
      </c>
      <c r="O5588" s="106" t="str">
        <f t="shared" si="175"/>
        <v>Faltando Comprar</v>
      </c>
    </row>
    <row r="5589" spans="1:15" ht="94.5">
      <c r="A5589" s="16" t="s">
        <v>3077</v>
      </c>
      <c r="B5589" s="16" t="s">
        <v>3084</v>
      </c>
      <c r="C5589" s="17" t="s">
        <v>19</v>
      </c>
      <c r="D5589" s="18" t="s">
        <v>3206</v>
      </c>
      <c r="E5589" s="18">
        <v>10</v>
      </c>
      <c r="F5589" s="18" t="s">
        <v>217</v>
      </c>
      <c r="G5589" s="18" t="s">
        <v>3185</v>
      </c>
      <c r="H5589" s="18" t="s">
        <v>23</v>
      </c>
      <c r="I5589" s="19">
        <v>30</v>
      </c>
      <c r="J5589" s="40">
        <f t="shared" si="174"/>
        <v>300</v>
      </c>
      <c r="K5589" s="106"/>
      <c r="L5589" s="114"/>
      <c r="M5589" s="114">
        <f>tblAquisições[[#This Row],[VALOR UNITARIO COMPRADO]]*tblAquisições[[#This Row],[QUANTIDADE COMPRADA]]</f>
        <v>0</v>
      </c>
      <c r="N5589" s="110">
        <f>K5589-tblAquisições[[#This Row],[QUANTIDADE PLANEJADA]]</f>
        <v>-10</v>
      </c>
      <c r="O5589" s="106" t="str">
        <f t="shared" si="175"/>
        <v>Faltando Comprar</v>
      </c>
    </row>
    <row r="5590" spans="1:15" ht="204.75">
      <c r="A5590" s="16" t="s">
        <v>3077</v>
      </c>
      <c r="B5590" s="16" t="s">
        <v>3084</v>
      </c>
      <c r="C5590" s="17" t="s">
        <v>19</v>
      </c>
      <c r="D5590" s="18" t="s">
        <v>3207</v>
      </c>
      <c r="E5590" s="18">
        <v>60</v>
      </c>
      <c r="F5590" s="18" t="s">
        <v>217</v>
      </c>
      <c r="G5590" s="18" t="s">
        <v>3185</v>
      </c>
      <c r="H5590" s="18" t="s">
        <v>23</v>
      </c>
      <c r="I5590" s="19">
        <v>24.38</v>
      </c>
      <c r="J5590" s="40">
        <f t="shared" si="174"/>
        <v>1462.8</v>
      </c>
      <c r="K5590" s="106"/>
      <c r="L5590" s="114"/>
      <c r="M5590" s="114">
        <f>tblAquisições[[#This Row],[VALOR UNITARIO COMPRADO]]*tblAquisições[[#This Row],[QUANTIDADE COMPRADA]]</f>
        <v>0</v>
      </c>
      <c r="N5590" s="110">
        <f>K5590-tblAquisições[[#This Row],[QUANTIDADE PLANEJADA]]</f>
        <v>-60</v>
      </c>
      <c r="O5590" s="106" t="str">
        <f t="shared" si="175"/>
        <v>Faltando Comprar</v>
      </c>
    </row>
    <row r="5591" spans="1:15" ht="330.75">
      <c r="A5591" s="16" t="s">
        <v>3077</v>
      </c>
      <c r="B5591" s="16" t="s">
        <v>3084</v>
      </c>
      <c r="C5591" s="17" t="s">
        <v>19</v>
      </c>
      <c r="D5591" s="18" t="s">
        <v>3208</v>
      </c>
      <c r="E5591" s="18">
        <v>6</v>
      </c>
      <c r="F5591" s="18" t="s">
        <v>217</v>
      </c>
      <c r="G5591" s="18" t="s">
        <v>3185</v>
      </c>
      <c r="H5591" s="18" t="s">
        <v>23</v>
      </c>
      <c r="I5591" s="19">
        <v>8.7200000000000006</v>
      </c>
      <c r="J5591" s="40">
        <f t="shared" si="174"/>
        <v>52.320000000000007</v>
      </c>
      <c r="K5591" s="106"/>
      <c r="L5591" s="114"/>
      <c r="M5591" s="114">
        <f>tblAquisições[[#This Row],[VALOR UNITARIO COMPRADO]]*tblAquisições[[#This Row],[QUANTIDADE COMPRADA]]</f>
        <v>0</v>
      </c>
      <c r="N5591" s="110">
        <f>K5591-tblAquisições[[#This Row],[QUANTIDADE PLANEJADA]]</f>
        <v>-6</v>
      </c>
      <c r="O5591" s="106" t="str">
        <f t="shared" si="175"/>
        <v>Faltando Comprar</v>
      </c>
    </row>
    <row r="5592" spans="1:15" ht="110.25">
      <c r="A5592" s="16" t="s">
        <v>3077</v>
      </c>
      <c r="B5592" s="16" t="s">
        <v>3084</v>
      </c>
      <c r="C5592" s="17" t="s">
        <v>19</v>
      </c>
      <c r="D5592" s="18" t="s">
        <v>3209</v>
      </c>
      <c r="E5592" s="18">
        <v>12</v>
      </c>
      <c r="F5592" s="18" t="s">
        <v>217</v>
      </c>
      <c r="G5592" s="18" t="s">
        <v>3185</v>
      </c>
      <c r="H5592" s="18" t="s">
        <v>23</v>
      </c>
      <c r="I5592" s="19">
        <v>57.67</v>
      </c>
      <c r="J5592" s="40">
        <f t="shared" si="174"/>
        <v>692.04</v>
      </c>
      <c r="K5592" s="106"/>
      <c r="L5592" s="114"/>
      <c r="M5592" s="114">
        <f>tblAquisições[[#This Row],[VALOR UNITARIO COMPRADO]]*tblAquisições[[#This Row],[QUANTIDADE COMPRADA]]</f>
        <v>0</v>
      </c>
      <c r="N5592" s="110">
        <f>K5592-tblAquisições[[#This Row],[QUANTIDADE PLANEJADA]]</f>
        <v>-12</v>
      </c>
      <c r="O5592" s="106" t="str">
        <f t="shared" si="175"/>
        <v>Faltando Comprar</v>
      </c>
    </row>
    <row r="5593" spans="1:15" ht="204.75">
      <c r="A5593" s="16" t="s">
        <v>3077</v>
      </c>
      <c r="B5593" s="16" t="s">
        <v>3084</v>
      </c>
      <c r="C5593" s="17" t="s">
        <v>19</v>
      </c>
      <c r="D5593" s="18" t="s">
        <v>3210</v>
      </c>
      <c r="E5593" s="18">
        <v>12</v>
      </c>
      <c r="F5593" s="18" t="s">
        <v>217</v>
      </c>
      <c r="G5593" s="18" t="s">
        <v>3185</v>
      </c>
      <c r="H5593" s="18" t="s">
        <v>23</v>
      </c>
      <c r="I5593" s="19">
        <v>122</v>
      </c>
      <c r="J5593" s="40">
        <f t="shared" si="174"/>
        <v>1464</v>
      </c>
      <c r="K5593" s="106"/>
      <c r="L5593" s="114"/>
      <c r="M5593" s="114">
        <f>tblAquisições[[#This Row],[VALOR UNITARIO COMPRADO]]*tblAquisições[[#This Row],[QUANTIDADE COMPRADA]]</f>
        <v>0</v>
      </c>
      <c r="N5593" s="110">
        <f>K5593-tblAquisições[[#This Row],[QUANTIDADE PLANEJADA]]</f>
        <v>-12</v>
      </c>
      <c r="O5593" s="106" t="str">
        <f t="shared" si="175"/>
        <v>Faltando Comprar</v>
      </c>
    </row>
    <row r="5594" spans="1:15" ht="63">
      <c r="A5594" s="16" t="s">
        <v>3077</v>
      </c>
      <c r="B5594" s="16" t="s">
        <v>3084</v>
      </c>
      <c r="C5594" s="17" t="s">
        <v>19</v>
      </c>
      <c r="D5594" s="18" t="s">
        <v>3211</v>
      </c>
      <c r="E5594" s="18">
        <v>4</v>
      </c>
      <c r="F5594" s="18" t="s">
        <v>217</v>
      </c>
      <c r="G5594" s="18" t="s">
        <v>3185</v>
      </c>
      <c r="H5594" s="18" t="s">
        <v>23</v>
      </c>
      <c r="I5594" s="19">
        <v>349.39</v>
      </c>
      <c r="J5594" s="40">
        <f t="shared" si="174"/>
        <v>1397.56</v>
      </c>
      <c r="K5594" s="106"/>
      <c r="L5594" s="114"/>
      <c r="M5594" s="114">
        <f>tblAquisições[[#This Row],[VALOR UNITARIO COMPRADO]]*tblAquisições[[#This Row],[QUANTIDADE COMPRADA]]</f>
        <v>0</v>
      </c>
      <c r="N5594" s="110">
        <f>K5594-tblAquisições[[#This Row],[QUANTIDADE PLANEJADA]]</f>
        <v>-4</v>
      </c>
      <c r="O5594" s="106" t="str">
        <f t="shared" si="175"/>
        <v>Faltando Comprar</v>
      </c>
    </row>
    <row r="5595" spans="1:15" ht="110.25">
      <c r="A5595" s="16" t="s">
        <v>3077</v>
      </c>
      <c r="B5595" s="16" t="s">
        <v>3084</v>
      </c>
      <c r="C5595" s="17" t="s">
        <v>19</v>
      </c>
      <c r="D5595" s="18" t="s">
        <v>3212</v>
      </c>
      <c r="E5595" s="18">
        <v>8</v>
      </c>
      <c r="F5595" s="18" t="s">
        <v>217</v>
      </c>
      <c r="G5595" s="18" t="s">
        <v>3185</v>
      </c>
      <c r="H5595" s="18" t="s">
        <v>23</v>
      </c>
      <c r="I5595" s="19">
        <v>165</v>
      </c>
      <c r="J5595" s="40">
        <f t="shared" si="174"/>
        <v>1320</v>
      </c>
      <c r="K5595" s="106"/>
      <c r="L5595" s="114"/>
      <c r="M5595" s="114">
        <f>tblAquisições[[#This Row],[VALOR UNITARIO COMPRADO]]*tblAquisições[[#This Row],[QUANTIDADE COMPRADA]]</f>
        <v>0</v>
      </c>
      <c r="N5595" s="110">
        <f>K5595-tblAquisições[[#This Row],[QUANTIDADE PLANEJADA]]</f>
        <v>-8</v>
      </c>
      <c r="O5595" s="106" t="str">
        <f t="shared" si="175"/>
        <v>Faltando Comprar</v>
      </c>
    </row>
    <row r="5596" spans="1:15" ht="409.5">
      <c r="A5596" s="16" t="s">
        <v>3077</v>
      </c>
      <c r="B5596" s="16" t="s">
        <v>3084</v>
      </c>
      <c r="C5596" s="17" t="s">
        <v>19</v>
      </c>
      <c r="D5596" s="18" t="s">
        <v>3213</v>
      </c>
      <c r="E5596" s="18">
        <v>11</v>
      </c>
      <c r="F5596" s="18" t="s">
        <v>217</v>
      </c>
      <c r="G5596" s="18" t="s">
        <v>3185</v>
      </c>
      <c r="H5596" s="18" t="s">
        <v>23</v>
      </c>
      <c r="I5596" s="19">
        <v>762.93</v>
      </c>
      <c r="J5596" s="40">
        <f t="shared" si="174"/>
        <v>8392.23</v>
      </c>
      <c r="K5596" s="106"/>
      <c r="L5596" s="114"/>
      <c r="M5596" s="114">
        <f>tblAquisições[[#This Row],[VALOR UNITARIO COMPRADO]]*tblAquisições[[#This Row],[QUANTIDADE COMPRADA]]</f>
        <v>0</v>
      </c>
      <c r="N5596" s="110">
        <f>K5596-tblAquisições[[#This Row],[QUANTIDADE PLANEJADA]]</f>
        <v>-11</v>
      </c>
      <c r="O5596" s="106" t="str">
        <f t="shared" si="175"/>
        <v>Faltando Comprar</v>
      </c>
    </row>
    <row r="5597" spans="1:15" ht="315">
      <c r="A5597" s="16" t="s">
        <v>3077</v>
      </c>
      <c r="B5597" s="16" t="s">
        <v>3084</v>
      </c>
      <c r="C5597" s="17" t="s">
        <v>19</v>
      </c>
      <c r="D5597" s="18" t="s">
        <v>3214</v>
      </c>
      <c r="E5597" s="18">
        <v>12</v>
      </c>
      <c r="F5597" s="18" t="s">
        <v>217</v>
      </c>
      <c r="G5597" s="18" t="s">
        <v>3185</v>
      </c>
      <c r="H5597" s="18" t="s">
        <v>23</v>
      </c>
      <c r="I5597" s="19">
        <v>82</v>
      </c>
      <c r="J5597" s="40">
        <f t="shared" si="174"/>
        <v>984</v>
      </c>
      <c r="K5597" s="106"/>
      <c r="L5597" s="114"/>
      <c r="M5597" s="114">
        <f>tblAquisições[[#This Row],[VALOR UNITARIO COMPRADO]]*tblAquisições[[#This Row],[QUANTIDADE COMPRADA]]</f>
        <v>0</v>
      </c>
      <c r="N5597" s="110">
        <f>K5597-tblAquisições[[#This Row],[QUANTIDADE PLANEJADA]]</f>
        <v>-12</v>
      </c>
      <c r="O5597" s="106" t="str">
        <f t="shared" si="175"/>
        <v>Faltando Comprar</v>
      </c>
    </row>
    <row r="5598" spans="1:15" ht="157.5">
      <c r="A5598" s="16" t="s">
        <v>3077</v>
      </c>
      <c r="B5598" s="16" t="s">
        <v>3084</v>
      </c>
      <c r="C5598" s="17" t="s">
        <v>19</v>
      </c>
      <c r="D5598" s="18" t="s">
        <v>3215</v>
      </c>
      <c r="E5598" s="18">
        <v>20</v>
      </c>
      <c r="F5598" s="18" t="s">
        <v>217</v>
      </c>
      <c r="G5598" s="18" t="s">
        <v>3185</v>
      </c>
      <c r="H5598" s="18" t="s">
        <v>23</v>
      </c>
      <c r="I5598" s="19">
        <v>688.68</v>
      </c>
      <c r="J5598" s="40">
        <f t="shared" si="174"/>
        <v>13773.599999999999</v>
      </c>
      <c r="K5598" s="106"/>
      <c r="L5598" s="114"/>
      <c r="M5598" s="114">
        <f>tblAquisições[[#This Row],[VALOR UNITARIO COMPRADO]]*tblAquisições[[#This Row],[QUANTIDADE COMPRADA]]</f>
        <v>0</v>
      </c>
      <c r="N5598" s="110">
        <f>K5598-tblAquisições[[#This Row],[QUANTIDADE PLANEJADA]]</f>
        <v>-20</v>
      </c>
      <c r="O5598" s="106" t="str">
        <f t="shared" si="175"/>
        <v>Faltando Comprar</v>
      </c>
    </row>
    <row r="5599" spans="1:15" ht="47.25">
      <c r="A5599" s="16" t="s">
        <v>3077</v>
      </c>
      <c r="B5599" s="16" t="s">
        <v>3084</v>
      </c>
      <c r="C5599" s="17" t="s">
        <v>19</v>
      </c>
      <c r="D5599" s="18" t="s">
        <v>3216</v>
      </c>
      <c r="E5599" s="18">
        <v>100</v>
      </c>
      <c r="F5599" s="18" t="s">
        <v>217</v>
      </c>
      <c r="G5599" s="18" t="s">
        <v>3185</v>
      </c>
      <c r="H5599" s="18" t="s">
        <v>83</v>
      </c>
      <c r="I5599" s="19">
        <v>688.68</v>
      </c>
      <c r="J5599" s="40">
        <f t="shared" si="174"/>
        <v>68868</v>
      </c>
      <c r="K5599" s="106"/>
      <c r="L5599" s="114"/>
      <c r="M5599" s="114">
        <f>tblAquisições[[#This Row],[VALOR UNITARIO COMPRADO]]*tblAquisições[[#This Row],[QUANTIDADE COMPRADA]]</f>
        <v>0</v>
      </c>
      <c r="N5599" s="110">
        <f>K5599-tblAquisições[[#This Row],[QUANTIDADE PLANEJADA]]</f>
        <v>-100</v>
      </c>
      <c r="O5599" s="106" t="str">
        <f t="shared" si="175"/>
        <v>Faltando Comprar</v>
      </c>
    </row>
    <row r="5600" spans="1:15" ht="283.5">
      <c r="A5600" s="16" t="s">
        <v>3077</v>
      </c>
      <c r="B5600" s="16" t="s">
        <v>3084</v>
      </c>
      <c r="C5600" s="17" t="s">
        <v>19</v>
      </c>
      <c r="D5600" s="18" t="s">
        <v>3217</v>
      </c>
      <c r="E5600" s="18">
        <v>120</v>
      </c>
      <c r="F5600" s="18" t="s">
        <v>217</v>
      </c>
      <c r="G5600" s="18" t="s">
        <v>3185</v>
      </c>
      <c r="H5600" s="18" t="s">
        <v>23</v>
      </c>
      <c r="I5600" s="19">
        <v>425</v>
      </c>
      <c r="J5600" s="40">
        <f t="shared" si="174"/>
        <v>51000</v>
      </c>
      <c r="K5600" s="106"/>
      <c r="L5600" s="114"/>
      <c r="M5600" s="114">
        <f>tblAquisições[[#This Row],[VALOR UNITARIO COMPRADO]]*tblAquisições[[#This Row],[QUANTIDADE COMPRADA]]</f>
        <v>0</v>
      </c>
      <c r="N5600" s="110">
        <f>K5600-tblAquisições[[#This Row],[QUANTIDADE PLANEJADA]]</f>
        <v>-120</v>
      </c>
      <c r="O5600" s="106" t="str">
        <f t="shared" si="175"/>
        <v>Faltando Comprar</v>
      </c>
    </row>
    <row r="5601" spans="1:15" ht="141.75">
      <c r="A5601" s="16" t="s">
        <v>3077</v>
      </c>
      <c r="B5601" s="16" t="s">
        <v>3084</v>
      </c>
      <c r="C5601" s="17" t="s">
        <v>19</v>
      </c>
      <c r="D5601" s="18" t="s">
        <v>3218</v>
      </c>
      <c r="E5601" s="18">
        <v>240</v>
      </c>
      <c r="F5601" s="18" t="s">
        <v>217</v>
      </c>
      <c r="G5601" s="18" t="s">
        <v>3185</v>
      </c>
      <c r="H5601" s="18" t="s">
        <v>23</v>
      </c>
      <c r="I5601" s="19">
        <v>148.04</v>
      </c>
      <c r="J5601" s="40">
        <f t="shared" si="174"/>
        <v>35529.599999999999</v>
      </c>
      <c r="K5601" s="106"/>
      <c r="L5601" s="114"/>
      <c r="M5601" s="114">
        <f>tblAquisições[[#This Row],[VALOR UNITARIO COMPRADO]]*tblAquisições[[#This Row],[QUANTIDADE COMPRADA]]</f>
        <v>0</v>
      </c>
      <c r="N5601" s="110">
        <f>K5601-tblAquisições[[#This Row],[QUANTIDADE PLANEJADA]]</f>
        <v>-240</v>
      </c>
      <c r="O5601" s="106" t="str">
        <f t="shared" si="175"/>
        <v>Faltando Comprar</v>
      </c>
    </row>
    <row r="5602" spans="1:15" ht="252">
      <c r="A5602" s="16" t="s">
        <v>3077</v>
      </c>
      <c r="B5602" s="16" t="s">
        <v>3084</v>
      </c>
      <c r="C5602" s="17" t="s">
        <v>19</v>
      </c>
      <c r="D5602" s="18" t="s">
        <v>3219</v>
      </c>
      <c r="E5602" s="18">
        <v>120</v>
      </c>
      <c r="F5602" s="18" t="s">
        <v>217</v>
      </c>
      <c r="G5602" s="18" t="s">
        <v>3185</v>
      </c>
      <c r="H5602" s="18" t="s">
        <v>23</v>
      </c>
      <c r="I5602" s="19">
        <v>100</v>
      </c>
      <c r="J5602" s="40">
        <f t="shared" si="174"/>
        <v>12000</v>
      </c>
      <c r="K5602" s="106"/>
      <c r="L5602" s="114"/>
      <c r="M5602" s="114">
        <f>tblAquisições[[#This Row],[VALOR UNITARIO COMPRADO]]*tblAquisições[[#This Row],[QUANTIDADE COMPRADA]]</f>
        <v>0</v>
      </c>
      <c r="N5602" s="110">
        <f>K5602-tblAquisições[[#This Row],[QUANTIDADE PLANEJADA]]</f>
        <v>-120</v>
      </c>
      <c r="O5602" s="106" t="str">
        <f t="shared" si="175"/>
        <v>Faltando Comprar</v>
      </c>
    </row>
    <row r="5603" spans="1:15" ht="63">
      <c r="A5603" s="16" t="s">
        <v>3077</v>
      </c>
      <c r="B5603" s="16" t="s">
        <v>3084</v>
      </c>
      <c r="C5603" s="17" t="s">
        <v>19</v>
      </c>
      <c r="D5603" s="18" t="s">
        <v>3220</v>
      </c>
      <c r="E5603" s="18">
        <v>240</v>
      </c>
      <c r="F5603" s="18" t="s">
        <v>217</v>
      </c>
      <c r="G5603" s="18" t="s">
        <v>3185</v>
      </c>
      <c r="H5603" s="18" t="s">
        <v>23</v>
      </c>
      <c r="I5603" s="19">
        <v>57.67</v>
      </c>
      <c r="J5603" s="40">
        <f t="shared" si="174"/>
        <v>13840.800000000001</v>
      </c>
      <c r="K5603" s="106"/>
      <c r="L5603" s="114"/>
      <c r="M5603" s="114">
        <f>tblAquisições[[#This Row],[VALOR UNITARIO COMPRADO]]*tblAquisições[[#This Row],[QUANTIDADE COMPRADA]]</f>
        <v>0</v>
      </c>
      <c r="N5603" s="110">
        <f>K5603-tblAquisições[[#This Row],[QUANTIDADE PLANEJADA]]</f>
        <v>-240</v>
      </c>
      <c r="O5603" s="106" t="str">
        <f t="shared" si="175"/>
        <v>Faltando Comprar</v>
      </c>
    </row>
    <row r="5604" spans="1:15" ht="47.25">
      <c r="A5604" s="34" t="s">
        <v>3077</v>
      </c>
      <c r="B5604" s="34" t="s">
        <v>3084</v>
      </c>
      <c r="C5604" s="17" t="s">
        <v>19</v>
      </c>
      <c r="D5604" s="33" t="s">
        <v>3221</v>
      </c>
      <c r="E5604" s="33">
        <v>1</v>
      </c>
      <c r="F5604" s="33" t="s">
        <v>774</v>
      </c>
      <c r="G5604" s="33" t="s">
        <v>3185</v>
      </c>
      <c r="H5604" s="33" t="s">
        <v>23</v>
      </c>
      <c r="I5604" s="38">
        <v>750.51</v>
      </c>
      <c r="J5604" s="40">
        <f t="shared" si="174"/>
        <v>750.51</v>
      </c>
      <c r="K5604" s="106"/>
      <c r="L5604" s="114"/>
      <c r="M5604" s="114">
        <f>tblAquisições[[#This Row],[VALOR UNITARIO COMPRADO]]*tblAquisições[[#This Row],[QUANTIDADE COMPRADA]]</f>
        <v>0</v>
      </c>
      <c r="N5604" s="110">
        <f>K5604-tblAquisições[[#This Row],[QUANTIDADE PLANEJADA]]</f>
        <v>-1</v>
      </c>
      <c r="O5604" s="106" t="str">
        <f t="shared" si="175"/>
        <v>Faltando Comprar</v>
      </c>
    </row>
    <row r="5605" spans="1:15" ht="63">
      <c r="A5605" s="33" t="s">
        <v>3077</v>
      </c>
      <c r="B5605" s="33" t="s">
        <v>3222</v>
      </c>
      <c r="C5605" s="17" t="s">
        <v>19</v>
      </c>
      <c r="D5605" s="42" t="s">
        <v>3223</v>
      </c>
      <c r="E5605" s="42">
        <v>2</v>
      </c>
      <c r="F5605" s="42" t="s">
        <v>2802</v>
      </c>
      <c r="G5605" s="42" t="s">
        <v>775</v>
      </c>
      <c r="H5605" s="42" t="s">
        <v>23</v>
      </c>
      <c r="I5605" s="43">
        <v>17299</v>
      </c>
      <c r="J5605" s="44">
        <f t="shared" si="174"/>
        <v>34598</v>
      </c>
      <c r="K5605" s="106"/>
      <c r="L5605" s="114"/>
      <c r="M5605" s="114">
        <f>tblAquisições[[#This Row],[VALOR UNITARIO COMPRADO]]*tblAquisições[[#This Row],[QUANTIDADE COMPRADA]]</f>
        <v>0</v>
      </c>
      <c r="N5605" s="110">
        <f>K5605-tblAquisições[[#This Row],[QUANTIDADE PLANEJADA]]</f>
        <v>-2</v>
      </c>
      <c r="O5605" s="106" t="str">
        <f t="shared" si="175"/>
        <v>Faltando Comprar</v>
      </c>
    </row>
    <row r="5606" spans="1:15" ht="63">
      <c r="A5606" s="18" t="s">
        <v>3077</v>
      </c>
      <c r="B5606" s="18" t="s">
        <v>3080</v>
      </c>
      <c r="C5606" s="17" t="s">
        <v>19</v>
      </c>
      <c r="D5606" s="37" t="s">
        <v>3224</v>
      </c>
      <c r="E5606" s="37">
        <v>4</v>
      </c>
      <c r="F5606" s="37" t="s">
        <v>3225</v>
      </c>
      <c r="G5606" s="37" t="s">
        <v>775</v>
      </c>
      <c r="H5606" s="37" t="s">
        <v>23</v>
      </c>
      <c r="I5606" s="45">
        <v>3301.37</v>
      </c>
      <c r="J5606" s="44">
        <f t="shared" si="174"/>
        <v>13205.48</v>
      </c>
      <c r="K5606" s="106"/>
      <c r="L5606" s="114"/>
      <c r="M5606" s="114">
        <f>tblAquisições[[#This Row],[VALOR UNITARIO COMPRADO]]*tblAquisições[[#This Row],[QUANTIDADE COMPRADA]]</f>
        <v>0</v>
      </c>
      <c r="N5606" s="110">
        <f>K5606-tblAquisições[[#This Row],[QUANTIDADE PLANEJADA]]</f>
        <v>-4</v>
      </c>
      <c r="O5606" s="106" t="str">
        <f t="shared" si="175"/>
        <v>Faltando Comprar</v>
      </c>
    </row>
    <row r="5607" spans="1:15" ht="63">
      <c r="A5607" s="18" t="s">
        <v>3077</v>
      </c>
      <c r="B5607" s="18" t="s">
        <v>3080</v>
      </c>
      <c r="C5607" s="17" t="s">
        <v>19</v>
      </c>
      <c r="D5607" s="37" t="s">
        <v>3226</v>
      </c>
      <c r="E5607" s="37">
        <v>2</v>
      </c>
      <c r="F5607" s="37" t="s">
        <v>3227</v>
      </c>
      <c r="G5607" s="37" t="s">
        <v>775</v>
      </c>
      <c r="H5607" s="37" t="s">
        <v>23</v>
      </c>
      <c r="I5607" s="45">
        <v>2592.8000000000002</v>
      </c>
      <c r="J5607" s="44">
        <f t="shared" si="174"/>
        <v>5185.6000000000004</v>
      </c>
      <c r="K5607" s="106"/>
      <c r="L5607" s="114"/>
      <c r="M5607" s="114">
        <f>tblAquisições[[#This Row],[VALOR UNITARIO COMPRADO]]*tblAquisições[[#This Row],[QUANTIDADE COMPRADA]]</f>
        <v>0</v>
      </c>
      <c r="N5607" s="110">
        <f>K5607-tblAquisições[[#This Row],[QUANTIDADE PLANEJADA]]</f>
        <v>-2</v>
      </c>
      <c r="O5607" s="106" t="str">
        <f t="shared" si="175"/>
        <v>Faltando Comprar</v>
      </c>
    </row>
    <row r="5608" spans="1:15" ht="78.75">
      <c r="A5608" s="18" t="s">
        <v>3077</v>
      </c>
      <c r="B5608" s="18" t="s">
        <v>3080</v>
      </c>
      <c r="C5608" s="17" t="s">
        <v>19</v>
      </c>
      <c r="D5608" s="37" t="s">
        <v>3228</v>
      </c>
      <c r="E5608" s="37">
        <v>1</v>
      </c>
      <c r="F5608" s="37" t="s">
        <v>3229</v>
      </c>
      <c r="G5608" s="37" t="s">
        <v>775</v>
      </c>
      <c r="H5608" s="37" t="s">
        <v>23</v>
      </c>
      <c r="I5608" s="45">
        <v>142357.47</v>
      </c>
      <c r="J5608" s="44">
        <f t="shared" si="174"/>
        <v>142357.47</v>
      </c>
      <c r="K5608" s="106"/>
      <c r="L5608" s="114"/>
      <c r="M5608" s="114">
        <f>tblAquisições[[#This Row],[VALOR UNITARIO COMPRADO]]*tblAquisições[[#This Row],[QUANTIDADE COMPRADA]]</f>
        <v>0</v>
      </c>
      <c r="N5608" s="110">
        <f>K5608-tblAquisições[[#This Row],[QUANTIDADE PLANEJADA]]</f>
        <v>-1</v>
      </c>
      <c r="O5608" s="106" t="str">
        <f t="shared" si="175"/>
        <v>Faltando Comprar</v>
      </c>
    </row>
    <row r="5609" spans="1:15" ht="63">
      <c r="A5609" s="18" t="s">
        <v>3077</v>
      </c>
      <c r="B5609" s="18" t="s">
        <v>3080</v>
      </c>
      <c r="C5609" s="17" t="s">
        <v>19</v>
      </c>
      <c r="D5609" s="37" t="s">
        <v>3230</v>
      </c>
      <c r="E5609" s="37">
        <v>2</v>
      </c>
      <c r="F5609" s="37" t="s">
        <v>3231</v>
      </c>
      <c r="G5609" s="37" t="s">
        <v>775</v>
      </c>
      <c r="H5609" s="37" t="s">
        <v>23</v>
      </c>
      <c r="I5609" s="45">
        <v>1248.23</v>
      </c>
      <c r="J5609" s="44">
        <f t="shared" si="174"/>
        <v>2496.46</v>
      </c>
      <c r="K5609" s="106"/>
      <c r="L5609" s="114"/>
      <c r="M5609" s="114">
        <f>tblAquisições[[#This Row],[VALOR UNITARIO COMPRADO]]*tblAquisições[[#This Row],[QUANTIDADE COMPRADA]]</f>
        <v>0</v>
      </c>
      <c r="N5609" s="110">
        <f>K5609-tblAquisições[[#This Row],[QUANTIDADE PLANEJADA]]</f>
        <v>-2</v>
      </c>
      <c r="O5609" s="106" t="str">
        <f t="shared" si="175"/>
        <v>Faltando Comprar</v>
      </c>
    </row>
    <row r="5610" spans="1:15" ht="63">
      <c r="A5610" s="18" t="s">
        <v>3077</v>
      </c>
      <c r="B5610" s="18" t="s">
        <v>3080</v>
      </c>
      <c r="C5610" s="17" t="s">
        <v>19</v>
      </c>
      <c r="D5610" s="37" t="s">
        <v>3232</v>
      </c>
      <c r="E5610" s="37">
        <v>1</v>
      </c>
      <c r="F5610" s="37" t="s">
        <v>3231</v>
      </c>
      <c r="G5610" s="37" t="s">
        <v>775</v>
      </c>
      <c r="H5610" s="37" t="s">
        <v>23</v>
      </c>
      <c r="I5610" s="45">
        <v>1312.96</v>
      </c>
      <c r="J5610" s="44">
        <f t="shared" si="174"/>
        <v>1312.96</v>
      </c>
      <c r="K5610" s="106"/>
      <c r="L5610" s="114"/>
      <c r="M5610" s="114">
        <f>tblAquisições[[#This Row],[VALOR UNITARIO COMPRADO]]*tblAquisições[[#This Row],[QUANTIDADE COMPRADA]]</f>
        <v>0</v>
      </c>
      <c r="N5610" s="110">
        <f>K5610-tblAquisições[[#This Row],[QUANTIDADE PLANEJADA]]</f>
        <v>-1</v>
      </c>
      <c r="O5610" s="106" t="str">
        <f t="shared" si="175"/>
        <v>Faltando Comprar</v>
      </c>
    </row>
    <row r="5611" spans="1:15" ht="63">
      <c r="A5611" s="18" t="s">
        <v>3077</v>
      </c>
      <c r="B5611" s="18" t="s">
        <v>3080</v>
      </c>
      <c r="C5611" s="17" t="s">
        <v>19</v>
      </c>
      <c r="D5611" s="37" t="s">
        <v>3233</v>
      </c>
      <c r="E5611" s="37">
        <v>4</v>
      </c>
      <c r="F5611" s="37" t="s">
        <v>239</v>
      </c>
      <c r="G5611" s="37" t="s">
        <v>775</v>
      </c>
      <c r="H5611" s="37" t="s">
        <v>23</v>
      </c>
      <c r="I5611" s="45">
        <v>1307.44</v>
      </c>
      <c r="J5611" s="44">
        <f t="shared" si="174"/>
        <v>5229.76</v>
      </c>
      <c r="K5611" s="106"/>
      <c r="L5611" s="114"/>
      <c r="M5611" s="114">
        <f>tblAquisições[[#This Row],[VALOR UNITARIO COMPRADO]]*tblAquisições[[#This Row],[QUANTIDADE COMPRADA]]</f>
        <v>0</v>
      </c>
      <c r="N5611" s="110">
        <f>K5611-tblAquisições[[#This Row],[QUANTIDADE PLANEJADA]]</f>
        <v>-4</v>
      </c>
      <c r="O5611" s="106" t="str">
        <f t="shared" si="175"/>
        <v>Faltando Comprar</v>
      </c>
    </row>
    <row r="5612" spans="1:15" ht="63">
      <c r="A5612" s="18" t="s">
        <v>3077</v>
      </c>
      <c r="B5612" s="18" t="s">
        <v>3080</v>
      </c>
      <c r="C5612" s="17" t="s">
        <v>19</v>
      </c>
      <c r="D5612" s="37" t="s">
        <v>3234</v>
      </c>
      <c r="E5612" s="37">
        <v>1</v>
      </c>
      <c r="F5612" s="37" t="s">
        <v>3235</v>
      </c>
      <c r="G5612" s="37" t="s">
        <v>775</v>
      </c>
      <c r="H5612" s="37" t="s">
        <v>23</v>
      </c>
      <c r="I5612" s="45">
        <v>11129.46</v>
      </c>
      <c r="J5612" s="44">
        <f t="shared" si="174"/>
        <v>11129.46</v>
      </c>
      <c r="K5612" s="106"/>
      <c r="L5612" s="114"/>
      <c r="M5612" s="114">
        <f>tblAquisições[[#This Row],[VALOR UNITARIO COMPRADO]]*tblAquisições[[#This Row],[QUANTIDADE COMPRADA]]</f>
        <v>0</v>
      </c>
      <c r="N5612" s="110">
        <f>K5612-tblAquisições[[#This Row],[QUANTIDADE PLANEJADA]]</f>
        <v>-1</v>
      </c>
      <c r="O5612" s="106" t="str">
        <f t="shared" si="175"/>
        <v>Faltando Comprar</v>
      </c>
    </row>
    <row r="5613" spans="1:15" ht="31.5">
      <c r="A5613" s="18" t="s">
        <v>3077</v>
      </c>
      <c r="B5613" s="18" t="s">
        <v>3080</v>
      </c>
      <c r="C5613" s="17" t="s">
        <v>19</v>
      </c>
      <c r="D5613" s="37" t="s">
        <v>3236</v>
      </c>
      <c r="E5613" s="37">
        <v>20</v>
      </c>
      <c r="F5613" s="37" t="s">
        <v>3237</v>
      </c>
      <c r="G5613" s="37" t="s">
        <v>3185</v>
      </c>
      <c r="H5613" s="37" t="s">
        <v>23</v>
      </c>
      <c r="I5613" s="45">
        <v>75.92</v>
      </c>
      <c r="J5613" s="44">
        <f t="shared" si="174"/>
        <v>1518.4</v>
      </c>
      <c r="K5613" s="106"/>
      <c r="L5613" s="114"/>
      <c r="M5613" s="114">
        <f>tblAquisições[[#This Row],[VALOR UNITARIO COMPRADO]]*tblAquisições[[#This Row],[QUANTIDADE COMPRADA]]</f>
        <v>0</v>
      </c>
      <c r="N5613" s="110">
        <f>K5613-tblAquisições[[#This Row],[QUANTIDADE PLANEJADA]]</f>
        <v>-20</v>
      </c>
      <c r="O5613" s="106" t="str">
        <f t="shared" si="175"/>
        <v>Faltando Comprar</v>
      </c>
    </row>
    <row r="5614" spans="1:15" ht="31.5">
      <c r="A5614" s="18" t="s">
        <v>3077</v>
      </c>
      <c r="B5614" s="18" t="s">
        <v>3080</v>
      </c>
      <c r="C5614" s="17" t="s">
        <v>19</v>
      </c>
      <c r="D5614" s="37" t="s">
        <v>3238</v>
      </c>
      <c r="E5614" s="37">
        <v>30</v>
      </c>
      <c r="F5614" s="37" t="s">
        <v>3237</v>
      </c>
      <c r="G5614" s="37" t="s">
        <v>3185</v>
      </c>
      <c r="H5614" s="37" t="s">
        <v>23</v>
      </c>
      <c r="I5614" s="45">
        <v>146.6</v>
      </c>
      <c r="J5614" s="44">
        <f t="shared" si="174"/>
        <v>4398</v>
      </c>
      <c r="K5614" s="106"/>
      <c r="L5614" s="114"/>
      <c r="M5614" s="114">
        <f>tblAquisições[[#This Row],[VALOR UNITARIO COMPRADO]]*tblAquisições[[#This Row],[QUANTIDADE COMPRADA]]</f>
        <v>0</v>
      </c>
      <c r="N5614" s="110">
        <f>K5614-tblAquisições[[#This Row],[QUANTIDADE PLANEJADA]]</f>
        <v>-30</v>
      </c>
      <c r="O5614" s="106" t="str">
        <f t="shared" si="175"/>
        <v>Faltando Comprar</v>
      </c>
    </row>
    <row r="5615" spans="1:15" ht="47.25">
      <c r="A5615" s="18" t="s">
        <v>3077</v>
      </c>
      <c r="B5615" s="18" t="s">
        <v>3080</v>
      </c>
      <c r="C5615" s="17" t="s">
        <v>19</v>
      </c>
      <c r="D5615" s="37" t="s">
        <v>3239</v>
      </c>
      <c r="E5615" s="37">
        <v>2</v>
      </c>
      <c r="F5615" s="37" t="s">
        <v>78</v>
      </c>
      <c r="G5615" s="37" t="s">
        <v>3185</v>
      </c>
      <c r="H5615" s="37" t="s">
        <v>23</v>
      </c>
      <c r="I5615" s="45">
        <v>799.88</v>
      </c>
      <c r="J5615" s="44">
        <f t="shared" si="174"/>
        <v>1599.76</v>
      </c>
      <c r="K5615" s="106"/>
      <c r="L5615" s="114"/>
      <c r="M5615" s="114">
        <f>tblAquisições[[#This Row],[VALOR UNITARIO COMPRADO]]*tblAquisições[[#This Row],[QUANTIDADE COMPRADA]]</f>
        <v>0</v>
      </c>
      <c r="N5615" s="110">
        <f>K5615-tblAquisições[[#This Row],[QUANTIDADE PLANEJADA]]</f>
        <v>-2</v>
      </c>
      <c r="O5615" s="106" t="str">
        <f t="shared" si="175"/>
        <v>Faltando Comprar</v>
      </c>
    </row>
    <row r="5616" spans="1:15" ht="47.25">
      <c r="A5616" s="18" t="s">
        <v>3077</v>
      </c>
      <c r="B5616" s="18" t="s">
        <v>3080</v>
      </c>
      <c r="C5616" s="17" t="s">
        <v>19</v>
      </c>
      <c r="D5616" s="37" t="s">
        <v>3240</v>
      </c>
      <c r="E5616" s="37">
        <v>1</v>
      </c>
      <c r="F5616" s="37" t="s">
        <v>3241</v>
      </c>
      <c r="G5616" s="37" t="s">
        <v>127</v>
      </c>
      <c r="H5616" s="37" t="s">
        <v>23</v>
      </c>
      <c r="I5616" s="45">
        <v>156353</v>
      </c>
      <c r="J5616" s="44">
        <f t="shared" si="174"/>
        <v>156353</v>
      </c>
      <c r="K5616" s="106"/>
      <c r="L5616" s="114"/>
      <c r="M5616" s="114">
        <f>tblAquisições[[#This Row],[VALOR UNITARIO COMPRADO]]*tblAquisições[[#This Row],[QUANTIDADE COMPRADA]]</f>
        <v>0</v>
      </c>
      <c r="N5616" s="110">
        <f>K5616-tblAquisições[[#This Row],[QUANTIDADE PLANEJADA]]</f>
        <v>-1</v>
      </c>
      <c r="O5616" s="106" t="str">
        <f t="shared" si="175"/>
        <v>Faltando Comprar</v>
      </c>
    </row>
    <row r="5617" spans="1:15" ht="31.5">
      <c r="A5617" s="18" t="s">
        <v>3077</v>
      </c>
      <c r="B5617" s="18" t="s">
        <v>3080</v>
      </c>
      <c r="C5617" s="17" t="s">
        <v>19</v>
      </c>
      <c r="D5617" s="37" t="s">
        <v>3242</v>
      </c>
      <c r="E5617" s="37">
        <v>5</v>
      </c>
      <c r="F5617" s="37" t="s">
        <v>2898</v>
      </c>
      <c r="G5617" s="37" t="s">
        <v>127</v>
      </c>
      <c r="H5617" s="37" t="s">
        <v>23</v>
      </c>
      <c r="I5617" s="45">
        <v>2904</v>
      </c>
      <c r="J5617" s="44">
        <f t="shared" si="174"/>
        <v>14520</v>
      </c>
      <c r="K5617" s="106"/>
      <c r="L5617" s="114"/>
      <c r="M5617" s="114">
        <f>tblAquisições[[#This Row],[VALOR UNITARIO COMPRADO]]*tblAquisições[[#This Row],[QUANTIDADE COMPRADA]]</f>
        <v>0</v>
      </c>
      <c r="N5617" s="110">
        <f>K5617-tblAquisições[[#This Row],[QUANTIDADE PLANEJADA]]</f>
        <v>-5</v>
      </c>
      <c r="O5617" s="106" t="str">
        <f t="shared" si="175"/>
        <v>Faltando Comprar</v>
      </c>
    </row>
    <row r="5618" spans="1:15" ht="47.25">
      <c r="A5618" s="18" t="s">
        <v>3077</v>
      </c>
      <c r="B5618" s="18" t="s">
        <v>3080</v>
      </c>
      <c r="C5618" s="17" t="s">
        <v>19</v>
      </c>
      <c r="D5618" s="37" t="s">
        <v>911</v>
      </c>
      <c r="E5618" s="37">
        <v>1</v>
      </c>
      <c r="F5618" s="37" t="s">
        <v>78</v>
      </c>
      <c r="G5618" s="37" t="s">
        <v>3185</v>
      </c>
      <c r="H5618" s="37" t="s">
        <v>23</v>
      </c>
      <c r="I5618" s="45">
        <v>481.68</v>
      </c>
      <c r="J5618" s="44">
        <f t="shared" si="174"/>
        <v>481.68</v>
      </c>
      <c r="K5618" s="106"/>
      <c r="L5618" s="114"/>
      <c r="M5618" s="114">
        <f>tblAquisições[[#This Row],[VALOR UNITARIO COMPRADO]]*tblAquisições[[#This Row],[QUANTIDADE COMPRADA]]</f>
        <v>0</v>
      </c>
      <c r="N5618" s="110">
        <f>K5618-tblAquisições[[#This Row],[QUANTIDADE PLANEJADA]]</f>
        <v>-1</v>
      </c>
      <c r="O5618" s="106" t="str">
        <f t="shared" si="175"/>
        <v>Faltando Comprar</v>
      </c>
    </row>
    <row r="5619" spans="1:15" ht="63">
      <c r="A5619" s="18" t="s">
        <v>3077</v>
      </c>
      <c r="B5619" s="18" t="s">
        <v>3080</v>
      </c>
      <c r="C5619" s="17" t="s">
        <v>19</v>
      </c>
      <c r="D5619" s="37" t="s">
        <v>3243</v>
      </c>
      <c r="E5619" s="37">
        <v>1</v>
      </c>
      <c r="F5619" s="37" t="s">
        <v>3244</v>
      </c>
      <c r="G5619" s="37" t="s">
        <v>3185</v>
      </c>
      <c r="H5619" s="37" t="s">
        <v>23</v>
      </c>
      <c r="I5619" s="45">
        <v>404</v>
      </c>
      <c r="J5619" s="44">
        <f t="shared" si="174"/>
        <v>404</v>
      </c>
      <c r="K5619" s="106"/>
      <c r="L5619" s="114"/>
      <c r="M5619" s="114">
        <f>tblAquisições[[#This Row],[VALOR UNITARIO COMPRADO]]*tblAquisições[[#This Row],[QUANTIDADE COMPRADA]]</f>
        <v>0</v>
      </c>
      <c r="N5619" s="110">
        <f>K5619-tblAquisições[[#This Row],[QUANTIDADE PLANEJADA]]</f>
        <v>-1</v>
      </c>
      <c r="O5619" s="106" t="str">
        <f t="shared" si="175"/>
        <v>Faltando Comprar</v>
      </c>
    </row>
    <row r="5620" spans="1:15" ht="47.25">
      <c r="A5620" s="18" t="s">
        <v>3077</v>
      </c>
      <c r="B5620" s="18" t="s">
        <v>3080</v>
      </c>
      <c r="C5620" s="17" t="s">
        <v>19</v>
      </c>
      <c r="D5620" s="37" t="s">
        <v>997</v>
      </c>
      <c r="E5620" s="37">
        <v>1</v>
      </c>
      <c r="F5620" s="37" t="s">
        <v>147</v>
      </c>
      <c r="G5620" s="37" t="s">
        <v>3185</v>
      </c>
      <c r="H5620" s="37" t="s">
        <v>23</v>
      </c>
      <c r="I5620" s="45">
        <v>420</v>
      </c>
      <c r="J5620" s="44">
        <f t="shared" si="174"/>
        <v>420</v>
      </c>
      <c r="K5620" s="106"/>
      <c r="L5620" s="114"/>
      <c r="M5620" s="114">
        <f>tblAquisições[[#This Row],[VALOR UNITARIO COMPRADO]]*tblAquisições[[#This Row],[QUANTIDADE COMPRADA]]</f>
        <v>0</v>
      </c>
      <c r="N5620" s="110">
        <f>K5620-tblAquisições[[#This Row],[QUANTIDADE PLANEJADA]]</f>
        <v>-1</v>
      </c>
      <c r="O5620" s="106" t="str">
        <f t="shared" si="175"/>
        <v>Faltando Comprar</v>
      </c>
    </row>
    <row r="5621" spans="1:15" ht="47.25">
      <c r="A5621" s="18" t="s">
        <v>3077</v>
      </c>
      <c r="B5621" s="18" t="s">
        <v>3080</v>
      </c>
      <c r="C5621" s="17" t="s">
        <v>19</v>
      </c>
      <c r="D5621" s="37" t="s">
        <v>3245</v>
      </c>
      <c r="E5621" s="37">
        <v>2</v>
      </c>
      <c r="F5621" s="37" t="s">
        <v>2678</v>
      </c>
      <c r="G5621" s="37" t="s">
        <v>127</v>
      </c>
      <c r="H5621" s="37" t="s">
        <v>23</v>
      </c>
      <c r="I5621" s="45">
        <v>4414</v>
      </c>
      <c r="J5621" s="44">
        <f t="shared" si="174"/>
        <v>8828</v>
      </c>
      <c r="K5621" s="106"/>
      <c r="L5621" s="114"/>
      <c r="M5621" s="114">
        <f>tblAquisições[[#This Row],[VALOR UNITARIO COMPRADO]]*tblAquisições[[#This Row],[QUANTIDADE COMPRADA]]</f>
        <v>0</v>
      </c>
      <c r="N5621" s="110">
        <f>K5621-tblAquisições[[#This Row],[QUANTIDADE PLANEJADA]]</f>
        <v>-2</v>
      </c>
      <c r="O5621" s="106" t="str">
        <f t="shared" si="175"/>
        <v>Faltando Comprar</v>
      </c>
    </row>
    <row r="5622" spans="1:15" ht="47.25">
      <c r="A5622" s="18" t="s">
        <v>3077</v>
      </c>
      <c r="B5622" s="18" t="s">
        <v>3080</v>
      </c>
      <c r="C5622" s="17" t="s">
        <v>19</v>
      </c>
      <c r="D5622" s="37" t="s">
        <v>3246</v>
      </c>
      <c r="E5622" s="37">
        <v>20</v>
      </c>
      <c r="F5622" s="37" t="s">
        <v>217</v>
      </c>
      <c r="G5622" s="37" t="s">
        <v>3185</v>
      </c>
      <c r="H5622" s="37" t="s">
        <v>23</v>
      </c>
      <c r="I5622" s="45">
        <v>29.43</v>
      </c>
      <c r="J5622" s="44">
        <f t="shared" si="174"/>
        <v>588.6</v>
      </c>
      <c r="K5622" s="106"/>
      <c r="L5622" s="114"/>
      <c r="M5622" s="114">
        <f>tblAquisições[[#This Row],[VALOR UNITARIO COMPRADO]]*tblAquisições[[#This Row],[QUANTIDADE COMPRADA]]</f>
        <v>0</v>
      </c>
      <c r="N5622" s="110">
        <f>K5622-tblAquisições[[#This Row],[QUANTIDADE PLANEJADA]]</f>
        <v>-20</v>
      </c>
      <c r="O5622" s="106" t="str">
        <f t="shared" si="175"/>
        <v>Faltando Comprar</v>
      </c>
    </row>
    <row r="5623" spans="1:15" ht="47.25">
      <c r="A5623" s="18" t="s">
        <v>3077</v>
      </c>
      <c r="B5623" s="18" t="s">
        <v>3080</v>
      </c>
      <c r="C5623" s="17" t="s">
        <v>19</v>
      </c>
      <c r="D5623" s="37" t="s">
        <v>3247</v>
      </c>
      <c r="E5623" s="37">
        <v>200</v>
      </c>
      <c r="F5623" s="37" t="s">
        <v>3248</v>
      </c>
      <c r="G5623" s="37" t="s">
        <v>3185</v>
      </c>
      <c r="H5623" s="37" t="s">
        <v>23</v>
      </c>
      <c r="I5623" s="45">
        <v>4.47</v>
      </c>
      <c r="J5623" s="44">
        <f t="shared" si="174"/>
        <v>894</v>
      </c>
      <c r="K5623" s="106"/>
      <c r="L5623" s="114"/>
      <c r="M5623" s="114">
        <f>tblAquisições[[#This Row],[VALOR UNITARIO COMPRADO]]*tblAquisições[[#This Row],[QUANTIDADE COMPRADA]]</f>
        <v>0</v>
      </c>
      <c r="N5623" s="110">
        <f>K5623-tblAquisições[[#This Row],[QUANTIDADE PLANEJADA]]</f>
        <v>-200</v>
      </c>
      <c r="O5623" s="106" t="str">
        <f t="shared" si="175"/>
        <v>Faltando Comprar</v>
      </c>
    </row>
    <row r="5624" spans="1:15" ht="47.25">
      <c r="A5624" s="18" t="s">
        <v>3077</v>
      </c>
      <c r="B5624" s="18" t="s">
        <v>3080</v>
      </c>
      <c r="C5624" s="17" t="s">
        <v>19</v>
      </c>
      <c r="D5624" s="37" t="s">
        <v>3249</v>
      </c>
      <c r="E5624" s="37">
        <v>50</v>
      </c>
      <c r="F5624" s="37" t="s">
        <v>3248</v>
      </c>
      <c r="G5624" s="37" t="s">
        <v>39</v>
      </c>
      <c r="H5624" s="37" t="s">
        <v>23</v>
      </c>
      <c r="I5624" s="45">
        <v>4.59</v>
      </c>
      <c r="J5624" s="44">
        <f t="shared" si="174"/>
        <v>229.5</v>
      </c>
      <c r="K5624" s="106"/>
      <c r="L5624" s="114"/>
      <c r="M5624" s="114">
        <f>tblAquisições[[#This Row],[VALOR UNITARIO COMPRADO]]*tblAquisições[[#This Row],[QUANTIDADE COMPRADA]]</f>
        <v>0</v>
      </c>
      <c r="N5624" s="110">
        <f>K5624-tblAquisições[[#This Row],[QUANTIDADE PLANEJADA]]</f>
        <v>-50</v>
      </c>
      <c r="O5624" s="106" t="str">
        <f t="shared" si="175"/>
        <v>Faltando Comprar</v>
      </c>
    </row>
    <row r="5625" spans="1:15" ht="47.25">
      <c r="A5625" s="18" t="s">
        <v>3077</v>
      </c>
      <c r="B5625" s="18" t="s">
        <v>3080</v>
      </c>
      <c r="C5625" s="17" t="s">
        <v>19</v>
      </c>
      <c r="D5625" s="37" t="s">
        <v>3250</v>
      </c>
      <c r="E5625" s="37">
        <v>20</v>
      </c>
      <c r="F5625" s="37" t="s">
        <v>3248</v>
      </c>
      <c r="G5625" s="37" t="s">
        <v>39</v>
      </c>
      <c r="H5625" s="37" t="s">
        <v>23</v>
      </c>
      <c r="I5625" s="45">
        <v>23.17</v>
      </c>
      <c r="J5625" s="44">
        <f t="shared" si="174"/>
        <v>463.40000000000003</v>
      </c>
      <c r="K5625" s="106"/>
      <c r="L5625" s="114"/>
      <c r="M5625" s="114">
        <f>tblAquisições[[#This Row],[VALOR UNITARIO COMPRADO]]*tblAquisições[[#This Row],[QUANTIDADE COMPRADA]]</f>
        <v>0</v>
      </c>
      <c r="N5625" s="110">
        <f>K5625-tblAquisições[[#This Row],[QUANTIDADE PLANEJADA]]</f>
        <v>-20</v>
      </c>
      <c r="O5625" s="106" t="str">
        <f t="shared" si="175"/>
        <v>Faltando Comprar</v>
      </c>
    </row>
    <row r="5626" spans="1:15" ht="47.25">
      <c r="A5626" s="18" t="s">
        <v>3077</v>
      </c>
      <c r="B5626" s="18" t="s">
        <v>3080</v>
      </c>
      <c r="C5626" s="17" t="s">
        <v>19</v>
      </c>
      <c r="D5626" s="37" t="s">
        <v>3251</v>
      </c>
      <c r="E5626" s="37">
        <v>50</v>
      </c>
      <c r="F5626" s="37" t="s">
        <v>3248</v>
      </c>
      <c r="G5626" s="37" t="s">
        <v>39</v>
      </c>
      <c r="H5626" s="37" t="s">
        <v>23</v>
      </c>
      <c r="I5626" s="45">
        <v>2.1800000000000002</v>
      </c>
      <c r="J5626" s="44">
        <f t="shared" si="174"/>
        <v>109.00000000000001</v>
      </c>
      <c r="K5626" s="106"/>
      <c r="L5626" s="114"/>
      <c r="M5626" s="114">
        <f>tblAquisições[[#This Row],[VALOR UNITARIO COMPRADO]]*tblAquisições[[#This Row],[QUANTIDADE COMPRADA]]</f>
        <v>0</v>
      </c>
      <c r="N5626" s="110">
        <f>K5626-tblAquisições[[#This Row],[QUANTIDADE PLANEJADA]]</f>
        <v>-50</v>
      </c>
      <c r="O5626" s="106" t="str">
        <f t="shared" si="175"/>
        <v>Faltando Comprar</v>
      </c>
    </row>
    <row r="5627" spans="1:15" ht="31.5">
      <c r="A5627" s="18" t="s">
        <v>3077</v>
      </c>
      <c r="B5627" s="18" t="s">
        <v>3080</v>
      </c>
      <c r="C5627" s="17" t="s">
        <v>19</v>
      </c>
      <c r="D5627" s="37" t="s">
        <v>3252</v>
      </c>
      <c r="E5627" s="37">
        <v>10</v>
      </c>
      <c r="F5627" s="37" t="s">
        <v>2898</v>
      </c>
      <c r="G5627" s="37" t="s">
        <v>39</v>
      </c>
      <c r="H5627" s="37" t="s">
        <v>23</v>
      </c>
      <c r="I5627" s="45">
        <v>77.69</v>
      </c>
      <c r="J5627" s="44">
        <f t="shared" si="174"/>
        <v>776.9</v>
      </c>
      <c r="K5627" s="106"/>
      <c r="L5627" s="114"/>
      <c r="M5627" s="114">
        <f>tblAquisições[[#This Row],[VALOR UNITARIO COMPRADO]]*tblAquisições[[#This Row],[QUANTIDADE COMPRADA]]</f>
        <v>0</v>
      </c>
      <c r="N5627" s="110">
        <f>K5627-tblAquisições[[#This Row],[QUANTIDADE PLANEJADA]]</f>
        <v>-10</v>
      </c>
      <c r="O5627" s="106" t="str">
        <f t="shared" si="175"/>
        <v>Faltando Comprar</v>
      </c>
    </row>
    <row r="5628" spans="1:15" ht="31.5">
      <c r="A5628" s="18" t="s">
        <v>3077</v>
      </c>
      <c r="B5628" s="18" t="s">
        <v>3080</v>
      </c>
      <c r="C5628" s="17" t="s">
        <v>19</v>
      </c>
      <c r="D5628" s="37" t="s">
        <v>3253</v>
      </c>
      <c r="E5628" s="37">
        <v>10</v>
      </c>
      <c r="F5628" s="37" t="s">
        <v>2898</v>
      </c>
      <c r="G5628" s="37" t="s">
        <v>39</v>
      </c>
      <c r="H5628" s="37" t="s">
        <v>23</v>
      </c>
      <c r="I5628" s="45">
        <v>42</v>
      </c>
      <c r="J5628" s="44">
        <f t="shared" si="174"/>
        <v>420</v>
      </c>
      <c r="K5628" s="106"/>
      <c r="L5628" s="114"/>
      <c r="M5628" s="114">
        <f>tblAquisições[[#This Row],[VALOR UNITARIO COMPRADO]]*tblAquisições[[#This Row],[QUANTIDADE COMPRADA]]</f>
        <v>0</v>
      </c>
      <c r="N5628" s="110">
        <f>K5628-tblAquisições[[#This Row],[QUANTIDADE PLANEJADA]]</f>
        <v>-10</v>
      </c>
      <c r="O5628" s="106" t="str">
        <f t="shared" si="175"/>
        <v>Faltando Comprar</v>
      </c>
    </row>
    <row r="5629" spans="1:15" ht="31.5">
      <c r="A5629" s="18" t="s">
        <v>3077</v>
      </c>
      <c r="B5629" s="18" t="s">
        <v>3080</v>
      </c>
      <c r="C5629" s="17" t="s">
        <v>19</v>
      </c>
      <c r="D5629" s="37" t="s">
        <v>3254</v>
      </c>
      <c r="E5629" s="37">
        <v>10</v>
      </c>
      <c r="F5629" s="37" t="s">
        <v>2898</v>
      </c>
      <c r="G5629" s="37" t="s">
        <v>39</v>
      </c>
      <c r="H5629" s="37" t="s">
        <v>23</v>
      </c>
      <c r="I5629" s="45">
        <v>48.08</v>
      </c>
      <c r="J5629" s="44">
        <f t="shared" si="174"/>
        <v>480.79999999999995</v>
      </c>
      <c r="K5629" s="106"/>
      <c r="L5629" s="114"/>
      <c r="M5629" s="114">
        <f>tblAquisições[[#This Row],[VALOR UNITARIO COMPRADO]]*tblAquisições[[#This Row],[QUANTIDADE COMPRADA]]</f>
        <v>0</v>
      </c>
      <c r="N5629" s="110">
        <f>K5629-tblAquisições[[#This Row],[QUANTIDADE PLANEJADA]]</f>
        <v>-10</v>
      </c>
      <c r="O5629" s="106" t="str">
        <f t="shared" si="175"/>
        <v>Faltando Comprar</v>
      </c>
    </row>
    <row r="5630" spans="1:15" ht="47.25">
      <c r="A5630" s="18" t="s">
        <v>3077</v>
      </c>
      <c r="B5630" s="18" t="s">
        <v>3080</v>
      </c>
      <c r="C5630" s="17" t="s">
        <v>19</v>
      </c>
      <c r="D5630" s="37" t="s">
        <v>3255</v>
      </c>
      <c r="E5630" s="37">
        <v>200</v>
      </c>
      <c r="F5630" s="37" t="s">
        <v>96</v>
      </c>
      <c r="G5630" s="37" t="s">
        <v>3185</v>
      </c>
      <c r="H5630" s="37" t="s">
        <v>23</v>
      </c>
      <c r="I5630" s="45">
        <v>22.61</v>
      </c>
      <c r="J5630" s="44">
        <f t="shared" si="174"/>
        <v>4522</v>
      </c>
      <c r="K5630" s="106"/>
      <c r="L5630" s="114"/>
      <c r="M5630" s="114">
        <f>tblAquisições[[#This Row],[VALOR UNITARIO COMPRADO]]*tblAquisições[[#This Row],[QUANTIDADE COMPRADA]]</f>
        <v>0</v>
      </c>
      <c r="N5630" s="110">
        <f>K5630-tblAquisições[[#This Row],[QUANTIDADE PLANEJADA]]</f>
        <v>-200</v>
      </c>
      <c r="O5630" s="106" t="str">
        <f t="shared" si="175"/>
        <v>Faltando Comprar</v>
      </c>
    </row>
    <row r="5631" spans="1:15" ht="47.25">
      <c r="A5631" s="18" t="s">
        <v>3077</v>
      </c>
      <c r="B5631" s="18" t="s">
        <v>3080</v>
      </c>
      <c r="C5631" s="17" t="s">
        <v>19</v>
      </c>
      <c r="D5631" s="37" t="s">
        <v>3256</v>
      </c>
      <c r="E5631" s="37">
        <v>10</v>
      </c>
      <c r="F5631" s="37" t="s">
        <v>96</v>
      </c>
      <c r="G5631" s="37" t="s">
        <v>3185</v>
      </c>
      <c r="H5631" s="37" t="s">
        <v>65</v>
      </c>
      <c r="I5631" s="45">
        <v>21.43</v>
      </c>
      <c r="J5631" s="44">
        <f t="shared" si="174"/>
        <v>214.3</v>
      </c>
      <c r="K5631" s="106"/>
      <c r="L5631" s="114"/>
      <c r="M5631" s="114">
        <f>tblAquisições[[#This Row],[VALOR UNITARIO COMPRADO]]*tblAquisições[[#This Row],[QUANTIDADE COMPRADA]]</f>
        <v>0</v>
      </c>
      <c r="N5631" s="110">
        <f>K5631-tblAquisições[[#This Row],[QUANTIDADE PLANEJADA]]</f>
        <v>-10</v>
      </c>
      <c r="O5631" s="106" t="str">
        <f t="shared" si="175"/>
        <v>Faltando Comprar</v>
      </c>
    </row>
    <row r="5632" spans="1:15" ht="47.25">
      <c r="A5632" s="18" t="s">
        <v>3077</v>
      </c>
      <c r="B5632" s="18" t="s">
        <v>3080</v>
      </c>
      <c r="C5632" s="17" t="s">
        <v>19</v>
      </c>
      <c r="D5632" s="37" t="s">
        <v>3257</v>
      </c>
      <c r="E5632" s="37">
        <v>5</v>
      </c>
      <c r="F5632" s="37" t="s">
        <v>96</v>
      </c>
      <c r="G5632" s="37" t="s">
        <v>3185</v>
      </c>
      <c r="H5632" s="37" t="s">
        <v>65</v>
      </c>
      <c r="I5632" s="45">
        <v>33.47</v>
      </c>
      <c r="J5632" s="44">
        <f t="shared" si="174"/>
        <v>167.35</v>
      </c>
      <c r="K5632" s="106"/>
      <c r="L5632" s="114"/>
      <c r="M5632" s="114">
        <f>tblAquisições[[#This Row],[VALOR UNITARIO COMPRADO]]*tblAquisições[[#This Row],[QUANTIDADE COMPRADA]]</f>
        <v>0</v>
      </c>
      <c r="N5632" s="110">
        <f>K5632-tblAquisições[[#This Row],[QUANTIDADE PLANEJADA]]</f>
        <v>-5</v>
      </c>
      <c r="O5632" s="106" t="str">
        <f t="shared" si="175"/>
        <v>Faltando Comprar</v>
      </c>
    </row>
    <row r="5633" spans="1:15" ht="47.25">
      <c r="A5633" s="18" t="s">
        <v>3077</v>
      </c>
      <c r="B5633" s="18" t="s">
        <v>3080</v>
      </c>
      <c r="C5633" s="17" t="s">
        <v>19</v>
      </c>
      <c r="D5633" s="37" t="s">
        <v>3258</v>
      </c>
      <c r="E5633" s="37">
        <v>5</v>
      </c>
      <c r="F5633" s="37" t="s">
        <v>96</v>
      </c>
      <c r="G5633" s="37" t="s">
        <v>3185</v>
      </c>
      <c r="H5633" s="37" t="s">
        <v>65</v>
      </c>
      <c r="I5633" s="45">
        <v>26.42</v>
      </c>
      <c r="J5633" s="40">
        <f t="shared" si="174"/>
        <v>132.10000000000002</v>
      </c>
      <c r="K5633" s="106"/>
      <c r="L5633" s="114"/>
      <c r="M5633" s="114">
        <f>tblAquisições[[#This Row],[VALOR UNITARIO COMPRADO]]*tblAquisições[[#This Row],[QUANTIDADE COMPRADA]]</f>
        <v>0</v>
      </c>
      <c r="N5633" s="110">
        <f>K5633-tblAquisições[[#This Row],[QUANTIDADE PLANEJADA]]</f>
        <v>-5</v>
      </c>
      <c r="O5633" s="106" t="str">
        <f t="shared" si="175"/>
        <v>Faltando Comprar</v>
      </c>
    </row>
    <row r="5634" spans="1:15" ht="45">
      <c r="A5634" s="46" t="s">
        <v>3259</v>
      </c>
      <c r="B5634" s="46" t="s">
        <v>3260</v>
      </c>
      <c r="C5634" s="17" t="s">
        <v>19</v>
      </c>
      <c r="D5634" s="47" t="s">
        <v>3261</v>
      </c>
      <c r="E5634" s="48">
        <v>80</v>
      </c>
      <c r="F5634" s="47" t="s">
        <v>38</v>
      </c>
      <c r="G5634" s="47" t="s">
        <v>39</v>
      </c>
      <c r="H5634" s="48" t="s">
        <v>23</v>
      </c>
      <c r="I5634" s="49">
        <v>1.0900000000000001</v>
      </c>
      <c r="J5634" s="50">
        <v>87.2</v>
      </c>
      <c r="K5634" s="106"/>
      <c r="L5634" s="114"/>
      <c r="M5634" s="114">
        <f>tblAquisições[[#This Row],[VALOR UNITARIO COMPRADO]]*tblAquisições[[#This Row],[QUANTIDADE COMPRADA]]</f>
        <v>0</v>
      </c>
      <c r="N5634" s="110">
        <f>K5634-tblAquisições[[#This Row],[QUANTIDADE PLANEJADA]]</f>
        <v>-80</v>
      </c>
      <c r="O5634" s="106" t="str">
        <f t="shared" ref="O5634:O5697" si="176">IF(K5634=E5634,"OK",IF(K5634&lt;E5634,"Faltando Comprar","Excedente"))</f>
        <v>Faltando Comprar</v>
      </c>
    </row>
    <row r="5635" spans="1:15" ht="45">
      <c r="A5635" s="46" t="s">
        <v>3259</v>
      </c>
      <c r="B5635" s="46" t="s">
        <v>3260</v>
      </c>
      <c r="C5635" s="17" t="s">
        <v>19</v>
      </c>
      <c r="D5635" s="47" t="s">
        <v>37</v>
      </c>
      <c r="E5635" s="48">
        <v>100</v>
      </c>
      <c r="F5635" s="47" t="s">
        <v>38</v>
      </c>
      <c r="G5635" s="47" t="s">
        <v>39</v>
      </c>
      <c r="H5635" s="48" t="s">
        <v>23</v>
      </c>
      <c r="I5635" s="49">
        <v>9.8699999999999992</v>
      </c>
      <c r="J5635" s="50">
        <v>986.99999999999989</v>
      </c>
      <c r="K5635" s="106"/>
      <c r="L5635" s="114"/>
      <c r="M5635" s="114">
        <f>tblAquisições[[#This Row],[VALOR UNITARIO COMPRADO]]*tblAquisições[[#This Row],[QUANTIDADE COMPRADA]]</f>
        <v>0</v>
      </c>
      <c r="N5635" s="110">
        <f>K5635-tblAquisições[[#This Row],[QUANTIDADE PLANEJADA]]</f>
        <v>-100</v>
      </c>
      <c r="O5635" s="106" t="str">
        <f t="shared" si="176"/>
        <v>Faltando Comprar</v>
      </c>
    </row>
    <row r="5636" spans="1:15" ht="60">
      <c r="A5636" s="46" t="s">
        <v>3259</v>
      </c>
      <c r="B5636" s="46" t="s">
        <v>3259</v>
      </c>
      <c r="C5636" s="17" t="s">
        <v>19</v>
      </c>
      <c r="D5636" s="47" t="s">
        <v>3262</v>
      </c>
      <c r="E5636" s="48">
        <v>5</v>
      </c>
      <c r="F5636" s="47" t="s">
        <v>96</v>
      </c>
      <c r="G5636" s="47" t="s">
        <v>39</v>
      </c>
      <c r="H5636" s="48" t="s">
        <v>23</v>
      </c>
      <c r="I5636" s="49">
        <v>13.49</v>
      </c>
      <c r="J5636" s="50">
        <v>67.45</v>
      </c>
      <c r="K5636" s="106"/>
      <c r="L5636" s="114"/>
      <c r="M5636" s="114">
        <f>tblAquisições[[#This Row],[VALOR UNITARIO COMPRADO]]*tblAquisições[[#This Row],[QUANTIDADE COMPRADA]]</f>
        <v>0</v>
      </c>
      <c r="N5636" s="110">
        <f>K5636-tblAquisições[[#This Row],[QUANTIDADE PLANEJADA]]</f>
        <v>-5</v>
      </c>
      <c r="O5636" s="106" t="str">
        <f t="shared" si="176"/>
        <v>Faltando Comprar</v>
      </c>
    </row>
    <row r="5637" spans="1:15" ht="60">
      <c r="A5637" s="46" t="s">
        <v>3259</v>
      </c>
      <c r="B5637" s="46" t="s">
        <v>3263</v>
      </c>
      <c r="C5637" s="17" t="s">
        <v>19</v>
      </c>
      <c r="D5637" s="47" t="s">
        <v>3262</v>
      </c>
      <c r="E5637" s="48">
        <v>5</v>
      </c>
      <c r="F5637" s="47" t="s">
        <v>96</v>
      </c>
      <c r="G5637" s="47" t="s">
        <v>39</v>
      </c>
      <c r="H5637" s="51"/>
      <c r="I5637" s="49">
        <v>13.49</v>
      </c>
      <c r="J5637" s="50">
        <v>67.45</v>
      </c>
      <c r="K5637" s="106"/>
      <c r="L5637" s="114"/>
      <c r="M5637" s="114">
        <f>tblAquisições[[#This Row],[VALOR UNITARIO COMPRADO]]*tblAquisições[[#This Row],[QUANTIDADE COMPRADA]]</f>
        <v>0</v>
      </c>
      <c r="N5637" s="110">
        <f>K5637-tblAquisições[[#This Row],[QUANTIDADE PLANEJADA]]</f>
        <v>-5</v>
      </c>
      <c r="O5637" s="106" t="str">
        <f t="shared" si="176"/>
        <v>Faltando Comprar</v>
      </c>
    </row>
    <row r="5638" spans="1:15" ht="60">
      <c r="A5638" s="46" t="s">
        <v>3259</v>
      </c>
      <c r="B5638" s="46" t="s">
        <v>3260</v>
      </c>
      <c r="C5638" s="17" t="s">
        <v>19</v>
      </c>
      <c r="D5638" s="47" t="s">
        <v>3264</v>
      </c>
      <c r="E5638" s="48">
        <v>3</v>
      </c>
      <c r="F5638" s="47" t="s">
        <v>96</v>
      </c>
      <c r="G5638" s="47" t="s">
        <v>39</v>
      </c>
      <c r="H5638" s="48" t="s">
        <v>23</v>
      </c>
      <c r="I5638" s="49">
        <v>35.270000000000003</v>
      </c>
      <c r="J5638" s="50">
        <v>105.81</v>
      </c>
      <c r="K5638" s="106"/>
      <c r="L5638" s="114"/>
      <c r="M5638" s="114">
        <f>tblAquisições[[#This Row],[VALOR UNITARIO COMPRADO]]*tblAquisições[[#This Row],[QUANTIDADE COMPRADA]]</f>
        <v>0</v>
      </c>
      <c r="N5638" s="110">
        <f>K5638-tblAquisições[[#This Row],[QUANTIDADE PLANEJADA]]</f>
        <v>-3</v>
      </c>
      <c r="O5638" s="106" t="str">
        <f t="shared" si="176"/>
        <v>Faltando Comprar</v>
      </c>
    </row>
    <row r="5639" spans="1:15" ht="60">
      <c r="A5639" s="46" t="s">
        <v>3259</v>
      </c>
      <c r="B5639" s="46" t="s">
        <v>3259</v>
      </c>
      <c r="C5639" s="17" t="s">
        <v>19</v>
      </c>
      <c r="D5639" s="47" t="s">
        <v>3087</v>
      </c>
      <c r="E5639" s="48">
        <v>3</v>
      </c>
      <c r="F5639" s="47" t="s">
        <v>96</v>
      </c>
      <c r="G5639" s="47" t="s">
        <v>39</v>
      </c>
      <c r="H5639" s="48" t="s">
        <v>65</v>
      </c>
      <c r="I5639" s="49">
        <v>9.5</v>
      </c>
      <c r="J5639" s="50">
        <v>28.5</v>
      </c>
      <c r="K5639" s="106"/>
      <c r="L5639" s="114"/>
      <c r="M5639" s="114">
        <f>tblAquisições[[#This Row],[VALOR UNITARIO COMPRADO]]*tblAquisições[[#This Row],[QUANTIDADE COMPRADA]]</f>
        <v>0</v>
      </c>
      <c r="N5639" s="110">
        <f>K5639-tblAquisições[[#This Row],[QUANTIDADE PLANEJADA]]</f>
        <v>-3</v>
      </c>
      <c r="O5639" s="106" t="str">
        <f t="shared" si="176"/>
        <v>Faltando Comprar</v>
      </c>
    </row>
    <row r="5640" spans="1:15" ht="60">
      <c r="A5640" s="46" t="s">
        <v>3259</v>
      </c>
      <c r="B5640" s="46" t="s">
        <v>3263</v>
      </c>
      <c r="C5640" s="17" t="s">
        <v>19</v>
      </c>
      <c r="D5640" s="47" t="s">
        <v>3087</v>
      </c>
      <c r="E5640" s="48">
        <v>5</v>
      </c>
      <c r="F5640" s="47" t="s">
        <v>96</v>
      </c>
      <c r="G5640" s="47" t="s">
        <v>39</v>
      </c>
      <c r="H5640" s="51"/>
      <c r="I5640" s="49">
        <v>9.5</v>
      </c>
      <c r="J5640" s="50">
        <v>47.5</v>
      </c>
      <c r="K5640" s="106"/>
      <c r="L5640" s="114"/>
      <c r="M5640" s="114">
        <f>tblAquisições[[#This Row],[VALOR UNITARIO COMPRADO]]*tblAquisições[[#This Row],[QUANTIDADE COMPRADA]]</f>
        <v>0</v>
      </c>
      <c r="N5640" s="110">
        <f>K5640-tblAquisições[[#This Row],[QUANTIDADE PLANEJADA]]</f>
        <v>-5</v>
      </c>
      <c r="O5640" s="106" t="str">
        <f t="shared" si="176"/>
        <v>Faltando Comprar</v>
      </c>
    </row>
    <row r="5641" spans="1:15" ht="45">
      <c r="A5641" s="46" t="s">
        <v>3259</v>
      </c>
      <c r="B5641" s="46" t="s">
        <v>3259</v>
      </c>
      <c r="C5641" s="17" t="s">
        <v>19</v>
      </c>
      <c r="D5641" s="47" t="s">
        <v>3265</v>
      </c>
      <c r="E5641" s="48">
        <v>1</v>
      </c>
      <c r="F5641" s="47" t="s">
        <v>147</v>
      </c>
      <c r="G5641" s="47" t="s">
        <v>39</v>
      </c>
      <c r="H5641" s="48" t="s">
        <v>65</v>
      </c>
      <c r="I5641" s="52">
        <v>37.1</v>
      </c>
      <c r="J5641" s="50">
        <v>19.940000000000001</v>
      </c>
      <c r="K5641" s="106"/>
      <c r="L5641" s="114"/>
      <c r="M5641" s="114">
        <f>tblAquisições[[#This Row],[VALOR UNITARIO COMPRADO]]*tblAquisições[[#This Row],[QUANTIDADE COMPRADA]]</f>
        <v>0</v>
      </c>
      <c r="N5641" s="110">
        <f>K5641-tblAquisições[[#This Row],[QUANTIDADE PLANEJADA]]</f>
        <v>-1</v>
      </c>
      <c r="O5641" s="106" t="str">
        <f t="shared" si="176"/>
        <v>Faltando Comprar</v>
      </c>
    </row>
    <row r="5642" spans="1:15" ht="45">
      <c r="A5642" s="46" t="s">
        <v>3259</v>
      </c>
      <c r="B5642" s="46" t="s">
        <v>3263</v>
      </c>
      <c r="C5642" s="17" t="s">
        <v>19</v>
      </c>
      <c r="D5642" s="47" t="s">
        <v>3265</v>
      </c>
      <c r="E5642" s="48">
        <v>5</v>
      </c>
      <c r="F5642" s="47" t="s">
        <v>147</v>
      </c>
      <c r="G5642" s="47" t="s">
        <v>39</v>
      </c>
      <c r="H5642" s="51"/>
      <c r="I5642" s="49">
        <v>16.940000000000001</v>
      </c>
      <c r="J5642" s="50">
        <v>84.7</v>
      </c>
      <c r="K5642" s="106"/>
      <c r="L5642" s="114"/>
      <c r="M5642" s="114">
        <f>tblAquisições[[#This Row],[VALOR UNITARIO COMPRADO]]*tblAquisições[[#This Row],[QUANTIDADE COMPRADA]]</f>
        <v>0</v>
      </c>
      <c r="N5642" s="110">
        <f>K5642-tblAquisições[[#This Row],[QUANTIDADE PLANEJADA]]</f>
        <v>-5</v>
      </c>
      <c r="O5642" s="106" t="str">
        <f t="shared" si="176"/>
        <v>Faltando Comprar</v>
      </c>
    </row>
    <row r="5643" spans="1:15" ht="60">
      <c r="A5643" s="46" t="s">
        <v>3259</v>
      </c>
      <c r="B5643" s="46" t="s">
        <v>3259</v>
      </c>
      <c r="C5643" s="17" t="s">
        <v>19</v>
      </c>
      <c r="D5643" s="47" t="s">
        <v>95</v>
      </c>
      <c r="E5643" s="48">
        <v>150</v>
      </c>
      <c r="F5643" s="47" t="s">
        <v>96</v>
      </c>
      <c r="G5643" s="47" t="s">
        <v>39</v>
      </c>
      <c r="H5643" s="48" t="s">
        <v>23</v>
      </c>
      <c r="I5643" s="49">
        <v>4.59</v>
      </c>
      <c r="J5643" s="50">
        <v>688.5</v>
      </c>
      <c r="K5643" s="106"/>
      <c r="L5643" s="114"/>
      <c r="M5643" s="114">
        <f>tblAquisições[[#This Row],[VALOR UNITARIO COMPRADO]]*tblAquisições[[#This Row],[QUANTIDADE COMPRADA]]</f>
        <v>0</v>
      </c>
      <c r="N5643" s="110">
        <f>K5643-tblAquisições[[#This Row],[QUANTIDADE PLANEJADA]]</f>
        <v>-150</v>
      </c>
      <c r="O5643" s="106" t="str">
        <f t="shared" si="176"/>
        <v>Faltando Comprar</v>
      </c>
    </row>
    <row r="5644" spans="1:15" ht="60">
      <c r="A5644" s="46" t="s">
        <v>3259</v>
      </c>
      <c r="B5644" s="46" t="s">
        <v>3260</v>
      </c>
      <c r="C5644" s="17" t="s">
        <v>19</v>
      </c>
      <c r="D5644" s="47" t="s">
        <v>95</v>
      </c>
      <c r="E5644" s="48">
        <v>50</v>
      </c>
      <c r="F5644" s="47" t="s">
        <v>96</v>
      </c>
      <c r="G5644" s="47" t="s">
        <v>39</v>
      </c>
      <c r="H5644" s="48" t="s">
        <v>23</v>
      </c>
      <c r="I5644" s="49">
        <v>4.59</v>
      </c>
      <c r="J5644" s="50">
        <v>229.5</v>
      </c>
      <c r="K5644" s="106"/>
      <c r="L5644" s="114"/>
      <c r="M5644" s="114">
        <f>tblAquisições[[#This Row],[VALOR UNITARIO COMPRADO]]*tblAquisições[[#This Row],[QUANTIDADE COMPRADA]]</f>
        <v>0</v>
      </c>
      <c r="N5644" s="110">
        <f>K5644-tblAquisições[[#This Row],[QUANTIDADE PLANEJADA]]</f>
        <v>-50</v>
      </c>
      <c r="O5644" s="106" t="str">
        <f t="shared" si="176"/>
        <v>Faltando Comprar</v>
      </c>
    </row>
    <row r="5645" spans="1:15" ht="60">
      <c r="A5645" s="46" t="s">
        <v>3259</v>
      </c>
      <c r="B5645" s="46" t="s">
        <v>3263</v>
      </c>
      <c r="C5645" s="17" t="s">
        <v>19</v>
      </c>
      <c r="D5645" s="47" t="s">
        <v>95</v>
      </c>
      <c r="E5645" s="48">
        <v>100</v>
      </c>
      <c r="F5645" s="47" t="s">
        <v>96</v>
      </c>
      <c r="G5645" s="47" t="s">
        <v>39</v>
      </c>
      <c r="H5645" s="51"/>
      <c r="I5645" s="49">
        <v>4.59</v>
      </c>
      <c r="J5645" s="50">
        <v>459</v>
      </c>
      <c r="K5645" s="106"/>
      <c r="L5645" s="114"/>
      <c r="M5645" s="114">
        <f>tblAquisições[[#This Row],[VALOR UNITARIO COMPRADO]]*tblAquisições[[#This Row],[QUANTIDADE COMPRADA]]</f>
        <v>0</v>
      </c>
      <c r="N5645" s="110">
        <f>K5645-tblAquisições[[#This Row],[QUANTIDADE PLANEJADA]]</f>
        <v>-100</v>
      </c>
      <c r="O5645" s="106" t="str">
        <f t="shared" si="176"/>
        <v>Faltando Comprar</v>
      </c>
    </row>
    <row r="5646" spans="1:15" ht="60">
      <c r="A5646" s="46" t="s">
        <v>3259</v>
      </c>
      <c r="B5646" s="46" t="s">
        <v>3259</v>
      </c>
      <c r="C5646" s="17" t="s">
        <v>19</v>
      </c>
      <c r="D5646" s="47" t="s">
        <v>3266</v>
      </c>
      <c r="E5646" s="48">
        <v>2</v>
      </c>
      <c r="F5646" s="47" t="s">
        <v>1158</v>
      </c>
      <c r="G5646" s="47" t="s">
        <v>775</v>
      </c>
      <c r="H5646" s="48" t="s">
        <v>23</v>
      </c>
      <c r="I5646" s="49">
        <v>1869.33</v>
      </c>
      <c r="J5646" s="50">
        <v>3738.66</v>
      </c>
      <c r="K5646" s="106"/>
      <c r="L5646" s="114"/>
      <c r="M5646" s="114">
        <f>tblAquisições[[#This Row],[VALOR UNITARIO COMPRADO]]*tblAquisições[[#This Row],[QUANTIDADE COMPRADA]]</f>
        <v>0</v>
      </c>
      <c r="N5646" s="110">
        <f>K5646-tblAquisições[[#This Row],[QUANTIDADE PLANEJADA]]</f>
        <v>-2</v>
      </c>
      <c r="O5646" s="106" t="str">
        <f t="shared" si="176"/>
        <v>Faltando Comprar</v>
      </c>
    </row>
    <row r="5647" spans="1:15" ht="60">
      <c r="A5647" s="46" t="s">
        <v>3259</v>
      </c>
      <c r="B5647" s="46" t="s">
        <v>3260</v>
      </c>
      <c r="C5647" s="17" t="s">
        <v>19</v>
      </c>
      <c r="D5647" s="47" t="s">
        <v>3266</v>
      </c>
      <c r="E5647" s="48">
        <v>1</v>
      </c>
      <c r="F5647" s="47" t="s">
        <v>1158</v>
      </c>
      <c r="G5647" s="47" t="s">
        <v>775</v>
      </c>
      <c r="H5647" s="48" t="s">
        <v>23</v>
      </c>
      <c r="I5647" s="49">
        <v>1869.33</v>
      </c>
      <c r="J5647" s="50">
        <v>1869.33</v>
      </c>
      <c r="K5647" s="106"/>
      <c r="L5647" s="114"/>
      <c r="M5647" s="114">
        <f>tblAquisições[[#This Row],[VALOR UNITARIO COMPRADO]]*tblAquisições[[#This Row],[QUANTIDADE COMPRADA]]</f>
        <v>0</v>
      </c>
      <c r="N5647" s="110">
        <f>K5647-tblAquisições[[#This Row],[QUANTIDADE PLANEJADA]]</f>
        <v>-1</v>
      </c>
      <c r="O5647" s="106" t="str">
        <f t="shared" si="176"/>
        <v>Faltando Comprar</v>
      </c>
    </row>
    <row r="5648" spans="1:15" ht="60">
      <c r="A5648" s="46" t="s">
        <v>3259</v>
      </c>
      <c r="B5648" s="46" t="s">
        <v>3263</v>
      </c>
      <c r="C5648" s="17" t="s">
        <v>19</v>
      </c>
      <c r="D5648" s="47" t="s">
        <v>3266</v>
      </c>
      <c r="E5648" s="48">
        <v>5</v>
      </c>
      <c r="F5648" s="47" t="s">
        <v>1158</v>
      </c>
      <c r="G5648" s="47" t="s">
        <v>775</v>
      </c>
      <c r="H5648" s="51"/>
      <c r="I5648" s="49">
        <v>1869.33</v>
      </c>
      <c r="J5648" s="50">
        <v>9346.65</v>
      </c>
      <c r="K5648" s="106"/>
      <c r="L5648" s="114"/>
      <c r="M5648" s="114">
        <f>tblAquisições[[#This Row],[VALOR UNITARIO COMPRADO]]*tblAquisições[[#This Row],[QUANTIDADE COMPRADA]]</f>
        <v>0</v>
      </c>
      <c r="N5648" s="110">
        <f>K5648-tblAquisições[[#This Row],[QUANTIDADE PLANEJADA]]</f>
        <v>-5</v>
      </c>
      <c r="O5648" s="106" t="str">
        <f t="shared" si="176"/>
        <v>Faltando Comprar</v>
      </c>
    </row>
    <row r="5649" spans="1:15" ht="60">
      <c r="A5649" s="46" t="s">
        <v>3259</v>
      </c>
      <c r="B5649" s="46" t="s">
        <v>3259</v>
      </c>
      <c r="C5649" s="17" t="s">
        <v>19</v>
      </c>
      <c r="D5649" s="47" t="s">
        <v>2725</v>
      </c>
      <c r="E5649" s="48">
        <v>2</v>
      </c>
      <c r="F5649" s="47" t="s">
        <v>96</v>
      </c>
      <c r="G5649" s="47" t="s">
        <v>39</v>
      </c>
      <c r="H5649" s="48" t="s">
        <v>23</v>
      </c>
      <c r="I5649" s="49">
        <v>7.52</v>
      </c>
      <c r="J5649" s="50">
        <v>15.04</v>
      </c>
      <c r="K5649" s="106"/>
      <c r="L5649" s="114"/>
      <c r="M5649" s="114">
        <f>tblAquisições[[#This Row],[VALOR UNITARIO COMPRADO]]*tblAquisições[[#This Row],[QUANTIDADE COMPRADA]]</f>
        <v>0</v>
      </c>
      <c r="N5649" s="110">
        <f>K5649-tblAquisições[[#This Row],[QUANTIDADE PLANEJADA]]</f>
        <v>-2</v>
      </c>
      <c r="O5649" s="106" t="str">
        <f t="shared" si="176"/>
        <v>Faltando Comprar</v>
      </c>
    </row>
    <row r="5650" spans="1:15" ht="60">
      <c r="A5650" s="46" t="s">
        <v>3259</v>
      </c>
      <c r="B5650" s="46" t="s">
        <v>3263</v>
      </c>
      <c r="C5650" s="17" t="s">
        <v>19</v>
      </c>
      <c r="D5650" s="47" t="s">
        <v>2725</v>
      </c>
      <c r="E5650" s="48">
        <v>5</v>
      </c>
      <c r="F5650" s="47" t="s">
        <v>96</v>
      </c>
      <c r="G5650" s="47" t="s">
        <v>39</v>
      </c>
      <c r="H5650" s="51"/>
      <c r="I5650" s="49">
        <v>7.52</v>
      </c>
      <c r="J5650" s="50">
        <v>37.599999999999994</v>
      </c>
      <c r="K5650" s="106"/>
      <c r="L5650" s="114"/>
      <c r="M5650" s="114">
        <f>tblAquisições[[#This Row],[VALOR UNITARIO COMPRADO]]*tblAquisições[[#This Row],[QUANTIDADE COMPRADA]]</f>
        <v>0</v>
      </c>
      <c r="N5650" s="110">
        <f>K5650-tblAquisições[[#This Row],[QUANTIDADE PLANEJADA]]</f>
        <v>-5</v>
      </c>
      <c r="O5650" s="106" t="str">
        <f t="shared" si="176"/>
        <v>Faltando Comprar</v>
      </c>
    </row>
    <row r="5651" spans="1:15" ht="60">
      <c r="A5651" s="46" t="s">
        <v>3259</v>
      </c>
      <c r="B5651" s="46" t="s">
        <v>3259</v>
      </c>
      <c r="C5651" s="17" t="s">
        <v>19</v>
      </c>
      <c r="D5651" s="47" t="s">
        <v>139</v>
      </c>
      <c r="E5651" s="48">
        <v>20</v>
      </c>
      <c r="F5651" s="47" t="s">
        <v>96</v>
      </c>
      <c r="G5651" s="47" t="s">
        <v>39</v>
      </c>
      <c r="H5651" s="48" t="s">
        <v>23</v>
      </c>
      <c r="I5651" s="49">
        <v>9.59</v>
      </c>
      <c r="J5651" s="50">
        <v>191.8</v>
      </c>
      <c r="K5651" s="106"/>
      <c r="L5651" s="114"/>
      <c r="M5651" s="114">
        <f>tblAquisições[[#This Row],[VALOR UNITARIO COMPRADO]]*tblAquisições[[#This Row],[QUANTIDADE COMPRADA]]</f>
        <v>0</v>
      </c>
      <c r="N5651" s="110">
        <f>K5651-tblAquisições[[#This Row],[QUANTIDADE PLANEJADA]]</f>
        <v>-20</v>
      </c>
      <c r="O5651" s="106" t="str">
        <f t="shared" si="176"/>
        <v>Faltando Comprar</v>
      </c>
    </row>
    <row r="5652" spans="1:15" ht="60">
      <c r="A5652" s="46" t="s">
        <v>3259</v>
      </c>
      <c r="B5652" s="46" t="s">
        <v>3263</v>
      </c>
      <c r="C5652" s="17" t="s">
        <v>19</v>
      </c>
      <c r="D5652" s="47" t="s">
        <v>139</v>
      </c>
      <c r="E5652" s="48">
        <v>50</v>
      </c>
      <c r="F5652" s="47" t="s">
        <v>96</v>
      </c>
      <c r="G5652" s="47" t="s">
        <v>39</v>
      </c>
      <c r="H5652" s="51"/>
      <c r="I5652" s="49">
        <v>9.59</v>
      </c>
      <c r="J5652" s="50">
        <v>479.5</v>
      </c>
      <c r="K5652" s="106"/>
      <c r="L5652" s="114"/>
      <c r="M5652" s="114">
        <f>tblAquisições[[#This Row],[VALOR UNITARIO COMPRADO]]*tblAquisições[[#This Row],[QUANTIDADE COMPRADA]]</f>
        <v>0</v>
      </c>
      <c r="N5652" s="110">
        <f>K5652-tblAquisições[[#This Row],[QUANTIDADE PLANEJADA]]</f>
        <v>-50</v>
      </c>
      <c r="O5652" s="106" t="str">
        <f t="shared" si="176"/>
        <v>Faltando Comprar</v>
      </c>
    </row>
    <row r="5653" spans="1:15" ht="60">
      <c r="A5653" s="46" t="s">
        <v>3259</v>
      </c>
      <c r="B5653" s="46" t="s">
        <v>3259</v>
      </c>
      <c r="C5653" s="17" t="s">
        <v>19</v>
      </c>
      <c r="D5653" s="47" t="s">
        <v>2730</v>
      </c>
      <c r="E5653" s="48">
        <v>1</v>
      </c>
      <c r="F5653" s="47" t="s">
        <v>96</v>
      </c>
      <c r="G5653" s="47" t="s">
        <v>39</v>
      </c>
      <c r="H5653" s="48" t="s">
        <v>65</v>
      </c>
      <c r="I5653" s="52">
        <v>395</v>
      </c>
      <c r="J5653" s="50">
        <v>56.5</v>
      </c>
      <c r="K5653" s="106"/>
      <c r="L5653" s="114"/>
      <c r="M5653" s="114">
        <f>tblAquisições[[#This Row],[VALOR UNITARIO COMPRADO]]*tblAquisições[[#This Row],[QUANTIDADE COMPRADA]]</f>
        <v>0</v>
      </c>
      <c r="N5653" s="110">
        <f>K5653-tblAquisições[[#This Row],[QUANTIDADE PLANEJADA]]</f>
        <v>-1</v>
      </c>
      <c r="O5653" s="106" t="str">
        <f t="shared" si="176"/>
        <v>Faltando Comprar</v>
      </c>
    </row>
    <row r="5654" spans="1:15" ht="60">
      <c r="A5654" s="46" t="s">
        <v>3259</v>
      </c>
      <c r="B5654" s="46" t="s">
        <v>3259</v>
      </c>
      <c r="C5654" s="17" t="s">
        <v>19</v>
      </c>
      <c r="D5654" s="47" t="s">
        <v>2731</v>
      </c>
      <c r="E5654" s="48">
        <v>10</v>
      </c>
      <c r="F5654" s="47" t="s">
        <v>96</v>
      </c>
      <c r="G5654" s="47" t="s">
        <v>39</v>
      </c>
      <c r="H5654" s="48" t="s">
        <v>23</v>
      </c>
      <c r="I5654" s="49">
        <v>15.25</v>
      </c>
      <c r="J5654" s="50">
        <v>152.5</v>
      </c>
      <c r="K5654" s="106"/>
      <c r="L5654" s="114"/>
      <c r="M5654" s="114">
        <f>tblAquisições[[#This Row],[VALOR UNITARIO COMPRADO]]*tblAquisições[[#This Row],[QUANTIDADE COMPRADA]]</f>
        <v>0</v>
      </c>
      <c r="N5654" s="110">
        <f>K5654-tblAquisições[[#This Row],[QUANTIDADE PLANEJADA]]</f>
        <v>-10</v>
      </c>
      <c r="O5654" s="106" t="str">
        <f t="shared" si="176"/>
        <v>Faltando Comprar</v>
      </c>
    </row>
    <row r="5655" spans="1:15" ht="60">
      <c r="A5655" s="46" t="s">
        <v>3259</v>
      </c>
      <c r="B5655" s="46" t="s">
        <v>3260</v>
      </c>
      <c r="C5655" s="17" t="s">
        <v>19</v>
      </c>
      <c r="D5655" s="47" t="s">
        <v>2731</v>
      </c>
      <c r="E5655" s="48">
        <v>2</v>
      </c>
      <c r="F5655" s="47" t="s">
        <v>96</v>
      </c>
      <c r="G5655" s="47" t="s">
        <v>39</v>
      </c>
      <c r="H5655" s="48" t="s">
        <v>23</v>
      </c>
      <c r="I5655" s="49">
        <v>15.25</v>
      </c>
      <c r="J5655" s="50">
        <v>30.5</v>
      </c>
      <c r="K5655" s="106"/>
      <c r="L5655" s="114"/>
      <c r="M5655" s="114">
        <f>tblAquisições[[#This Row],[VALOR UNITARIO COMPRADO]]*tblAquisições[[#This Row],[QUANTIDADE COMPRADA]]</f>
        <v>0</v>
      </c>
      <c r="N5655" s="110">
        <f>K5655-tblAquisições[[#This Row],[QUANTIDADE PLANEJADA]]</f>
        <v>-2</v>
      </c>
      <c r="O5655" s="106" t="str">
        <f t="shared" si="176"/>
        <v>Faltando Comprar</v>
      </c>
    </row>
    <row r="5656" spans="1:15" ht="60">
      <c r="A5656" s="46" t="s">
        <v>3259</v>
      </c>
      <c r="B5656" s="46" t="s">
        <v>3263</v>
      </c>
      <c r="C5656" s="17" t="s">
        <v>19</v>
      </c>
      <c r="D5656" s="47" t="s">
        <v>2731</v>
      </c>
      <c r="E5656" s="48">
        <v>50</v>
      </c>
      <c r="F5656" s="47" t="s">
        <v>96</v>
      </c>
      <c r="G5656" s="47" t="s">
        <v>39</v>
      </c>
      <c r="H5656" s="51"/>
      <c r="I5656" s="49">
        <v>15.25</v>
      </c>
      <c r="J5656" s="50">
        <v>762.5</v>
      </c>
      <c r="K5656" s="106"/>
      <c r="L5656" s="114"/>
      <c r="M5656" s="114">
        <f>tblAquisições[[#This Row],[VALOR UNITARIO COMPRADO]]*tblAquisições[[#This Row],[QUANTIDADE COMPRADA]]</f>
        <v>0</v>
      </c>
      <c r="N5656" s="110">
        <f>K5656-tblAquisições[[#This Row],[QUANTIDADE PLANEJADA]]</f>
        <v>-50</v>
      </c>
      <c r="O5656" s="106" t="str">
        <f t="shared" si="176"/>
        <v>Faltando Comprar</v>
      </c>
    </row>
    <row r="5657" spans="1:15" ht="60">
      <c r="A5657" s="46" t="s">
        <v>3259</v>
      </c>
      <c r="B5657" s="46" t="s">
        <v>3259</v>
      </c>
      <c r="C5657" s="17" t="s">
        <v>19</v>
      </c>
      <c r="D5657" s="47" t="s">
        <v>2733</v>
      </c>
      <c r="E5657" s="48">
        <v>5</v>
      </c>
      <c r="F5657" s="47" t="s">
        <v>96</v>
      </c>
      <c r="G5657" s="47" t="s">
        <v>39</v>
      </c>
      <c r="H5657" s="48" t="s">
        <v>23</v>
      </c>
      <c r="I5657" s="49">
        <v>6.46</v>
      </c>
      <c r="J5657" s="50">
        <v>32.299999999999997</v>
      </c>
      <c r="K5657" s="106"/>
      <c r="L5657" s="114"/>
      <c r="M5657" s="114">
        <f>tblAquisições[[#This Row],[VALOR UNITARIO COMPRADO]]*tblAquisições[[#This Row],[QUANTIDADE COMPRADA]]</f>
        <v>0</v>
      </c>
      <c r="N5657" s="110">
        <f>K5657-tblAquisições[[#This Row],[QUANTIDADE PLANEJADA]]</f>
        <v>-5</v>
      </c>
      <c r="O5657" s="106" t="str">
        <f t="shared" si="176"/>
        <v>Faltando Comprar</v>
      </c>
    </row>
    <row r="5658" spans="1:15" ht="60">
      <c r="A5658" s="46" t="s">
        <v>3259</v>
      </c>
      <c r="B5658" s="46" t="s">
        <v>3263</v>
      </c>
      <c r="C5658" s="17" t="s">
        <v>19</v>
      </c>
      <c r="D5658" s="47" t="s">
        <v>2733</v>
      </c>
      <c r="E5658" s="48">
        <v>10</v>
      </c>
      <c r="F5658" s="47" t="s">
        <v>96</v>
      </c>
      <c r="G5658" s="47" t="s">
        <v>39</v>
      </c>
      <c r="H5658" s="51"/>
      <c r="I5658" s="49">
        <v>6.46</v>
      </c>
      <c r="J5658" s="50">
        <v>64.599999999999994</v>
      </c>
      <c r="K5658" s="106"/>
      <c r="L5658" s="114"/>
      <c r="M5658" s="114">
        <f>tblAquisições[[#This Row],[VALOR UNITARIO COMPRADO]]*tblAquisições[[#This Row],[QUANTIDADE COMPRADA]]</f>
        <v>0</v>
      </c>
      <c r="N5658" s="110">
        <f>K5658-tblAquisições[[#This Row],[QUANTIDADE PLANEJADA]]</f>
        <v>-10</v>
      </c>
      <c r="O5658" s="106" t="str">
        <f t="shared" si="176"/>
        <v>Faltando Comprar</v>
      </c>
    </row>
    <row r="5659" spans="1:15" ht="60">
      <c r="A5659" s="46" t="s">
        <v>3259</v>
      </c>
      <c r="B5659" s="46" t="s">
        <v>3259</v>
      </c>
      <c r="C5659" s="17" t="s">
        <v>19</v>
      </c>
      <c r="D5659" s="47" t="s">
        <v>2734</v>
      </c>
      <c r="E5659" s="48">
        <v>5</v>
      </c>
      <c r="F5659" s="47" t="s">
        <v>96</v>
      </c>
      <c r="G5659" s="47" t="s">
        <v>39</v>
      </c>
      <c r="H5659" s="48" t="s">
        <v>23</v>
      </c>
      <c r="I5659" s="49">
        <v>3.71</v>
      </c>
      <c r="J5659" s="50">
        <v>18.55</v>
      </c>
      <c r="K5659" s="106"/>
      <c r="L5659" s="114"/>
      <c r="M5659" s="114">
        <f>tblAquisições[[#This Row],[VALOR UNITARIO COMPRADO]]*tblAquisições[[#This Row],[QUANTIDADE COMPRADA]]</f>
        <v>0</v>
      </c>
      <c r="N5659" s="110">
        <f>K5659-tblAquisições[[#This Row],[QUANTIDADE PLANEJADA]]</f>
        <v>-5</v>
      </c>
      <c r="O5659" s="106" t="str">
        <f t="shared" si="176"/>
        <v>Faltando Comprar</v>
      </c>
    </row>
    <row r="5660" spans="1:15" ht="60">
      <c r="A5660" s="46" t="s">
        <v>3259</v>
      </c>
      <c r="B5660" s="46" t="s">
        <v>3263</v>
      </c>
      <c r="C5660" s="17" t="s">
        <v>19</v>
      </c>
      <c r="D5660" s="47" t="s">
        <v>2734</v>
      </c>
      <c r="E5660" s="48">
        <v>50</v>
      </c>
      <c r="F5660" s="47" t="s">
        <v>96</v>
      </c>
      <c r="G5660" s="47" t="s">
        <v>39</v>
      </c>
      <c r="H5660" s="51"/>
      <c r="I5660" s="49">
        <v>3.71</v>
      </c>
      <c r="J5660" s="50">
        <v>185.5</v>
      </c>
      <c r="K5660" s="106"/>
      <c r="L5660" s="114"/>
      <c r="M5660" s="114">
        <f>tblAquisições[[#This Row],[VALOR UNITARIO COMPRADO]]*tblAquisições[[#This Row],[QUANTIDADE COMPRADA]]</f>
        <v>0</v>
      </c>
      <c r="N5660" s="110">
        <f>K5660-tblAquisições[[#This Row],[QUANTIDADE PLANEJADA]]</f>
        <v>-50</v>
      </c>
      <c r="O5660" s="106" t="str">
        <f t="shared" si="176"/>
        <v>Faltando Comprar</v>
      </c>
    </row>
    <row r="5661" spans="1:15" ht="45">
      <c r="A5661" s="46" t="s">
        <v>3259</v>
      </c>
      <c r="B5661" s="46" t="s">
        <v>3267</v>
      </c>
      <c r="C5661" s="17" t="s">
        <v>19</v>
      </c>
      <c r="D5661" s="47" t="s">
        <v>3268</v>
      </c>
      <c r="E5661" s="48">
        <v>25</v>
      </c>
      <c r="F5661" s="47" t="s">
        <v>56</v>
      </c>
      <c r="G5661" s="47" t="s">
        <v>39</v>
      </c>
      <c r="H5661" s="51"/>
      <c r="I5661" s="49">
        <v>89.56</v>
      </c>
      <c r="J5661" s="50">
        <v>2239</v>
      </c>
      <c r="K5661" s="106"/>
      <c r="L5661" s="114"/>
      <c r="M5661" s="114">
        <f>tblAquisições[[#This Row],[VALOR UNITARIO COMPRADO]]*tblAquisições[[#This Row],[QUANTIDADE COMPRADA]]</f>
        <v>0</v>
      </c>
      <c r="N5661" s="110">
        <f>K5661-tblAquisições[[#This Row],[QUANTIDADE PLANEJADA]]</f>
        <v>-25</v>
      </c>
      <c r="O5661" s="106" t="str">
        <f t="shared" si="176"/>
        <v>Faltando Comprar</v>
      </c>
    </row>
    <row r="5662" spans="1:15" ht="45">
      <c r="A5662" s="46" t="s">
        <v>3259</v>
      </c>
      <c r="B5662" s="46" t="s">
        <v>3267</v>
      </c>
      <c r="C5662" s="17" t="s">
        <v>19</v>
      </c>
      <c r="D5662" s="47" t="s">
        <v>3269</v>
      </c>
      <c r="E5662" s="48">
        <v>25</v>
      </c>
      <c r="F5662" s="47" t="s">
        <v>56</v>
      </c>
      <c r="G5662" s="47" t="s">
        <v>39</v>
      </c>
      <c r="H5662" s="51"/>
      <c r="I5662" s="49">
        <v>87.85</v>
      </c>
      <c r="J5662" s="50">
        <v>2196.25</v>
      </c>
      <c r="K5662" s="106"/>
      <c r="L5662" s="114"/>
      <c r="M5662" s="114">
        <f>tblAquisições[[#This Row],[VALOR UNITARIO COMPRADO]]*tblAquisições[[#This Row],[QUANTIDADE COMPRADA]]</f>
        <v>0</v>
      </c>
      <c r="N5662" s="110">
        <f>K5662-tblAquisições[[#This Row],[QUANTIDADE PLANEJADA]]</f>
        <v>-25</v>
      </c>
      <c r="O5662" s="106" t="str">
        <f t="shared" si="176"/>
        <v>Faltando Comprar</v>
      </c>
    </row>
    <row r="5663" spans="1:15" ht="45">
      <c r="A5663" s="46" t="s">
        <v>3259</v>
      </c>
      <c r="B5663" s="46" t="s">
        <v>3259</v>
      </c>
      <c r="C5663" s="17" t="s">
        <v>19</v>
      </c>
      <c r="D5663" s="47" t="s">
        <v>2920</v>
      </c>
      <c r="E5663" s="48">
        <v>5</v>
      </c>
      <c r="F5663" s="47" t="s">
        <v>56</v>
      </c>
      <c r="G5663" s="47" t="s">
        <v>39</v>
      </c>
      <c r="H5663" s="48" t="s">
        <v>23</v>
      </c>
      <c r="I5663" s="49">
        <v>99.96</v>
      </c>
      <c r="J5663" s="50">
        <v>499.79999999999995</v>
      </c>
      <c r="K5663" s="106"/>
      <c r="L5663" s="114"/>
      <c r="M5663" s="114">
        <f>tblAquisições[[#This Row],[VALOR UNITARIO COMPRADO]]*tblAquisições[[#This Row],[QUANTIDADE COMPRADA]]</f>
        <v>0</v>
      </c>
      <c r="N5663" s="110">
        <f>K5663-tblAquisições[[#This Row],[QUANTIDADE PLANEJADA]]</f>
        <v>-5</v>
      </c>
      <c r="O5663" s="106" t="str">
        <f t="shared" si="176"/>
        <v>Faltando Comprar</v>
      </c>
    </row>
    <row r="5664" spans="1:15" ht="45">
      <c r="A5664" s="46" t="s">
        <v>3259</v>
      </c>
      <c r="B5664" s="46" t="s">
        <v>3260</v>
      </c>
      <c r="C5664" s="17" t="s">
        <v>19</v>
      </c>
      <c r="D5664" s="47" t="s">
        <v>3270</v>
      </c>
      <c r="E5664" s="48">
        <v>50</v>
      </c>
      <c r="F5664" s="47" t="s">
        <v>38</v>
      </c>
      <c r="G5664" s="47" t="s">
        <v>39</v>
      </c>
      <c r="H5664" s="48" t="s">
        <v>23</v>
      </c>
      <c r="I5664" s="49">
        <v>1.41</v>
      </c>
      <c r="J5664" s="50">
        <v>70.5</v>
      </c>
      <c r="K5664" s="106"/>
      <c r="L5664" s="114"/>
      <c r="M5664" s="114">
        <f>tblAquisições[[#This Row],[VALOR UNITARIO COMPRADO]]*tblAquisições[[#This Row],[QUANTIDADE COMPRADA]]</f>
        <v>0</v>
      </c>
      <c r="N5664" s="110">
        <f>K5664-tblAquisições[[#This Row],[QUANTIDADE PLANEJADA]]</f>
        <v>-50</v>
      </c>
      <c r="O5664" s="106" t="str">
        <f t="shared" si="176"/>
        <v>Faltando Comprar</v>
      </c>
    </row>
    <row r="5665" spans="1:15" ht="60">
      <c r="A5665" s="46" t="s">
        <v>3259</v>
      </c>
      <c r="B5665" s="46" t="s">
        <v>3259</v>
      </c>
      <c r="C5665" s="17" t="s">
        <v>19</v>
      </c>
      <c r="D5665" s="47" t="s">
        <v>3271</v>
      </c>
      <c r="E5665" s="48">
        <v>2</v>
      </c>
      <c r="F5665" s="47" t="s">
        <v>3272</v>
      </c>
      <c r="G5665" s="47" t="s">
        <v>39</v>
      </c>
      <c r="H5665" s="48" t="s">
        <v>23</v>
      </c>
      <c r="I5665" s="49">
        <v>2907.86</v>
      </c>
      <c r="J5665" s="50">
        <v>5815.72</v>
      </c>
      <c r="K5665" s="106"/>
      <c r="L5665" s="114"/>
      <c r="M5665" s="114">
        <f>tblAquisições[[#This Row],[VALOR UNITARIO COMPRADO]]*tblAquisições[[#This Row],[QUANTIDADE COMPRADA]]</f>
        <v>0</v>
      </c>
      <c r="N5665" s="110">
        <f>K5665-tblAquisições[[#This Row],[QUANTIDADE PLANEJADA]]</f>
        <v>-2</v>
      </c>
      <c r="O5665" s="106" t="str">
        <f t="shared" si="176"/>
        <v>Faltando Comprar</v>
      </c>
    </row>
    <row r="5666" spans="1:15" ht="60">
      <c r="A5666" s="46" t="s">
        <v>3259</v>
      </c>
      <c r="B5666" s="46" t="s">
        <v>3263</v>
      </c>
      <c r="C5666" s="17" t="s">
        <v>19</v>
      </c>
      <c r="D5666" s="47" t="s">
        <v>3271</v>
      </c>
      <c r="E5666" s="48">
        <v>5</v>
      </c>
      <c r="F5666" s="47" t="s">
        <v>3272</v>
      </c>
      <c r="G5666" s="47" t="s">
        <v>39</v>
      </c>
      <c r="H5666" s="51"/>
      <c r="I5666" s="49">
        <v>2907.86</v>
      </c>
      <c r="J5666" s="50">
        <v>14539.300000000001</v>
      </c>
      <c r="K5666" s="106"/>
      <c r="L5666" s="114"/>
      <c r="M5666" s="114">
        <f>tblAquisições[[#This Row],[VALOR UNITARIO COMPRADO]]*tblAquisições[[#This Row],[QUANTIDADE COMPRADA]]</f>
        <v>0</v>
      </c>
      <c r="N5666" s="110">
        <f>K5666-tblAquisições[[#This Row],[QUANTIDADE PLANEJADA]]</f>
        <v>-5</v>
      </c>
      <c r="O5666" s="106" t="str">
        <f t="shared" si="176"/>
        <v>Faltando Comprar</v>
      </c>
    </row>
    <row r="5667" spans="1:15" ht="60">
      <c r="A5667" s="46" t="s">
        <v>3259</v>
      </c>
      <c r="B5667" s="46" t="s">
        <v>3267</v>
      </c>
      <c r="C5667" s="17" t="s">
        <v>19</v>
      </c>
      <c r="D5667" s="47" t="s">
        <v>3095</v>
      </c>
      <c r="E5667" s="48">
        <v>25</v>
      </c>
      <c r="F5667" s="47" t="s">
        <v>2678</v>
      </c>
      <c r="G5667" s="47" t="s">
        <v>775</v>
      </c>
      <c r="H5667" s="51"/>
      <c r="I5667" s="49">
        <v>530.87</v>
      </c>
      <c r="J5667" s="50">
        <v>13271.75</v>
      </c>
      <c r="K5667" s="106"/>
      <c r="L5667" s="114"/>
      <c r="M5667" s="114">
        <f>tblAquisições[[#This Row],[VALOR UNITARIO COMPRADO]]*tblAquisições[[#This Row],[QUANTIDADE COMPRADA]]</f>
        <v>0</v>
      </c>
      <c r="N5667" s="110">
        <f>K5667-tblAquisições[[#This Row],[QUANTIDADE PLANEJADA]]</f>
        <v>-25</v>
      </c>
      <c r="O5667" s="106" t="str">
        <f t="shared" si="176"/>
        <v>Faltando Comprar</v>
      </c>
    </row>
    <row r="5668" spans="1:15" ht="45">
      <c r="A5668" s="46" t="s">
        <v>3259</v>
      </c>
      <c r="B5668" s="46" t="s">
        <v>3259</v>
      </c>
      <c r="C5668" s="17" t="s">
        <v>19</v>
      </c>
      <c r="D5668" s="47" t="s">
        <v>3273</v>
      </c>
      <c r="E5668" s="48">
        <v>1</v>
      </c>
      <c r="F5668" s="47" t="s">
        <v>252</v>
      </c>
      <c r="G5668" s="47" t="s">
        <v>39</v>
      </c>
      <c r="H5668" s="48" t="s">
        <v>23</v>
      </c>
      <c r="I5668" s="49">
        <v>2632.58</v>
      </c>
      <c r="J5668" s="50">
        <v>2632.58</v>
      </c>
      <c r="K5668" s="106"/>
      <c r="L5668" s="114"/>
      <c r="M5668" s="114">
        <f>tblAquisições[[#This Row],[VALOR UNITARIO COMPRADO]]*tblAquisições[[#This Row],[QUANTIDADE COMPRADA]]</f>
        <v>0</v>
      </c>
      <c r="N5668" s="110">
        <f>K5668-tblAquisições[[#This Row],[QUANTIDADE PLANEJADA]]</f>
        <v>-1</v>
      </c>
      <c r="O5668" s="106" t="str">
        <f t="shared" si="176"/>
        <v>Faltando Comprar</v>
      </c>
    </row>
    <row r="5669" spans="1:15" ht="45">
      <c r="A5669" s="46" t="s">
        <v>3259</v>
      </c>
      <c r="B5669" s="46" t="s">
        <v>3263</v>
      </c>
      <c r="C5669" s="17" t="s">
        <v>19</v>
      </c>
      <c r="D5669" s="47" t="s">
        <v>3273</v>
      </c>
      <c r="E5669" s="48">
        <v>1</v>
      </c>
      <c r="F5669" s="47" t="s">
        <v>252</v>
      </c>
      <c r="G5669" s="47" t="s">
        <v>39</v>
      </c>
      <c r="H5669" s="51"/>
      <c r="I5669" s="49">
        <v>2632.58</v>
      </c>
      <c r="J5669" s="50">
        <v>2632.58</v>
      </c>
      <c r="K5669" s="106"/>
      <c r="L5669" s="114"/>
      <c r="M5669" s="114">
        <f>tblAquisições[[#This Row],[VALOR UNITARIO COMPRADO]]*tblAquisições[[#This Row],[QUANTIDADE COMPRADA]]</f>
        <v>0</v>
      </c>
      <c r="N5669" s="110">
        <f>K5669-tblAquisições[[#This Row],[QUANTIDADE PLANEJADA]]</f>
        <v>-1</v>
      </c>
      <c r="O5669" s="106" t="str">
        <f t="shared" si="176"/>
        <v>Faltando Comprar</v>
      </c>
    </row>
    <row r="5670" spans="1:15" ht="60">
      <c r="A5670" s="46" t="s">
        <v>3259</v>
      </c>
      <c r="B5670" s="46" t="s">
        <v>3259</v>
      </c>
      <c r="C5670" s="17" t="s">
        <v>19</v>
      </c>
      <c r="D5670" s="47" t="s">
        <v>3274</v>
      </c>
      <c r="E5670" s="48">
        <v>1</v>
      </c>
      <c r="F5670" s="47" t="s">
        <v>191</v>
      </c>
      <c r="G5670" s="47" t="s">
        <v>39</v>
      </c>
      <c r="H5670" s="48" t="s">
        <v>65</v>
      </c>
      <c r="I5670" s="52">
        <v>19.829999999999998</v>
      </c>
      <c r="J5670" s="50">
        <v>2.76</v>
      </c>
      <c r="K5670" s="106"/>
      <c r="L5670" s="114"/>
      <c r="M5670" s="114">
        <f>tblAquisições[[#This Row],[VALOR UNITARIO COMPRADO]]*tblAquisições[[#This Row],[QUANTIDADE COMPRADA]]</f>
        <v>0</v>
      </c>
      <c r="N5670" s="110">
        <f>K5670-tblAquisições[[#This Row],[QUANTIDADE PLANEJADA]]</f>
        <v>-1</v>
      </c>
      <c r="O5670" s="106" t="str">
        <f t="shared" si="176"/>
        <v>Faltando Comprar</v>
      </c>
    </row>
    <row r="5671" spans="1:15" ht="45">
      <c r="A5671" s="46" t="s">
        <v>3259</v>
      </c>
      <c r="B5671" s="46" t="s">
        <v>3260</v>
      </c>
      <c r="C5671" s="17" t="s">
        <v>19</v>
      </c>
      <c r="D5671" s="47" t="s">
        <v>3275</v>
      </c>
      <c r="E5671" s="48">
        <v>5</v>
      </c>
      <c r="F5671" s="47" t="s">
        <v>147</v>
      </c>
      <c r="G5671" s="47" t="s">
        <v>39</v>
      </c>
      <c r="H5671" s="48" t="s">
        <v>23</v>
      </c>
      <c r="I5671" s="49">
        <v>293.49</v>
      </c>
      <c r="J5671" s="50">
        <v>1467.45</v>
      </c>
      <c r="K5671" s="106"/>
      <c r="L5671" s="114"/>
      <c r="M5671" s="114">
        <f>tblAquisições[[#This Row],[VALOR UNITARIO COMPRADO]]*tblAquisições[[#This Row],[QUANTIDADE COMPRADA]]</f>
        <v>0</v>
      </c>
      <c r="N5671" s="110">
        <f>K5671-tblAquisições[[#This Row],[QUANTIDADE PLANEJADA]]</f>
        <v>-5</v>
      </c>
      <c r="O5671" s="106" t="str">
        <f t="shared" si="176"/>
        <v>Faltando Comprar</v>
      </c>
    </row>
    <row r="5672" spans="1:15" ht="45">
      <c r="A5672" s="46" t="s">
        <v>3259</v>
      </c>
      <c r="B5672" s="46" t="s">
        <v>3259</v>
      </c>
      <c r="C5672" s="17" t="s">
        <v>19</v>
      </c>
      <c r="D5672" s="47" t="s">
        <v>3276</v>
      </c>
      <c r="E5672" s="48">
        <v>10</v>
      </c>
      <c r="F5672" s="47" t="s">
        <v>38</v>
      </c>
      <c r="G5672" s="47" t="s">
        <v>39</v>
      </c>
      <c r="H5672" s="48" t="s">
        <v>23</v>
      </c>
      <c r="I5672" s="49">
        <v>25.21</v>
      </c>
      <c r="J5672" s="50">
        <v>252.10000000000002</v>
      </c>
      <c r="K5672" s="106"/>
      <c r="L5672" s="114"/>
      <c r="M5672" s="114">
        <f>tblAquisições[[#This Row],[VALOR UNITARIO COMPRADO]]*tblAquisições[[#This Row],[QUANTIDADE COMPRADA]]</f>
        <v>0</v>
      </c>
      <c r="N5672" s="110">
        <f>K5672-tblAquisições[[#This Row],[QUANTIDADE PLANEJADA]]</f>
        <v>-10</v>
      </c>
      <c r="O5672" s="106" t="str">
        <f t="shared" si="176"/>
        <v>Faltando Comprar</v>
      </c>
    </row>
    <row r="5673" spans="1:15" ht="45">
      <c r="A5673" s="46" t="s">
        <v>3259</v>
      </c>
      <c r="B5673" s="46" t="s">
        <v>3263</v>
      </c>
      <c r="C5673" s="17" t="s">
        <v>19</v>
      </c>
      <c r="D5673" s="47" t="s">
        <v>3276</v>
      </c>
      <c r="E5673" s="48">
        <v>20</v>
      </c>
      <c r="F5673" s="47" t="s">
        <v>38</v>
      </c>
      <c r="G5673" s="47" t="s">
        <v>39</v>
      </c>
      <c r="H5673" s="51"/>
      <c r="I5673" s="49">
        <v>25.21</v>
      </c>
      <c r="J5673" s="50">
        <v>504.20000000000005</v>
      </c>
      <c r="K5673" s="106"/>
      <c r="L5673" s="114"/>
      <c r="M5673" s="114">
        <f>tblAquisições[[#This Row],[VALOR UNITARIO COMPRADO]]*tblAquisições[[#This Row],[QUANTIDADE COMPRADA]]</f>
        <v>0</v>
      </c>
      <c r="N5673" s="110">
        <f>K5673-tblAquisições[[#This Row],[QUANTIDADE PLANEJADA]]</f>
        <v>-20</v>
      </c>
      <c r="O5673" s="106" t="str">
        <f t="shared" si="176"/>
        <v>Faltando Comprar</v>
      </c>
    </row>
    <row r="5674" spans="1:15" ht="60">
      <c r="A5674" s="46" t="s">
        <v>3259</v>
      </c>
      <c r="B5674" s="46" t="s">
        <v>3267</v>
      </c>
      <c r="C5674" s="17" t="s">
        <v>19</v>
      </c>
      <c r="D5674" s="47" t="s">
        <v>3277</v>
      </c>
      <c r="E5674" s="48">
        <v>3</v>
      </c>
      <c r="F5674" s="47" t="s">
        <v>2678</v>
      </c>
      <c r="G5674" s="47" t="s">
        <v>775</v>
      </c>
      <c r="H5674" s="48" t="s">
        <v>23</v>
      </c>
      <c r="I5674" s="49">
        <v>159</v>
      </c>
      <c r="J5674" s="50">
        <v>477</v>
      </c>
      <c r="K5674" s="106"/>
      <c r="L5674" s="114"/>
      <c r="M5674" s="114">
        <f>tblAquisições[[#This Row],[VALOR UNITARIO COMPRADO]]*tblAquisições[[#This Row],[QUANTIDADE COMPRADA]]</f>
        <v>0</v>
      </c>
      <c r="N5674" s="110">
        <f>K5674-tblAquisições[[#This Row],[QUANTIDADE PLANEJADA]]</f>
        <v>-3</v>
      </c>
      <c r="O5674" s="106" t="str">
        <f t="shared" si="176"/>
        <v>Faltando Comprar</v>
      </c>
    </row>
    <row r="5675" spans="1:15" ht="60">
      <c r="A5675" s="46" t="s">
        <v>3259</v>
      </c>
      <c r="B5675" s="46" t="s">
        <v>3260</v>
      </c>
      <c r="C5675" s="17" t="s">
        <v>19</v>
      </c>
      <c r="D5675" s="47" t="s">
        <v>3278</v>
      </c>
      <c r="E5675" s="48">
        <v>5</v>
      </c>
      <c r="F5675" s="47" t="s">
        <v>217</v>
      </c>
      <c r="G5675" s="47" t="s">
        <v>39</v>
      </c>
      <c r="H5675" s="48" t="s">
        <v>23</v>
      </c>
      <c r="I5675" s="49">
        <v>35.83</v>
      </c>
      <c r="J5675" s="50">
        <v>179.14999999999998</v>
      </c>
      <c r="K5675" s="106"/>
      <c r="L5675" s="114"/>
      <c r="M5675" s="114">
        <f>tblAquisições[[#This Row],[VALOR UNITARIO COMPRADO]]*tblAquisições[[#This Row],[QUANTIDADE COMPRADA]]</f>
        <v>0</v>
      </c>
      <c r="N5675" s="110">
        <f>K5675-tblAquisições[[#This Row],[QUANTIDADE PLANEJADA]]</f>
        <v>-5</v>
      </c>
      <c r="O5675" s="106" t="str">
        <f t="shared" si="176"/>
        <v>Faltando Comprar</v>
      </c>
    </row>
    <row r="5676" spans="1:15" ht="45">
      <c r="A5676" s="46" t="s">
        <v>3259</v>
      </c>
      <c r="B5676" s="46" t="s">
        <v>3260</v>
      </c>
      <c r="C5676" s="17" t="s">
        <v>19</v>
      </c>
      <c r="D5676" s="47" t="s">
        <v>3279</v>
      </c>
      <c r="E5676" s="48">
        <v>100</v>
      </c>
      <c r="F5676" s="47" t="s">
        <v>38</v>
      </c>
      <c r="G5676" s="47" t="s">
        <v>39</v>
      </c>
      <c r="H5676" s="48" t="s">
        <v>23</v>
      </c>
      <c r="I5676" s="49">
        <v>1.73</v>
      </c>
      <c r="J5676" s="50">
        <v>173</v>
      </c>
      <c r="K5676" s="106"/>
      <c r="L5676" s="114"/>
      <c r="M5676" s="114">
        <f>tblAquisições[[#This Row],[VALOR UNITARIO COMPRADO]]*tblAquisições[[#This Row],[QUANTIDADE COMPRADA]]</f>
        <v>0</v>
      </c>
      <c r="N5676" s="110">
        <f>K5676-tblAquisições[[#This Row],[QUANTIDADE PLANEJADA]]</f>
        <v>-100</v>
      </c>
      <c r="O5676" s="106" t="str">
        <f t="shared" si="176"/>
        <v>Faltando Comprar</v>
      </c>
    </row>
    <row r="5677" spans="1:15" ht="45">
      <c r="A5677" s="46" t="s">
        <v>3259</v>
      </c>
      <c r="B5677" s="46" t="s">
        <v>3259</v>
      </c>
      <c r="C5677" s="17" t="s">
        <v>19</v>
      </c>
      <c r="D5677" s="47" t="s">
        <v>3280</v>
      </c>
      <c r="E5677" s="48">
        <v>5</v>
      </c>
      <c r="F5677" s="47" t="s">
        <v>147</v>
      </c>
      <c r="G5677" s="47" t="s">
        <v>39</v>
      </c>
      <c r="H5677" s="48" t="s">
        <v>23</v>
      </c>
      <c r="I5677" s="49">
        <v>37.74</v>
      </c>
      <c r="J5677" s="50">
        <v>188.70000000000002</v>
      </c>
      <c r="K5677" s="106"/>
      <c r="L5677" s="114"/>
      <c r="M5677" s="114">
        <f>tblAquisições[[#This Row],[VALOR UNITARIO COMPRADO]]*tblAquisições[[#This Row],[QUANTIDADE COMPRADA]]</f>
        <v>0</v>
      </c>
      <c r="N5677" s="110">
        <f>K5677-tblAquisições[[#This Row],[QUANTIDADE PLANEJADA]]</f>
        <v>-5</v>
      </c>
      <c r="O5677" s="106" t="str">
        <f t="shared" si="176"/>
        <v>Faltando Comprar</v>
      </c>
    </row>
    <row r="5678" spans="1:15" ht="45">
      <c r="A5678" s="46" t="s">
        <v>3259</v>
      </c>
      <c r="B5678" s="46" t="s">
        <v>3263</v>
      </c>
      <c r="C5678" s="17" t="s">
        <v>19</v>
      </c>
      <c r="D5678" s="47" t="s">
        <v>3280</v>
      </c>
      <c r="E5678" s="48">
        <v>10</v>
      </c>
      <c r="F5678" s="47" t="s">
        <v>147</v>
      </c>
      <c r="G5678" s="47" t="s">
        <v>39</v>
      </c>
      <c r="H5678" s="51"/>
      <c r="I5678" s="49">
        <v>37.74</v>
      </c>
      <c r="J5678" s="50">
        <v>377.40000000000003</v>
      </c>
      <c r="K5678" s="106"/>
      <c r="L5678" s="114"/>
      <c r="M5678" s="114">
        <f>tblAquisições[[#This Row],[VALOR UNITARIO COMPRADO]]*tblAquisições[[#This Row],[QUANTIDADE COMPRADA]]</f>
        <v>0</v>
      </c>
      <c r="N5678" s="110">
        <f>K5678-tblAquisições[[#This Row],[QUANTIDADE PLANEJADA]]</f>
        <v>-10</v>
      </c>
      <c r="O5678" s="106" t="str">
        <f t="shared" si="176"/>
        <v>Faltando Comprar</v>
      </c>
    </row>
    <row r="5679" spans="1:15" ht="45">
      <c r="A5679" s="46" t="s">
        <v>3259</v>
      </c>
      <c r="B5679" s="46" t="s">
        <v>3260</v>
      </c>
      <c r="C5679" s="17" t="s">
        <v>19</v>
      </c>
      <c r="D5679" s="47" t="s">
        <v>329</v>
      </c>
      <c r="E5679" s="48">
        <v>10</v>
      </c>
      <c r="F5679" s="47" t="s">
        <v>38</v>
      </c>
      <c r="G5679" s="47" t="s">
        <v>39</v>
      </c>
      <c r="H5679" s="48" t="s">
        <v>23</v>
      </c>
      <c r="I5679" s="49">
        <v>41.29</v>
      </c>
      <c r="J5679" s="50">
        <v>412.9</v>
      </c>
      <c r="K5679" s="106"/>
      <c r="L5679" s="114"/>
      <c r="M5679" s="114">
        <f>tblAquisições[[#This Row],[VALOR UNITARIO COMPRADO]]*tblAquisições[[#This Row],[QUANTIDADE COMPRADA]]</f>
        <v>0</v>
      </c>
      <c r="N5679" s="110">
        <f>K5679-tblAquisições[[#This Row],[QUANTIDADE PLANEJADA]]</f>
        <v>-10</v>
      </c>
      <c r="O5679" s="106" t="str">
        <f t="shared" si="176"/>
        <v>Faltando Comprar</v>
      </c>
    </row>
    <row r="5680" spans="1:15" ht="45">
      <c r="A5680" s="46" t="s">
        <v>3259</v>
      </c>
      <c r="B5680" s="46" t="s">
        <v>3259</v>
      </c>
      <c r="C5680" s="17" t="s">
        <v>19</v>
      </c>
      <c r="D5680" s="47" t="s">
        <v>331</v>
      </c>
      <c r="E5680" s="48">
        <v>10</v>
      </c>
      <c r="F5680" s="47" t="s">
        <v>147</v>
      </c>
      <c r="G5680" s="47" t="s">
        <v>39</v>
      </c>
      <c r="H5680" s="48" t="s">
        <v>23</v>
      </c>
      <c r="I5680" s="49">
        <v>9.5</v>
      </c>
      <c r="J5680" s="50">
        <v>95</v>
      </c>
      <c r="K5680" s="106"/>
      <c r="L5680" s="114"/>
      <c r="M5680" s="114">
        <f>tblAquisições[[#This Row],[VALOR UNITARIO COMPRADO]]*tblAquisições[[#This Row],[QUANTIDADE COMPRADA]]</f>
        <v>0</v>
      </c>
      <c r="N5680" s="110">
        <f>K5680-tblAquisições[[#This Row],[QUANTIDADE PLANEJADA]]</f>
        <v>-10</v>
      </c>
      <c r="O5680" s="106" t="str">
        <f t="shared" si="176"/>
        <v>Faltando Comprar</v>
      </c>
    </row>
    <row r="5681" spans="1:15" ht="45">
      <c r="A5681" s="46" t="s">
        <v>3259</v>
      </c>
      <c r="B5681" s="46" t="s">
        <v>3263</v>
      </c>
      <c r="C5681" s="17" t="s">
        <v>19</v>
      </c>
      <c r="D5681" s="47" t="s">
        <v>331</v>
      </c>
      <c r="E5681" s="48">
        <v>50</v>
      </c>
      <c r="F5681" s="47" t="s">
        <v>147</v>
      </c>
      <c r="G5681" s="47" t="s">
        <v>39</v>
      </c>
      <c r="H5681" s="51"/>
      <c r="I5681" s="49">
        <v>9.5</v>
      </c>
      <c r="J5681" s="50">
        <v>475</v>
      </c>
      <c r="K5681" s="106"/>
      <c r="L5681" s="114"/>
      <c r="M5681" s="114">
        <f>tblAquisições[[#This Row],[VALOR UNITARIO COMPRADO]]*tblAquisições[[#This Row],[QUANTIDADE COMPRADA]]</f>
        <v>0</v>
      </c>
      <c r="N5681" s="110">
        <f>K5681-tblAquisições[[#This Row],[QUANTIDADE PLANEJADA]]</f>
        <v>-50</v>
      </c>
      <c r="O5681" s="106" t="str">
        <f t="shared" si="176"/>
        <v>Faltando Comprar</v>
      </c>
    </row>
    <row r="5682" spans="1:15" ht="45">
      <c r="A5682" s="46" t="s">
        <v>3259</v>
      </c>
      <c r="B5682" s="46" t="s">
        <v>3267</v>
      </c>
      <c r="C5682" s="17" t="s">
        <v>19</v>
      </c>
      <c r="D5682" s="47" t="s">
        <v>2747</v>
      </c>
      <c r="E5682" s="48">
        <v>25</v>
      </c>
      <c r="F5682" s="47" t="s">
        <v>56</v>
      </c>
      <c r="G5682" s="47" t="s">
        <v>39</v>
      </c>
      <c r="H5682" s="51"/>
      <c r="I5682" s="49">
        <v>36.590000000000003</v>
      </c>
      <c r="J5682" s="50">
        <v>914.75000000000011</v>
      </c>
      <c r="K5682" s="106"/>
      <c r="L5682" s="114"/>
      <c r="M5682" s="114">
        <f>tblAquisições[[#This Row],[VALOR UNITARIO COMPRADO]]*tblAquisições[[#This Row],[QUANTIDADE COMPRADA]]</f>
        <v>0</v>
      </c>
      <c r="N5682" s="110">
        <f>K5682-tblAquisições[[#This Row],[QUANTIDADE PLANEJADA]]</f>
        <v>-25</v>
      </c>
      <c r="O5682" s="106" t="str">
        <f t="shared" si="176"/>
        <v>Faltando Comprar</v>
      </c>
    </row>
    <row r="5683" spans="1:15" ht="45">
      <c r="A5683" s="46" t="s">
        <v>3259</v>
      </c>
      <c r="B5683" s="46" t="s">
        <v>3260</v>
      </c>
      <c r="C5683" s="17" t="s">
        <v>19</v>
      </c>
      <c r="D5683" s="47" t="s">
        <v>340</v>
      </c>
      <c r="E5683" s="48">
        <v>120</v>
      </c>
      <c r="F5683" s="47" t="s">
        <v>38</v>
      </c>
      <c r="G5683" s="47" t="s">
        <v>39</v>
      </c>
      <c r="H5683" s="48" t="s">
        <v>23</v>
      </c>
      <c r="I5683" s="49">
        <v>6.83</v>
      </c>
      <c r="J5683" s="50">
        <v>819.6</v>
      </c>
      <c r="K5683" s="106"/>
      <c r="L5683" s="114"/>
      <c r="M5683" s="114">
        <f>tblAquisições[[#This Row],[VALOR UNITARIO COMPRADO]]*tblAquisições[[#This Row],[QUANTIDADE COMPRADA]]</f>
        <v>0</v>
      </c>
      <c r="N5683" s="110">
        <f>K5683-tblAquisições[[#This Row],[QUANTIDADE PLANEJADA]]</f>
        <v>-120</v>
      </c>
      <c r="O5683" s="106" t="str">
        <f t="shared" si="176"/>
        <v>Faltando Comprar</v>
      </c>
    </row>
    <row r="5684" spans="1:15" ht="75">
      <c r="A5684" s="46" t="s">
        <v>3259</v>
      </c>
      <c r="B5684" s="46" t="s">
        <v>3259</v>
      </c>
      <c r="C5684" s="17" t="s">
        <v>19</v>
      </c>
      <c r="D5684" s="47" t="s">
        <v>3281</v>
      </c>
      <c r="E5684" s="48">
        <v>1</v>
      </c>
      <c r="F5684" s="47" t="s">
        <v>2742</v>
      </c>
      <c r="G5684" s="47" t="s">
        <v>39</v>
      </c>
      <c r="H5684" s="48" t="s">
        <v>65</v>
      </c>
      <c r="I5684" s="52">
        <v>112</v>
      </c>
      <c r="J5684" s="50">
        <v>8.0299999999999994</v>
      </c>
      <c r="K5684" s="106"/>
      <c r="L5684" s="114"/>
      <c r="M5684" s="114">
        <f>tblAquisições[[#This Row],[VALOR UNITARIO COMPRADO]]*tblAquisições[[#This Row],[QUANTIDADE COMPRADA]]</f>
        <v>0</v>
      </c>
      <c r="N5684" s="110">
        <f>K5684-tblAquisições[[#This Row],[QUANTIDADE PLANEJADA]]</f>
        <v>-1</v>
      </c>
      <c r="O5684" s="106" t="str">
        <f t="shared" si="176"/>
        <v>Faltando Comprar</v>
      </c>
    </row>
    <row r="5685" spans="1:15" ht="75">
      <c r="A5685" s="46" t="s">
        <v>3259</v>
      </c>
      <c r="B5685" s="46" t="s">
        <v>3263</v>
      </c>
      <c r="C5685" s="17" t="s">
        <v>19</v>
      </c>
      <c r="D5685" s="47" t="s">
        <v>3281</v>
      </c>
      <c r="E5685" s="48">
        <v>30</v>
      </c>
      <c r="F5685" s="47" t="s">
        <v>2742</v>
      </c>
      <c r="G5685" s="47" t="s">
        <v>39</v>
      </c>
      <c r="H5685" s="51"/>
      <c r="I5685" s="49">
        <v>8.0299999999999994</v>
      </c>
      <c r="J5685" s="50">
        <v>240.89999999999998</v>
      </c>
      <c r="K5685" s="106"/>
      <c r="L5685" s="114"/>
      <c r="M5685" s="114">
        <f>tblAquisições[[#This Row],[VALOR UNITARIO COMPRADO]]*tblAquisições[[#This Row],[QUANTIDADE COMPRADA]]</f>
        <v>0</v>
      </c>
      <c r="N5685" s="110">
        <f>K5685-tblAquisições[[#This Row],[QUANTIDADE PLANEJADA]]</f>
        <v>-30</v>
      </c>
      <c r="O5685" s="106" t="str">
        <f t="shared" si="176"/>
        <v>Faltando Comprar</v>
      </c>
    </row>
    <row r="5686" spans="1:15" ht="45">
      <c r="A5686" s="46" t="s">
        <v>3259</v>
      </c>
      <c r="B5686" s="46" t="s">
        <v>3259</v>
      </c>
      <c r="C5686" s="17" t="s">
        <v>19</v>
      </c>
      <c r="D5686" s="47" t="s">
        <v>3282</v>
      </c>
      <c r="E5686" s="48">
        <v>2</v>
      </c>
      <c r="F5686" s="47" t="s">
        <v>147</v>
      </c>
      <c r="G5686" s="47" t="s">
        <v>39</v>
      </c>
      <c r="H5686" s="48" t="s">
        <v>23</v>
      </c>
      <c r="I5686" s="49">
        <v>9.41</v>
      </c>
      <c r="J5686" s="50">
        <v>18.82</v>
      </c>
      <c r="K5686" s="106"/>
      <c r="L5686" s="114"/>
      <c r="M5686" s="114">
        <f>tblAquisições[[#This Row],[VALOR UNITARIO COMPRADO]]*tblAquisições[[#This Row],[QUANTIDADE COMPRADA]]</f>
        <v>0</v>
      </c>
      <c r="N5686" s="110">
        <f>K5686-tblAquisições[[#This Row],[QUANTIDADE PLANEJADA]]</f>
        <v>-2</v>
      </c>
      <c r="O5686" s="106" t="str">
        <f t="shared" si="176"/>
        <v>Faltando Comprar</v>
      </c>
    </row>
    <row r="5687" spans="1:15" ht="60">
      <c r="A5687" s="46" t="s">
        <v>3259</v>
      </c>
      <c r="B5687" s="46" t="s">
        <v>3259</v>
      </c>
      <c r="C5687" s="17" t="s">
        <v>19</v>
      </c>
      <c r="D5687" s="47" t="s">
        <v>3283</v>
      </c>
      <c r="E5687" s="48">
        <v>100</v>
      </c>
      <c r="F5687" s="47" t="s">
        <v>96</v>
      </c>
      <c r="G5687" s="47" t="s">
        <v>39</v>
      </c>
      <c r="H5687" s="48" t="s">
        <v>23</v>
      </c>
      <c r="I5687" s="49">
        <v>39.549999999999997</v>
      </c>
      <c r="J5687" s="50">
        <v>3954.9999999999995</v>
      </c>
      <c r="K5687" s="106"/>
      <c r="L5687" s="114"/>
      <c r="M5687" s="114">
        <f>tblAquisições[[#This Row],[VALOR UNITARIO COMPRADO]]*tblAquisições[[#This Row],[QUANTIDADE COMPRADA]]</f>
        <v>0</v>
      </c>
      <c r="N5687" s="110">
        <f>K5687-tblAquisições[[#This Row],[QUANTIDADE PLANEJADA]]</f>
        <v>-100</v>
      </c>
      <c r="O5687" s="106" t="str">
        <f t="shared" si="176"/>
        <v>Faltando Comprar</v>
      </c>
    </row>
    <row r="5688" spans="1:15" ht="60">
      <c r="A5688" s="46" t="s">
        <v>3259</v>
      </c>
      <c r="B5688" s="46" t="s">
        <v>3263</v>
      </c>
      <c r="C5688" s="17" t="s">
        <v>19</v>
      </c>
      <c r="D5688" s="47" t="s">
        <v>3283</v>
      </c>
      <c r="E5688" s="48">
        <v>100</v>
      </c>
      <c r="F5688" s="47" t="s">
        <v>96</v>
      </c>
      <c r="G5688" s="47" t="s">
        <v>39</v>
      </c>
      <c r="H5688" s="51"/>
      <c r="I5688" s="49">
        <v>39.549999999999997</v>
      </c>
      <c r="J5688" s="50">
        <v>3954.9999999999995</v>
      </c>
      <c r="K5688" s="106"/>
      <c r="L5688" s="114"/>
      <c r="M5688" s="114">
        <f>tblAquisições[[#This Row],[VALOR UNITARIO COMPRADO]]*tblAquisições[[#This Row],[QUANTIDADE COMPRADA]]</f>
        <v>0</v>
      </c>
      <c r="N5688" s="110">
        <f>K5688-tblAquisições[[#This Row],[QUANTIDADE PLANEJADA]]</f>
        <v>-100</v>
      </c>
      <c r="O5688" s="106" t="str">
        <f t="shared" si="176"/>
        <v>Faltando Comprar</v>
      </c>
    </row>
    <row r="5689" spans="1:15" ht="60">
      <c r="A5689" s="46" t="s">
        <v>3259</v>
      </c>
      <c r="B5689" s="46" t="s">
        <v>3259</v>
      </c>
      <c r="C5689" s="17" t="s">
        <v>19</v>
      </c>
      <c r="D5689" s="47" t="s">
        <v>3284</v>
      </c>
      <c r="E5689" s="48">
        <v>4</v>
      </c>
      <c r="F5689" s="47" t="s">
        <v>191</v>
      </c>
      <c r="G5689" s="47" t="s">
        <v>39</v>
      </c>
      <c r="H5689" s="48" t="s">
        <v>23</v>
      </c>
      <c r="I5689" s="49">
        <v>22.3</v>
      </c>
      <c r="J5689" s="50">
        <v>89.2</v>
      </c>
      <c r="K5689" s="106"/>
      <c r="L5689" s="114"/>
      <c r="M5689" s="114">
        <f>tblAquisições[[#This Row],[VALOR UNITARIO COMPRADO]]*tblAquisições[[#This Row],[QUANTIDADE COMPRADA]]</f>
        <v>0</v>
      </c>
      <c r="N5689" s="110">
        <f>K5689-tblAquisições[[#This Row],[QUANTIDADE PLANEJADA]]</f>
        <v>-4</v>
      </c>
      <c r="O5689" s="106" t="str">
        <f t="shared" si="176"/>
        <v>Faltando Comprar</v>
      </c>
    </row>
    <row r="5690" spans="1:15" ht="60">
      <c r="A5690" s="46" t="s">
        <v>3259</v>
      </c>
      <c r="B5690" s="46" t="s">
        <v>3263</v>
      </c>
      <c r="C5690" s="17" t="s">
        <v>19</v>
      </c>
      <c r="D5690" s="47" t="s">
        <v>3284</v>
      </c>
      <c r="E5690" s="48">
        <v>5</v>
      </c>
      <c r="F5690" s="47" t="s">
        <v>191</v>
      </c>
      <c r="G5690" s="47" t="s">
        <v>39</v>
      </c>
      <c r="H5690" s="51"/>
      <c r="I5690" s="49">
        <v>22.3</v>
      </c>
      <c r="J5690" s="50">
        <v>111.5</v>
      </c>
      <c r="K5690" s="106"/>
      <c r="L5690" s="114"/>
      <c r="M5690" s="114">
        <f>tblAquisições[[#This Row],[VALOR UNITARIO COMPRADO]]*tblAquisições[[#This Row],[QUANTIDADE COMPRADA]]</f>
        <v>0</v>
      </c>
      <c r="N5690" s="110">
        <f>K5690-tblAquisições[[#This Row],[QUANTIDADE PLANEJADA]]</f>
        <v>-5</v>
      </c>
      <c r="O5690" s="106" t="str">
        <f t="shared" si="176"/>
        <v>Faltando Comprar</v>
      </c>
    </row>
    <row r="5691" spans="1:15" ht="60">
      <c r="A5691" s="46" t="s">
        <v>3259</v>
      </c>
      <c r="B5691" s="46" t="s">
        <v>3259</v>
      </c>
      <c r="C5691" s="17" t="s">
        <v>19</v>
      </c>
      <c r="D5691" s="47" t="s">
        <v>2753</v>
      </c>
      <c r="E5691" s="48">
        <v>2</v>
      </c>
      <c r="F5691" s="47" t="s">
        <v>96</v>
      </c>
      <c r="G5691" s="47" t="s">
        <v>39</v>
      </c>
      <c r="H5691" s="48" t="s">
        <v>65</v>
      </c>
      <c r="I5691" s="52">
        <v>78.13</v>
      </c>
      <c r="J5691" s="50">
        <v>6.56</v>
      </c>
      <c r="K5691" s="106"/>
      <c r="L5691" s="114"/>
      <c r="M5691" s="114">
        <f>tblAquisições[[#This Row],[VALOR UNITARIO COMPRADO]]*tblAquisições[[#This Row],[QUANTIDADE COMPRADA]]</f>
        <v>0</v>
      </c>
      <c r="N5691" s="110">
        <f>K5691-tblAquisições[[#This Row],[QUANTIDADE PLANEJADA]]</f>
        <v>-2</v>
      </c>
      <c r="O5691" s="106" t="str">
        <f t="shared" si="176"/>
        <v>Faltando Comprar</v>
      </c>
    </row>
    <row r="5692" spans="1:15" ht="60">
      <c r="A5692" s="46" t="s">
        <v>3259</v>
      </c>
      <c r="B5692" s="46" t="s">
        <v>3263</v>
      </c>
      <c r="C5692" s="17" t="s">
        <v>19</v>
      </c>
      <c r="D5692" s="47" t="s">
        <v>2753</v>
      </c>
      <c r="E5692" s="48">
        <v>30</v>
      </c>
      <c r="F5692" s="47" t="s">
        <v>96</v>
      </c>
      <c r="G5692" s="47" t="s">
        <v>39</v>
      </c>
      <c r="H5692" s="51"/>
      <c r="I5692" s="49">
        <v>3.28</v>
      </c>
      <c r="J5692" s="50">
        <v>98.399999999999991</v>
      </c>
      <c r="K5692" s="106"/>
      <c r="L5692" s="114"/>
      <c r="M5692" s="114">
        <f>tblAquisições[[#This Row],[VALOR UNITARIO COMPRADO]]*tblAquisições[[#This Row],[QUANTIDADE COMPRADA]]</f>
        <v>0</v>
      </c>
      <c r="N5692" s="110">
        <f>K5692-tblAquisições[[#This Row],[QUANTIDADE PLANEJADA]]</f>
        <v>-30</v>
      </c>
      <c r="O5692" s="106" t="str">
        <f t="shared" si="176"/>
        <v>Faltando Comprar</v>
      </c>
    </row>
    <row r="5693" spans="1:15" ht="45">
      <c r="A5693" s="46" t="s">
        <v>3259</v>
      </c>
      <c r="B5693" s="46" t="s">
        <v>3259</v>
      </c>
      <c r="C5693" s="17" t="s">
        <v>19</v>
      </c>
      <c r="D5693" s="47" t="s">
        <v>397</v>
      </c>
      <c r="E5693" s="48">
        <v>10</v>
      </c>
      <c r="F5693" s="47" t="s">
        <v>38</v>
      </c>
      <c r="G5693" s="47" t="s">
        <v>39</v>
      </c>
      <c r="H5693" s="48" t="s">
        <v>100</v>
      </c>
      <c r="I5693" s="49">
        <v>8.85</v>
      </c>
      <c r="J5693" s="50">
        <v>88.5</v>
      </c>
      <c r="K5693" s="106"/>
      <c r="L5693" s="114"/>
      <c r="M5693" s="114">
        <f>tblAquisições[[#This Row],[VALOR UNITARIO COMPRADO]]*tblAquisições[[#This Row],[QUANTIDADE COMPRADA]]</f>
        <v>0</v>
      </c>
      <c r="N5693" s="110">
        <f>K5693-tblAquisições[[#This Row],[QUANTIDADE PLANEJADA]]</f>
        <v>-10</v>
      </c>
      <c r="O5693" s="106" t="str">
        <f t="shared" si="176"/>
        <v>Faltando Comprar</v>
      </c>
    </row>
    <row r="5694" spans="1:15" ht="45">
      <c r="A5694" s="46" t="s">
        <v>3259</v>
      </c>
      <c r="B5694" s="46" t="s">
        <v>3263</v>
      </c>
      <c r="C5694" s="17" t="s">
        <v>19</v>
      </c>
      <c r="D5694" s="47" t="s">
        <v>397</v>
      </c>
      <c r="E5694" s="48">
        <v>50</v>
      </c>
      <c r="F5694" s="47" t="s">
        <v>38</v>
      </c>
      <c r="G5694" s="47" t="s">
        <v>39</v>
      </c>
      <c r="H5694" s="51"/>
      <c r="I5694" s="49">
        <v>8.85</v>
      </c>
      <c r="J5694" s="50">
        <v>442.5</v>
      </c>
      <c r="K5694" s="106"/>
      <c r="L5694" s="114"/>
      <c r="M5694" s="114">
        <f>tblAquisições[[#This Row],[VALOR UNITARIO COMPRADO]]*tblAquisições[[#This Row],[QUANTIDADE COMPRADA]]</f>
        <v>0</v>
      </c>
      <c r="N5694" s="110">
        <f>K5694-tblAquisições[[#This Row],[QUANTIDADE PLANEJADA]]</f>
        <v>-50</v>
      </c>
      <c r="O5694" s="106" t="str">
        <f t="shared" si="176"/>
        <v>Faltando Comprar</v>
      </c>
    </row>
    <row r="5695" spans="1:15" ht="45">
      <c r="A5695" s="46" t="s">
        <v>3259</v>
      </c>
      <c r="B5695" s="46" t="s">
        <v>3260</v>
      </c>
      <c r="C5695" s="17" t="s">
        <v>19</v>
      </c>
      <c r="D5695" s="47" t="s">
        <v>414</v>
      </c>
      <c r="E5695" s="48">
        <v>4</v>
      </c>
      <c r="F5695" s="47" t="s">
        <v>147</v>
      </c>
      <c r="G5695" s="47" t="s">
        <v>39</v>
      </c>
      <c r="H5695" s="48" t="s">
        <v>23</v>
      </c>
      <c r="I5695" s="49">
        <v>16.940000000000001</v>
      </c>
      <c r="J5695" s="50">
        <v>67.760000000000005</v>
      </c>
      <c r="K5695" s="106"/>
      <c r="L5695" s="114"/>
      <c r="M5695" s="114">
        <f>tblAquisições[[#This Row],[VALOR UNITARIO COMPRADO]]*tblAquisições[[#This Row],[QUANTIDADE COMPRADA]]</f>
        <v>0</v>
      </c>
      <c r="N5695" s="110">
        <f>K5695-tblAquisições[[#This Row],[QUANTIDADE PLANEJADA]]</f>
        <v>-4</v>
      </c>
      <c r="O5695" s="106" t="str">
        <f t="shared" si="176"/>
        <v>Faltando Comprar</v>
      </c>
    </row>
    <row r="5696" spans="1:15" ht="45">
      <c r="A5696" s="46" t="s">
        <v>3259</v>
      </c>
      <c r="B5696" s="46" t="s">
        <v>3260</v>
      </c>
      <c r="C5696" s="17" t="s">
        <v>19</v>
      </c>
      <c r="D5696" s="47" t="s">
        <v>3285</v>
      </c>
      <c r="E5696" s="48">
        <v>200</v>
      </c>
      <c r="F5696" s="47" t="s">
        <v>38</v>
      </c>
      <c r="G5696" s="47" t="s">
        <v>39</v>
      </c>
      <c r="H5696" s="48" t="s">
        <v>23</v>
      </c>
      <c r="I5696" s="49">
        <v>0.56000000000000005</v>
      </c>
      <c r="J5696" s="50">
        <v>112.00000000000001</v>
      </c>
      <c r="K5696" s="106"/>
      <c r="L5696" s="114"/>
      <c r="M5696" s="114">
        <f>tblAquisições[[#This Row],[VALOR UNITARIO COMPRADO]]*tblAquisições[[#This Row],[QUANTIDADE COMPRADA]]</f>
        <v>0</v>
      </c>
      <c r="N5696" s="110">
        <f>K5696-tblAquisições[[#This Row],[QUANTIDADE PLANEJADA]]</f>
        <v>-200</v>
      </c>
      <c r="O5696" s="106" t="str">
        <f t="shared" si="176"/>
        <v>Faltando Comprar</v>
      </c>
    </row>
    <row r="5697" spans="1:15" ht="45">
      <c r="A5697" s="46" t="s">
        <v>3259</v>
      </c>
      <c r="B5697" s="46" t="s">
        <v>3260</v>
      </c>
      <c r="C5697" s="17" t="s">
        <v>19</v>
      </c>
      <c r="D5697" s="47" t="s">
        <v>3286</v>
      </c>
      <c r="E5697" s="48">
        <v>100</v>
      </c>
      <c r="F5697" s="47" t="s">
        <v>38</v>
      </c>
      <c r="G5697" s="47" t="s">
        <v>39</v>
      </c>
      <c r="H5697" s="48" t="s">
        <v>23</v>
      </c>
      <c r="I5697" s="49">
        <v>9.7200000000000006</v>
      </c>
      <c r="J5697" s="50">
        <v>972.00000000000011</v>
      </c>
      <c r="K5697" s="106"/>
      <c r="L5697" s="114"/>
      <c r="M5697" s="114">
        <f>tblAquisições[[#This Row],[VALOR UNITARIO COMPRADO]]*tblAquisições[[#This Row],[QUANTIDADE COMPRADA]]</f>
        <v>0</v>
      </c>
      <c r="N5697" s="110">
        <f>K5697-tblAquisições[[#This Row],[QUANTIDADE PLANEJADA]]</f>
        <v>-100</v>
      </c>
      <c r="O5697" s="106" t="str">
        <f t="shared" si="176"/>
        <v>Faltando Comprar</v>
      </c>
    </row>
    <row r="5698" spans="1:15" ht="60">
      <c r="A5698" s="46" t="s">
        <v>3259</v>
      </c>
      <c r="B5698" s="46" t="s">
        <v>3260</v>
      </c>
      <c r="C5698" s="17" t="s">
        <v>19</v>
      </c>
      <c r="D5698" s="47" t="s">
        <v>2928</v>
      </c>
      <c r="E5698" s="48">
        <v>20</v>
      </c>
      <c r="F5698" s="47" t="s">
        <v>96</v>
      </c>
      <c r="G5698" s="47" t="s">
        <v>39</v>
      </c>
      <c r="H5698" s="48" t="s">
        <v>23</v>
      </c>
      <c r="I5698" s="49">
        <v>12.5</v>
      </c>
      <c r="J5698" s="50">
        <v>250</v>
      </c>
      <c r="K5698" s="106"/>
      <c r="L5698" s="114"/>
      <c r="M5698" s="114">
        <f>tblAquisições[[#This Row],[VALOR UNITARIO COMPRADO]]*tblAquisições[[#This Row],[QUANTIDADE COMPRADA]]</f>
        <v>0</v>
      </c>
      <c r="N5698" s="110">
        <f>K5698-tblAquisições[[#This Row],[QUANTIDADE PLANEJADA]]</f>
        <v>-20</v>
      </c>
      <c r="O5698" s="106" t="str">
        <f t="shared" ref="O5698:O5761" si="177">IF(K5698=E5698,"OK",IF(K5698&lt;E5698,"Faltando Comprar","Excedente"))</f>
        <v>Faltando Comprar</v>
      </c>
    </row>
    <row r="5699" spans="1:15" ht="45">
      <c r="A5699" s="46" t="s">
        <v>3259</v>
      </c>
      <c r="B5699" s="46" t="s">
        <v>3260</v>
      </c>
      <c r="C5699" s="17" t="s">
        <v>19</v>
      </c>
      <c r="D5699" s="47" t="s">
        <v>3287</v>
      </c>
      <c r="E5699" s="48">
        <v>50</v>
      </c>
      <c r="F5699" s="47" t="s">
        <v>38</v>
      </c>
      <c r="G5699" s="47" t="s">
        <v>39</v>
      </c>
      <c r="H5699" s="48" t="s">
        <v>23</v>
      </c>
      <c r="I5699" s="49">
        <v>41.29</v>
      </c>
      <c r="J5699" s="50">
        <v>2064.5</v>
      </c>
      <c r="K5699" s="106"/>
      <c r="L5699" s="114"/>
      <c r="M5699" s="114">
        <f>tblAquisições[[#This Row],[VALOR UNITARIO COMPRADO]]*tblAquisições[[#This Row],[QUANTIDADE COMPRADA]]</f>
        <v>0</v>
      </c>
      <c r="N5699" s="110">
        <f>K5699-tblAquisições[[#This Row],[QUANTIDADE PLANEJADA]]</f>
        <v>-50</v>
      </c>
      <c r="O5699" s="106" t="str">
        <f t="shared" si="177"/>
        <v>Faltando Comprar</v>
      </c>
    </row>
    <row r="5700" spans="1:15" ht="60">
      <c r="A5700" s="46" t="s">
        <v>3259</v>
      </c>
      <c r="B5700" s="46" t="s">
        <v>3259</v>
      </c>
      <c r="C5700" s="17" t="s">
        <v>19</v>
      </c>
      <c r="D5700" s="47" t="s">
        <v>464</v>
      </c>
      <c r="E5700" s="48">
        <v>3</v>
      </c>
      <c r="F5700" s="47" t="s">
        <v>96</v>
      </c>
      <c r="G5700" s="47" t="s">
        <v>39</v>
      </c>
      <c r="H5700" s="48" t="s">
        <v>23</v>
      </c>
      <c r="I5700" s="49">
        <v>226.11</v>
      </c>
      <c r="J5700" s="50">
        <v>678.33</v>
      </c>
      <c r="K5700" s="106"/>
      <c r="L5700" s="114"/>
      <c r="M5700" s="114">
        <f>tblAquisições[[#This Row],[VALOR UNITARIO COMPRADO]]*tblAquisições[[#This Row],[QUANTIDADE COMPRADA]]</f>
        <v>0</v>
      </c>
      <c r="N5700" s="110">
        <f>K5700-tblAquisições[[#This Row],[QUANTIDADE PLANEJADA]]</f>
        <v>-3</v>
      </c>
      <c r="O5700" s="106" t="str">
        <f t="shared" si="177"/>
        <v>Faltando Comprar</v>
      </c>
    </row>
    <row r="5701" spans="1:15" ht="60">
      <c r="A5701" s="46" t="s">
        <v>3259</v>
      </c>
      <c r="B5701" s="46" t="s">
        <v>3260</v>
      </c>
      <c r="C5701" s="17" t="s">
        <v>19</v>
      </c>
      <c r="D5701" s="47" t="s">
        <v>464</v>
      </c>
      <c r="E5701" s="48">
        <v>6</v>
      </c>
      <c r="F5701" s="47" t="s">
        <v>96</v>
      </c>
      <c r="G5701" s="47" t="s">
        <v>39</v>
      </c>
      <c r="H5701" s="48" t="s">
        <v>65</v>
      </c>
      <c r="I5701" s="52">
        <v>144.47999999999999</v>
      </c>
      <c r="J5701" s="50">
        <v>1356.66</v>
      </c>
      <c r="K5701" s="106"/>
      <c r="L5701" s="114"/>
      <c r="M5701" s="114">
        <f>tblAquisições[[#This Row],[VALOR UNITARIO COMPRADO]]*tblAquisições[[#This Row],[QUANTIDADE COMPRADA]]</f>
        <v>0</v>
      </c>
      <c r="N5701" s="110">
        <f>K5701-tblAquisições[[#This Row],[QUANTIDADE PLANEJADA]]</f>
        <v>-6</v>
      </c>
      <c r="O5701" s="106" t="str">
        <f t="shared" si="177"/>
        <v>Faltando Comprar</v>
      </c>
    </row>
    <row r="5702" spans="1:15" ht="60">
      <c r="A5702" s="46" t="s">
        <v>3259</v>
      </c>
      <c r="B5702" s="46" t="s">
        <v>3263</v>
      </c>
      <c r="C5702" s="17" t="s">
        <v>19</v>
      </c>
      <c r="D5702" s="47" t="s">
        <v>464</v>
      </c>
      <c r="E5702" s="48">
        <v>200</v>
      </c>
      <c r="F5702" s="47" t="s">
        <v>96</v>
      </c>
      <c r="G5702" s="47" t="s">
        <v>39</v>
      </c>
      <c r="H5702" s="51"/>
      <c r="I5702" s="49">
        <v>226.11</v>
      </c>
      <c r="J5702" s="50">
        <v>45222</v>
      </c>
      <c r="K5702" s="106"/>
      <c r="L5702" s="114"/>
      <c r="M5702" s="114">
        <f>tblAquisições[[#This Row],[VALOR UNITARIO COMPRADO]]*tblAquisições[[#This Row],[QUANTIDADE COMPRADA]]</f>
        <v>0</v>
      </c>
      <c r="N5702" s="110">
        <f>K5702-tblAquisições[[#This Row],[QUANTIDADE PLANEJADA]]</f>
        <v>-200</v>
      </c>
      <c r="O5702" s="106" t="str">
        <f t="shared" si="177"/>
        <v>Faltando Comprar</v>
      </c>
    </row>
    <row r="5703" spans="1:15" ht="60">
      <c r="A5703" s="46" t="s">
        <v>3259</v>
      </c>
      <c r="B5703" s="46" t="s">
        <v>3267</v>
      </c>
      <c r="C5703" s="17" t="s">
        <v>19</v>
      </c>
      <c r="D5703" s="47" t="s">
        <v>464</v>
      </c>
      <c r="E5703" s="48">
        <v>5000</v>
      </c>
      <c r="F5703" s="47" t="s">
        <v>96</v>
      </c>
      <c r="G5703" s="47" t="s">
        <v>39</v>
      </c>
      <c r="H5703" s="51"/>
      <c r="I5703" s="49">
        <v>226.11</v>
      </c>
      <c r="J5703" s="50">
        <v>1130550</v>
      </c>
      <c r="K5703" s="106"/>
      <c r="L5703" s="114"/>
      <c r="M5703" s="114">
        <f>tblAquisições[[#This Row],[VALOR UNITARIO COMPRADO]]*tblAquisições[[#This Row],[QUANTIDADE COMPRADA]]</f>
        <v>0</v>
      </c>
      <c r="N5703" s="110">
        <f>K5703-tblAquisições[[#This Row],[QUANTIDADE PLANEJADA]]</f>
        <v>-5000</v>
      </c>
      <c r="O5703" s="106" t="str">
        <f t="shared" si="177"/>
        <v>Faltando Comprar</v>
      </c>
    </row>
    <row r="5704" spans="1:15" ht="45">
      <c r="A5704" s="46" t="s">
        <v>3259</v>
      </c>
      <c r="B5704" s="46" t="s">
        <v>3259</v>
      </c>
      <c r="C5704" s="17" t="s">
        <v>19</v>
      </c>
      <c r="D5704" s="47" t="s">
        <v>3288</v>
      </c>
      <c r="E5704" s="48">
        <v>2</v>
      </c>
      <c r="F5704" s="47" t="s">
        <v>38</v>
      </c>
      <c r="G5704" s="47" t="s">
        <v>39</v>
      </c>
      <c r="H5704" s="48" t="s">
        <v>23</v>
      </c>
      <c r="I5704" s="49">
        <v>33.67</v>
      </c>
      <c r="J5704" s="50">
        <v>67.34</v>
      </c>
      <c r="K5704" s="106"/>
      <c r="L5704" s="114"/>
      <c r="M5704" s="114">
        <f>tblAquisições[[#This Row],[VALOR UNITARIO COMPRADO]]*tblAquisições[[#This Row],[QUANTIDADE COMPRADA]]</f>
        <v>0</v>
      </c>
      <c r="N5704" s="110">
        <f>K5704-tblAquisições[[#This Row],[QUANTIDADE PLANEJADA]]</f>
        <v>-2</v>
      </c>
      <c r="O5704" s="106" t="str">
        <f t="shared" si="177"/>
        <v>Faltando Comprar</v>
      </c>
    </row>
    <row r="5705" spans="1:15" ht="45">
      <c r="A5705" s="46" t="s">
        <v>3259</v>
      </c>
      <c r="B5705" s="46" t="s">
        <v>3263</v>
      </c>
      <c r="C5705" s="17" t="s">
        <v>19</v>
      </c>
      <c r="D5705" s="47" t="s">
        <v>3288</v>
      </c>
      <c r="E5705" s="48">
        <v>5</v>
      </c>
      <c r="F5705" s="47" t="s">
        <v>38</v>
      </c>
      <c r="G5705" s="47" t="s">
        <v>39</v>
      </c>
      <c r="H5705" s="51"/>
      <c r="I5705" s="49">
        <v>33.67</v>
      </c>
      <c r="J5705" s="50">
        <v>168.35000000000002</v>
      </c>
      <c r="K5705" s="106"/>
      <c r="L5705" s="114"/>
      <c r="M5705" s="114">
        <f>tblAquisições[[#This Row],[VALOR UNITARIO COMPRADO]]*tblAquisições[[#This Row],[QUANTIDADE COMPRADA]]</f>
        <v>0</v>
      </c>
      <c r="N5705" s="110">
        <f>K5705-tblAquisições[[#This Row],[QUANTIDADE PLANEJADA]]</f>
        <v>-5</v>
      </c>
      <c r="O5705" s="106" t="str">
        <f t="shared" si="177"/>
        <v>Faltando Comprar</v>
      </c>
    </row>
    <row r="5706" spans="1:15" ht="45">
      <c r="A5706" s="46" t="s">
        <v>3259</v>
      </c>
      <c r="B5706" s="46" t="s">
        <v>3260</v>
      </c>
      <c r="C5706" s="17" t="s">
        <v>19</v>
      </c>
      <c r="D5706" s="47" t="s">
        <v>3289</v>
      </c>
      <c r="E5706" s="48">
        <v>100</v>
      </c>
      <c r="F5706" s="47" t="s">
        <v>38</v>
      </c>
      <c r="G5706" s="47" t="s">
        <v>39</v>
      </c>
      <c r="H5706" s="48" t="s">
        <v>23</v>
      </c>
      <c r="I5706" s="49">
        <v>1.25</v>
      </c>
      <c r="J5706" s="50">
        <v>125</v>
      </c>
      <c r="K5706" s="106"/>
      <c r="L5706" s="114"/>
      <c r="M5706" s="114">
        <f>tblAquisições[[#This Row],[VALOR UNITARIO COMPRADO]]*tblAquisições[[#This Row],[QUANTIDADE COMPRADA]]</f>
        <v>0</v>
      </c>
      <c r="N5706" s="110">
        <f>K5706-tblAquisições[[#This Row],[QUANTIDADE PLANEJADA]]</f>
        <v>-100</v>
      </c>
      <c r="O5706" s="106" t="str">
        <f t="shared" si="177"/>
        <v>Faltando Comprar</v>
      </c>
    </row>
    <row r="5707" spans="1:15" ht="60">
      <c r="A5707" s="46" t="s">
        <v>3259</v>
      </c>
      <c r="B5707" s="46" t="s">
        <v>3259</v>
      </c>
      <c r="C5707" s="17" t="s">
        <v>19</v>
      </c>
      <c r="D5707" s="47" t="s">
        <v>3290</v>
      </c>
      <c r="E5707" s="48">
        <v>5</v>
      </c>
      <c r="F5707" s="47" t="s">
        <v>217</v>
      </c>
      <c r="G5707" s="47" t="s">
        <v>39</v>
      </c>
      <c r="H5707" s="48" t="s">
        <v>23</v>
      </c>
      <c r="I5707" s="49">
        <v>21.3</v>
      </c>
      <c r="J5707" s="50">
        <v>106.5</v>
      </c>
      <c r="K5707" s="106"/>
      <c r="L5707" s="114"/>
      <c r="M5707" s="114">
        <f>tblAquisições[[#This Row],[VALOR UNITARIO COMPRADO]]*tblAquisições[[#This Row],[QUANTIDADE COMPRADA]]</f>
        <v>0</v>
      </c>
      <c r="N5707" s="110">
        <f>K5707-tblAquisições[[#This Row],[QUANTIDADE PLANEJADA]]</f>
        <v>-5</v>
      </c>
      <c r="O5707" s="106" t="str">
        <f t="shared" si="177"/>
        <v>Faltando Comprar</v>
      </c>
    </row>
    <row r="5708" spans="1:15" ht="60">
      <c r="A5708" s="46" t="s">
        <v>3259</v>
      </c>
      <c r="B5708" s="46" t="s">
        <v>3263</v>
      </c>
      <c r="C5708" s="17" t="s">
        <v>19</v>
      </c>
      <c r="D5708" s="47" t="s">
        <v>3290</v>
      </c>
      <c r="E5708" s="48">
        <v>10</v>
      </c>
      <c r="F5708" s="47" t="s">
        <v>217</v>
      </c>
      <c r="G5708" s="47" t="s">
        <v>39</v>
      </c>
      <c r="H5708" s="51"/>
      <c r="I5708" s="49">
        <v>21.3</v>
      </c>
      <c r="J5708" s="50">
        <v>213</v>
      </c>
      <c r="K5708" s="106"/>
      <c r="L5708" s="114"/>
      <c r="M5708" s="114">
        <f>tblAquisições[[#This Row],[VALOR UNITARIO COMPRADO]]*tblAquisições[[#This Row],[QUANTIDADE COMPRADA]]</f>
        <v>0</v>
      </c>
      <c r="N5708" s="110">
        <f>K5708-tblAquisições[[#This Row],[QUANTIDADE PLANEJADA]]</f>
        <v>-10</v>
      </c>
      <c r="O5708" s="106" t="str">
        <f t="shared" si="177"/>
        <v>Faltando Comprar</v>
      </c>
    </row>
    <row r="5709" spans="1:15" ht="60">
      <c r="A5709" s="46" t="s">
        <v>3259</v>
      </c>
      <c r="B5709" s="46" t="s">
        <v>3260</v>
      </c>
      <c r="C5709" s="17" t="s">
        <v>19</v>
      </c>
      <c r="D5709" s="47" t="s">
        <v>3291</v>
      </c>
      <c r="E5709" s="48">
        <v>10</v>
      </c>
      <c r="F5709" s="47" t="s">
        <v>96</v>
      </c>
      <c r="G5709" s="47" t="s">
        <v>39</v>
      </c>
      <c r="H5709" s="48" t="s">
        <v>23</v>
      </c>
      <c r="I5709" s="49">
        <v>33.53</v>
      </c>
      <c r="J5709" s="50">
        <v>335.3</v>
      </c>
      <c r="K5709" s="106"/>
      <c r="L5709" s="114"/>
      <c r="M5709" s="114">
        <f>tblAquisições[[#This Row],[VALOR UNITARIO COMPRADO]]*tblAquisições[[#This Row],[QUANTIDADE COMPRADA]]</f>
        <v>0</v>
      </c>
      <c r="N5709" s="110">
        <f>K5709-tblAquisições[[#This Row],[QUANTIDADE PLANEJADA]]</f>
        <v>-10</v>
      </c>
      <c r="O5709" s="106" t="str">
        <f t="shared" si="177"/>
        <v>Faltando Comprar</v>
      </c>
    </row>
    <row r="5710" spans="1:15" ht="45">
      <c r="A5710" s="46" t="s">
        <v>3259</v>
      </c>
      <c r="B5710" s="46" t="s">
        <v>3259</v>
      </c>
      <c r="C5710" s="17" t="s">
        <v>19</v>
      </c>
      <c r="D5710" s="47" t="s">
        <v>3292</v>
      </c>
      <c r="E5710" s="48">
        <v>20</v>
      </c>
      <c r="F5710" s="47" t="s">
        <v>147</v>
      </c>
      <c r="G5710" s="47" t="s">
        <v>39</v>
      </c>
      <c r="H5710" s="48" t="s">
        <v>83</v>
      </c>
      <c r="I5710" s="49">
        <v>18.88</v>
      </c>
      <c r="J5710" s="50">
        <v>377.59999999999997</v>
      </c>
      <c r="K5710" s="106"/>
      <c r="L5710" s="114"/>
      <c r="M5710" s="114">
        <f>tblAquisições[[#This Row],[VALOR UNITARIO COMPRADO]]*tblAquisições[[#This Row],[QUANTIDADE COMPRADA]]</f>
        <v>0</v>
      </c>
      <c r="N5710" s="110">
        <f>K5710-tblAquisições[[#This Row],[QUANTIDADE PLANEJADA]]</f>
        <v>-20</v>
      </c>
      <c r="O5710" s="106" t="str">
        <f t="shared" si="177"/>
        <v>Faltando Comprar</v>
      </c>
    </row>
    <row r="5711" spans="1:15" ht="45">
      <c r="A5711" s="46" t="s">
        <v>3259</v>
      </c>
      <c r="B5711" s="46" t="s">
        <v>3263</v>
      </c>
      <c r="C5711" s="17" t="s">
        <v>19</v>
      </c>
      <c r="D5711" s="47" t="s">
        <v>3292</v>
      </c>
      <c r="E5711" s="48">
        <v>25</v>
      </c>
      <c r="F5711" s="47" t="s">
        <v>147</v>
      </c>
      <c r="G5711" s="47" t="s">
        <v>39</v>
      </c>
      <c r="H5711" s="51"/>
      <c r="I5711" s="49">
        <v>18.88</v>
      </c>
      <c r="J5711" s="50">
        <v>472</v>
      </c>
      <c r="K5711" s="106"/>
      <c r="L5711" s="114"/>
      <c r="M5711" s="114">
        <f>tblAquisições[[#This Row],[VALOR UNITARIO COMPRADO]]*tblAquisições[[#This Row],[QUANTIDADE COMPRADA]]</f>
        <v>0</v>
      </c>
      <c r="N5711" s="110">
        <f>K5711-tblAquisições[[#This Row],[QUANTIDADE PLANEJADA]]</f>
        <v>-25</v>
      </c>
      <c r="O5711" s="106" t="str">
        <f t="shared" si="177"/>
        <v>Faltando Comprar</v>
      </c>
    </row>
    <row r="5712" spans="1:15" ht="75">
      <c r="A5712" s="46" t="s">
        <v>3259</v>
      </c>
      <c r="B5712" s="46" t="s">
        <v>3260</v>
      </c>
      <c r="C5712" s="17" t="s">
        <v>19</v>
      </c>
      <c r="D5712" s="47" t="s">
        <v>3293</v>
      </c>
      <c r="E5712" s="48">
        <v>4</v>
      </c>
      <c r="F5712" s="47" t="s">
        <v>2750</v>
      </c>
      <c r="G5712" s="47" t="s">
        <v>39</v>
      </c>
      <c r="H5712" s="48" t="s">
        <v>65</v>
      </c>
      <c r="I5712" s="52">
        <v>7.45</v>
      </c>
      <c r="J5712" s="50">
        <v>20.84</v>
      </c>
      <c r="K5712" s="106"/>
      <c r="L5712" s="114"/>
      <c r="M5712" s="114">
        <f>tblAquisições[[#This Row],[VALOR UNITARIO COMPRADO]]*tblAquisições[[#This Row],[QUANTIDADE COMPRADA]]</f>
        <v>0</v>
      </c>
      <c r="N5712" s="110">
        <f>K5712-tblAquisições[[#This Row],[QUANTIDADE PLANEJADA]]</f>
        <v>-4</v>
      </c>
      <c r="O5712" s="106" t="str">
        <f t="shared" si="177"/>
        <v>Faltando Comprar</v>
      </c>
    </row>
    <row r="5713" spans="1:15" ht="60">
      <c r="A5713" s="46" t="s">
        <v>3259</v>
      </c>
      <c r="B5713" s="46" t="s">
        <v>3259</v>
      </c>
      <c r="C5713" s="17" t="s">
        <v>19</v>
      </c>
      <c r="D5713" s="47" t="s">
        <v>2932</v>
      </c>
      <c r="E5713" s="48">
        <v>24</v>
      </c>
      <c r="F5713" s="47" t="s">
        <v>96</v>
      </c>
      <c r="G5713" s="47" t="s">
        <v>39</v>
      </c>
      <c r="H5713" s="48" t="s">
        <v>23</v>
      </c>
      <c r="I5713" s="49">
        <v>16.510000000000002</v>
      </c>
      <c r="J5713" s="50">
        <v>396.24</v>
      </c>
      <c r="K5713" s="106"/>
      <c r="L5713" s="114"/>
      <c r="M5713" s="114">
        <f>tblAquisições[[#This Row],[VALOR UNITARIO COMPRADO]]*tblAquisições[[#This Row],[QUANTIDADE COMPRADA]]</f>
        <v>0</v>
      </c>
      <c r="N5713" s="110">
        <f>K5713-tblAquisições[[#This Row],[QUANTIDADE PLANEJADA]]</f>
        <v>-24</v>
      </c>
      <c r="O5713" s="106" t="str">
        <f t="shared" si="177"/>
        <v>Faltando Comprar</v>
      </c>
    </row>
    <row r="5714" spans="1:15" ht="60">
      <c r="A5714" s="46" t="s">
        <v>3259</v>
      </c>
      <c r="B5714" s="46" t="s">
        <v>3263</v>
      </c>
      <c r="C5714" s="17" t="s">
        <v>19</v>
      </c>
      <c r="D5714" s="47" t="s">
        <v>2932</v>
      </c>
      <c r="E5714" s="48">
        <v>100</v>
      </c>
      <c r="F5714" s="47" t="s">
        <v>96</v>
      </c>
      <c r="G5714" s="47" t="s">
        <v>39</v>
      </c>
      <c r="H5714" s="51"/>
      <c r="I5714" s="49">
        <v>16.510000000000002</v>
      </c>
      <c r="J5714" s="50">
        <v>1651.0000000000002</v>
      </c>
      <c r="K5714" s="106"/>
      <c r="L5714" s="114"/>
      <c r="M5714" s="114">
        <f>tblAquisições[[#This Row],[VALOR UNITARIO COMPRADO]]*tblAquisições[[#This Row],[QUANTIDADE COMPRADA]]</f>
        <v>0</v>
      </c>
      <c r="N5714" s="110">
        <f>K5714-tblAquisições[[#This Row],[QUANTIDADE PLANEJADA]]</f>
        <v>-100</v>
      </c>
      <c r="O5714" s="106" t="str">
        <f t="shared" si="177"/>
        <v>Faltando Comprar</v>
      </c>
    </row>
    <row r="5715" spans="1:15" ht="45">
      <c r="A5715" s="46" t="s">
        <v>3259</v>
      </c>
      <c r="B5715" s="46" t="s">
        <v>3259</v>
      </c>
      <c r="C5715" s="17" t="s">
        <v>19</v>
      </c>
      <c r="D5715" s="47" t="s">
        <v>3294</v>
      </c>
      <c r="E5715" s="48">
        <v>10</v>
      </c>
      <c r="F5715" s="47" t="s">
        <v>38</v>
      </c>
      <c r="G5715" s="47" t="s">
        <v>39</v>
      </c>
      <c r="H5715" s="48" t="s">
        <v>23</v>
      </c>
      <c r="I5715" s="49">
        <v>39.14</v>
      </c>
      <c r="J5715" s="50">
        <v>391.4</v>
      </c>
      <c r="K5715" s="106"/>
      <c r="L5715" s="114"/>
      <c r="M5715" s="114">
        <f>tblAquisições[[#This Row],[VALOR UNITARIO COMPRADO]]*tblAquisições[[#This Row],[QUANTIDADE COMPRADA]]</f>
        <v>0</v>
      </c>
      <c r="N5715" s="110">
        <f>K5715-tblAquisições[[#This Row],[QUANTIDADE PLANEJADA]]</f>
        <v>-10</v>
      </c>
      <c r="O5715" s="106" t="str">
        <f t="shared" si="177"/>
        <v>Faltando Comprar</v>
      </c>
    </row>
    <row r="5716" spans="1:15" ht="45">
      <c r="A5716" s="46" t="s">
        <v>3259</v>
      </c>
      <c r="B5716" s="46" t="s">
        <v>3267</v>
      </c>
      <c r="C5716" s="17" t="s">
        <v>19</v>
      </c>
      <c r="D5716" s="47" t="s">
        <v>2935</v>
      </c>
      <c r="E5716" s="48">
        <v>25</v>
      </c>
      <c r="F5716" s="47" t="s">
        <v>56</v>
      </c>
      <c r="G5716" s="47" t="s">
        <v>39</v>
      </c>
      <c r="H5716" s="51"/>
      <c r="I5716" s="49">
        <v>30</v>
      </c>
      <c r="J5716" s="50">
        <v>750</v>
      </c>
      <c r="K5716" s="106"/>
      <c r="L5716" s="114"/>
      <c r="M5716" s="114">
        <f>tblAquisições[[#This Row],[VALOR UNITARIO COMPRADO]]*tblAquisições[[#This Row],[QUANTIDADE COMPRADA]]</f>
        <v>0</v>
      </c>
      <c r="N5716" s="110">
        <f>K5716-tblAquisições[[#This Row],[QUANTIDADE PLANEJADA]]</f>
        <v>-25</v>
      </c>
      <c r="O5716" s="106" t="str">
        <f t="shared" si="177"/>
        <v>Faltando Comprar</v>
      </c>
    </row>
    <row r="5717" spans="1:15" ht="60">
      <c r="A5717" s="46" t="s">
        <v>3259</v>
      </c>
      <c r="B5717" s="46" t="s">
        <v>3259</v>
      </c>
      <c r="C5717" s="17" t="s">
        <v>19</v>
      </c>
      <c r="D5717" s="47" t="s">
        <v>3295</v>
      </c>
      <c r="E5717" s="48">
        <v>3</v>
      </c>
      <c r="F5717" s="47" t="s">
        <v>191</v>
      </c>
      <c r="G5717" s="47" t="s">
        <v>39</v>
      </c>
      <c r="H5717" s="48" t="s">
        <v>23</v>
      </c>
      <c r="I5717" s="49">
        <v>21.79</v>
      </c>
      <c r="J5717" s="50">
        <v>65.37</v>
      </c>
      <c r="K5717" s="106"/>
      <c r="L5717" s="114"/>
      <c r="M5717" s="114">
        <f>tblAquisições[[#This Row],[VALOR UNITARIO COMPRADO]]*tblAquisições[[#This Row],[QUANTIDADE COMPRADA]]</f>
        <v>0</v>
      </c>
      <c r="N5717" s="110">
        <f>K5717-tblAquisições[[#This Row],[QUANTIDADE PLANEJADA]]</f>
        <v>-3</v>
      </c>
      <c r="O5717" s="106" t="str">
        <f t="shared" si="177"/>
        <v>Faltando Comprar</v>
      </c>
    </row>
    <row r="5718" spans="1:15" ht="60">
      <c r="A5718" s="46" t="s">
        <v>3259</v>
      </c>
      <c r="B5718" s="46" t="s">
        <v>3263</v>
      </c>
      <c r="C5718" s="17" t="s">
        <v>19</v>
      </c>
      <c r="D5718" s="47" t="s">
        <v>3295</v>
      </c>
      <c r="E5718" s="48">
        <v>400</v>
      </c>
      <c r="F5718" s="47" t="s">
        <v>191</v>
      </c>
      <c r="G5718" s="47" t="s">
        <v>39</v>
      </c>
      <c r="H5718" s="51"/>
      <c r="I5718" s="49">
        <v>21.79</v>
      </c>
      <c r="J5718" s="50">
        <v>8716</v>
      </c>
      <c r="K5718" s="106"/>
      <c r="L5718" s="114"/>
      <c r="M5718" s="114">
        <f>tblAquisições[[#This Row],[VALOR UNITARIO COMPRADO]]*tblAquisições[[#This Row],[QUANTIDADE COMPRADA]]</f>
        <v>0</v>
      </c>
      <c r="N5718" s="110">
        <f>K5718-tblAquisições[[#This Row],[QUANTIDADE PLANEJADA]]</f>
        <v>-400</v>
      </c>
      <c r="O5718" s="106" t="str">
        <f t="shared" si="177"/>
        <v>Faltando Comprar</v>
      </c>
    </row>
    <row r="5719" spans="1:15" ht="45">
      <c r="A5719" s="46" t="s">
        <v>3259</v>
      </c>
      <c r="B5719" s="46" t="s">
        <v>3259</v>
      </c>
      <c r="C5719" s="17" t="s">
        <v>19</v>
      </c>
      <c r="D5719" s="47" t="s">
        <v>3296</v>
      </c>
      <c r="E5719" s="48">
        <v>2</v>
      </c>
      <c r="F5719" s="47" t="s">
        <v>38</v>
      </c>
      <c r="G5719" s="47" t="s">
        <v>39</v>
      </c>
      <c r="H5719" s="48" t="s">
        <v>23</v>
      </c>
      <c r="I5719" s="49">
        <v>52.05</v>
      </c>
      <c r="J5719" s="50">
        <v>104.1</v>
      </c>
      <c r="K5719" s="106"/>
      <c r="L5719" s="114"/>
      <c r="M5719" s="114">
        <f>tblAquisições[[#This Row],[VALOR UNITARIO COMPRADO]]*tblAquisições[[#This Row],[QUANTIDADE COMPRADA]]</f>
        <v>0</v>
      </c>
      <c r="N5719" s="110">
        <f>K5719-tblAquisições[[#This Row],[QUANTIDADE PLANEJADA]]</f>
        <v>-2</v>
      </c>
      <c r="O5719" s="106" t="str">
        <f t="shared" si="177"/>
        <v>Faltando Comprar</v>
      </c>
    </row>
    <row r="5720" spans="1:15" ht="45">
      <c r="A5720" s="46" t="s">
        <v>3259</v>
      </c>
      <c r="B5720" s="46" t="s">
        <v>3263</v>
      </c>
      <c r="C5720" s="17" t="s">
        <v>19</v>
      </c>
      <c r="D5720" s="47" t="s">
        <v>3296</v>
      </c>
      <c r="E5720" s="48">
        <v>5</v>
      </c>
      <c r="F5720" s="47" t="s">
        <v>38</v>
      </c>
      <c r="G5720" s="47" t="s">
        <v>39</v>
      </c>
      <c r="H5720" s="51"/>
      <c r="I5720" s="49">
        <v>52.05</v>
      </c>
      <c r="J5720" s="50">
        <v>260.25</v>
      </c>
      <c r="K5720" s="106"/>
      <c r="L5720" s="114"/>
      <c r="M5720" s="114">
        <f>tblAquisições[[#This Row],[VALOR UNITARIO COMPRADO]]*tblAquisições[[#This Row],[QUANTIDADE COMPRADA]]</f>
        <v>0</v>
      </c>
      <c r="N5720" s="110">
        <f>K5720-tblAquisições[[#This Row],[QUANTIDADE PLANEJADA]]</f>
        <v>-5</v>
      </c>
      <c r="O5720" s="106" t="str">
        <f t="shared" si="177"/>
        <v>Faltando Comprar</v>
      </c>
    </row>
    <row r="5721" spans="1:15" ht="45">
      <c r="A5721" s="46" t="s">
        <v>3259</v>
      </c>
      <c r="B5721" s="46" t="s">
        <v>3259</v>
      </c>
      <c r="C5721" s="17" t="s">
        <v>19</v>
      </c>
      <c r="D5721" s="47" t="s">
        <v>640</v>
      </c>
      <c r="E5721" s="48">
        <v>5</v>
      </c>
      <c r="F5721" s="47" t="s">
        <v>147</v>
      </c>
      <c r="G5721" s="47" t="s">
        <v>39</v>
      </c>
      <c r="H5721" s="48" t="s">
        <v>23</v>
      </c>
      <c r="I5721" s="49">
        <v>11.34</v>
      </c>
      <c r="J5721" s="50">
        <v>56.7</v>
      </c>
      <c r="K5721" s="106"/>
      <c r="L5721" s="114"/>
      <c r="M5721" s="114">
        <f>tblAquisições[[#This Row],[VALOR UNITARIO COMPRADO]]*tblAquisições[[#This Row],[QUANTIDADE COMPRADA]]</f>
        <v>0</v>
      </c>
      <c r="N5721" s="110">
        <f>K5721-tblAquisições[[#This Row],[QUANTIDADE PLANEJADA]]</f>
        <v>-5</v>
      </c>
      <c r="O5721" s="106" t="str">
        <f t="shared" si="177"/>
        <v>Faltando Comprar</v>
      </c>
    </row>
    <row r="5722" spans="1:15" ht="45">
      <c r="A5722" s="46" t="s">
        <v>3259</v>
      </c>
      <c r="B5722" s="46" t="s">
        <v>3263</v>
      </c>
      <c r="C5722" s="17" t="s">
        <v>19</v>
      </c>
      <c r="D5722" s="47" t="s">
        <v>640</v>
      </c>
      <c r="E5722" s="48">
        <v>50</v>
      </c>
      <c r="F5722" s="47" t="s">
        <v>147</v>
      </c>
      <c r="G5722" s="47" t="s">
        <v>39</v>
      </c>
      <c r="H5722" s="51"/>
      <c r="I5722" s="49">
        <v>11.34</v>
      </c>
      <c r="J5722" s="50">
        <v>567</v>
      </c>
      <c r="K5722" s="106"/>
      <c r="L5722" s="114"/>
      <c r="M5722" s="114">
        <f>tblAquisições[[#This Row],[VALOR UNITARIO COMPRADO]]*tblAquisições[[#This Row],[QUANTIDADE COMPRADA]]</f>
        <v>0</v>
      </c>
      <c r="N5722" s="110">
        <f>K5722-tblAquisições[[#This Row],[QUANTIDADE PLANEJADA]]</f>
        <v>-50</v>
      </c>
      <c r="O5722" s="106" t="str">
        <f t="shared" si="177"/>
        <v>Faltando Comprar</v>
      </c>
    </row>
    <row r="5723" spans="1:15" ht="45">
      <c r="A5723" s="46" t="s">
        <v>3259</v>
      </c>
      <c r="B5723" s="46" t="s">
        <v>3259</v>
      </c>
      <c r="C5723" s="17" t="s">
        <v>19</v>
      </c>
      <c r="D5723" s="47" t="s">
        <v>3297</v>
      </c>
      <c r="E5723" s="48">
        <v>10</v>
      </c>
      <c r="F5723" s="47" t="s">
        <v>147</v>
      </c>
      <c r="G5723" s="47" t="s">
        <v>39</v>
      </c>
      <c r="H5723" s="48" t="s">
        <v>23</v>
      </c>
      <c r="I5723" s="49">
        <v>10.99</v>
      </c>
      <c r="J5723" s="50">
        <v>109.9</v>
      </c>
      <c r="K5723" s="106"/>
      <c r="L5723" s="114"/>
      <c r="M5723" s="114">
        <f>tblAquisições[[#This Row],[VALOR UNITARIO COMPRADO]]*tblAquisições[[#This Row],[QUANTIDADE COMPRADA]]</f>
        <v>0</v>
      </c>
      <c r="N5723" s="110">
        <f>K5723-tblAquisições[[#This Row],[QUANTIDADE PLANEJADA]]</f>
        <v>-10</v>
      </c>
      <c r="O5723" s="106" t="str">
        <f t="shared" si="177"/>
        <v>Faltando Comprar</v>
      </c>
    </row>
    <row r="5724" spans="1:15" ht="45">
      <c r="A5724" s="46" t="s">
        <v>3259</v>
      </c>
      <c r="B5724" s="46" t="s">
        <v>3263</v>
      </c>
      <c r="C5724" s="17" t="s">
        <v>19</v>
      </c>
      <c r="D5724" s="47" t="s">
        <v>3297</v>
      </c>
      <c r="E5724" s="48">
        <v>5</v>
      </c>
      <c r="F5724" s="47" t="s">
        <v>147</v>
      </c>
      <c r="G5724" s="47" t="s">
        <v>39</v>
      </c>
      <c r="H5724" s="51"/>
      <c r="I5724" s="49">
        <v>10.99</v>
      </c>
      <c r="J5724" s="50">
        <v>54.95</v>
      </c>
      <c r="K5724" s="106"/>
      <c r="L5724" s="114"/>
      <c r="M5724" s="114">
        <f>tblAquisições[[#This Row],[VALOR UNITARIO COMPRADO]]*tblAquisições[[#This Row],[QUANTIDADE COMPRADA]]</f>
        <v>0</v>
      </c>
      <c r="N5724" s="110">
        <f>K5724-tblAquisições[[#This Row],[QUANTIDADE PLANEJADA]]</f>
        <v>-5</v>
      </c>
      <c r="O5724" s="106" t="str">
        <f t="shared" si="177"/>
        <v>Faltando Comprar</v>
      </c>
    </row>
    <row r="5725" spans="1:15" ht="60">
      <c r="A5725" s="46" t="s">
        <v>3259</v>
      </c>
      <c r="B5725" s="46" t="s">
        <v>3259</v>
      </c>
      <c r="C5725" s="17" t="s">
        <v>19</v>
      </c>
      <c r="D5725" s="47" t="s">
        <v>2940</v>
      </c>
      <c r="E5725" s="48">
        <v>3</v>
      </c>
      <c r="F5725" s="47" t="s">
        <v>96</v>
      </c>
      <c r="G5725" s="47" t="s">
        <v>39</v>
      </c>
      <c r="H5725" s="48" t="s">
        <v>23</v>
      </c>
      <c r="I5725" s="49">
        <v>19.91</v>
      </c>
      <c r="J5725" s="50">
        <v>59.730000000000004</v>
      </c>
      <c r="K5725" s="106"/>
      <c r="L5725" s="114"/>
      <c r="M5725" s="114">
        <f>tblAquisições[[#This Row],[VALOR UNITARIO COMPRADO]]*tblAquisições[[#This Row],[QUANTIDADE COMPRADA]]</f>
        <v>0</v>
      </c>
      <c r="N5725" s="110">
        <f>K5725-tblAquisições[[#This Row],[QUANTIDADE PLANEJADA]]</f>
        <v>-3</v>
      </c>
      <c r="O5725" s="106" t="str">
        <f t="shared" si="177"/>
        <v>Faltando Comprar</v>
      </c>
    </row>
    <row r="5726" spans="1:15" ht="60">
      <c r="A5726" s="46" t="s">
        <v>3259</v>
      </c>
      <c r="B5726" s="46" t="s">
        <v>3263</v>
      </c>
      <c r="C5726" s="17" t="s">
        <v>19</v>
      </c>
      <c r="D5726" s="47" t="s">
        <v>2940</v>
      </c>
      <c r="E5726" s="48">
        <v>10</v>
      </c>
      <c r="F5726" s="47" t="s">
        <v>96</v>
      </c>
      <c r="G5726" s="47" t="s">
        <v>39</v>
      </c>
      <c r="H5726" s="51"/>
      <c r="I5726" s="49">
        <v>19.91</v>
      </c>
      <c r="J5726" s="50">
        <v>199.1</v>
      </c>
      <c r="K5726" s="106"/>
      <c r="L5726" s="114"/>
      <c r="M5726" s="114">
        <f>tblAquisições[[#This Row],[VALOR UNITARIO COMPRADO]]*tblAquisições[[#This Row],[QUANTIDADE COMPRADA]]</f>
        <v>0</v>
      </c>
      <c r="N5726" s="110">
        <f>K5726-tblAquisições[[#This Row],[QUANTIDADE PLANEJADA]]</f>
        <v>-10</v>
      </c>
      <c r="O5726" s="106" t="str">
        <f t="shared" si="177"/>
        <v>Faltando Comprar</v>
      </c>
    </row>
    <row r="5727" spans="1:15" ht="60">
      <c r="A5727" s="46" t="s">
        <v>3259</v>
      </c>
      <c r="B5727" s="46" t="s">
        <v>3259</v>
      </c>
      <c r="C5727" s="17" t="s">
        <v>19</v>
      </c>
      <c r="D5727" s="47" t="s">
        <v>3107</v>
      </c>
      <c r="E5727" s="48">
        <v>12</v>
      </c>
      <c r="F5727" s="47" t="s">
        <v>96</v>
      </c>
      <c r="G5727" s="47" t="s">
        <v>39</v>
      </c>
      <c r="H5727" s="48" t="s">
        <v>23</v>
      </c>
      <c r="I5727" s="49">
        <v>65.06</v>
      </c>
      <c r="J5727" s="50">
        <v>780.72</v>
      </c>
      <c r="K5727" s="106"/>
      <c r="L5727" s="114"/>
      <c r="M5727" s="114">
        <f>tblAquisições[[#This Row],[VALOR UNITARIO COMPRADO]]*tblAquisições[[#This Row],[QUANTIDADE COMPRADA]]</f>
        <v>0</v>
      </c>
      <c r="N5727" s="110">
        <f>K5727-tblAquisições[[#This Row],[QUANTIDADE PLANEJADA]]</f>
        <v>-12</v>
      </c>
      <c r="O5727" s="106" t="str">
        <f t="shared" si="177"/>
        <v>Faltando Comprar</v>
      </c>
    </row>
    <row r="5728" spans="1:15" ht="60">
      <c r="A5728" s="46" t="s">
        <v>3259</v>
      </c>
      <c r="B5728" s="46" t="s">
        <v>3263</v>
      </c>
      <c r="C5728" s="17" t="s">
        <v>19</v>
      </c>
      <c r="D5728" s="47" t="s">
        <v>3107</v>
      </c>
      <c r="E5728" s="48">
        <v>100</v>
      </c>
      <c r="F5728" s="47" t="s">
        <v>96</v>
      </c>
      <c r="G5728" s="47" t="s">
        <v>39</v>
      </c>
      <c r="H5728" s="51"/>
      <c r="I5728" s="49">
        <v>65.06</v>
      </c>
      <c r="J5728" s="50">
        <v>6506</v>
      </c>
      <c r="K5728" s="106"/>
      <c r="L5728" s="114"/>
      <c r="M5728" s="114">
        <f>tblAquisições[[#This Row],[VALOR UNITARIO COMPRADO]]*tblAquisições[[#This Row],[QUANTIDADE COMPRADA]]</f>
        <v>0</v>
      </c>
      <c r="N5728" s="110">
        <f>K5728-tblAquisições[[#This Row],[QUANTIDADE PLANEJADA]]</f>
        <v>-100</v>
      </c>
      <c r="O5728" s="106" t="str">
        <f t="shared" si="177"/>
        <v>Faltando Comprar</v>
      </c>
    </row>
    <row r="5729" spans="1:15" ht="45">
      <c r="A5729" s="46" t="s">
        <v>3259</v>
      </c>
      <c r="B5729" s="46" t="s">
        <v>3259</v>
      </c>
      <c r="C5729" s="17" t="s">
        <v>19</v>
      </c>
      <c r="D5729" s="47" t="s">
        <v>3298</v>
      </c>
      <c r="E5729" s="48">
        <v>24</v>
      </c>
      <c r="F5729" s="47" t="s">
        <v>595</v>
      </c>
      <c r="G5729" s="47" t="s">
        <v>39</v>
      </c>
      <c r="H5729" s="48" t="s">
        <v>23</v>
      </c>
      <c r="I5729" s="49">
        <v>78.13</v>
      </c>
      <c r="J5729" s="50">
        <v>1875.12</v>
      </c>
      <c r="K5729" s="106"/>
      <c r="L5729" s="114"/>
      <c r="M5729" s="114">
        <f>tblAquisições[[#This Row],[VALOR UNITARIO COMPRADO]]*tblAquisições[[#This Row],[QUANTIDADE COMPRADA]]</f>
        <v>0</v>
      </c>
      <c r="N5729" s="110">
        <f>K5729-tblAquisições[[#This Row],[QUANTIDADE PLANEJADA]]</f>
        <v>-24</v>
      </c>
      <c r="O5729" s="106" t="str">
        <f t="shared" si="177"/>
        <v>Faltando Comprar</v>
      </c>
    </row>
    <row r="5730" spans="1:15" ht="45">
      <c r="A5730" s="46" t="s">
        <v>3259</v>
      </c>
      <c r="B5730" s="46" t="s">
        <v>3260</v>
      </c>
      <c r="C5730" s="17" t="s">
        <v>19</v>
      </c>
      <c r="D5730" s="47" t="s">
        <v>701</v>
      </c>
      <c r="E5730" s="48">
        <v>100</v>
      </c>
      <c r="F5730" s="47" t="s">
        <v>38</v>
      </c>
      <c r="G5730" s="47" t="s">
        <v>39</v>
      </c>
      <c r="H5730" s="48" t="s">
        <v>23</v>
      </c>
      <c r="I5730" s="49">
        <v>1.39</v>
      </c>
      <c r="J5730" s="50">
        <v>139</v>
      </c>
      <c r="K5730" s="106"/>
      <c r="L5730" s="114"/>
      <c r="M5730" s="114">
        <f>tblAquisições[[#This Row],[VALOR UNITARIO COMPRADO]]*tblAquisições[[#This Row],[QUANTIDADE COMPRADA]]</f>
        <v>0</v>
      </c>
      <c r="N5730" s="110">
        <f>K5730-tblAquisições[[#This Row],[QUANTIDADE PLANEJADA]]</f>
        <v>-100</v>
      </c>
      <c r="O5730" s="106" t="str">
        <f t="shared" si="177"/>
        <v>Faltando Comprar</v>
      </c>
    </row>
    <row r="5731" spans="1:15" ht="45">
      <c r="A5731" s="46" t="s">
        <v>3259</v>
      </c>
      <c r="B5731" s="46" t="s">
        <v>3260</v>
      </c>
      <c r="C5731" s="17" t="s">
        <v>19</v>
      </c>
      <c r="D5731" s="47" t="s">
        <v>3299</v>
      </c>
      <c r="E5731" s="48">
        <v>25</v>
      </c>
      <c r="F5731" s="47" t="s">
        <v>38</v>
      </c>
      <c r="G5731" s="47" t="s">
        <v>39</v>
      </c>
      <c r="H5731" s="48" t="s">
        <v>23</v>
      </c>
      <c r="I5731" s="49">
        <v>12.91</v>
      </c>
      <c r="J5731" s="50">
        <v>322.75</v>
      </c>
      <c r="K5731" s="106"/>
      <c r="L5731" s="114"/>
      <c r="M5731" s="114">
        <f>tblAquisições[[#This Row],[VALOR UNITARIO COMPRADO]]*tblAquisições[[#This Row],[QUANTIDADE COMPRADA]]</f>
        <v>0</v>
      </c>
      <c r="N5731" s="110">
        <f>K5731-tblAquisições[[#This Row],[QUANTIDADE PLANEJADA]]</f>
        <v>-25</v>
      </c>
      <c r="O5731" s="106" t="str">
        <f t="shared" si="177"/>
        <v>Faltando Comprar</v>
      </c>
    </row>
    <row r="5732" spans="1:15" ht="60">
      <c r="A5732" s="46" t="s">
        <v>3259</v>
      </c>
      <c r="B5732" s="46" t="s">
        <v>3259</v>
      </c>
      <c r="C5732" s="17" t="s">
        <v>19</v>
      </c>
      <c r="D5732" s="47" t="s">
        <v>3300</v>
      </c>
      <c r="E5732" s="48">
        <v>3</v>
      </c>
      <c r="F5732" s="47" t="s">
        <v>96</v>
      </c>
      <c r="G5732" s="47" t="s">
        <v>39</v>
      </c>
      <c r="H5732" s="48" t="s">
        <v>23</v>
      </c>
      <c r="I5732" s="49">
        <v>25.13</v>
      </c>
      <c r="J5732" s="50">
        <v>75.39</v>
      </c>
      <c r="K5732" s="106"/>
      <c r="L5732" s="114"/>
      <c r="M5732" s="114">
        <f>tblAquisições[[#This Row],[VALOR UNITARIO COMPRADO]]*tblAquisições[[#This Row],[QUANTIDADE COMPRADA]]</f>
        <v>0</v>
      </c>
      <c r="N5732" s="110">
        <f>K5732-tblAquisições[[#This Row],[QUANTIDADE PLANEJADA]]</f>
        <v>-3</v>
      </c>
      <c r="O5732" s="106" t="str">
        <f t="shared" si="177"/>
        <v>Faltando Comprar</v>
      </c>
    </row>
    <row r="5733" spans="1:15" ht="60">
      <c r="A5733" s="46" t="s">
        <v>3259</v>
      </c>
      <c r="B5733" s="46" t="s">
        <v>3263</v>
      </c>
      <c r="C5733" s="17" t="s">
        <v>19</v>
      </c>
      <c r="D5733" s="47" t="s">
        <v>3300</v>
      </c>
      <c r="E5733" s="48">
        <v>5</v>
      </c>
      <c r="F5733" s="47" t="s">
        <v>96</v>
      </c>
      <c r="G5733" s="47" t="s">
        <v>39</v>
      </c>
      <c r="H5733" s="51"/>
      <c r="I5733" s="49">
        <v>25.13</v>
      </c>
      <c r="J5733" s="50">
        <v>125.64999999999999</v>
      </c>
      <c r="K5733" s="106"/>
      <c r="L5733" s="114"/>
      <c r="M5733" s="114">
        <f>tblAquisições[[#This Row],[VALOR UNITARIO COMPRADO]]*tblAquisições[[#This Row],[QUANTIDADE COMPRADA]]</f>
        <v>0</v>
      </c>
      <c r="N5733" s="110">
        <f>K5733-tblAquisições[[#This Row],[QUANTIDADE PLANEJADA]]</f>
        <v>-5</v>
      </c>
      <c r="O5733" s="106" t="str">
        <f t="shared" si="177"/>
        <v>Faltando Comprar</v>
      </c>
    </row>
    <row r="5734" spans="1:15" ht="45">
      <c r="A5734" s="46" t="s">
        <v>3259</v>
      </c>
      <c r="B5734" s="46" t="s">
        <v>3259</v>
      </c>
      <c r="C5734" s="17" t="s">
        <v>19</v>
      </c>
      <c r="D5734" s="47" t="s">
        <v>2941</v>
      </c>
      <c r="E5734" s="48">
        <v>1</v>
      </c>
      <c r="F5734" s="47" t="s">
        <v>147</v>
      </c>
      <c r="G5734" s="47" t="s">
        <v>39</v>
      </c>
      <c r="H5734" s="48" t="s">
        <v>23</v>
      </c>
      <c r="I5734" s="49">
        <v>80.540000000000006</v>
      </c>
      <c r="J5734" s="50">
        <v>80.540000000000006</v>
      </c>
      <c r="K5734" s="106"/>
      <c r="L5734" s="114"/>
      <c r="M5734" s="114">
        <f>tblAquisições[[#This Row],[VALOR UNITARIO COMPRADO]]*tblAquisições[[#This Row],[QUANTIDADE COMPRADA]]</f>
        <v>0</v>
      </c>
      <c r="N5734" s="110">
        <f>K5734-tblAquisições[[#This Row],[QUANTIDADE PLANEJADA]]</f>
        <v>-1</v>
      </c>
      <c r="O5734" s="106" t="str">
        <f t="shared" si="177"/>
        <v>Faltando Comprar</v>
      </c>
    </row>
    <row r="5735" spans="1:15" ht="45">
      <c r="A5735" s="46" t="s">
        <v>3259</v>
      </c>
      <c r="B5735" s="46" t="s">
        <v>3263</v>
      </c>
      <c r="C5735" s="17" t="s">
        <v>19</v>
      </c>
      <c r="D5735" s="47" t="s">
        <v>2941</v>
      </c>
      <c r="E5735" s="48">
        <v>10</v>
      </c>
      <c r="F5735" s="47" t="s">
        <v>147</v>
      </c>
      <c r="G5735" s="47" t="s">
        <v>39</v>
      </c>
      <c r="H5735" s="51"/>
      <c r="I5735" s="49">
        <v>80.540000000000006</v>
      </c>
      <c r="J5735" s="50">
        <v>805.40000000000009</v>
      </c>
      <c r="K5735" s="106"/>
      <c r="L5735" s="114"/>
      <c r="M5735" s="114">
        <f>tblAquisições[[#This Row],[VALOR UNITARIO COMPRADO]]*tblAquisições[[#This Row],[QUANTIDADE COMPRADA]]</f>
        <v>0</v>
      </c>
      <c r="N5735" s="110">
        <f>K5735-tblAquisições[[#This Row],[QUANTIDADE PLANEJADA]]</f>
        <v>-10</v>
      </c>
      <c r="O5735" s="106" t="str">
        <f t="shared" si="177"/>
        <v>Faltando Comprar</v>
      </c>
    </row>
    <row r="5736" spans="1:15" ht="45">
      <c r="A5736" s="46" t="s">
        <v>3259</v>
      </c>
      <c r="B5736" s="46" t="s">
        <v>3260</v>
      </c>
      <c r="C5736" s="17" t="s">
        <v>19</v>
      </c>
      <c r="D5736" s="47" t="s">
        <v>717</v>
      </c>
      <c r="E5736" s="48">
        <v>100</v>
      </c>
      <c r="F5736" s="47" t="s">
        <v>38</v>
      </c>
      <c r="G5736" s="47" t="s">
        <v>39</v>
      </c>
      <c r="H5736" s="48" t="s">
        <v>23</v>
      </c>
      <c r="I5736" s="49">
        <v>1.331</v>
      </c>
      <c r="J5736" s="50">
        <v>133.1</v>
      </c>
      <c r="K5736" s="106"/>
      <c r="L5736" s="114"/>
      <c r="M5736" s="114">
        <f>tblAquisições[[#This Row],[VALOR UNITARIO COMPRADO]]*tblAquisições[[#This Row],[QUANTIDADE COMPRADA]]</f>
        <v>0</v>
      </c>
      <c r="N5736" s="110">
        <f>K5736-tblAquisições[[#This Row],[QUANTIDADE PLANEJADA]]</f>
        <v>-100</v>
      </c>
      <c r="O5736" s="106" t="str">
        <f t="shared" si="177"/>
        <v>Faltando Comprar</v>
      </c>
    </row>
    <row r="5737" spans="1:15" ht="45">
      <c r="A5737" s="46" t="s">
        <v>3259</v>
      </c>
      <c r="B5737" s="46" t="s">
        <v>3260</v>
      </c>
      <c r="C5737" s="17" t="s">
        <v>19</v>
      </c>
      <c r="D5737" s="47" t="s">
        <v>3301</v>
      </c>
      <c r="E5737" s="48">
        <v>200</v>
      </c>
      <c r="F5737" s="47" t="s">
        <v>38</v>
      </c>
      <c r="G5737" s="47" t="s">
        <v>39</v>
      </c>
      <c r="H5737" s="48" t="s">
        <v>23</v>
      </c>
      <c r="I5737" s="49">
        <v>1.89</v>
      </c>
      <c r="J5737" s="50">
        <v>378</v>
      </c>
      <c r="K5737" s="106"/>
      <c r="L5737" s="114"/>
      <c r="M5737" s="114">
        <f>tblAquisições[[#This Row],[VALOR UNITARIO COMPRADO]]*tblAquisições[[#This Row],[QUANTIDADE COMPRADA]]</f>
        <v>0</v>
      </c>
      <c r="N5737" s="110">
        <f>K5737-tblAquisições[[#This Row],[QUANTIDADE PLANEJADA]]</f>
        <v>-200</v>
      </c>
      <c r="O5737" s="106" t="str">
        <f t="shared" si="177"/>
        <v>Faltando Comprar</v>
      </c>
    </row>
    <row r="5738" spans="1:15" ht="45">
      <c r="A5738" s="46" t="s">
        <v>3259</v>
      </c>
      <c r="B5738" s="46" t="s">
        <v>3260</v>
      </c>
      <c r="C5738" s="17" t="s">
        <v>19</v>
      </c>
      <c r="D5738" s="47" t="s">
        <v>3302</v>
      </c>
      <c r="E5738" s="48">
        <v>100</v>
      </c>
      <c r="F5738" s="47" t="s">
        <v>38</v>
      </c>
      <c r="G5738" s="47" t="s">
        <v>39</v>
      </c>
      <c r="H5738" s="48" t="s">
        <v>23</v>
      </c>
      <c r="I5738" s="49">
        <v>143.86000000000001</v>
      </c>
      <c r="J5738" s="50">
        <v>14386.000000000002</v>
      </c>
      <c r="K5738" s="106"/>
      <c r="L5738" s="114"/>
      <c r="M5738" s="114">
        <f>tblAquisições[[#This Row],[VALOR UNITARIO COMPRADO]]*tblAquisições[[#This Row],[QUANTIDADE COMPRADA]]</f>
        <v>0</v>
      </c>
      <c r="N5738" s="110">
        <f>K5738-tblAquisições[[#This Row],[QUANTIDADE PLANEJADA]]</f>
        <v>-100</v>
      </c>
      <c r="O5738" s="106" t="str">
        <f t="shared" si="177"/>
        <v>Faltando Comprar</v>
      </c>
    </row>
    <row r="5739" spans="1:15" ht="60">
      <c r="A5739" s="46" t="s">
        <v>3259</v>
      </c>
      <c r="B5739" s="46" t="s">
        <v>3260</v>
      </c>
      <c r="C5739" s="17" t="s">
        <v>19</v>
      </c>
      <c r="D5739" s="47" t="s">
        <v>3113</v>
      </c>
      <c r="E5739" s="48">
        <v>3</v>
      </c>
      <c r="F5739" s="47" t="s">
        <v>96</v>
      </c>
      <c r="G5739" s="47" t="s">
        <v>39</v>
      </c>
      <c r="H5739" s="48" t="s">
        <v>65</v>
      </c>
      <c r="I5739" s="52">
        <v>13.76</v>
      </c>
      <c r="J5739" s="50">
        <v>79.98</v>
      </c>
      <c r="K5739" s="106"/>
      <c r="L5739" s="114"/>
      <c r="M5739" s="114">
        <f>tblAquisições[[#This Row],[VALOR UNITARIO COMPRADO]]*tblAquisições[[#This Row],[QUANTIDADE COMPRADA]]</f>
        <v>0</v>
      </c>
      <c r="N5739" s="110">
        <f>K5739-tblAquisições[[#This Row],[QUANTIDADE PLANEJADA]]</f>
        <v>-3</v>
      </c>
      <c r="O5739" s="106" t="str">
        <f t="shared" si="177"/>
        <v>Faltando Comprar</v>
      </c>
    </row>
    <row r="5740" spans="1:15" ht="45">
      <c r="A5740" s="46" t="s">
        <v>3259</v>
      </c>
      <c r="B5740" s="46" t="s">
        <v>3259</v>
      </c>
      <c r="C5740" s="17" t="s">
        <v>19</v>
      </c>
      <c r="D5740" s="47" t="s">
        <v>3303</v>
      </c>
      <c r="E5740" s="48">
        <v>1</v>
      </c>
      <c r="F5740" s="47" t="s">
        <v>38</v>
      </c>
      <c r="G5740" s="47" t="s">
        <v>39</v>
      </c>
      <c r="H5740" s="48" t="s">
        <v>23</v>
      </c>
      <c r="I5740" s="49">
        <v>156.44999999999999</v>
      </c>
      <c r="J5740" s="50">
        <v>156.44999999999999</v>
      </c>
      <c r="K5740" s="106"/>
      <c r="L5740" s="114"/>
      <c r="M5740" s="114">
        <f>tblAquisições[[#This Row],[VALOR UNITARIO COMPRADO]]*tblAquisições[[#This Row],[QUANTIDADE COMPRADA]]</f>
        <v>0</v>
      </c>
      <c r="N5740" s="110">
        <f>K5740-tblAquisições[[#This Row],[QUANTIDADE PLANEJADA]]</f>
        <v>-1</v>
      </c>
      <c r="O5740" s="106" t="str">
        <f t="shared" si="177"/>
        <v>Faltando Comprar</v>
      </c>
    </row>
    <row r="5741" spans="1:15" ht="45">
      <c r="A5741" s="46" t="s">
        <v>3259</v>
      </c>
      <c r="B5741" s="46" t="s">
        <v>3260</v>
      </c>
      <c r="C5741" s="17" t="s">
        <v>19</v>
      </c>
      <c r="D5741" s="47" t="s">
        <v>3303</v>
      </c>
      <c r="E5741" s="48">
        <v>2</v>
      </c>
      <c r="F5741" s="47" t="s">
        <v>38</v>
      </c>
      <c r="G5741" s="47" t="s">
        <v>39</v>
      </c>
      <c r="H5741" s="48" t="s">
        <v>23</v>
      </c>
      <c r="I5741" s="49">
        <v>156.44999999999999</v>
      </c>
      <c r="J5741" s="50">
        <v>312.89999999999998</v>
      </c>
      <c r="K5741" s="106"/>
      <c r="L5741" s="114"/>
      <c r="M5741" s="114">
        <f>tblAquisições[[#This Row],[VALOR UNITARIO COMPRADO]]*tblAquisições[[#This Row],[QUANTIDADE COMPRADA]]</f>
        <v>0</v>
      </c>
      <c r="N5741" s="110">
        <f>K5741-tblAquisições[[#This Row],[QUANTIDADE PLANEJADA]]</f>
        <v>-2</v>
      </c>
      <c r="O5741" s="106" t="str">
        <f t="shared" si="177"/>
        <v>Faltando Comprar</v>
      </c>
    </row>
    <row r="5742" spans="1:15" ht="45">
      <c r="A5742" s="46" t="s">
        <v>3259</v>
      </c>
      <c r="B5742" s="46" t="s">
        <v>3263</v>
      </c>
      <c r="C5742" s="17" t="s">
        <v>19</v>
      </c>
      <c r="D5742" s="47" t="s">
        <v>3303</v>
      </c>
      <c r="E5742" s="48">
        <v>5</v>
      </c>
      <c r="F5742" s="47" t="s">
        <v>38</v>
      </c>
      <c r="G5742" s="47" t="s">
        <v>39</v>
      </c>
      <c r="H5742" s="51"/>
      <c r="I5742" s="49">
        <v>156.44999999999999</v>
      </c>
      <c r="J5742" s="50">
        <v>782.25</v>
      </c>
      <c r="K5742" s="106"/>
      <c r="L5742" s="114"/>
      <c r="M5742" s="114">
        <f>tblAquisições[[#This Row],[VALOR UNITARIO COMPRADO]]*tblAquisições[[#This Row],[QUANTIDADE COMPRADA]]</f>
        <v>0</v>
      </c>
      <c r="N5742" s="110">
        <f>K5742-tblAquisições[[#This Row],[QUANTIDADE PLANEJADA]]</f>
        <v>-5</v>
      </c>
      <c r="O5742" s="106" t="str">
        <f t="shared" si="177"/>
        <v>Faltando Comprar</v>
      </c>
    </row>
    <row r="5743" spans="1:15" ht="60">
      <c r="A5743" s="46" t="s">
        <v>3259</v>
      </c>
      <c r="B5743" s="46" t="s">
        <v>3259</v>
      </c>
      <c r="C5743" s="17" t="s">
        <v>19</v>
      </c>
      <c r="D5743" s="47" t="s">
        <v>761</v>
      </c>
      <c r="E5743" s="48">
        <v>2</v>
      </c>
      <c r="F5743" s="47" t="s">
        <v>96</v>
      </c>
      <c r="G5743" s="47" t="s">
        <v>39</v>
      </c>
      <c r="H5743" s="48" t="s">
        <v>23</v>
      </c>
      <c r="I5743" s="49">
        <v>46.02</v>
      </c>
      <c r="J5743" s="50">
        <v>92.04</v>
      </c>
      <c r="K5743" s="106"/>
      <c r="L5743" s="114"/>
      <c r="M5743" s="114">
        <f>tblAquisições[[#This Row],[VALOR UNITARIO COMPRADO]]*tblAquisições[[#This Row],[QUANTIDADE COMPRADA]]</f>
        <v>0</v>
      </c>
      <c r="N5743" s="110">
        <f>K5743-tblAquisições[[#This Row],[QUANTIDADE PLANEJADA]]</f>
        <v>-2</v>
      </c>
      <c r="O5743" s="106" t="str">
        <f t="shared" si="177"/>
        <v>Faltando Comprar</v>
      </c>
    </row>
    <row r="5744" spans="1:15" ht="60">
      <c r="A5744" s="46" t="s">
        <v>3259</v>
      </c>
      <c r="B5744" s="46" t="s">
        <v>3260</v>
      </c>
      <c r="C5744" s="17" t="s">
        <v>19</v>
      </c>
      <c r="D5744" s="47" t="s">
        <v>761</v>
      </c>
      <c r="E5744" s="48">
        <v>1</v>
      </c>
      <c r="F5744" s="47" t="s">
        <v>96</v>
      </c>
      <c r="G5744" s="47" t="s">
        <v>39</v>
      </c>
      <c r="H5744" s="48" t="s">
        <v>65</v>
      </c>
      <c r="I5744" s="49">
        <v>46.02</v>
      </c>
      <c r="J5744" s="50">
        <v>46.02</v>
      </c>
      <c r="K5744" s="106"/>
      <c r="L5744" s="114"/>
      <c r="M5744" s="114">
        <f>tblAquisições[[#This Row],[VALOR UNITARIO COMPRADO]]*tblAquisições[[#This Row],[QUANTIDADE COMPRADA]]</f>
        <v>0</v>
      </c>
      <c r="N5744" s="110">
        <f>K5744-tblAquisições[[#This Row],[QUANTIDADE PLANEJADA]]</f>
        <v>-1</v>
      </c>
      <c r="O5744" s="106" t="str">
        <f t="shared" si="177"/>
        <v>Faltando Comprar</v>
      </c>
    </row>
    <row r="5745" spans="1:15" ht="60">
      <c r="A5745" s="46" t="s">
        <v>3259</v>
      </c>
      <c r="B5745" s="46" t="s">
        <v>3263</v>
      </c>
      <c r="C5745" s="17" t="s">
        <v>19</v>
      </c>
      <c r="D5745" s="47" t="s">
        <v>761</v>
      </c>
      <c r="E5745" s="48">
        <v>10</v>
      </c>
      <c r="F5745" s="47" t="s">
        <v>96</v>
      </c>
      <c r="G5745" s="47" t="s">
        <v>39</v>
      </c>
      <c r="H5745" s="51"/>
      <c r="I5745" s="49">
        <v>46.02</v>
      </c>
      <c r="J5745" s="50">
        <v>460.20000000000005</v>
      </c>
      <c r="K5745" s="106"/>
      <c r="L5745" s="114"/>
      <c r="M5745" s="114">
        <f>tblAquisições[[#This Row],[VALOR UNITARIO COMPRADO]]*tblAquisições[[#This Row],[QUANTIDADE COMPRADA]]</f>
        <v>0</v>
      </c>
      <c r="N5745" s="110">
        <f>K5745-tblAquisições[[#This Row],[QUANTIDADE PLANEJADA]]</f>
        <v>-10</v>
      </c>
      <c r="O5745" s="106" t="str">
        <f t="shared" si="177"/>
        <v>Faltando Comprar</v>
      </c>
    </row>
    <row r="5746" spans="1:15" ht="45">
      <c r="A5746" s="46" t="s">
        <v>3259</v>
      </c>
      <c r="B5746" s="46" t="s">
        <v>3260</v>
      </c>
      <c r="C5746" s="17" t="s">
        <v>19</v>
      </c>
      <c r="D5746" s="47" t="s">
        <v>3304</v>
      </c>
      <c r="E5746" s="48">
        <v>5</v>
      </c>
      <c r="F5746" s="47" t="s">
        <v>38</v>
      </c>
      <c r="G5746" s="47" t="s">
        <v>39</v>
      </c>
      <c r="H5746" s="48" t="s">
        <v>23</v>
      </c>
      <c r="I5746" s="49">
        <v>10.44</v>
      </c>
      <c r="J5746" s="50">
        <v>52.199999999999996</v>
      </c>
      <c r="K5746" s="106"/>
      <c r="L5746" s="114"/>
      <c r="M5746" s="114">
        <f>tblAquisições[[#This Row],[VALOR UNITARIO COMPRADO]]*tblAquisições[[#This Row],[QUANTIDADE COMPRADA]]</f>
        <v>0</v>
      </c>
      <c r="N5746" s="110">
        <f>K5746-tblAquisições[[#This Row],[QUANTIDADE PLANEJADA]]</f>
        <v>-5</v>
      </c>
      <c r="O5746" s="106" t="str">
        <f t="shared" si="177"/>
        <v>Faltando Comprar</v>
      </c>
    </row>
    <row r="5747" spans="1:15" ht="45">
      <c r="A5747" s="46" t="s">
        <v>3259</v>
      </c>
      <c r="B5747" s="46" t="s">
        <v>3260</v>
      </c>
      <c r="C5747" s="17" t="s">
        <v>19</v>
      </c>
      <c r="D5747" s="47" t="s">
        <v>790</v>
      </c>
      <c r="E5747" s="48">
        <v>100</v>
      </c>
      <c r="F5747" s="47" t="s">
        <v>38</v>
      </c>
      <c r="G5747" s="47" t="s">
        <v>39</v>
      </c>
      <c r="H5747" s="48" t="s">
        <v>23</v>
      </c>
      <c r="I5747" s="49">
        <v>1.61</v>
      </c>
      <c r="J5747" s="50">
        <v>161</v>
      </c>
      <c r="K5747" s="106"/>
      <c r="L5747" s="114"/>
      <c r="M5747" s="114">
        <f>tblAquisições[[#This Row],[VALOR UNITARIO COMPRADO]]*tblAquisições[[#This Row],[QUANTIDADE COMPRADA]]</f>
        <v>0</v>
      </c>
      <c r="N5747" s="110">
        <f>K5747-tblAquisições[[#This Row],[QUANTIDADE PLANEJADA]]</f>
        <v>-100</v>
      </c>
      <c r="O5747" s="106" t="str">
        <f t="shared" si="177"/>
        <v>Faltando Comprar</v>
      </c>
    </row>
    <row r="5748" spans="1:15" ht="45">
      <c r="A5748" s="46" t="s">
        <v>3259</v>
      </c>
      <c r="B5748" s="46" t="s">
        <v>3259</v>
      </c>
      <c r="C5748" s="17" t="s">
        <v>19</v>
      </c>
      <c r="D5748" s="47" t="s">
        <v>3305</v>
      </c>
      <c r="E5748" s="48">
        <v>2</v>
      </c>
      <c r="F5748" s="47" t="s">
        <v>38</v>
      </c>
      <c r="G5748" s="47" t="s">
        <v>39</v>
      </c>
      <c r="H5748" s="48" t="s">
        <v>23</v>
      </c>
      <c r="I5748" s="49">
        <v>13.48</v>
      </c>
      <c r="J5748" s="50">
        <v>26.96</v>
      </c>
      <c r="K5748" s="106"/>
      <c r="L5748" s="114"/>
      <c r="M5748" s="114">
        <f>tblAquisições[[#This Row],[VALOR UNITARIO COMPRADO]]*tblAquisições[[#This Row],[QUANTIDADE COMPRADA]]</f>
        <v>0</v>
      </c>
      <c r="N5748" s="110">
        <f>K5748-tblAquisições[[#This Row],[QUANTIDADE PLANEJADA]]</f>
        <v>-2</v>
      </c>
      <c r="O5748" s="106" t="str">
        <f t="shared" si="177"/>
        <v>Faltando Comprar</v>
      </c>
    </row>
    <row r="5749" spans="1:15" ht="45">
      <c r="A5749" s="46" t="s">
        <v>3259</v>
      </c>
      <c r="B5749" s="46" t="s">
        <v>3263</v>
      </c>
      <c r="C5749" s="17" t="s">
        <v>19</v>
      </c>
      <c r="D5749" s="47" t="s">
        <v>3305</v>
      </c>
      <c r="E5749" s="48">
        <v>5</v>
      </c>
      <c r="F5749" s="47" t="s">
        <v>38</v>
      </c>
      <c r="G5749" s="47" t="s">
        <v>39</v>
      </c>
      <c r="H5749" s="51"/>
      <c r="I5749" s="49">
        <v>13.48</v>
      </c>
      <c r="J5749" s="50">
        <v>67.400000000000006</v>
      </c>
      <c r="K5749" s="106"/>
      <c r="L5749" s="114"/>
      <c r="M5749" s="114">
        <f>tblAquisições[[#This Row],[VALOR UNITARIO COMPRADO]]*tblAquisições[[#This Row],[QUANTIDADE COMPRADA]]</f>
        <v>0</v>
      </c>
      <c r="N5749" s="110">
        <f>K5749-tblAquisições[[#This Row],[QUANTIDADE PLANEJADA]]</f>
        <v>-5</v>
      </c>
      <c r="O5749" s="106" t="str">
        <f t="shared" si="177"/>
        <v>Faltando Comprar</v>
      </c>
    </row>
    <row r="5750" spans="1:15" ht="45">
      <c r="A5750" s="46" t="s">
        <v>3259</v>
      </c>
      <c r="B5750" s="46" t="s">
        <v>3260</v>
      </c>
      <c r="C5750" s="17" t="s">
        <v>19</v>
      </c>
      <c r="D5750" s="47" t="s">
        <v>3306</v>
      </c>
      <c r="E5750" s="48">
        <v>4</v>
      </c>
      <c r="F5750" s="47" t="s">
        <v>147</v>
      </c>
      <c r="G5750" s="47" t="s">
        <v>39</v>
      </c>
      <c r="H5750" s="48" t="s">
        <v>23</v>
      </c>
      <c r="I5750" s="49">
        <v>5.72</v>
      </c>
      <c r="J5750" s="50">
        <v>22.88</v>
      </c>
      <c r="K5750" s="106"/>
      <c r="L5750" s="114"/>
      <c r="M5750" s="114">
        <f>tblAquisições[[#This Row],[VALOR UNITARIO COMPRADO]]*tblAquisições[[#This Row],[QUANTIDADE COMPRADA]]</f>
        <v>0</v>
      </c>
      <c r="N5750" s="110">
        <f>K5750-tblAquisições[[#This Row],[QUANTIDADE PLANEJADA]]</f>
        <v>-4</v>
      </c>
      <c r="O5750" s="106" t="str">
        <f t="shared" si="177"/>
        <v>Faltando Comprar</v>
      </c>
    </row>
    <row r="5751" spans="1:15" ht="60">
      <c r="A5751" s="46" t="s">
        <v>3259</v>
      </c>
      <c r="B5751" s="46" t="s">
        <v>3259</v>
      </c>
      <c r="C5751" s="17" t="s">
        <v>19</v>
      </c>
      <c r="D5751" s="47" t="s">
        <v>3307</v>
      </c>
      <c r="E5751" s="48">
        <v>12</v>
      </c>
      <c r="F5751" s="47" t="s">
        <v>96</v>
      </c>
      <c r="G5751" s="47" t="s">
        <v>39</v>
      </c>
      <c r="H5751" s="48" t="s">
        <v>23</v>
      </c>
      <c r="I5751" s="49">
        <v>16.38</v>
      </c>
      <c r="J5751" s="50">
        <v>196.56</v>
      </c>
      <c r="K5751" s="106"/>
      <c r="L5751" s="114"/>
      <c r="M5751" s="114">
        <f>tblAquisições[[#This Row],[VALOR UNITARIO COMPRADO]]*tblAquisições[[#This Row],[QUANTIDADE COMPRADA]]</f>
        <v>0</v>
      </c>
      <c r="N5751" s="110">
        <f>K5751-tblAquisições[[#This Row],[QUANTIDADE PLANEJADA]]</f>
        <v>-12</v>
      </c>
      <c r="O5751" s="106" t="str">
        <f t="shared" si="177"/>
        <v>Faltando Comprar</v>
      </c>
    </row>
    <row r="5752" spans="1:15" ht="60">
      <c r="A5752" s="46" t="s">
        <v>3259</v>
      </c>
      <c r="B5752" s="46" t="s">
        <v>3263</v>
      </c>
      <c r="C5752" s="17" t="s">
        <v>19</v>
      </c>
      <c r="D5752" s="47" t="s">
        <v>3307</v>
      </c>
      <c r="E5752" s="48">
        <v>100</v>
      </c>
      <c r="F5752" s="47" t="s">
        <v>96</v>
      </c>
      <c r="G5752" s="47" t="s">
        <v>39</v>
      </c>
      <c r="H5752" s="51"/>
      <c r="I5752" s="49">
        <v>16.38</v>
      </c>
      <c r="J5752" s="50">
        <v>1638</v>
      </c>
      <c r="K5752" s="106"/>
      <c r="L5752" s="114"/>
      <c r="M5752" s="114">
        <f>tblAquisições[[#This Row],[VALOR UNITARIO COMPRADO]]*tblAquisições[[#This Row],[QUANTIDADE COMPRADA]]</f>
        <v>0</v>
      </c>
      <c r="N5752" s="110">
        <f>K5752-tblAquisições[[#This Row],[QUANTIDADE PLANEJADA]]</f>
        <v>-100</v>
      </c>
      <c r="O5752" s="106" t="str">
        <f t="shared" si="177"/>
        <v>Faltando Comprar</v>
      </c>
    </row>
    <row r="5753" spans="1:15" ht="45">
      <c r="A5753" s="46" t="s">
        <v>3259</v>
      </c>
      <c r="B5753" s="46" t="s">
        <v>3259</v>
      </c>
      <c r="C5753" s="17" t="s">
        <v>19</v>
      </c>
      <c r="D5753" s="47" t="s">
        <v>3308</v>
      </c>
      <c r="E5753" s="48">
        <v>2</v>
      </c>
      <c r="F5753" s="47" t="s">
        <v>38</v>
      </c>
      <c r="G5753" s="47" t="s">
        <v>39</v>
      </c>
      <c r="H5753" s="48" t="s">
        <v>23</v>
      </c>
      <c r="I5753" s="49">
        <v>164.91</v>
      </c>
      <c r="J5753" s="50">
        <v>329.82</v>
      </c>
      <c r="K5753" s="106"/>
      <c r="L5753" s="114"/>
      <c r="M5753" s="114">
        <f>tblAquisições[[#This Row],[VALOR UNITARIO COMPRADO]]*tblAquisições[[#This Row],[QUANTIDADE COMPRADA]]</f>
        <v>0</v>
      </c>
      <c r="N5753" s="110">
        <f>K5753-tblAquisições[[#This Row],[QUANTIDADE PLANEJADA]]</f>
        <v>-2</v>
      </c>
      <c r="O5753" s="106" t="str">
        <f t="shared" si="177"/>
        <v>Faltando Comprar</v>
      </c>
    </row>
    <row r="5754" spans="1:15" ht="45">
      <c r="A5754" s="46" t="s">
        <v>3259</v>
      </c>
      <c r="B5754" s="46" t="s">
        <v>3263</v>
      </c>
      <c r="C5754" s="17" t="s">
        <v>19</v>
      </c>
      <c r="D5754" s="47" t="s">
        <v>3308</v>
      </c>
      <c r="E5754" s="48">
        <v>15</v>
      </c>
      <c r="F5754" s="47" t="s">
        <v>38</v>
      </c>
      <c r="G5754" s="47" t="s">
        <v>39</v>
      </c>
      <c r="H5754" s="51"/>
      <c r="I5754" s="49">
        <v>164.91</v>
      </c>
      <c r="J5754" s="50">
        <v>2473.65</v>
      </c>
      <c r="K5754" s="106"/>
      <c r="L5754" s="114"/>
      <c r="M5754" s="114">
        <f>tblAquisições[[#This Row],[VALOR UNITARIO COMPRADO]]*tblAquisições[[#This Row],[QUANTIDADE COMPRADA]]</f>
        <v>0</v>
      </c>
      <c r="N5754" s="110">
        <f>K5754-tblAquisições[[#This Row],[QUANTIDADE PLANEJADA]]</f>
        <v>-15</v>
      </c>
      <c r="O5754" s="106" t="str">
        <f t="shared" si="177"/>
        <v>Faltando Comprar</v>
      </c>
    </row>
    <row r="5755" spans="1:15" ht="60">
      <c r="A5755" s="46" t="s">
        <v>3259</v>
      </c>
      <c r="B5755" s="46" t="s">
        <v>3260</v>
      </c>
      <c r="C5755" s="17" t="s">
        <v>19</v>
      </c>
      <c r="D5755" s="47" t="s">
        <v>3309</v>
      </c>
      <c r="E5755" s="48">
        <v>6</v>
      </c>
      <c r="F5755" s="47" t="s">
        <v>96</v>
      </c>
      <c r="G5755" s="47" t="s">
        <v>39</v>
      </c>
      <c r="H5755" s="48" t="s">
        <v>23</v>
      </c>
      <c r="I5755" s="49">
        <v>8.5299999999999994</v>
      </c>
      <c r="J5755" s="50">
        <v>51.179999999999993</v>
      </c>
      <c r="K5755" s="106"/>
      <c r="L5755" s="114"/>
      <c r="M5755" s="114">
        <f>tblAquisições[[#This Row],[VALOR UNITARIO COMPRADO]]*tblAquisições[[#This Row],[QUANTIDADE COMPRADA]]</f>
        <v>0</v>
      </c>
      <c r="N5755" s="110">
        <f>K5755-tblAquisições[[#This Row],[QUANTIDADE PLANEJADA]]</f>
        <v>-6</v>
      </c>
      <c r="O5755" s="106" t="str">
        <f t="shared" si="177"/>
        <v>Faltando Comprar</v>
      </c>
    </row>
    <row r="5756" spans="1:15" ht="60">
      <c r="A5756" s="46" t="s">
        <v>3259</v>
      </c>
      <c r="B5756" s="46" t="s">
        <v>3259</v>
      </c>
      <c r="C5756" s="17" t="s">
        <v>19</v>
      </c>
      <c r="D5756" s="47" t="s">
        <v>835</v>
      </c>
      <c r="E5756" s="48">
        <v>1</v>
      </c>
      <c r="F5756" s="47" t="s">
        <v>191</v>
      </c>
      <c r="G5756" s="47" t="s">
        <v>39</v>
      </c>
      <c r="H5756" s="48" t="s">
        <v>65</v>
      </c>
      <c r="I5756" s="52">
        <v>67.900000000000006</v>
      </c>
      <c r="J5756" s="50">
        <v>2.59</v>
      </c>
      <c r="K5756" s="106"/>
      <c r="L5756" s="114"/>
      <c r="M5756" s="114">
        <f>tblAquisições[[#This Row],[VALOR UNITARIO COMPRADO]]*tblAquisições[[#This Row],[QUANTIDADE COMPRADA]]</f>
        <v>0</v>
      </c>
      <c r="N5756" s="110">
        <f>K5756-tblAquisições[[#This Row],[QUANTIDADE PLANEJADA]]</f>
        <v>-1</v>
      </c>
      <c r="O5756" s="106" t="str">
        <f t="shared" si="177"/>
        <v>Faltando Comprar</v>
      </c>
    </row>
    <row r="5757" spans="1:15" ht="60">
      <c r="A5757" s="46" t="s">
        <v>3259</v>
      </c>
      <c r="B5757" s="46" t="s">
        <v>3263</v>
      </c>
      <c r="C5757" s="17" t="s">
        <v>19</v>
      </c>
      <c r="D5757" s="47" t="s">
        <v>835</v>
      </c>
      <c r="E5757" s="48">
        <v>10</v>
      </c>
      <c r="F5757" s="47" t="s">
        <v>191</v>
      </c>
      <c r="G5757" s="47" t="s">
        <v>39</v>
      </c>
      <c r="H5757" s="51"/>
      <c r="I5757" s="49">
        <v>2.59</v>
      </c>
      <c r="J5757" s="50">
        <v>25.9</v>
      </c>
      <c r="K5757" s="106"/>
      <c r="L5757" s="114"/>
      <c r="M5757" s="114">
        <f>tblAquisições[[#This Row],[VALOR UNITARIO COMPRADO]]*tblAquisições[[#This Row],[QUANTIDADE COMPRADA]]</f>
        <v>0</v>
      </c>
      <c r="N5757" s="110">
        <f>K5757-tblAquisições[[#This Row],[QUANTIDADE PLANEJADA]]</f>
        <v>-10</v>
      </c>
      <c r="O5757" s="106" t="str">
        <f t="shared" si="177"/>
        <v>Faltando Comprar</v>
      </c>
    </row>
    <row r="5758" spans="1:15" ht="75">
      <c r="A5758" s="46" t="s">
        <v>3259</v>
      </c>
      <c r="B5758" s="46" t="s">
        <v>3260</v>
      </c>
      <c r="C5758" s="17" t="s">
        <v>19</v>
      </c>
      <c r="D5758" s="47" t="s">
        <v>3310</v>
      </c>
      <c r="E5758" s="48">
        <v>4</v>
      </c>
      <c r="F5758" s="47" t="s">
        <v>2750</v>
      </c>
      <c r="G5758" s="47" t="s">
        <v>39</v>
      </c>
      <c r="H5758" s="48" t="s">
        <v>23</v>
      </c>
      <c r="I5758" s="49">
        <v>13.96</v>
      </c>
      <c r="J5758" s="50">
        <v>55.84</v>
      </c>
      <c r="K5758" s="106"/>
      <c r="L5758" s="114"/>
      <c r="M5758" s="114">
        <f>tblAquisições[[#This Row],[VALOR UNITARIO COMPRADO]]*tblAquisições[[#This Row],[QUANTIDADE COMPRADA]]</f>
        <v>0</v>
      </c>
      <c r="N5758" s="110">
        <f>K5758-tblAquisições[[#This Row],[QUANTIDADE PLANEJADA]]</f>
        <v>-4</v>
      </c>
      <c r="O5758" s="106" t="str">
        <f t="shared" si="177"/>
        <v>Faltando Comprar</v>
      </c>
    </row>
    <row r="5759" spans="1:15" ht="45">
      <c r="A5759" s="46" t="s">
        <v>3259</v>
      </c>
      <c r="B5759" s="46" t="s">
        <v>3259</v>
      </c>
      <c r="C5759" s="17" t="s">
        <v>19</v>
      </c>
      <c r="D5759" s="47" t="s">
        <v>3311</v>
      </c>
      <c r="E5759" s="48">
        <v>5</v>
      </c>
      <c r="F5759" s="47" t="s">
        <v>147</v>
      </c>
      <c r="G5759" s="47" t="s">
        <v>39</v>
      </c>
      <c r="H5759" s="48" t="s">
        <v>23</v>
      </c>
      <c r="I5759" s="49">
        <v>9.1</v>
      </c>
      <c r="J5759" s="50">
        <v>45.5</v>
      </c>
      <c r="K5759" s="106"/>
      <c r="L5759" s="114"/>
      <c r="M5759" s="114">
        <f>tblAquisições[[#This Row],[VALOR UNITARIO COMPRADO]]*tblAquisições[[#This Row],[QUANTIDADE COMPRADA]]</f>
        <v>0</v>
      </c>
      <c r="N5759" s="110">
        <f>K5759-tblAquisições[[#This Row],[QUANTIDADE PLANEJADA]]</f>
        <v>-5</v>
      </c>
      <c r="O5759" s="106" t="str">
        <f t="shared" si="177"/>
        <v>Faltando Comprar</v>
      </c>
    </row>
    <row r="5760" spans="1:15" ht="45">
      <c r="A5760" s="46" t="s">
        <v>3259</v>
      </c>
      <c r="B5760" s="46" t="s">
        <v>3263</v>
      </c>
      <c r="C5760" s="17" t="s">
        <v>19</v>
      </c>
      <c r="D5760" s="47" t="s">
        <v>3311</v>
      </c>
      <c r="E5760" s="48">
        <v>15</v>
      </c>
      <c r="F5760" s="47" t="s">
        <v>147</v>
      </c>
      <c r="G5760" s="47" t="s">
        <v>39</v>
      </c>
      <c r="H5760" s="51"/>
      <c r="I5760" s="49">
        <v>9.1</v>
      </c>
      <c r="J5760" s="50">
        <v>136.5</v>
      </c>
      <c r="K5760" s="106"/>
      <c r="L5760" s="114"/>
      <c r="M5760" s="114">
        <f>tblAquisições[[#This Row],[VALOR UNITARIO COMPRADO]]*tblAquisições[[#This Row],[QUANTIDADE COMPRADA]]</f>
        <v>0</v>
      </c>
      <c r="N5760" s="110">
        <f>K5760-tblAquisições[[#This Row],[QUANTIDADE PLANEJADA]]</f>
        <v>-15</v>
      </c>
      <c r="O5760" s="106" t="str">
        <f t="shared" si="177"/>
        <v>Faltando Comprar</v>
      </c>
    </row>
    <row r="5761" spans="1:15" ht="75">
      <c r="A5761" s="46" t="s">
        <v>3259</v>
      </c>
      <c r="B5761" s="46" t="s">
        <v>3259</v>
      </c>
      <c r="C5761" s="17" t="s">
        <v>19</v>
      </c>
      <c r="D5761" s="47" t="s">
        <v>3312</v>
      </c>
      <c r="E5761" s="48">
        <v>25</v>
      </c>
      <c r="F5761" s="47" t="s">
        <v>2762</v>
      </c>
      <c r="G5761" s="47" t="s">
        <v>39</v>
      </c>
      <c r="H5761" s="48" t="s">
        <v>23</v>
      </c>
      <c r="I5761" s="49">
        <v>20.55</v>
      </c>
      <c r="J5761" s="50">
        <v>513.75</v>
      </c>
      <c r="K5761" s="106"/>
      <c r="L5761" s="114"/>
      <c r="M5761" s="114">
        <f>tblAquisições[[#This Row],[VALOR UNITARIO COMPRADO]]*tblAquisições[[#This Row],[QUANTIDADE COMPRADA]]</f>
        <v>0</v>
      </c>
      <c r="N5761" s="110">
        <f>K5761-tblAquisições[[#This Row],[QUANTIDADE PLANEJADA]]</f>
        <v>-25</v>
      </c>
      <c r="O5761" s="106" t="str">
        <f t="shared" si="177"/>
        <v>Faltando Comprar</v>
      </c>
    </row>
    <row r="5762" spans="1:15" ht="75">
      <c r="A5762" s="46" t="s">
        <v>3259</v>
      </c>
      <c r="B5762" s="46" t="s">
        <v>3263</v>
      </c>
      <c r="C5762" s="17" t="s">
        <v>19</v>
      </c>
      <c r="D5762" s="47" t="s">
        <v>3312</v>
      </c>
      <c r="E5762" s="48">
        <v>250</v>
      </c>
      <c r="F5762" s="47" t="s">
        <v>2762</v>
      </c>
      <c r="G5762" s="47" t="s">
        <v>39</v>
      </c>
      <c r="H5762" s="51"/>
      <c r="I5762" s="49">
        <v>20.55</v>
      </c>
      <c r="J5762" s="50">
        <v>5137.5</v>
      </c>
      <c r="K5762" s="106"/>
      <c r="L5762" s="114"/>
      <c r="M5762" s="114">
        <f>tblAquisições[[#This Row],[VALOR UNITARIO COMPRADO]]*tblAquisições[[#This Row],[QUANTIDADE COMPRADA]]</f>
        <v>0</v>
      </c>
      <c r="N5762" s="110">
        <f>K5762-tblAquisições[[#This Row],[QUANTIDADE PLANEJADA]]</f>
        <v>-250</v>
      </c>
      <c r="O5762" s="106" t="str">
        <f t="shared" ref="O5762:O5825" si="178">IF(K5762=E5762,"OK",IF(K5762&lt;E5762,"Faltando Comprar","Excedente"))</f>
        <v>Faltando Comprar</v>
      </c>
    </row>
    <row r="5763" spans="1:15" ht="45">
      <c r="A5763" s="46" t="s">
        <v>3259</v>
      </c>
      <c r="B5763" s="46" t="s">
        <v>3267</v>
      </c>
      <c r="C5763" s="17" t="s">
        <v>19</v>
      </c>
      <c r="D5763" s="47" t="s">
        <v>3313</v>
      </c>
      <c r="E5763" s="48">
        <v>25</v>
      </c>
      <c r="F5763" s="47" t="s">
        <v>56</v>
      </c>
      <c r="G5763" s="47" t="s">
        <v>39</v>
      </c>
      <c r="H5763" s="51"/>
      <c r="I5763" s="49">
        <v>53.43</v>
      </c>
      <c r="J5763" s="50">
        <v>1335.75</v>
      </c>
      <c r="K5763" s="106"/>
      <c r="L5763" s="114"/>
      <c r="M5763" s="114">
        <f>tblAquisições[[#This Row],[VALOR UNITARIO COMPRADO]]*tblAquisições[[#This Row],[QUANTIDADE COMPRADA]]</f>
        <v>0</v>
      </c>
      <c r="N5763" s="110">
        <f>K5763-tblAquisições[[#This Row],[QUANTIDADE PLANEJADA]]</f>
        <v>-25</v>
      </c>
      <c r="O5763" s="106" t="str">
        <f t="shared" si="178"/>
        <v>Faltando Comprar</v>
      </c>
    </row>
    <row r="5764" spans="1:15" ht="60">
      <c r="A5764" s="46" t="s">
        <v>3259</v>
      </c>
      <c r="B5764" s="46" t="s">
        <v>3267</v>
      </c>
      <c r="C5764" s="17" t="s">
        <v>19</v>
      </c>
      <c r="D5764" s="47" t="s">
        <v>3314</v>
      </c>
      <c r="E5764" s="48">
        <v>25</v>
      </c>
      <c r="F5764" s="47" t="s">
        <v>191</v>
      </c>
      <c r="G5764" s="47" t="s">
        <v>39</v>
      </c>
      <c r="H5764" s="51"/>
      <c r="I5764" s="49">
        <v>6.84</v>
      </c>
      <c r="J5764" s="50">
        <v>171</v>
      </c>
      <c r="K5764" s="106"/>
      <c r="L5764" s="114"/>
      <c r="M5764" s="114">
        <f>tblAquisições[[#This Row],[VALOR UNITARIO COMPRADO]]*tblAquisições[[#This Row],[QUANTIDADE COMPRADA]]</f>
        <v>0</v>
      </c>
      <c r="N5764" s="110">
        <f>K5764-tblAquisições[[#This Row],[QUANTIDADE PLANEJADA]]</f>
        <v>-25</v>
      </c>
      <c r="O5764" s="106" t="str">
        <f t="shared" si="178"/>
        <v>Faltando Comprar</v>
      </c>
    </row>
    <row r="5765" spans="1:15" ht="60">
      <c r="A5765" s="46" t="s">
        <v>3259</v>
      </c>
      <c r="B5765" s="46" t="s">
        <v>3259</v>
      </c>
      <c r="C5765" s="17" t="s">
        <v>19</v>
      </c>
      <c r="D5765" s="47" t="s">
        <v>2780</v>
      </c>
      <c r="E5765" s="48">
        <v>5</v>
      </c>
      <c r="F5765" s="47" t="s">
        <v>96</v>
      </c>
      <c r="G5765" s="47" t="s">
        <v>39</v>
      </c>
      <c r="H5765" s="48" t="s">
        <v>65</v>
      </c>
      <c r="I5765" s="52">
        <v>147.83000000000001</v>
      </c>
      <c r="J5765" s="50">
        <v>34.25</v>
      </c>
      <c r="K5765" s="106"/>
      <c r="L5765" s="114"/>
      <c r="M5765" s="114">
        <f>tblAquisições[[#This Row],[VALOR UNITARIO COMPRADO]]*tblAquisições[[#This Row],[QUANTIDADE COMPRADA]]</f>
        <v>0</v>
      </c>
      <c r="N5765" s="110">
        <f>K5765-tblAquisições[[#This Row],[QUANTIDADE PLANEJADA]]</f>
        <v>-5</v>
      </c>
      <c r="O5765" s="106" t="str">
        <f t="shared" si="178"/>
        <v>Faltando Comprar</v>
      </c>
    </row>
    <row r="5766" spans="1:15" ht="60">
      <c r="A5766" s="46" t="s">
        <v>3259</v>
      </c>
      <c r="B5766" s="46" t="s">
        <v>3263</v>
      </c>
      <c r="C5766" s="17" t="s">
        <v>19</v>
      </c>
      <c r="D5766" s="47" t="s">
        <v>2780</v>
      </c>
      <c r="E5766" s="48">
        <v>10</v>
      </c>
      <c r="F5766" s="47" t="s">
        <v>96</v>
      </c>
      <c r="G5766" s="47" t="s">
        <v>39</v>
      </c>
      <c r="H5766" s="51"/>
      <c r="I5766" s="49">
        <v>6.85</v>
      </c>
      <c r="J5766" s="50">
        <v>68.5</v>
      </c>
      <c r="K5766" s="106"/>
      <c r="L5766" s="114"/>
      <c r="M5766" s="114">
        <f>tblAquisições[[#This Row],[VALOR UNITARIO COMPRADO]]*tblAquisições[[#This Row],[QUANTIDADE COMPRADA]]</f>
        <v>0</v>
      </c>
      <c r="N5766" s="110">
        <f>K5766-tblAquisições[[#This Row],[QUANTIDADE PLANEJADA]]</f>
        <v>-10</v>
      </c>
      <c r="O5766" s="106" t="str">
        <f t="shared" si="178"/>
        <v>Faltando Comprar</v>
      </c>
    </row>
    <row r="5767" spans="1:15" ht="60">
      <c r="A5767" s="46" t="s">
        <v>3259</v>
      </c>
      <c r="B5767" s="46" t="s">
        <v>3259</v>
      </c>
      <c r="C5767" s="17" t="s">
        <v>19</v>
      </c>
      <c r="D5767" s="47" t="s">
        <v>3315</v>
      </c>
      <c r="E5767" s="48">
        <v>3</v>
      </c>
      <c r="F5767" s="47" t="s">
        <v>96</v>
      </c>
      <c r="G5767" s="47" t="s">
        <v>39</v>
      </c>
      <c r="H5767" s="48" t="s">
        <v>23</v>
      </c>
      <c r="I5767" s="49">
        <v>443.73</v>
      </c>
      <c r="J5767" s="50">
        <v>1331.19</v>
      </c>
      <c r="K5767" s="106"/>
      <c r="L5767" s="114"/>
      <c r="M5767" s="114">
        <f>tblAquisições[[#This Row],[VALOR UNITARIO COMPRADO]]*tblAquisições[[#This Row],[QUANTIDADE COMPRADA]]</f>
        <v>0</v>
      </c>
      <c r="N5767" s="110">
        <f>K5767-tblAquisições[[#This Row],[QUANTIDADE PLANEJADA]]</f>
        <v>-3</v>
      </c>
      <c r="O5767" s="106" t="str">
        <f t="shared" si="178"/>
        <v>Faltando Comprar</v>
      </c>
    </row>
    <row r="5768" spans="1:15" ht="60">
      <c r="A5768" s="46" t="s">
        <v>3259</v>
      </c>
      <c r="B5768" s="46" t="s">
        <v>3263</v>
      </c>
      <c r="C5768" s="17" t="s">
        <v>19</v>
      </c>
      <c r="D5768" s="47" t="s">
        <v>3315</v>
      </c>
      <c r="E5768" s="48">
        <v>5</v>
      </c>
      <c r="F5768" s="47" t="s">
        <v>96</v>
      </c>
      <c r="G5768" s="47" t="s">
        <v>39</v>
      </c>
      <c r="H5768" s="51"/>
      <c r="I5768" s="49">
        <v>443.73</v>
      </c>
      <c r="J5768" s="50">
        <v>2218.65</v>
      </c>
      <c r="K5768" s="106"/>
      <c r="L5768" s="114"/>
      <c r="M5768" s="114">
        <f>tblAquisições[[#This Row],[VALOR UNITARIO COMPRADO]]*tblAquisições[[#This Row],[QUANTIDADE COMPRADA]]</f>
        <v>0</v>
      </c>
      <c r="N5768" s="110">
        <f>K5768-tblAquisições[[#This Row],[QUANTIDADE PLANEJADA]]</f>
        <v>-5</v>
      </c>
      <c r="O5768" s="106" t="str">
        <f t="shared" si="178"/>
        <v>Faltando Comprar</v>
      </c>
    </row>
    <row r="5769" spans="1:15" ht="45">
      <c r="A5769" s="46" t="s">
        <v>3259</v>
      </c>
      <c r="B5769" s="46" t="s">
        <v>3259</v>
      </c>
      <c r="C5769" s="17" t="s">
        <v>19</v>
      </c>
      <c r="D5769" s="47" t="s">
        <v>3316</v>
      </c>
      <c r="E5769" s="48">
        <v>10</v>
      </c>
      <c r="F5769" s="47" t="s">
        <v>2865</v>
      </c>
      <c r="G5769" s="47" t="s">
        <v>39</v>
      </c>
      <c r="H5769" s="48" t="s">
        <v>23</v>
      </c>
      <c r="I5769" s="49">
        <v>23.58</v>
      </c>
      <c r="J5769" s="50">
        <v>235.79999999999998</v>
      </c>
      <c r="K5769" s="106"/>
      <c r="L5769" s="114"/>
      <c r="M5769" s="114">
        <f>tblAquisições[[#This Row],[VALOR UNITARIO COMPRADO]]*tblAquisições[[#This Row],[QUANTIDADE COMPRADA]]</f>
        <v>0</v>
      </c>
      <c r="N5769" s="110">
        <f>K5769-tblAquisições[[#This Row],[QUANTIDADE PLANEJADA]]</f>
        <v>-10</v>
      </c>
      <c r="O5769" s="106" t="str">
        <f t="shared" si="178"/>
        <v>Faltando Comprar</v>
      </c>
    </row>
    <row r="5770" spans="1:15" ht="45">
      <c r="A5770" s="46" t="s">
        <v>3259</v>
      </c>
      <c r="B5770" s="46" t="s">
        <v>3260</v>
      </c>
      <c r="C5770" s="17" t="s">
        <v>19</v>
      </c>
      <c r="D5770" s="47" t="s">
        <v>3317</v>
      </c>
      <c r="E5770" s="48">
        <v>8</v>
      </c>
      <c r="F5770" s="47" t="s">
        <v>147</v>
      </c>
      <c r="G5770" s="47" t="s">
        <v>39</v>
      </c>
      <c r="H5770" s="48" t="s">
        <v>23</v>
      </c>
      <c r="I5770" s="49">
        <v>7.41</v>
      </c>
      <c r="J5770" s="50">
        <v>59.28</v>
      </c>
      <c r="K5770" s="106"/>
      <c r="L5770" s="114"/>
      <c r="M5770" s="114">
        <f>tblAquisições[[#This Row],[VALOR UNITARIO COMPRADO]]*tblAquisições[[#This Row],[QUANTIDADE COMPRADA]]</f>
        <v>0</v>
      </c>
      <c r="N5770" s="110">
        <f>K5770-tblAquisições[[#This Row],[QUANTIDADE PLANEJADA]]</f>
        <v>-8</v>
      </c>
      <c r="O5770" s="106" t="str">
        <f t="shared" si="178"/>
        <v>Faltando Comprar</v>
      </c>
    </row>
    <row r="5771" spans="1:15" ht="45">
      <c r="A5771" s="46" t="s">
        <v>3259</v>
      </c>
      <c r="B5771" s="46" t="s">
        <v>3259</v>
      </c>
      <c r="C5771" s="17" t="s">
        <v>19</v>
      </c>
      <c r="D5771" s="47" t="s">
        <v>3318</v>
      </c>
      <c r="E5771" s="48">
        <v>4</v>
      </c>
      <c r="F5771" s="47" t="s">
        <v>38</v>
      </c>
      <c r="G5771" s="47" t="s">
        <v>39</v>
      </c>
      <c r="H5771" s="48" t="s">
        <v>23</v>
      </c>
      <c r="I5771" s="49">
        <v>448.62</v>
      </c>
      <c r="J5771" s="50">
        <v>1794.48</v>
      </c>
      <c r="K5771" s="106"/>
      <c r="L5771" s="114"/>
      <c r="M5771" s="114">
        <f>tblAquisições[[#This Row],[VALOR UNITARIO COMPRADO]]*tblAquisições[[#This Row],[QUANTIDADE COMPRADA]]</f>
        <v>0</v>
      </c>
      <c r="N5771" s="110">
        <f>K5771-tblAquisições[[#This Row],[QUANTIDADE PLANEJADA]]</f>
        <v>-4</v>
      </c>
      <c r="O5771" s="106" t="str">
        <f t="shared" si="178"/>
        <v>Faltando Comprar</v>
      </c>
    </row>
    <row r="5772" spans="1:15" ht="45">
      <c r="A5772" s="46" t="s">
        <v>3259</v>
      </c>
      <c r="B5772" s="46" t="s">
        <v>3263</v>
      </c>
      <c r="C5772" s="17" t="s">
        <v>19</v>
      </c>
      <c r="D5772" s="47" t="s">
        <v>3318</v>
      </c>
      <c r="E5772" s="48">
        <v>20</v>
      </c>
      <c r="F5772" s="47" t="s">
        <v>38</v>
      </c>
      <c r="G5772" s="47" t="s">
        <v>39</v>
      </c>
      <c r="H5772" s="51"/>
      <c r="I5772" s="49">
        <v>448.62</v>
      </c>
      <c r="J5772" s="50">
        <v>8972.4</v>
      </c>
      <c r="K5772" s="106"/>
      <c r="L5772" s="114"/>
      <c r="M5772" s="114">
        <f>tblAquisições[[#This Row],[VALOR UNITARIO COMPRADO]]*tblAquisições[[#This Row],[QUANTIDADE COMPRADA]]</f>
        <v>0</v>
      </c>
      <c r="N5772" s="110">
        <f>K5772-tblAquisições[[#This Row],[QUANTIDADE PLANEJADA]]</f>
        <v>-20</v>
      </c>
      <c r="O5772" s="106" t="str">
        <f t="shared" si="178"/>
        <v>Faltando Comprar</v>
      </c>
    </row>
    <row r="5773" spans="1:15" ht="60">
      <c r="A5773" s="46" t="s">
        <v>3259</v>
      </c>
      <c r="B5773" s="46" t="s">
        <v>3259</v>
      </c>
      <c r="C5773" s="17" t="s">
        <v>19</v>
      </c>
      <c r="D5773" s="47" t="s">
        <v>3319</v>
      </c>
      <c r="E5773" s="48">
        <v>1</v>
      </c>
      <c r="F5773" s="47" t="s">
        <v>96</v>
      </c>
      <c r="G5773" s="47" t="s">
        <v>39</v>
      </c>
      <c r="H5773" s="48" t="s">
        <v>65</v>
      </c>
      <c r="I5773" s="52">
        <v>4.8</v>
      </c>
      <c r="J5773" s="50">
        <v>12.58</v>
      </c>
      <c r="K5773" s="106"/>
      <c r="L5773" s="114"/>
      <c r="M5773" s="114">
        <f>tblAquisições[[#This Row],[VALOR UNITARIO COMPRADO]]*tblAquisições[[#This Row],[QUANTIDADE COMPRADA]]</f>
        <v>0</v>
      </c>
      <c r="N5773" s="110">
        <f>K5773-tblAquisições[[#This Row],[QUANTIDADE PLANEJADA]]</f>
        <v>-1</v>
      </c>
      <c r="O5773" s="106" t="str">
        <f t="shared" si="178"/>
        <v>Faltando Comprar</v>
      </c>
    </row>
    <row r="5774" spans="1:15" ht="60">
      <c r="A5774" s="46" t="s">
        <v>3259</v>
      </c>
      <c r="B5774" s="46" t="s">
        <v>3263</v>
      </c>
      <c r="C5774" s="17" t="s">
        <v>19</v>
      </c>
      <c r="D5774" s="47" t="s">
        <v>3319</v>
      </c>
      <c r="E5774" s="48">
        <v>5</v>
      </c>
      <c r="F5774" s="47" t="s">
        <v>96</v>
      </c>
      <c r="G5774" s="47" t="s">
        <v>39</v>
      </c>
      <c r="H5774" s="51"/>
      <c r="I5774" s="49">
        <v>12.58</v>
      </c>
      <c r="J5774" s="50">
        <v>62.9</v>
      </c>
      <c r="K5774" s="106"/>
      <c r="L5774" s="114"/>
      <c r="M5774" s="114">
        <f>tblAquisições[[#This Row],[VALOR UNITARIO COMPRADO]]*tblAquisições[[#This Row],[QUANTIDADE COMPRADA]]</f>
        <v>0</v>
      </c>
      <c r="N5774" s="110">
        <f>K5774-tblAquisições[[#This Row],[QUANTIDADE PLANEJADA]]</f>
        <v>-5</v>
      </c>
      <c r="O5774" s="106" t="str">
        <f t="shared" si="178"/>
        <v>Faltando Comprar</v>
      </c>
    </row>
    <row r="5775" spans="1:15" ht="45">
      <c r="A5775" s="46" t="s">
        <v>3259</v>
      </c>
      <c r="B5775" s="46" t="s">
        <v>3267</v>
      </c>
      <c r="C5775" s="17" t="s">
        <v>19</v>
      </c>
      <c r="D5775" s="47" t="s">
        <v>2785</v>
      </c>
      <c r="E5775" s="48">
        <v>25</v>
      </c>
      <c r="F5775" s="47" t="s">
        <v>56</v>
      </c>
      <c r="G5775" s="47" t="s">
        <v>39</v>
      </c>
      <c r="H5775" s="51"/>
      <c r="I5775" s="49">
        <v>674.92</v>
      </c>
      <c r="J5775" s="50">
        <v>16873</v>
      </c>
      <c r="K5775" s="106"/>
      <c r="L5775" s="114"/>
      <c r="M5775" s="114">
        <f>tblAquisições[[#This Row],[VALOR UNITARIO COMPRADO]]*tblAquisições[[#This Row],[QUANTIDADE COMPRADA]]</f>
        <v>0</v>
      </c>
      <c r="N5775" s="110">
        <f>K5775-tblAquisições[[#This Row],[QUANTIDADE PLANEJADA]]</f>
        <v>-25</v>
      </c>
      <c r="O5775" s="106" t="str">
        <f t="shared" si="178"/>
        <v>Faltando Comprar</v>
      </c>
    </row>
    <row r="5776" spans="1:15" ht="45">
      <c r="A5776" s="46" t="s">
        <v>3259</v>
      </c>
      <c r="B5776" s="46" t="s">
        <v>3260</v>
      </c>
      <c r="C5776" s="17" t="s">
        <v>19</v>
      </c>
      <c r="D5776" s="47" t="s">
        <v>1063</v>
      </c>
      <c r="E5776" s="48">
        <v>1</v>
      </c>
      <c r="F5776" s="47" t="s">
        <v>38</v>
      </c>
      <c r="G5776" s="47" t="s">
        <v>39</v>
      </c>
      <c r="H5776" s="48" t="s">
        <v>23</v>
      </c>
      <c r="I5776" s="49">
        <v>242.56</v>
      </c>
      <c r="J5776" s="50">
        <v>242.56</v>
      </c>
      <c r="K5776" s="106"/>
      <c r="L5776" s="114"/>
      <c r="M5776" s="114">
        <f>tblAquisições[[#This Row],[VALOR UNITARIO COMPRADO]]*tblAquisições[[#This Row],[QUANTIDADE COMPRADA]]</f>
        <v>0</v>
      </c>
      <c r="N5776" s="110">
        <f>K5776-tblAquisições[[#This Row],[QUANTIDADE PLANEJADA]]</f>
        <v>-1</v>
      </c>
      <c r="O5776" s="106" t="str">
        <f t="shared" si="178"/>
        <v>Faltando Comprar</v>
      </c>
    </row>
    <row r="5777" spans="1:15" ht="60">
      <c r="A5777" s="46" t="s">
        <v>3259</v>
      </c>
      <c r="B5777" s="46" t="s">
        <v>3260</v>
      </c>
      <c r="C5777" s="17" t="s">
        <v>19</v>
      </c>
      <c r="D5777" s="47" t="s">
        <v>3320</v>
      </c>
      <c r="E5777" s="48">
        <v>50</v>
      </c>
      <c r="F5777" s="47" t="s">
        <v>166</v>
      </c>
      <c r="G5777" s="47" t="s">
        <v>39</v>
      </c>
      <c r="H5777" s="48" t="s">
        <v>23</v>
      </c>
      <c r="I5777" s="49">
        <v>193.33</v>
      </c>
      <c r="J5777" s="50">
        <v>9666.5</v>
      </c>
      <c r="K5777" s="106"/>
      <c r="L5777" s="114"/>
      <c r="M5777" s="114">
        <f>tblAquisições[[#This Row],[VALOR UNITARIO COMPRADO]]*tblAquisições[[#This Row],[QUANTIDADE COMPRADA]]</f>
        <v>0</v>
      </c>
      <c r="N5777" s="110">
        <f>K5777-tblAquisições[[#This Row],[QUANTIDADE PLANEJADA]]</f>
        <v>-50</v>
      </c>
      <c r="O5777" s="106" t="str">
        <f t="shared" si="178"/>
        <v>Faltando Comprar</v>
      </c>
    </row>
    <row r="5778" spans="1:15" ht="45">
      <c r="A5778" s="46" t="s">
        <v>3259</v>
      </c>
      <c r="B5778" s="46" t="s">
        <v>3259</v>
      </c>
      <c r="C5778" s="17" t="s">
        <v>19</v>
      </c>
      <c r="D5778" s="47" t="s">
        <v>3321</v>
      </c>
      <c r="E5778" s="48">
        <v>1</v>
      </c>
      <c r="F5778" s="47" t="s">
        <v>38</v>
      </c>
      <c r="G5778" s="47" t="s">
        <v>39</v>
      </c>
      <c r="H5778" s="48" t="s">
        <v>23</v>
      </c>
      <c r="I5778" s="49">
        <v>74.75</v>
      </c>
      <c r="J5778" s="50">
        <v>74.75</v>
      </c>
      <c r="K5778" s="106"/>
      <c r="L5778" s="114"/>
      <c r="M5778" s="114">
        <f>tblAquisições[[#This Row],[VALOR UNITARIO COMPRADO]]*tblAquisições[[#This Row],[QUANTIDADE COMPRADA]]</f>
        <v>0</v>
      </c>
      <c r="N5778" s="110">
        <f>K5778-tblAquisições[[#This Row],[QUANTIDADE PLANEJADA]]</f>
        <v>-1</v>
      </c>
      <c r="O5778" s="106" t="str">
        <f t="shared" si="178"/>
        <v>Faltando Comprar</v>
      </c>
    </row>
    <row r="5779" spans="1:15" ht="45">
      <c r="A5779" s="46" t="s">
        <v>3259</v>
      </c>
      <c r="B5779" s="46" t="s">
        <v>3263</v>
      </c>
      <c r="C5779" s="17" t="s">
        <v>19</v>
      </c>
      <c r="D5779" s="47" t="s">
        <v>3321</v>
      </c>
      <c r="E5779" s="48">
        <v>12</v>
      </c>
      <c r="F5779" s="47" t="s">
        <v>38</v>
      </c>
      <c r="G5779" s="47" t="s">
        <v>39</v>
      </c>
      <c r="H5779" s="51"/>
      <c r="I5779" s="49">
        <v>74.75</v>
      </c>
      <c r="J5779" s="50">
        <v>897</v>
      </c>
      <c r="K5779" s="106"/>
      <c r="L5779" s="114"/>
      <c r="M5779" s="114">
        <f>tblAquisições[[#This Row],[VALOR UNITARIO COMPRADO]]*tblAquisições[[#This Row],[QUANTIDADE COMPRADA]]</f>
        <v>0</v>
      </c>
      <c r="N5779" s="110">
        <f>K5779-tblAquisições[[#This Row],[QUANTIDADE PLANEJADA]]</f>
        <v>-12</v>
      </c>
      <c r="O5779" s="106" t="str">
        <f t="shared" si="178"/>
        <v>Faltando Comprar</v>
      </c>
    </row>
    <row r="5780" spans="1:15" ht="60">
      <c r="A5780" s="46" t="s">
        <v>3259</v>
      </c>
      <c r="B5780" s="46" t="s">
        <v>3259</v>
      </c>
      <c r="C5780" s="17" t="s">
        <v>19</v>
      </c>
      <c r="D5780" s="47" t="s">
        <v>2787</v>
      </c>
      <c r="E5780" s="48">
        <v>1</v>
      </c>
      <c r="F5780" s="47" t="s">
        <v>191</v>
      </c>
      <c r="G5780" s="47" t="s">
        <v>39</v>
      </c>
      <c r="H5780" s="48" t="s">
        <v>65</v>
      </c>
      <c r="I5780" s="52">
        <v>87.57</v>
      </c>
      <c r="J5780" s="50">
        <v>2029.35</v>
      </c>
      <c r="K5780" s="106"/>
      <c r="L5780" s="114"/>
      <c r="M5780" s="114">
        <f>tblAquisições[[#This Row],[VALOR UNITARIO COMPRADO]]*tblAquisições[[#This Row],[QUANTIDADE COMPRADA]]</f>
        <v>0</v>
      </c>
      <c r="N5780" s="110">
        <f>K5780-tblAquisições[[#This Row],[QUANTIDADE PLANEJADA]]</f>
        <v>-1</v>
      </c>
      <c r="O5780" s="106" t="str">
        <f t="shared" si="178"/>
        <v>Faltando Comprar</v>
      </c>
    </row>
    <row r="5781" spans="1:15" ht="60">
      <c r="A5781" s="46" t="s">
        <v>3259</v>
      </c>
      <c r="B5781" s="46" t="s">
        <v>3263</v>
      </c>
      <c r="C5781" s="17" t="s">
        <v>19</v>
      </c>
      <c r="D5781" s="47" t="s">
        <v>2787</v>
      </c>
      <c r="E5781" s="48">
        <v>10</v>
      </c>
      <c r="F5781" s="47" t="s">
        <v>191</v>
      </c>
      <c r="G5781" s="47" t="s">
        <v>39</v>
      </c>
      <c r="H5781" s="51"/>
      <c r="I5781" s="49">
        <v>2029.35</v>
      </c>
      <c r="J5781" s="50">
        <v>20293.5</v>
      </c>
      <c r="K5781" s="106"/>
      <c r="L5781" s="114"/>
      <c r="M5781" s="114">
        <f>tblAquisições[[#This Row],[VALOR UNITARIO COMPRADO]]*tblAquisições[[#This Row],[QUANTIDADE COMPRADA]]</f>
        <v>0</v>
      </c>
      <c r="N5781" s="110">
        <f>K5781-tblAquisições[[#This Row],[QUANTIDADE PLANEJADA]]</f>
        <v>-10</v>
      </c>
      <c r="O5781" s="106" t="str">
        <f t="shared" si="178"/>
        <v>Faltando Comprar</v>
      </c>
    </row>
    <row r="5782" spans="1:15" ht="60">
      <c r="A5782" s="46" t="s">
        <v>3259</v>
      </c>
      <c r="B5782" s="46" t="s">
        <v>3259</v>
      </c>
      <c r="C5782" s="17" t="s">
        <v>19</v>
      </c>
      <c r="D5782" s="47" t="s">
        <v>2952</v>
      </c>
      <c r="E5782" s="48">
        <v>24</v>
      </c>
      <c r="F5782" s="47" t="s">
        <v>191</v>
      </c>
      <c r="G5782" s="47" t="s">
        <v>39</v>
      </c>
      <c r="H5782" s="48" t="s">
        <v>23</v>
      </c>
      <c r="I5782" s="49">
        <v>24.72</v>
      </c>
      <c r="J5782" s="50">
        <v>593.28</v>
      </c>
      <c r="K5782" s="106"/>
      <c r="L5782" s="114"/>
      <c r="M5782" s="114">
        <f>tblAquisições[[#This Row],[VALOR UNITARIO COMPRADO]]*tblAquisições[[#This Row],[QUANTIDADE COMPRADA]]</f>
        <v>0</v>
      </c>
      <c r="N5782" s="110">
        <f>K5782-tblAquisições[[#This Row],[QUANTIDADE PLANEJADA]]</f>
        <v>-24</v>
      </c>
      <c r="O5782" s="106" t="str">
        <f t="shared" si="178"/>
        <v>Faltando Comprar</v>
      </c>
    </row>
    <row r="5783" spans="1:15" ht="60">
      <c r="A5783" s="46" t="s">
        <v>3259</v>
      </c>
      <c r="B5783" s="46" t="s">
        <v>3263</v>
      </c>
      <c r="C5783" s="17" t="s">
        <v>19</v>
      </c>
      <c r="D5783" s="47" t="s">
        <v>2952</v>
      </c>
      <c r="E5783" s="48">
        <v>250</v>
      </c>
      <c r="F5783" s="47" t="s">
        <v>191</v>
      </c>
      <c r="G5783" s="47" t="s">
        <v>39</v>
      </c>
      <c r="H5783" s="51"/>
      <c r="I5783" s="49">
        <v>24.72</v>
      </c>
      <c r="J5783" s="50">
        <v>6180</v>
      </c>
      <c r="K5783" s="106"/>
      <c r="L5783" s="114"/>
      <c r="M5783" s="114">
        <f>tblAquisições[[#This Row],[VALOR UNITARIO COMPRADO]]*tblAquisições[[#This Row],[QUANTIDADE COMPRADA]]</f>
        <v>0</v>
      </c>
      <c r="N5783" s="110">
        <f>K5783-tblAquisições[[#This Row],[QUANTIDADE PLANEJADA]]</f>
        <v>-250</v>
      </c>
      <c r="O5783" s="106" t="str">
        <f t="shared" si="178"/>
        <v>Faltando Comprar</v>
      </c>
    </row>
    <row r="5784" spans="1:15" ht="45">
      <c r="A5784" s="46" t="s">
        <v>3259</v>
      </c>
      <c r="B5784" s="46" t="s">
        <v>3259</v>
      </c>
      <c r="C5784" s="17" t="s">
        <v>19</v>
      </c>
      <c r="D5784" s="47" t="s">
        <v>3322</v>
      </c>
      <c r="E5784" s="48">
        <v>1</v>
      </c>
      <c r="F5784" s="47" t="s">
        <v>3323</v>
      </c>
      <c r="G5784" s="47" t="s">
        <v>39</v>
      </c>
      <c r="H5784" s="48" t="s">
        <v>23</v>
      </c>
      <c r="I5784" s="49">
        <v>249.9</v>
      </c>
      <c r="J5784" s="50">
        <v>249.9</v>
      </c>
      <c r="K5784" s="106"/>
      <c r="L5784" s="114"/>
      <c r="M5784" s="114">
        <f>tblAquisições[[#This Row],[VALOR UNITARIO COMPRADO]]*tblAquisições[[#This Row],[QUANTIDADE COMPRADA]]</f>
        <v>0</v>
      </c>
      <c r="N5784" s="110">
        <f>K5784-tblAquisições[[#This Row],[QUANTIDADE PLANEJADA]]</f>
        <v>-1</v>
      </c>
      <c r="O5784" s="106" t="str">
        <f t="shared" si="178"/>
        <v>Faltando Comprar</v>
      </c>
    </row>
    <row r="5785" spans="1:15" ht="45">
      <c r="A5785" s="46" t="s">
        <v>3259</v>
      </c>
      <c r="B5785" s="46" t="s">
        <v>3263</v>
      </c>
      <c r="C5785" s="17" t="s">
        <v>19</v>
      </c>
      <c r="D5785" s="47" t="s">
        <v>3322</v>
      </c>
      <c r="E5785" s="48">
        <v>12</v>
      </c>
      <c r="F5785" s="47" t="s">
        <v>3323</v>
      </c>
      <c r="G5785" s="47" t="s">
        <v>39</v>
      </c>
      <c r="H5785" s="51"/>
      <c r="I5785" s="49">
        <v>249.9</v>
      </c>
      <c r="J5785" s="50">
        <v>2998.8</v>
      </c>
      <c r="K5785" s="106"/>
      <c r="L5785" s="114"/>
      <c r="M5785" s="114">
        <f>tblAquisições[[#This Row],[VALOR UNITARIO COMPRADO]]*tblAquisições[[#This Row],[QUANTIDADE COMPRADA]]</f>
        <v>0</v>
      </c>
      <c r="N5785" s="110">
        <f>K5785-tblAquisições[[#This Row],[QUANTIDADE PLANEJADA]]</f>
        <v>-12</v>
      </c>
      <c r="O5785" s="106" t="str">
        <f t="shared" si="178"/>
        <v>Faltando Comprar</v>
      </c>
    </row>
    <row r="5786" spans="1:15" ht="60">
      <c r="A5786" s="46" t="s">
        <v>3259</v>
      </c>
      <c r="B5786" s="46" t="s">
        <v>3259</v>
      </c>
      <c r="C5786" s="17" t="s">
        <v>19</v>
      </c>
      <c r="D5786" s="47" t="s">
        <v>3324</v>
      </c>
      <c r="E5786" s="48">
        <v>12</v>
      </c>
      <c r="F5786" s="47" t="s">
        <v>191</v>
      </c>
      <c r="G5786" s="47" t="s">
        <v>39</v>
      </c>
      <c r="H5786" s="48" t="s">
        <v>23</v>
      </c>
      <c r="I5786" s="49">
        <v>7.99</v>
      </c>
      <c r="J5786" s="50">
        <v>95.88</v>
      </c>
      <c r="K5786" s="106"/>
      <c r="L5786" s="114"/>
      <c r="M5786" s="114">
        <f>tblAquisições[[#This Row],[VALOR UNITARIO COMPRADO]]*tblAquisições[[#This Row],[QUANTIDADE COMPRADA]]</f>
        <v>0</v>
      </c>
      <c r="N5786" s="110">
        <f>K5786-tblAquisições[[#This Row],[QUANTIDADE PLANEJADA]]</f>
        <v>-12</v>
      </c>
      <c r="O5786" s="106" t="str">
        <f t="shared" si="178"/>
        <v>Faltando Comprar</v>
      </c>
    </row>
    <row r="5787" spans="1:15" ht="60">
      <c r="A5787" s="46" t="s">
        <v>3259</v>
      </c>
      <c r="B5787" s="46" t="s">
        <v>3263</v>
      </c>
      <c r="C5787" s="17" t="s">
        <v>19</v>
      </c>
      <c r="D5787" s="47" t="s">
        <v>3324</v>
      </c>
      <c r="E5787" s="48">
        <v>250</v>
      </c>
      <c r="F5787" s="47" t="s">
        <v>191</v>
      </c>
      <c r="G5787" s="47" t="s">
        <v>39</v>
      </c>
      <c r="H5787" s="51"/>
      <c r="I5787" s="49">
        <v>7.99</v>
      </c>
      <c r="J5787" s="50">
        <v>1997.5</v>
      </c>
      <c r="K5787" s="106"/>
      <c r="L5787" s="114"/>
      <c r="M5787" s="114">
        <f>tblAquisições[[#This Row],[VALOR UNITARIO COMPRADO]]*tblAquisições[[#This Row],[QUANTIDADE COMPRADA]]</f>
        <v>0</v>
      </c>
      <c r="N5787" s="110">
        <f>K5787-tblAquisições[[#This Row],[QUANTIDADE PLANEJADA]]</f>
        <v>-250</v>
      </c>
      <c r="O5787" s="106" t="str">
        <f t="shared" si="178"/>
        <v>Faltando Comprar</v>
      </c>
    </row>
    <row r="5788" spans="1:15" ht="45">
      <c r="A5788" s="46" t="s">
        <v>3259</v>
      </c>
      <c r="B5788" s="46" t="s">
        <v>3259</v>
      </c>
      <c r="C5788" s="17" t="s">
        <v>19</v>
      </c>
      <c r="D5788" s="47" t="s">
        <v>3325</v>
      </c>
      <c r="E5788" s="48">
        <v>3</v>
      </c>
      <c r="F5788" s="47" t="s">
        <v>147</v>
      </c>
      <c r="G5788" s="47" t="s">
        <v>39</v>
      </c>
      <c r="H5788" s="48" t="s">
        <v>23</v>
      </c>
      <c r="I5788" s="49">
        <v>299.75</v>
      </c>
      <c r="J5788" s="50">
        <v>899.25</v>
      </c>
      <c r="K5788" s="106"/>
      <c r="L5788" s="114"/>
      <c r="M5788" s="114">
        <f>tblAquisições[[#This Row],[VALOR UNITARIO COMPRADO]]*tblAquisições[[#This Row],[QUANTIDADE COMPRADA]]</f>
        <v>0</v>
      </c>
      <c r="N5788" s="110">
        <f>K5788-tblAquisições[[#This Row],[QUANTIDADE PLANEJADA]]</f>
        <v>-3</v>
      </c>
      <c r="O5788" s="106" t="str">
        <f t="shared" si="178"/>
        <v>Faltando Comprar</v>
      </c>
    </row>
    <row r="5789" spans="1:15" ht="45">
      <c r="A5789" s="46" t="s">
        <v>3259</v>
      </c>
      <c r="B5789" s="46" t="s">
        <v>3263</v>
      </c>
      <c r="C5789" s="17" t="s">
        <v>19</v>
      </c>
      <c r="D5789" s="47" t="s">
        <v>3325</v>
      </c>
      <c r="E5789" s="48">
        <v>12</v>
      </c>
      <c r="F5789" s="47" t="s">
        <v>147</v>
      </c>
      <c r="G5789" s="47" t="s">
        <v>39</v>
      </c>
      <c r="H5789" s="51"/>
      <c r="I5789" s="49">
        <v>299.75</v>
      </c>
      <c r="J5789" s="50">
        <v>3597</v>
      </c>
      <c r="K5789" s="106"/>
      <c r="L5789" s="114"/>
      <c r="M5789" s="114">
        <f>tblAquisições[[#This Row],[VALOR UNITARIO COMPRADO]]*tblAquisições[[#This Row],[QUANTIDADE COMPRADA]]</f>
        <v>0</v>
      </c>
      <c r="N5789" s="110">
        <f>K5789-tblAquisições[[#This Row],[QUANTIDADE PLANEJADA]]</f>
        <v>-12</v>
      </c>
      <c r="O5789" s="106" t="str">
        <f t="shared" si="178"/>
        <v>Faltando Comprar</v>
      </c>
    </row>
    <row r="5790" spans="1:15" ht="60">
      <c r="A5790" s="46" t="s">
        <v>3259</v>
      </c>
      <c r="B5790" s="46" t="s">
        <v>3259</v>
      </c>
      <c r="C5790" s="17" t="s">
        <v>19</v>
      </c>
      <c r="D5790" s="47" t="s">
        <v>3326</v>
      </c>
      <c r="E5790" s="48">
        <v>2</v>
      </c>
      <c r="F5790" s="47" t="s">
        <v>191</v>
      </c>
      <c r="G5790" s="47" t="s">
        <v>39</v>
      </c>
      <c r="H5790" s="48" t="s">
        <v>23</v>
      </c>
      <c r="I5790" s="49">
        <v>434</v>
      </c>
      <c r="J5790" s="50">
        <v>868</v>
      </c>
      <c r="K5790" s="106"/>
      <c r="L5790" s="114"/>
      <c r="M5790" s="114">
        <f>tblAquisições[[#This Row],[VALOR UNITARIO COMPRADO]]*tblAquisições[[#This Row],[QUANTIDADE COMPRADA]]</f>
        <v>0</v>
      </c>
      <c r="N5790" s="110">
        <f>K5790-tblAquisições[[#This Row],[QUANTIDADE PLANEJADA]]</f>
        <v>-2</v>
      </c>
      <c r="O5790" s="106" t="str">
        <f t="shared" si="178"/>
        <v>Faltando Comprar</v>
      </c>
    </row>
    <row r="5791" spans="1:15" ht="60">
      <c r="A5791" s="46" t="s">
        <v>3259</v>
      </c>
      <c r="B5791" s="46" t="s">
        <v>3263</v>
      </c>
      <c r="C5791" s="17" t="s">
        <v>19</v>
      </c>
      <c r="D5791" s="47" t="s">
        <v>3326</v>
      </c>
      <c r="E5791" s="48">
        <v>3</v>
      </c>
      <c r="F5791" s="47" t="s">
        <v>191</v>
      </c>
      <c r="G5791" s="47" t="s">
        <v>39</v>
      </c>
      <c r="H5791" s="51"/>
      <c r="I5791" s="49">
        <v>434</v>
      </c>
      <c r="J5791" s="50">
        <v>1302</v>
      </c>
      <c r="K5791" s="106"/>
      <c r="L5791" s="114"/>
      <c r="M5791" s="114">
        <f>tblAquisições[[#This Row],[VALOR UNITARIO COMPRADO]]*tblAquisições[[#This Row],[QUANTIDADE COMPRADA]]</f>
        <v>0</v>
      </c>
      <c r="N5791" s="110">
        <f>K5791-tblAquisições[[#This Row],[QUANTIDADE PLANEJADA]]</f>
        <v>-3</v>
      </c>
      <c r="O5791" s="106" t="str">
        <f t="shared" si="178"/>
        <v>Faltando Comprar</v>
      </c>
    </row>
    <row r="5792" spans="1:15" ht="45">
      <c r="A5792" s="46" t="s">
        <v>3259</v>
      </c>
      <c r="B5792" s="46" t="s">
        <v>3259</v>
      </c>
      <c r="C5792" s="17" t="s">
        <v>19</v>
      </c>
      <c r="D5792" s="47" t="s">
        <v>3327</v>
      </c>
      <c r="E5792" s="48">
        <v>6</v>
      </c>
      <c r="F5792" s="47" t="s">
        <v>38</v>
      </c>
      <c r="G5792" s="47" t="s">
        <v>39</v>
      </c>
      <c r="H5792" s="48" t="s">
        <v>23</v>
      </c>
      <c r="I5792" s="49">
        <v>35.28</v>
      </c>
      <c r="J5792" s="50">
        <v>211.68</v>
      </c>
      <c r="K5792" s="106"/>
      <c r="L5792" s="114"/>
      <c r="M5792" s="114">
        <f>tblAquisições[[#This Row],[VALOR UNITARIO COMPRADO]]*tblAquisições[[#This Row],[QUANTIDADE COMPRADA]]</f>
        <v>0</v>
      </c>
      <c r="N5792" s="110">
        <f>K5792-tblAquisições[[#This Row],[QUANTIDADE PLANEJADA]]</f>
        <v>-6</v>
      </c>
      <c r="O5792" s="106" t="str">
        <f t="shared" si="178"/>
        <v>Faltando Comprar</v>
      </c>
    </row>
    <row r="5793" spans="1:15" ht="45">
      <c r="A5793" s="46" t="s">
        <v>3259</v>
      </c>
      <c r="B5793" s="46" t="s">
        <v>3263</v>
      </c>
      <c r="C5793" s="17" t="s">
        <v>19</v>
      </c>
      <c r="D5793" s="47" t="s">
        <v>3327</v>
      </c>
      <c r="E5793" s="48">
        <v>12</v>
      </c>
      <c r="F5793" s="47" t="s">
        <v>38</v>
      </c>
      <c r="G5793" s="47" t="s">
        <v>39</v>
      </c>
      <c r="H5793" s="51"/>
      <c r="I5793" s="49">
        <v>35.28</v>
      </c>
      <c r="J5793" s="50">
        <v>423.36</v>
      </c>
      <c r="K5793" s="106"/>
      <c r="L5793" s="114"/>
      <c r="M5793" s="114">
        <f>tblAquisições[[#This Row],[VALOR UNITARIO COMPRADO]]*tblAquisições[[#This Row],[QUANTIDADE COMPRADA]]</f>
        <v>0</v>
      </c>
      <c r="N5793" s="110">
        <f>K5793-tblAquisições[[#This Row],[QUANTIDADE PLANEJADA]]</f>
        <v>-12</v>
      </c>
      <c r="O5793" s="106" t="str">
        <f t="shared" si="178"/>
        <v>Faltando Comprar</v>
      </c>
    </row>
    <row r="5794" spans="1:15" ht="45">
      <c r="A5794" s="46" t="s">
        <v>3259</v>
      </c>
      <c r="B5794" s="46" t="s">
        <v>3260</v>
      </c>
      <c r="C5794" s="17" t="s">
        <v>19</v>
      </c>
      <c r="D5794" s="47" t="s">
        <v>3328</v>
      </c>
      <c r="E5794" s="48">
        <v>4</v>
      </c>
      <c r="F5794" s="47" t="s">
        <v>147</v>
      </c>
      <c r="G5794" s="47" t="s">
        <v>39</v>
      </c>
      <c r="H5794" s="48" t="s">
        <v>23</v>
      </c>
      <c r="I5794" s="49">
        <v>5.67</v>
      </c>
      <c r="J5794" s="50">
        <v>22.68</v>
      </c>
      <c r="K5794" s="106"/>
      <c r="L5794" s="114"/>
      <c r="M5794" s="114">
        <f>tblAquisições[[#This Row],[VALOR UNITARIO COMPRADO]]*tblAquisições[[#This Row],[QUANTIDADE COMPRADA]]</f>
        <v>0</v>
      </c>
      <c r="N5794" s="110">
        <f>K5794-tblAquisições[[#This Row],[QUANTIDADE PLANEJADA]]</f>
        <v>-4</v>
      </c>
      <c r="O5794" s="106" t="str">
        <f t="shared" si="178"/>
        <v>Faltando Comprar</v>
      </c>
    </row>
    <row r="5795" spans="1:15" ht="75">
      <c r="A5795" s="46" t="s">
        <v>3259</v>
      </c>
      <c r="B5795" s="46" t="s">
        <v>3267</v>
      </c>
      <c r="C5795" s="17" t="s">
        <v>19</v>
      </c>
      <c r="D5795" s="47" t="s">
        <v>3329</v>
      </c>
      <c r="E5795" s="48">
        <v>25</v>
      </c>
      <c r="F5795" s="47" t="s">
        <v>2678</v>
      </c>
      <c r="G5795" s="47" t="s">
        <v>775</v>
      </c>
      <c r="H5795" s="51"/>
      <c r="I5795" s="49">
        <v>2752.33</v>
      </c>
      <c r="J5795" s="50">
        <v>68808.25</v>
      </c>
      <c r="K5795" s="106"/>
      <c r="L5795" s="114"/>
      <c r="M5795" s="114">
        <f>tblAquisições[[#This Row],[VALOR UNITARIO COMPRADO]]*tblAquisições[[#This Row],[QUANTIDADE COMPRADA]]</f>
        <v>0</v>
      </c>
      <c r="N5795" s="110">
        <f>K5795-tblAquisições[[#This Row],[QUANTIDADE PLANEJADA]]</f>
        <v>-25</v>
      </c>
      <c r="O5795" s="106" t="str">
        <f t="shared" si="178"/>
        <v>Faltando Comprar</v>
      </c>
    </row>
    <row r="5796" spans="1:15" ht="75">
      <c r="A5796" s="46" t="s">
        <v>3259</v>
      </c>
      <c r="B5796" s="46" t="s">
        <v>3267</v>
      </c>
      <c r="C5796" s="17" t="s">
        <v>19</v>
      </c>
      <c r="D5796" s="47" t="s">
        <v>3330</v>
      </c>
      <c r="E5796" s="48">
        <v>25</v>
      </c>
      <c r="F5796" s="47" t="s">
        <v>2678</v>
      </c>
      <c r="G5796" s="47" t="s">
        <v>775</v>
      </c>
      <c r="H5796" s="51"/>
      <c r="I5796" s="49">
        <v>2989</v>
      </c>
      <c r="J5796" s="50">
        <v>74725</v>
      </c>
      <c r="K5796" s="106"/>
      <c r="L5796" s="114"/>
      <c r="M5796" s="114">
        <f>tblAquisições[[#This Row],[VALOR UNITARIO COMPRADO]]*tblAquisições[[#This Row],[QUANTIDADE COMPRADA]]</f>
        <v>0</v>
      </c>
      <c r="N5796" s="110">
        <f>K5796-tblAquisições[[#This Row],[QUANTIDADE PLANEJADA]]</f>
        <v>-25</v>
      </c>
      <c r="O5796" s="106" t="str">
        <f t="shared" si="178"/>
        <v>Faltando Comprar</v>
      </c>
    </row>
    <row r="5797" spans="1:15" ht="60">
      <c r="A5797" s="46" t="s">
        <v>3259</v>
      </c>
      <c r="B5797" s="46" t="s">
        <v>3259</v>
      </c>
      <c r="C5797" s="17" t="s">
        <v>19</v>
      </c>
      <c r="D5797" s="47" t="s">
        <v>1181</v>
      </c>
      <c r="E5797" s="48">
        <v>2</v>
      </c>
      <c r="F5797" s="47" t="s">
        <v>191</v>
      </c>
      <c r="G5797" s="47" t="s">
        <v>39</v>
      </c>
      <c r="H5797" s="48" t="s">
        <v>23</v>
      </c>
      <c r="I5797" s="49">
        <v>8.66</v>
      </c>
      <c r="J5797" s="50">
        <v>17.32</v>
      </c>
      <c r="K5797" s="106"/>
      <c r="L5797" s="114"/>
      <c r="M5797" s="114">
        <f>tblAquisições[[#This Row],[VALOR UNITARIO COMPRADO]]*tblAquisições[[#This Row],[QUANTIDADE COMPRADA]]</f>
        <v>0</v>
      </c>
      <c r="N5797" s="110">
        <f>K5797-tblAquisições[[#This Row],[QUANTIDADE PLANEJADA]]</f>
        <v>-2</v>
      </c>
      <c r="O5797" s="106" t="str">
        <f t="shared" si="178"/>
        <v>Faltando Comprar</v>
      </c>
    </row>
    <row r="5798" spans="1:15" ht="60">
      <c r="A5798" s="46" t="s">
        <v>3259</v>
      </c>
      <c r="B5798" s="46" t="s">
        <v>3263</v>
      </c>
      <c r="C5798" s="17" t="s">
        <v>19</v>
      </c>
      <c r="D5798" s="47" t="s">
        <v>1181</v>
      </c>
      <c r="E5798" s="48">
        <v>5</v>
      </c>
      <c r="F5798" s="47" t="s">
        <v>191</v>
      </c>
      <c r="G5798" s="47" t="s">
        <v>39</v>
      </c>
      <c r="H5798" s="51"/>
      <c r="I5798" s="49">
        <v>8.66</v>
      </c>
      <c r="J5798" s="50">
        <v>43.3</v>
      </c>
      <c r="K5798" s="106"/>
      <c r="L5798" s="114"/>
      <c r="M5798" s="114">
        <f>tblAquisições[[#This Row],[VALOR UNITARIO COMPRADO]]*tblAquisições[[#This Row],[QUANTIDADE COMPRADA]]</f>
        <v>0</v>
      </c>
      <c r="N5798" s="110">
        <f>K5798-tblAquisições[[#This Row],[QUANTIDADE PLANEJADA]]</f>
        <v>-5</v>
      </c>
      <c r="O5798" s="106" t="str">
        <f t="shared" si="178"/>
        <v>Faltando Comprar</v>
      </c>
    </row>
    <row r="5799" spans="1:15" ht="75">
      <c r="A5799" s="46" t="s">
        <v>3259</v>
      </c>
      <c r="B5799" s="46" t="s">
        <v>3267</v>
      </c>
      <c r="C5799" s="17" t="s">
        <v>19</v>
      </c>
      <c r="D5799" s="47" t="s">
        <v>3331</v>
      </c>
      <c r="E5799" s="48">
        <v>25</v>
      </c>
      <c r="F5799" s="47" t="s">
        <v>2678</v>
      </c>
      <c r="G5799" s="47" t="s">
        <v>775</v>
      </c>
      <c r="H5799" s="48" t="s">
        <v>23</v>
      </c>
      <c r="I5799" s="49">
        <v>2332.9299999999998</v>
      </c>
      <c r="J5799" s="50">
        <v>58323.249999999993</v>
      </c>
      <c r="K5799" s="106"/>
      <c r="L5799" s="114"/>
      <c r="M5799" s="114">
        <f>tblAquisições[[#This Row],[VALOR UNITARIO COMPRADO]]*tblAquisições[[#This Row],[QUANTIDADE COMPRADA]]</f>
        <v>0</v>
      </c>
      <c r="N5799" s="110">
        <f>K5799-tblAquisições[[#This Row],[QUANTIDADE PLANEJADA]]</f>
        <v>-25</v>
      </c>
      <c r="O5799" s="106" t="str">
        <f t="shared" si="178"/>
        <v>Faltando Comprar</v>
      </c>
    </row>
    <row r="5800" spans="1:15" ht="90">
      <c r="A5800" s="46" t="s">
        <v>3259</v>
      </c>
      <c r="B5800" s="46" t="s">
        <v>3267</v>
      </c>
      <c r="C5800" s="17" t="s">
        <v>19</v>
      </c>
      <c r="D5800" s="47" t="s">
        <v>3332</v>
      </c>
      <c r="E5800" s="48">
        <v>25</v>
      </c>
      <c r="F5800" s="47" t="s">
        <v>2856</v>
      </c>
      <c r="G5800" s="47" t="s">
        <v>39</v>
      </c>
      <c r="H5800" s="51"/>
      <c r="I5800" s="49">
        <v>165.39</v>
      </c>
      <c r="J5800" s="50">
        <v>4134.75</v>
      </c>
      <c r="K5800" s="106"/>
      <c r="L5800" s="114"/>
      <c r="M5800" s="114">
        <f>tblAquisições[[#This Row],[VALOR UNITARIO COMPRADO]]*tblAquisições[[#This Row],[QUANTIDADE COMPRADA]]</f>
        <v>0</v>
      </c>
      <c r="N5800" s="110">
        <f>K5800-tblAquisições[[#This Row],[QUANTIDADE PLANEJADA]]</f>
        <v>-25</v>
      </c>
      <c r="O5800" s="106" t="str">
        <f t="shared" si="178"/>
        <v>Faltando Comprar</v>
      </c>
    </row>
    <row r="5801" spans="1:15" ht="90">
      <c r="A5801" s="46" t="s">
        <v>3259</v>
      </c>
      <c r="B5801" s="46" t="s">
        <v>3267</v>
      </c>
      <c r="C5801" s="17" t="s">
        <v>19</v>
      </c>
      <c r="D5801" s="47" t="s">
        <v>3333</v>
      </c>
      <c r="E5801" s="48">
        <v>25</v>
      </c>
      <c r="F5801" s="47" t="s">
        <v>2856</v>
      </c>
      <c r="G5801" s="47" t="s">
        <v>39</v>
      </c>
      <c r="H5801" s="51"/>
      <c r="I5801" s="49">
        <v>383.3</v>
      </c>
      <c r="J5801" s="50">
        <v>9582.5</v>
      </c>
      <c r="K5801" s="106"/>
      <c r="L5801" s="114"/>
      <c r="M5801" s="114">
        <f>tblAquisições[[#This Row],[VALOR UNITARIO COMPRADO]]*tblAquisições[[#This Row],[QUANTIDADE COMPRADA]]</f>
        <v>0</v>
      </c>
      <c r="N5801" s="110">
        <f>K5801-tblAquisições[[#This Row],[QUANTIDADE PLANEJADA]]</f>
        <v>-25</v>
      </c>
      <c r="O5801" s="106" t="str">
        <f t="shared" si="178"/>
        <v>Faltando Comprar</v>
      </c>
    </row>
    <row r="5802" spans="1:15" ht="60">
      <c r="A5802" s="46" t="s">
        <v>3259</v>
      </c>
      <c r="B5802" s="46" t="s">
        <v>3267</v>
      </c>
      <c r="C5802" s="17" t="s">
        <v>19</v>
      </c>
      <c r="D5802" s="47" t="s">
        <v>3138</v>
      </c>
      <c r="E5802" s="48">
        <v>25</v>
      </c>
      <c r="F5802" s="47" t="s">
        <v>2678</v>
      </c>
      <c r="G5802" s="47" t="s">
        <v>775</v>
      </c>
      <c r="H5802" s="48" t="s">
        <v>23</v>
      </c>
      <c r="I5802" s="49">
        <v>2102.02</v>
      </c>
      <c r="J5802" s="50">
        <v>52550.5</v>
      </c>
      <c r="K5802" s="106"/>
      <c r="L5802" s="114"/>
      <c r="M5802" s="114">
        <f>tblAquisições[[#This Row],[VALOR UNITARIO COMPRADO]]*tblAquisições[[#This Row],[QUANTIDADE COMPRADA]]</f>
        <v>0</v>
      </c>
      <c r="N5802" s="110">
        <f>K5802-tblAquisições[[#This Row],[QUANTIDADE PLANEJADA]]</f>
        <v>-25</v>
      </c>
      <c r="O5802" s="106" t="str">
        <f t="shared" si="178"/>
        <v>Faltando Comprar</v>
      </c>
    </row>
    <row r="5803" spans="1:15" ht="60">
      <c r="A5803" s="46" t="s">
        <v>3259</v>
      </c>
      <c r="B5803" s="46" t="s">
        <v>3267</v>
      </c>
      <c r="C5803" s="17" t="s">
        <v>19</v>
      </c>
      <c r="D5803" s="47" t="s">
        <v>2953</v>
      </c>
      <c r="E5803" s="48">
        <v>25</v>
      </c>
      <c r="F5803" s="47" t="s">
        <v>2678</v>
      </c>
      <c r="G5803" s="47" t="s">
        <v>775</v>
      </c>
      <c r="H5803" s="51"/>
      <c r="I5803" s="49">
        <v>320.08999999999997</v>
      </c>
      <c r="J5803" s="50">
        <v>8002.2499999999991</v>
      </c>
      <c r="K5803" s="106"/>
      <c r="L5803" s="114"/>
      <c r="M5803" s="114">
        <f>tblAquisições[[#This Row],[VALOR UNITARIO COMPRADO]]*tblAquisições[[#This Row],[QUANTIDADE COMPRADA]]</f>
        <v>0</v>
      </c>
      <c r="N5803" s="110">
        <f>K5803-tblAquisições[[#This Row],[QUANTIDADE PLANEJADA]]</f>
        <v>-25</v>
      </c>
      <c r="O5803" s="106" t="str">
        <f t="shared" si="178"/>
        <v>Faltando Comprar</v>
      </c>
    </row>
    <row r="5804" spans="1:15" ht="60">
      <c r="A5804" s="46" t="s">
        <v>3259</v>
      </c>
      <c r="B5804" s="46" t="s">
        <v>3267</v>
      </c>
      <c r="C5804" s="17" t="s">
        <v>19</v>
      </c>
      <c r="D5804" s="47" t="s">
        <v>3334</v>
      </c>
      <c r="E5804" s="48">
        <v>25</v>
      </c>
      <c r="F5804" s="47" t="s">
        <v>2678</v>
      </c>
      <c r="G5804" s="47" t="s">
        <v>775</v>
      </c>
      <c r="H5804" s="51"/>
      <c r="I5804" s="49">
        <v>2698.67</v>
      </c>
      <c r="J5804" s="50">
        <v>67466.75</v>
      </c>
      <c r="K5804" s="106"/>
      <c r="L5804" s="114"/>
      <c r="M5804" s="114">
        <f>tblAquisições[[#This Row],[VALOR UNITARIO COMPRADO]]*tblAquisições[[#This Row],[QUANTIDADE COMPRADA]]</f>
        <v>0</v>
      </c>
      <c r="N5804" s="110">
        <f>K5804-tblAquisições[[#This Row],[QUANTIDADE PLANEJADA]]</f>
        <v>-25</v>
      </c>
      <c r="O5804" s="106" t="str">
        <f t="shared" si="178"/>
        <v>Faltando Comprar</v>
      </c>
    </row>
    <row r="5805" spans="1:15" ht="60">
      <c r="A5805" s="46" t="s">
        <v>3259</v>
      </c>
      <c r="B5805" s="46" t="s">
        <v>3267</v>
      </c>
      <c r="C5805" s="17" t="s">
        <v>19</v>
      </c>
      <c r="D5805" s="47" t="s">
        <v>3335</v>
      </c>
      <c r="E5805" s="48">
        <v>25</v>
      </c>
      <c r="F5805" s="47" t="s">
        <v>2678</v>
      </c>
      <c r="G5805" s="47" t="s">
        <v>775</v>
      </c>
      <c r="H5805" s="51"/>
      <c r="I5805" s="49">
        <v>2418.94</v>
      </c>
      <c r="J5805" s="50">
        <v>60473.5</v>
      </c>
      <c r="K5805" s="106"/>
      <c r="L5805" s="114"/>
      <c r="M5805" s="114">
        <f>tblAquisições[[#This Row],[VALOR UNITARIO COMPRADO]]*tblAquisições[[#This Row],[QUANTIDADE COMPRADA]]</f>
        <v>0</v>
      </c>
      <c r="N5805" s="110">
        <f>K5805-tblAquisições[[#This Row],[QUANTIDADE PLANEJADA]]</f>
        <v>-25</v>
      </c>
      <c r="O5805" s="106" t="str">
        <f t="shared" si="178"/>
        <v>Faltando Comprar</v>
      </c>
    </row>
    <row r="5806" spans="1:15" ht="45">
      <c r="A5806" s="46" t="s">
        <v>3259</v>
      </c>
      <c r="B5806" s="46" t="s">
        <v>3267</v>
      </c>
      <c r="C5806" s="17" t="s">
        <v>19</v>
      </c>
      <c r="D5806" s="47" t="s">
        <v>3336</v>
      </c>
      <c r="E5806" s="48">
        <v>25</v>
      </c>
      <c r="F5806" s="47" t="s">
        <v>56</v>
      </c>
      <c r="G5806" s="47" t="s">
        <v>39</v>
      </c>
      <c r="H5806" s="51"/>
      <c r="I5806" s="49">
        <v>32.47</v>
      </c>
      <c r="J5806" s="50">
        <v>811.75</v>
      </c>
      <c r="K5806" s="106"/>
      <c r="L5806" s="114"/>
      <c r="M5806" s="114">
        <f>tblAquisições[[#This Row],[VALOR UNITARIO COMPRADO]]*tblAquisições[[#This Row],[QUANTIDADE COMPRADA]]</f>
        <v>0</v>
      </c>
      <c r="N5806" s="110">
        <f>K5806-tblAquisições[[#This Row],[QUANTIDADE PLANEJADA]]</f>
        <v>-25</v>
      </c>
      <c r="O5806" s="106" t="str">
        <f t="shared" si="178"/>
        <v>Faltando Comprar</v>
      </c>
    </row>
    <row r="5807" spans="1:15" ht="60">
      <c r="A5807" s="46" t="s">
        <v>3259</v>
      </c>
      <c r="B5807" s="46" t="s">
        <v>3259</v>
      </c>
      <c r="C5807" s="17" t="s">
        <v>19</v>
      </c>
      <c r="D5807" s="47" t="s">
        <v>3337</v>
      </c>
      <c r="E5807" s="48">
        <v>7</v>
      </c>
      <c r="F5807" s="47" t="s">
        <v>191</v>
      </c>
      <c r="G5807" s="47" t="s">
        <v>39</v>
      </c>
      <c r="H5807" s="48" t="s">
        <v>23</v>
      </c>
      <c r="I5807" s="49">
        <v>34.96</v>
      </c>
      <c r="J5807" s="50">
        <v>244.72</v>
      </c>
      <c r="K5807" s="106"/>
      <c r="L5807" s="114"/>
      <c r="M5807" s="114">
        <f>tblAquisições[[#This Row],[VALOR UNITARIO COMPRADO]]*tblAquisições[[#This Row],[QUANTIDADE COMPRADA]]</f>
        <v>0</v>
      </c>
      <c r="N5807" s="110">
        <f>K5807-tblAquisições[[#This Row],[QUANTIDADE PLANEJADA]]</f>
        <v>-7</v>
      </c>
      <c r="O5807" s="106" t="str">
        <f t="shared" si="178"/>
        <v>Faltando Comprar</v>
      </c>
    </row>
    <row r="5808" spans="1:15" ht="60">
      <c r="A5808" s="46" t="s">
        <v>3259</v>
      </c>
      <c r="B5808" s="46" t="s">
        <v>3263</v>
      </c>
      <c r="C5808" s="17" t="s">
        <v>19</v>
      </c>
      <c r="D5808" s="47" t="s">
        <v>3337</v>
      </c>
      <c r="E5808" s="48">
        <v>15</v>
      </c>
      <c r="F5808" s="47" t="s">
        <v>191</v>
      </c>
      <c r="G5808" s="47" t="s">
        <v>39</v>
      </c>
      <c r="H5808" s="51"/>
      <c r="I5808" s="49">
        <v>34.96</v>
      </c>
      <c r="J5808" s="50">
        <v>524.4</v>
      </c>
      <c r="K5808" s="106"/>
      <c r="L5808" s="114"/>
      <c r="M5808" s="114">
        <f>tblAquisições[[#This Row],[VALOR UNITARIO COMPRADO]]*tblAquisições[[#This Row],[QUANTIDADE COMPRADA]]</f>
        <v>0</v>
      </c>
      <c r="N5808" s="110">
        <f>K5808-tblAquisições[[#This Row],[QUANTIDADE PLANEJADA]]</f>
        <v>-15</v>
      </c>
      <c r="O5808" s="106" t="str">
        <f t="shared" si="178"/>
        <v>Faltando Comprar</v>
      </c>
    </row>
    <row r="5809" spans="1:15" ht="45">
      <c r="A5809" s="46" t="s">
        <v>3259</v>
      </c>
      <c r="B5809" s="46" t="s">
        <v>3267</v>
      </c>
      <c r="C5809" s="17" t="s">
        <v>19</v>
      </c>
      <c r="D5809" s="47" t="s">
        <v>2955</v>
      </c>
      <c r="E5809" s="48">
        <v>25</v>
      </c>
      <c r="F5809" s="47" t="s">
        <v>56</v>
      </c>
      <c r="G5809" s="47" t="s">
        <v>39</v>
      </c>
      <c r="H5809" s="51"/>
      <c r="I5809" s="49">
        <v>104.66</v>
      </c>
      <c r="J5809" s="50">
        <v>2616.5</v>
      </c>
      <c r="K5809" s="106"/>
      <c r="L5809" s="114"/>
      <c r="M5809" s="114">
        <f>tblAquisições[[#This Row],[VALOR UNITARIO COMPRADO]]*tblAquisições[[#This Row],[QUANTIDADE COMPRADA]]</f>
        <v>0</v>
      </c>
      <c r="N5809" s="110">
        <f>K5809-tblAquisições[[#This Row],[QUANTIDADE PLANEJADA]]</f>
        <v>-25</v>
      </c>
      <c r="O5809" s="106" t="str">
        <f t="shared" si="178"/>
        <v>Faltando Comprar</v>
      </c>
    </row>
    <row r="5810" spans="1:15" ht="45">
      <c r="A5810" s="46" t="s">
        <v>3259</v>
      </c>
      <c r="B5810" s="46" t="s">
        <v>3259</v>
      </c>
      <c r="C5810" s="17" t="s">
        <v>19</v>
      </c>
      <c r="D5810" s="47" t="s">
        <v>1232</v>
      </c>
      <c r="E5810" s="48">
        <v>2</v>
      </c>
      <c r="F5810" s="47" t="s">
        <v>56</v>
      </c>
      <c r="G5810" s="47" t="s">
        <v>39</v>
      </c>
      <c r="H5810" s="48" t="s">
        <v>23</v>
      </c>
      <c r="I5810" s="49">
        <v>54.7</v>
      </c>
      <c r="J5810" s="50">
        <v>109.4</v>
      </c>
      <c r="K5810" s="106"/>
      <c r="L5810" s="114"/>
      <c r="M5810" s="114">
        <f>tblAquisições[[#This Row],[VALOR UNITARIO COMPRADO]]*tblAquisições[[#This Row],[QUANTIDADE COMPRADA]]</f>
        <v>0</v>
      </c>
      <c r="N5810" s="110">
        <f>K5810-tblAquisições[[#This Row],[QUANTIDADE PLANEJADA]]</f>
        <v>-2</v>
      </c>
      <c r="O5810" s="106" t="str">
        <f t="shared" si="178"/>
        <v>Faltando Comprar</v>
      </c>
    </row>
    <row r="5811" spans="1:15" ht="45">
      <c r="A5811" s="46" t="s">
        <v>3259</v>
      </c>
      <c r="B5811" s="46" t="s">
        <v>3263</v>
      </c>
      <c r="C5811" s="17" t="s">
        <v>19</v>
      </c>
      <c r="D5811" s="47" t="s">
        <v>1232</v>
      </c>
      <c r="E5811" s="48">
        <v>15</v>
      </c>
      <c r="F5811" s="47" t="s">
        <v>56</v>
      </c>
      <c r="G5811" s="47" t="s">
        <v>39</v>
      </c>
      <c r="H5811" s="51"/>
      <c r="I5811" s="49">
        <v>54.7</v>
      </c>
      <c r="J5811" s="50">
        <f t="shared" ref="J5811:J5874" si="179">E5811*I5811</f>
        <v>820.5</v>
      </c>
      <c r="K5811" s="106"/>
      <c r="L5811" s="114"/>
      <c r="M5811" s="114">
        <f>tblAquisições[[#This Row],[VALOR UNITARIO COMPRADO]]*tblAquisições[[#This Row],[QUANTIDADE COMPRADA]]</f>
        <v>0</v>
      </c>
      <c r="N5811" s="110">
        <f>K5811-tblAquisições[[#This Row],[QUANTIDADE PLANEJADA]]</f>
        <v>-15</v>
      </c>
      <c r="O5811" s="106" t="str">
        <f t="shared" si="178"/>
        <v>Faltando Comprar</v>
      </c>
    </row>
    <row r="5812" spans="1:15" ht="90">
      <c r="A5812" s="46" t="s">
        <v>3259</v>
      </c>
      <c r="B5812" s="46" t="s">
        <v>3259</v>
      </c>
      <c r="C5812" s="17" t="s">
        <v>19</v>
      </c>
      <c r="D5812" s="47" t="s">
        <v>3338</v>
      </c>
      <c r="E5812" s="48">
        <v>5</v>
      </c>
      <c r="F5812" s="47" t="s">
        <v>2856</v>
      </c>
      <c r="G5812" s="47" t="s">
        <v>39</v>
      </c>
      <c r="H5812" s="48" t="s">
        <v>23</v>
      </c>
      <c r="I5812" s="49">
        <v>12.2</v>
      </c>
      <c r="J5812" s="50">
        <f t="shared" si="179"/>
        <v>61</v>
      </c>
      <c r="K5812" s="106"/>
      <c r="L5812" s="114"/>
      <c r="M5812" s="114">
        <f>tblAquisições[[#This Row],[VALOR UNITARIO COMPRADO]]*tblAquisições[[#This Row],[QUANTIDADE COMPRADA]]</f>
        <v>0</v>
      </c>
      <c r="N5812" s="110">
        <f>K5812-tblAquisições[[#This Row],[QUANTIDADE PLANEJADA]]</f>
        <v>-5</v>
      </c>
      <c r="O5812" s="106" t="str">
        <f t="shared" si="178"/>
        <v>Faltando Comprar</v>
      </c>
    </row>
    <row r="5813" spans="1:15" ht="90">
      <c r="A5813" s="46" t="s">
        <v>3259</v>
      </c>
      <c r="B5813" s="46" t="s">
        <v>3263</v>
      </c>
      <c r="C5813" s="17" t="s">
        <v>19</v>
      </c>
      <c r="D5813" s="47" t="s">
        <v>3338</v>
      </c>
      <c r="E5813" s="48">
        <v>10</v>
      </c>
      <c r="F5813" s="47" t="s">
        <v>2856</v>
      </c>
      <c r="G5813" s="47" t="s">
        <v>39</v>
      </c>
      <c r="H5813" s="51"/>
      <c r="I5813" s="49">
        <v>12.2</v>
      </c>
      <c r="J5813" s="50">
        <f t="shared" si="179"/>
        <v>122</v>
      </c>
      <c r="K5813" s="106"/>
      <c r="L5813" s="114"/>
      <c r="M5813" s="114">
        <f>tblAquisições[[#This Row],[VALOR UNITARIO COMPRADO]]*tblAquisições[[#This Row],[QUANTIDADE COMPRADA]]</f>
        <v>0</v>
      </c>
      <c r="N5813" s="110">
        <f>K5813-tblAquisições[[#This Row],[QUANTIDADE PLANEJADA]]</f>
        <v>-10</v>
      </c>
      <c r="O5813" s="106" t="str">
        <f t="shared" si="178"/>
        <v>Faltando Comprar</v>
      </c>
    </row>
    <row r="5814" spans="1:15" ht="60">
      <c r="A5814" s="46" t="s">
        <v>3259</v>
      </c>
      <c r="B5814" s="46" t="s">
        <v>3260</v>
      </c>
      <c r="C5814" s="17" t="s">
        <v>19</v>
      </c>
      <c r="D5814" s="47" t="s">
        <v>3142</v>
      </c>
      <c r="E5814" s="48">
        <v>9</v>
      </c>
      <c r="F5814" s="47" t="s">
        <v>2678</v>
      </c>
      <c r="G5814" s="47" t="s">
        <v>775</v>
      </c>
      <c r="H5814" s="48" t="s">
        <v>23</v>
      </c>
      <c r="I5814" s="49">
        <v>300.66000000000003</v>
      </c>
      <c r="J5814" s="50">
        <f t="shared" si="179"/>
        <v>2705.94</v>
      </c>
      <c r="K5814" s="106"/>
      <c r="L5814" s="114"/>
      <c r="M5814" s="114">
        <f>tblAquisições[[#This Row],[VALOR UNITARIO COMPRADO]]*tblAquisições[[#This Row],[QUANTIDADE COMPRADA]]</f>
        <v>0</v>
      </c>
      <c r="N5814" s="110">
        <f>K5814-tblAquisições[[#This Row],[QUANTIDADE PLANEJADA]]</f>
        <v>-9</v>
      </c>
      <c r="O5814" s="106" t="str">
        <f t="shared" si="178"/>
        <v>Faltando Comprar</v>
      </c>
    </row>
    <row r="5815" spans="1:15" ht="60">
      <c r="A5815" s="46" t="s">
        <v>3259</v>
      </c>
      <c r="B5815" s="46" t="s">
        <v>3267</v>
      </c>
      <c r="C5815" s="17" t="s">
        <v>19</v>
      </c>
      <c r="D5815" s="47" t="s">
        <v>3142</v>
      </c>
      <c r="E5815" s="48">
        <v>25</v>
      </c>
      <c r="F5815" s="47" t="s">
        <v>2678</v>
      </c>
      <c r="G5815" s="47" t="s">
        <v>775</v>
      </c>
      <c r="H5815" s="51"/>
      <c r="I5815" s="49">
        <v>300.66000000000003</v>
      </c>
      <c r="J5815" s="50">
        <f t="shared" si="179"/>
        <v>7516.5000000000009</v>
      </c>
      <c r="K5815" s="106"/>
      <c r="L5815" s="114"/>
      <c r="M5815" s="114">
        <f>tblAquisições[[#This Row],[VALOR UNITARIO COMPRADO]]*tblAquisições[[#This Row],[QUANTIDADE COMPRADA]]</f>
        <v>0</v>
      </c>
      <c r="N5815" s="110">
        <f>K5815-tblAquisições[[#This Row],[QUANTIDADE PLANEJADA]]</f>
        <v>-25</v>
      </c>
      <c r="O5815" s="106" t="str">
        <f t="shared" si="178"/>
        <v>Faltando Comprar</v>
      </c>
    </row>
    <row r="5816" spans="1:15" ht="45">
      <c r="A5816" s="46" t="s">
        <v>3259</v>
      </c>
      <c r="B5816" s="46" t="s">
        <v>3267</v>
      </c>
      <c r="C5816" s="17" t="s">
        <v>19</v>
      </c>
      <c r="D5816" s="47" t="s">
        <v>2961</v>
      </c>
      <c r="E5816" s="48">
        <v>25</v>
      </c>
      <c r="F5816" s="47" t="s">
        <v>56</v>
      </c>
      <c r="G5816" s="47" t="s">
        <v>39</v>
      </c>
      <c r="H5816" s="51"/>
      <c r="I5816" s="49">
        <v>227.5</v>
      </c>
      <c r="J5816" s="50">
        <f t="shared" si="179"/>
        <v>5687.5</v>
      </c>
      <c r="K5816" s="106"/>
      <c r="L5816" s="114"/>
      <c r="M5816" s="114">
        <f>tblAquisições[[#This Row],[VALOR UNITARIO COMPRADO]]*tblAquisições[[#This Row],[QUANTIDADE COMPRADA]]</f>
        <v>0</v>
      </c>
      <c r="N5816" s="110">
        <f>K5816-tblAquisições[[#This Row],[QUANTIDADE PLANEJADA]]</f>
        <v>-25</v>
      </c>
      <c r="O5816" s="106" t="str">
        <f t="shared" si="178"/>
        <v>Faltando Comprar</v>
      </c>
    </row>
    <row r="5817" spans="1:15" ht="45">
      <c r="A5817" s="46" t="s">
        <v>3259</v>
      </c>
      <c r="B5817" s="46" t="s">
        <v>3267</v>
      </c>
      <c r="C5817" s="17" t="s">
        <v>19</v>
      </c>
      <c r="D5817" s="47" t="s">
        <v>2964</v>
      </c>
      <c r="E5817" s="48">
        <v>25</v>
      </c>
      <c r="F5817" s="47" t="s">
        <v>56</v>
      </c>
      <c r="G5817" s="47" t="s">
        <v>39</v>
      </c>
      <c r="H5817" s="51"/>
      <c r="I5817" s="49">
        <v>426.32</v>
      </c>
      <c r="J5817" s="50">
        <f t="shared" si="179"/>
        <v>10658</v>
      </c>
      <c r="K5817" s="106"/>
      <c r="L5817" s="114"/>
      <c r="M5817" s="114">
        <f>tblAquisições[[#This Row],[VALOR UNITARIO COMPRADO]]*tblAquisições[[#This Row],[QUANTIDADE COMPRADA]]</f>
        <v>0</v>
      </c>
      <c r="N5817" s="110">
        <f>K5817-tblAquisições[[#This Row],[QUANTIDADE PLANEJADA]]</f>
        <v>-25</v>
      </c>
      <c r="O5817" s="106" t="str">
        <f t="shared" si="178"/>
        <v>Faltando Comprar</v>
      </c>
    </row>
    <row r="5818" spans="1:15" ht="60">
      <c r="A5818" s="46" t="s">
        <v>3259</v>
      </c>
      <c r="B5818" s="46" t="s">
        <v>3267</v>
      </c>
      <c r="C5818" s="17" t="s">
        <v>19</v>
      </c>
      <c r="D5818" s="47" t="s">
        <v>2965</v>
      </c>
      <c r="E5818" s="48">
        <v>25</v>
      </c>
      <c r="F5818" s="47" t="s">
        <v>2678</v>
      </c>
      <c r="G5818" s="47" t="s">
        <v>775</v>
      </c>
      <c r="H5818" s="51"/>
      <c r="I5818" s="49">
        <v>417.95</v>
      </c>
      <c r="J5818" s="50">
        <f t="shared" si="179"/>
        <v>10448.75</v>
      </c>
      <c r="K5818" s="106"/>
      <c r="L5818" s="114"/>
      <c r="M5818" s="114">
        <f>tblAquisições[[#This Row],[VALOR UNITARIO COMPRADO]]*tblAquisições[[#This Row],[QUANTIDADE COMPRADA]]</f>
        <v>0</v>
      </c>
      <c r="N5818" s="110">
        <f>K5818-tblAquisições[[#This Row],[QUANTIDADE PLANEJADA]]</f>
        <v>-25</v>
      </c>
      <c r="O5818" s="106" t="str">
        <f t="shared" si="178"/>
        <v>Faltando Comprar</v>
      </c>
    </row>
    <row r="5819" spans="1:15" ht="45">
      <c r="A5819" s="46" t="s">
        <v>3259</v>
      </c>
      <c r="B5819" s="46" t="s">
        <v>3259</v>
      </c>
      <c r="C5819" s="17" t="s">
        <v>19</v>
      </c>
      <c r="D5819" s="47" t="s">
        <v>2967</v>
      </c>
      <c r="E5819" s="48">
        <v>2</v>
      </c>
      <c r="F5819" s="47" t="s">
        <v>56</v>
      </c>
      <c r="G5819" s="47" t="s">
        <v>39</v>
      </c>
      <c r="H5819" s="48" t="s">
        <v>23</v>
      </c>
      <c r="I5819" s="49">
        <v>66.34</v>
      </c>
      <c r="J5819" s="50">
        <f t="shared" si="179"/>
        <v>132.68</v>
      </c>
      <c r="K5819" s="106"/>
      <c r="L5819" s="114"/>
      <c r="M5819" s="114">
        <f>tblAquisições[[#This Row],[VALOR UNITARIO COMPRADO]]*tblAquisições[[#This Row],[QUANTIDADE COMPRADA]]</f>
        <v>0</v>
      </c>
      <c r="N5819" s="110">
        <f>K5819-tblAquisições[[#This Row],[QUANTIDADE PLANEJADA]]</f>
        <v>-2</v>
      </c>
      <c r="O5819" s="106" t="str">
        <f t="shared" si="178"/>
        <v>Faltando Comprar</v>
      </c>
    </row>
    <row r="5820" spans="1:15" ht="60">
      <c r="A5820" s="46" t="s">
        <v>3259</v>
      </c>
      <c r="B5820" s="46" t="s">
        <v>3259</v>
      </c>
      <c r="C5820" s="17" t="s">
        <v>19</v>
      </c>
      <c r="D5820" s="47" t="s">
        <v>3339</v>
      </c>
      <c r="E5820" s="48">
        <v>10</v>
      </c>
      <c r="F5820" s="47" t="s">
        <v>96</v>
      </c>
      <c r="G5820" s="47" t="s">
        <v>39</v>
      </c>
      <c r="H5820" s="48" t="s">
        <v>23</v>
      </c>
      <c r="I5820" s="49">
        <v>59.33</v>
      </c>
      <c r="J5820" s="50">
        <f t="shared" si="179"/>
        <v>593.29999999999995</v>
      </c>
      <c r="K5820" s="106"/>
      <c r="L5820" s="114"/>
      <c r="M5820" s="114">
        <f>tblAquisições[[#This Row],[VALOR UNITARIO COMPRADO]]*tblAquisições[[#This Row],[QUANTIDADE COMPRADA]]</f>
        <v>0</v>
      </c>
      <c r="N5820" s="110">
        <f>K5820-tblAquisições[[#This Row],[QUANTIDADE PLANEJADA]]</f>
        <v>-10</v>
      </c>
      <c r="O5820" s="106" t="str">
        <f t="shared" si="178"/>
        <v>Faltando Comprar</v>
      </c>
    </row>
    <row r="5821" spans="1:15" ht="60">
      <c r="A5821" s="46" t="s">
        <v>3259</v>
      </c>
      <c r="B5821" s="46" t="s">
        <v>3263</v>
      </c>
      <c r="C5821" s="17" t="s">
        <v>19</v>
      </c>
      <c r="D5821" s="47" t="s">
        <v>3339</v>
      </c>
      <c r="E5821" s="48">
        <v>30</v>
      </c>
      <c r="F5821" s="47" t="s">
        <v>96</v>
      </c>
      <c r="G5821" s="47" t="s">
        <v>39</v>
      </c>
      <c r="H5821" s="51"/>
      <c r="I5821" s="49">
        <v>59.33</v>
      </c>
      <c r="J5821" s="50">
        <f t="shared" si="179"/>
        <v>1779.8999999999999</v>
      </c>
      <c r="K5821" s="106"/>
      <c r="L5821" s="114"/>
      <c r="M5821" s="114">
        <f>tblAquisições[[#This Row],[VALOR UNITARIO COMPRADO]]*tblAquisições[[#This Row],[QUANTIDADE COMPRADA]]</f>
        <v>0</v>
      </c>
      <c r="N5821" s="110">
        <f>K5821-tblAquisições[[#This Row],[QUANTIDADE PLANEJADA]]</f>
        <v>-30</v>
      </c>
      <c r="O5821" s="106" t="str">
        <f t="shared" si="178"/>
        <v>Faltando Comprar</v>
      </c>
    </row>
    <row r="5822" spans="1:15" ht="45">
      <c r="A5822" s="46" t="s">
        <v>3259</v>
      </c>
      <c r="B5822" s="46" t="s">
        <v>3259</v>
      </c>
      <c r="C5822" s="17" t="s">
        <v>19</v>
      </c>
      <c r="D5822" s="47" t="s">
        <v>3340</v>
      </c>
      <c r="E5822" s="48">
        <v>5</v>
      </c>
      <c r="F5822" s="47" t="s">
        <v>2865</v>
      </c>
      <c r="G5822" s="47" t="s">
        <v>39</v>
      </c>
      <c r="H5822" s="48" t="s">
        <v>23</v>
      </c>
      <c r="I5822" s="49">
        <v>790.86</v>
      </c>
      <c r="J5822" s="50">
        <f t="shared" si="179"/>
        <v>3954.3</v>
      </c>
      <c r="K5822" s="106"/>
      <c r="L5822" s="114"/>
      <c r="M5822" s="114">
        <f>tblAquisições[[#This Row],[VALOR UNITARIO COMPRADO]]*tblAquisições[[#This Row],[QUANTIDADE COMPRADA]]</f>
        <v>0</v>
      </c>
      <c r="N5822" s="110">
        <f>K5822-tblAquisições[[#This Row],[QUANTIDADE PLANEJADA]]</f>
        <v>-5</v>
      </c>
      <c r="O5822" s="106" t="str">
        <f t="shared" si="178"/>
        <v>Faltando Comprar</v>
      </c>
    </row>
    <row r="5823" spans="1:15" ht="45">
      <c r="A5823" s="46" t="s">
        <v>3259</v>
      </c>
      <c r="B5823" s="46" t="s">
        <v>3263</v>
      </c>
      <c r="C5823" s="17" t="s">
        <v>19</v>
      </c>
      <c r="D5823" s="47" t="s">
        <v>3340</v>
      </c>
      <c r="E5823" s="48">
        <v>1</v>
      </c>
      <c r="F5823" s="47" t="s">
        <v>2865</v>
      </c>
      <c r="G5823" s="47" t="s">
        <v>39</v>
      </c>
      <c r="H5823" s="51"/>
      <c r="I5823" s="49">
        <v>790.86</v>
      </c>
      <c r="J5823" s="50">
        <f t="shared" si="179"/>
        <v>790.86</v>
      </c>
      <c r="K5823" s="106"/>
      <c r="L5823" s="114"/>
      <c r="M5823" s="114">
        <f>tblAquisições[[#This Row],[VALOR UNITARIO COMPRADO]]*tblAquisições[[#This Row],[QUANTIDADE COMPRADA]]</f>
        <v>0</v>
      </c>
      <c r="N5823" s="110">
        <f>K5823-tblAquisições[[#This Row],[QUANTIDADE PLANEJADA]]</f>
        <v>-1</v>
      </c>
      <c r="O5823" s="106" t="str">
        <f t="shared" si="178"/>
        <v>Faltando Comprar</v>
      </c>
    </row>
    <row r="5824" spans="1:15" ht="60">
      <c r="A5824" s="46" t="s">
        <v>3259</v>
      </c>
      <c r="B5824" s="46" t="s">
        <v>3259</v>
      </c>
      <c r="C5824" s="17" t="s">
        <v>19</v>
      </c>
      <c r="D5824" s="47" t="s">
        <v>3341</v>
      </c>
      <c r="E5824" s="48">
        <v>7</v>
      </c>
      <c r="F5824" s="47" t="s">
        <v>191</v>
      </c>
      <c r="G5824" s="47" t="s">
        <v>39</v>
      </c>
      <c r="H5824" s="48" t="s">
        <v>23</v>
      </c>
      <c r="I5824" s="49">
        <v>28.55</v>
      </c>
      <c r="J5824" s="50">
        <f t="shared" si="179"/>
        <v>199.85</v>
      </c>
      <c r="K5824" s="106"/>
      <c r="L5824" s="114"/>
      <c r="M5824" s="114">
        <f>tblAquisições[[#This Row],[VALOR UNITARIO COMPRADO]]*tblAquisições[[#This Row],[QUANTIDADE COMPRADA]]</f>
        <v>0</v>
      </c>
      <c r="N5824" s="110">
        <f>K5824-tblAquisições[[#This Row],[QUANTIDADE PLANEJADA]]</f>
        <v>-7</v>
      </c>
      <c r="O5824" s="106" t="str">
        <f t="shared" si="178"/>
        <v>Faltando Comprar</v>
      </c>
    </row>
    <row r="5825" spans="1:15" ht="60">
      <c r="A5825" s="46" t="s">
        <v>3259</v>
      </c>
      <c r="B5825" s="46" t="s">
        <v>3263</v>
      </c>
      <c r="C5825" s="17" t="s">
        <v>19</v>
      </c>
      <c r="D5825" s="47" t="s">
        <v>3341</v>
      </c>
      <c r="E5825" s="48">
        <v>15</v>
      </c>
      <c r="F5825" s="47" t="s">
        <v>191</v>
      </c>
      <c r="G5825" s="47" t="s">
        <v>39</v>
      </c>
      <c r="H5825" s="51"/>
      <c r="I5825" s="49">
        <v>28.55</v>
      </c>
      <c r="J5825" s="50">
        <f t="shared" si="179"/>
        <v>428.25</v>
      </c>
      <c r="K5825" s="106"/>
      <c r="L5825" s="114"/>
      <c r="M5825" s="114">
        <f>tblAquisições[[#This Row],[VALOR UNITARIO COMPRADO]]*tblAquisições[[#This Row],[QUANTIDADE COMPRADA]]</f>
        <v>0</v>
      </c>
      <c r="N5825" s="110">
        <f>K5825-tblAquisições[[#This Row],[QUANTIDADE PLANEJADA]]</f>
        <v>-15</v>
      </c>
      <c r="O5825" s="106" t="str">
        <f t="shared" si="178"/>
        <v>Faltando Comprar</v>
      </c>
    </row>
    <row r="5826" spans="1:15" ht="60">
      <c r="A5826" s="46" t="s">
        <v>3259</v>
      </c>
      <c r="B5826" s="46" t="s">
        <v>3259</v>
      </c>
      <c r="C5826" s="17" t="s">
        <v>19</v>
      </c>
      <c r="D5826" s="47" t="s">
        <v>1386</v>
      </c>
      <c r="E5826" s="48">
        <v>3</v>
      </c>
      <c r="F5826" s="47" t="s">
        <v>96</v>
      </c>
      <c r="G5826" s="47" t="s">
        <v>39</v>
      </c>
      <c r="H5826" s="48" t="s">
        <v>23</v>
      </c>
      <c r="I5826" s="49">
        <v>44.66</v>
      </c>
      <c r="J5826" s="50">
        <f t="shared" si="179"/>
        <v>133.97999999999999</v>
      </c>
      <c r="K5826" s="106"/>
      <c r="L5826" s="114"/>
      <c r="M5826" s="114">
        <f>tblAquisições[[#This Row],[VALOR UNITARIO COMPRADO]]*tblAquisições[[#This Row],[QUANTIDADE COMPRADA]]</f>
        <v>0</v>
      </c>
      <c r="N5826" s="110">
        <f>K5826-tblAquisições[[#This Row],[QUANTIDADE PLANEJADA]]</f>
        <v>-3</v>
      </c>
      <c r="O5826" s="106" t="str">
        <f t="shared" ref="O5826:O5889" si="180">IF(K5826=E5826,"OK",IF(K5826&lt;E5826,"Faltando Comprar","Excedente"))</f>
        <v>Faltando Comprar</v>
      </c>
    </row>
    <row r="5827" spans="1:15" ht="60">
      <c r="A5827" s="46" t="s">
        <v>3259</v>
      </c>
      <c r="B5827" s="46" t="s">
        <v>3263</v>
      </c>
      <c r="C5827" s="17" t="s">
        <v>19</v>
      </c>
      <c r="D5827" s="47" t="s">
        <v>1386</v>
      </c>
      <c r="E5827" s="48">
        <v>50</v>
      </c>
      <c r="F5827" s="47" t="s">
        <v>96</v>
      </c>
      <c r="G5827" s="47" t="s">
        <v>39</v>
      </c>
      <c r="H5827" s="51"/>
      <c r="I5827" s="49">
        <v>44.66</v>
      </c>
      <c r="J5827" s="50">
        <f t="shared" si="179"/>
        <v>2233</v>
      </c>
      <c r="K5827" s="106"/>
      <c r="L5827" s="114"/>
      <c r="M5827" s="114">
        <f>tblAquisições[[#This Row],[VALOR UNITARIO COMPRADO]]*tblAquisições[[#This Row],[QUANTIDADE COMPRADA]]</f>
        <v>0</v>
      </c>
      <c r="N5827" s="110">
        <f>K5827-tblAquisições[[#This Row],[QUANTIDADE PLANEJADA]]</f>
        <v>-50</v>
      </c>
      <c r="O5827" s="106" t="str">
        <f t="shared" si="180"/>
        <v>Faltando Comprar</v>
      </c>
    </row>
    <row r="5828" spans="1:15" ht="45">
      <c r="A5828" s="46" t="s">
        <v>3259</v>
      </c>
      <c r="B5828" s="46" t="s">
        <v>3259</v>
      </c>
      <c r="C5828" s="17" t="s">
        <v>19</v>
      </c>
      <c r="D5828" s="47" t="s">
        <v>3342</v>
      </c>
      <c r="E5828" s="48">
        <v>5</v>
      </c>
      <c r="F5828" s="47" t="s">
        <v>56</v>
      </c>
      <c r="G5828" s="47" t="s">
        <v>39</v>
      </c>
      <c r="H5828" s="48" t="s">
        <v>23</v>
      </c>
      <c r="I5828" s="49">
        <v>899</v>
      </c>
      <c r="J5828" s="50">
        <f t="shared" si="179"/>
        <v>4495</v>
      </c>
      <c r="K5828" s="106"/>
      <c r="L5828" s="114"/>
      <c r="M5828" s="114">
        <f>tblAquisições[[#This Row],[VALOR UNITARIO COMPRADO]]*tblAquisições[[#This Row],[QUANTIDADE COMPRADA]]</f>
        <v>0</v>
      </c>
      <c r="N5828" s="110">
        <f>K5828-tblAquisições[[#This Row],[QUANTIDADE PLANEJADA]]</f>
        <v>-5</v>
      </c>
      <c r="O5828" s="106" t="str">
        <f t="shared" si="180"/>
        <v>Faltando Comprar</v>
      </c>
    </row>
    <row r="5829" spans="1:15" ht="45">
      <c r="A5829" s="46" t="s">
        <v>3259</v>
      </c>
      <c r="B5829" s="46" t="s">
        <v>3263</v>
      </c>
      <c r="C5829" s="17" t="s">
        <v>19</v>
      </c>
      <c r="D5829" s="47" t="s">
        <v>3342</v>
      </c>
      <c r="E5829" s="48">
        <v>5</v>
      </c>
      <c r="F5829" s="47" t="s">
        <v>56</v>
      </c>
      <c r="G5829" s="47" t="s">
        <v>39</v>
      </c>
      <c r="H5829" s="51"/>
      <c r="I5829" s="49">
        <v>899</v>
      </c>
      <c r="J5829" s="50">
        <f t="shared" si="179"/>
        <v>4495</v>
      </c>
      <c r="K5829" s="106"/>
      <c r="L5829" s="114"/>
      <c r="M5829" s="114">
        <f>tblAquisições[[#This Row],[VALOR UNITARIO COMPRADO]]*tblAquisições[[#This Row],[QUANTIDADE COMPRADA]]</f>
        <v>0</v>
      </c>
      <c r="N5829" s="110">
        <f>K5829-tblAquisições[[#This Row],[QUANTIDADE PLANEJADA]]</f>
        <v>-5</v>
      </c>
      <c r="O5829" s="106" t="str">
        <f t="shared" si="180"/>
        <v>Faltando Comprar</v>
      </c>
    </row>
    <row r="5830" spans="1:15" ht="45">
      <c r="A5830" s="46" t="s">
        <v>3259</v>
      </c>
      <c r="B5830" s="46" t="s">
        <v>3267</v>
      </c>
      <c r="C5830" s="17" t="s">
        <v>19</v>
      </c>
      <c r="D5830" s="47" t="s">
        <v>3342</v>
      </c>
      <c r="E5830" s="48">
        <v>30</v>
      </c>
      <c r="F5830" s="47" t="s">
        <v>56</v>
      </c>
      <c r="G5830" s="47" t="s">
        <v>39</v>
      </c>
      <c r="H5830" s="51"/>
      <c r="I5830" s="49">
        <v>899</v>
      </c>
      <c r="J5830" s="50">
        <f t="shared" si="179"/>
        <v>26970</v>
      </c>
      <c r="K5830" s="106"/>
      <c r="L5830" s="114"/>
      <c r="M5830" s="114">
        <f>tblAquisições[[#This Row],[VALOR UNITARIO COMPRADO]]*tblAquisições[[#This Row],[QUANTIDADE COMPRADA]]</f>
        <v>0</v>
      </c>
      <c r="N5830" s="110">
        <f>K5830-tblAquisições[[#This Row],[QUANTIDADE PLANEJADA]]</f>
        <v>-30</v>
      </c>
      <c r="O5830" s="106" t="str">
        <f t="shared" si="180"/>
        <v>Faltando Comprar</v>
      </c>
    </row>
    <row r="5831" spans="1:15" ht="45">
      <c r="A5831" s="46" t="s">
        <v>3259</v>
      </c>
      <c r="B5831" s="46" t="s">
        <v>3267</v>
      </c>
      <c r="C5831" s="17" t="s">
        <v>19</v>
      </c>
      <c r="D5831" s="47" t="s">
        <v>2968</v>
      </c>
      <c r="E5831" s="48">
        <v>25</v>
      </c>
      <c r="F5831" s="47" t="s">
        <v>56</v>
      </c>
      <c r="G5831" s="47" t="s">
        <v>39</v>
      </c>
      <c r="H5831" s="51"/>
      <c r="I5831" s="49">
        <v>56.29</v>
      </c>
      <c r="J5831" s="50">
        <f t="shared" si="179"/>
        <v>1407.25</v>
      </c>
      <c r="K5831" s="106"/>
      <c r="L5831" s="114"/>
      <c r="M5831" s="114">
        <f>tblAquisições[[#This Row],[VALOR UNITARIO COMPRADO]]*tblAquisições[[#This Row],[QUANTIDADE COMPRADA]]</f>
        <v>0</v>
      </c>
      <c r="N5831" s="110">
        <f>K5831-tblAquisições[[#This Row],[QUANTIDADE PLANEJADA]]</f>
        <v>-25</v>
      </c>
      <c r="O5831" s="106" t="str">
        <f t="shared" si="180"/>
        <v>Faltando Comprar</v>
      </c>
    </row>
    <row r="5832" spans="1:15" ht="60">
      <c r="A5832" s="46" t="s">
        <v>3259</v>
      </c>
      <c r="B5832" s="46" t="s">
        <v>3267</v>
      </c>
      <c r="C5832" s="17" t="s">
        <v>19</v>
      </c>
      <c r="D5832" s="47" t="s">
        <v>2969</v>
      </c>
      <c r="E5832" s="48">
        <v>25</v>
      </c>
      <c r="F5832" s="47" t="s">
        <v>2678</v>
      </c>
      <c r="G5832" s="47" t="s">
        <v>775</v>
      </c>
      <c r="H5832" s="51"/>
      <c r="I5832" s="49">
        <v>814.63</v>
      </c>
      <c r="J5832" s="50">
        <f t="shared" si="179"/>
        <v>20365.75</v>
      </c>
      <c r="K5832" s="106"/>
      <c r="L5832" s="114"/>
      <c r="M5832" s="114">
        <f>tblAquisições[[#This Row],[VALOR UNITARIO COMPRADO]]*tblAquisições[[#This Row],[QUANTIDADE COMPRADA]]</f>
        <v>0</v>
      </c>
      <c r="N5832" s="110">
        <f>K5832-tblAquisições[[#This Row],[QUANTIDADE PLANEJADA]]</f>
        <v>-25</v>
      </c>
      <c r="O5832" s="106" t="str">
        <f t="shared" si="180"/>
        <v>Faltando Comprar</v>
      </c>
    </row>
    <row r="5833" spans="1:15" ht="60">
      <c r="A5833" s="46" t="s">
        <v>3259</v>
      </c>
      <c r="B5833" s="46" t="s">
        <v>3259</v>
      </c>
      <c r="C5833" s="17" t="s">
        <v>19</v>
      </c>
      <c r="D5833" s="47" t="s">
        <v>3343</v>
      </c>
      <c r="E5833" s="48">
        <v>1</v>
      </c>
      <c r="F5833" s="47" t="s">
        <v>2678</v>
      </c>
      <c r="G5833" s="47" t="s">
        <v>775</v>
      </c>
      <c r="H5833" s="48" t="s">
        <v>23</v>
      </c>
      <c r="I5833" s="49">
        <v>3069.71</v>
      </c>
      <c r="J5833" s="50">
        <f t="shared" si="179"/>
        <v>3069.71</v>
      </c>
      <c r="K5833" s="106"/>
      <c r="L5833" s="114"/>
      <c r="M5833" s="114">
        <f>tblAquisições[[#This Row],[VALOR UNITARIO COMPRADO]]*tblAquisições[[#This Row],[QUANTIDADE COMPRADA]]</f>
        <v>0</v>
      </c>
      <c r="N5833" s="110">
        <f>K5833-tblAquisições[[#This Row],[QUANTIDADE PLANEJADA]]</f>
        <v>-1</v>
      </c>
      <c r="O5833" s="106" t="str">
        <f t="shared" si="180"/>
        <v>Faltando Comprar</v>
      </c>
    </row>
    <row r="5834" spans="1:15" ht="60">
      <c r="A5834" s="46" t="s">
        <v>3259</v>
      </c>
      <c r="B5834" s="46" t="s">
        <v>3263</v>
      </c>
      <c r="C5834" s="17" t="s">
        <v>19</v>
      </c>
      <c r="D5834" s="47" t="s">
        <v>3343</v>
      </c>
      <c r="E5834" s="48">
        <v>10</v>
      </c>
      <c r="F5834" s="47" t="s">
        <v>2678</v>
      </c>
      <c r="G5834" s="47" t="s">
        <v>775</v>
      </c>
      <c r="H5834" s="51"/>
      <c r="I5834" s="49">
        <v>3069.71</v>
      </c>
      <c r="J5834" s="50">
        <f t="shared" si="179"/>
        <v>30697.1</v>
      </c>
      <c r="K5834" s="106"/>
      <c r="L5834" s="114"/>
      <c r="M5834" s="114">
        <f>tblAquisições[[#This Row],[VALOR UNITARIO COMPRADO]]*tblAquisições[[#This Row],[QUANTIDADE COMPRADA]]</f>
        <v>0</v>
      </c>
      <c r="N5834" s="110">
        <f>K5834-tblAquisições[[#This Row],[QUANTIDADE PLANEJADA]]</f>
        <v>-10</v>
      </c>
      <c r="O5834" s="106" t="str">
        <f t="shared" si="180"/>
        <v>Faltando Comprar</v>
      </c>
    </row>
    <row r="5835" spans="1:15" ht="45">
      <c r="A5835" s="46" t="s">
        <v>3259</v>
      </c>
      <c r="B5835" s="46" t="s">
        <v>3259</v>
      </c>
      <c r="C5835" s="17" t="s">
        <v>19</v>
      </c>
      <c r="D5835" s="47" t="s">
        <v>3344</v>
      </c>
      <c r="E5835" s="48">
        <v>4</v>
      </c>
      <c r="F5835" s="47" t="s">
        <v>147</v>
      </c>
      <c r="G5835" s="47" t="s">
        <v>39</v>
      </c>
      <c r="H5835" s="48" t="s">
        <v>23</v>
      </c>
      <c r="I5835" s="49">
        <v>305.25</v>
      </c>
      <c r="J5835" s="50">
        <f t="shared" si="179"/>
        <v>1221</v>
      </c>
      <c r="K5835" s="106"/>
      <c r="L5835" s="114"/>
      <c r="M5835" s="114">
        <f>tblAquisições[[#This Row],[VALOR UNITARIO COMPRADO]]*tblAquisições[[#This Row],[QUANTIDADE COMPRADA]]</f>
        <v>0</v>
      </c>
      <c r="N5835" s="110">
        <f>K5835-tblAquisições[[#This Row],[QUANTIDADE PLANEJADA]]</f>
        <v>-4</v>
      </c>
      <c r="O5835" s="106" t="str">
        <f t="shared" si="180"/>
        <v>Faltando Comprar</v>
      </c>
    </row>
    <row r="5836" spans="1:15" ht="45">
      <c r="A5836" s="46" t="s">
        <v>3259</v>
      </c>
      <c r="B5836" s="46" t="s">
        <v>3263</v>
      </c>
      <c r="C5836" s="17" t="s">
        <v>19</v>
      </c>
      <c r="D5836" s="47" t="s">
        <v>3344</v>
      </c>
      <c r="E5836" s="48">
        <v>2</v>
      </c>
      <c r="F5836" s="47" t="s">
        <v>147</v>
      </c>
      <c r="G5836" s="47" t="s">
        <v>39</v>
      </c>
      <c r="H5836" s="51"/>
      <c r="I5836" s="49">
        <v>305.25</v>
      </c>
      <c r="J5836" s="50">
        <f t="shared" si="179"/>
        <v>610.5</v>
      </c>
      <c r="K5836" s="106"/>
      <c r="L5836" s="114"/>
      <c r="M5836" s="114">
        <f>tblAquisições[[#This Row],[VALOR UNITARIO COMPRADO]]*tblAquisições[[#This Row],[QUANTIDADE COMPRADA]]</f>
        <v>0</v>
      </c>
      <c r="N5836" s="110">
        <f>K5836-tblAquisições[[#This Row],[QUANTIDADE PLANEJADA]]</f>
        <v>-2</v>
      </c>
      <c r="O5836" s="106" t="str">
        <f t="shared" si="180"/>
        <v>Faltando Comprar</v>
      </c>
    </row>
    <row r="5837" spans="1:15" ht="45">
      <c r="A5837" s="46" t="s">
        <v>3259</v>
      </c>
      <c r="B5837" s="46" t="s">
        <v>3267</v>
      </c>
      <c r="C5837" s="17" t="s">
        <v>19</v>
      </c>
      <c r="D5837" s="47" t="s">
        <v>3345</v>
      </c>
      <c r="E5837" s="48">
        <v>25</v>
      </c>
      <c r="F5837" s="47" t="s">
        <v>56</v>
      </c>
      <c r="G5837" s="47" t="s">
        <v>39</v>
      </c>
      <c r="H5837" s="51"/>
      <c r="I5837" s="49">
        <v>163.43</v>
      </c>
      <c r="J5837" s="50">
        <f t="shared" si="179"/>
        <v>4085.75</v>
      </c>
      <c r="K5837" s="106"/>
      <c r="L5837" s="114"/>
      <c r="M5837" s="114">
        <f>tblAquisições[[#This Row],[VALOR UNITARIO COMPRADO]]*tblAquisições[[#This Row],[QUANTIDADE COMPRADA]]</f>
        <v>0</v>
      </c>
      <c r="N5837" s="110">
        <f>K5837-tblAquisições[[#This Row],[QUANTIDADE PLANEJADA]]</f>
        <v>-25</v>
      </c>
      <c r="O5837" s="106" t="str">
        <f t="shared" si="180"/>
        <v>Faltando Comprar</v>
      </c>
    </row>
    <row r="5838" spans="1:15" ht="75">
      <c r="A5838" s="46" t="s">
        <v>3259</v>
      </c>
      <c r="B5838" s="46" t="s">
        <v>3267</v>
      </c>
      <c r="C5838" s="17" t="s">
        <v>19</v>
      </c>
      <c r="D5838" s="47" t="s">
        <v>2801</v>
      </c>
      <c r="E5838" s="48">
        <v>25</v>
      </c>
      <c r="F5838" s="47" t="s">
        <v>2802</v>
      </c>
      <c r="G5838" s="47" t="s">
        <v>775</v>
      </c>
      <c r="H5838" s="51"/>
      <c r="I5838" s="49">
        <v>3512.33</v>
      </c>
      <c r="J5838" s="50">
        <f t="shared" si="179"/>
        <v>87808.25</v>
      </c>
      <c r="K5838" s="106"/>
      <c r="L5838" s="114"/>
      <c r="M5838" s="114">
        <f>tblAquisições[[#This Row],[VALOR UNITARIO COMPRADO]]*tblAquisições[[#This Row],[QUANTIDADE COMPRADA]]</f>
        <v>0</v>
      </c>
      <c r="N5838" s="110">
        <f>K5838-tblAquisições[[#This Row],[QUANTIDADE PLANEJADA]]</f>
        <v>-25</v>
      </c>
      <c r="O5838" s="106" t="str">
        <f t="shared" si="180"/>
        <v>Faltando Comprar</v>
      </c>
    </row>
    <row r="5839" spans="1:15" ht="60">
      <c r="A5839" s="46" t="s">
        <v>3259</v>
      </c>
      <c r="B5839" s="46" t="s">
        <v>3260</v>
      </c>
      <c r="C5839" s="17" t="s">
        <v>19</v>
      </c>
      <c r="D5839" s="47" t="s">
        <v>3346</v>
      </c>
      <c r="E5839" s="48">
        <v>5</v>
      </c>
      <c r="F5839" s="47" t="s">
        <v>217</v>
      </c>
      <c r="G5839" s="47" t="s">
        <v>39</v>
      </c>
      <c r="H5839" s="48" t="s">
        <v>23</v>
      </c>
      <c r="I5839" s="49">
        <v>54.59</v>
      </c>
      <c r="J5839" s="50">
        <f t="shared" si="179"/>
        <v>272.95000000000005</v>
      </c>
      <c r="K5839" s="106"/>
      <c r="L5839" s="114"/>
      <c r="M5839" s="114">
        <f>tblAquisições[[#This Row],[VALOR UNITARIO COMPRADO]]*tblAquisições[[#This Row],[QUANTIDADE COMPRADA]]</f>
        <v>0</v>
      </c>
      <c r="N5839" s="110">
        <f>K5839-tblAquisições[[#This Row],[QUANTIDADE PLANEJADA]]</f>
        <v>-5</v>
      </c>
      <c r="O5839" s="106" t="str">
        <f t="shared" si="180"/>
        <v>Faltando Comprar</v>
      </c>
    </row>
    <row r="5840" spans="1:15" ht="75">
      <c r="A5840" s="46" t="s">
        <v>3259</v>
      </c>
      <c r="B5840" s="46" t="s">
        <v>3259</v>
      </c>
      <c r="C5840" s="17" t="s">
        <v>19</v>
      </c>
      <c r="D5840" s="47" t="s">
        <v>3347</v>
      </c>
      <c r="E5840" s="48">
        <v>4000</v>
      </c>
      <c r="F5840" s="47" t="s">
        <v>2604</v>
      </c>
      <c r="G5840" s="47" t="s">
        <v>39</v>
      </c>
      <c r="H5840" s="48" t="s">
        <v>23</v>
      </c>
      <c r="I5840" s="49">
        <v>127.07</v>
      </c>
      <c r="J5840" s="50">
        <f t="shared" si="179"/>
        <v>508280</v>
      </c>
      <c r="K5840" s="106"/>
      <c r="L5840" s="114"/>
      <c r="M5840" s="114">
        <f>tblAquisições[[#This Row],[VALOR UNITARIO COMPRADO]]*tblAquisições[[#This Row],[QUANTIDADE COMPRADA]]</f>
        <v>0</v>
      </c>
      <c r="N5840" s="110">
        <f>K5840-tblAquisições[[#This Row],[QUANTIDADE PLANEJADA]]</f>
        <v>-4000</v>
      </c>
      <c r="O5840" s="106" t="str">
        <f t="shared" si="180"/>
        <v>Faltando Comprar</v>
      </c>
    </row>
    <row r="5841" spans="1:15" ht="75">
      <c r="A5841" s="46" t="s">
        <v>3259</v>
      </c>
      <c r="B5841" s="46" t="s">
        <v>3260</v>
      </c>
      <c r="C5841" s="17" t="s">
        <v>19</v>
      </c>
      <c r="D5841" s="47" t="s">
        <v>3347</v>
      </c>
      <c r="E5841" s="48">
        <v>10000</v>
      </c>
      <c r="F5841" s="47" t="s">
        <v>2604</v>
      </c>
      <c r="G5841" s="47" t="s">
        <v>39</v>
      </c>
      <c r="H5841" s="48" t="s">
        <v>23</v>
      </c>
      <c r="I5841" s="49">
        <v>127.07</v>
      </c>
      <c r="J5841" s="50">
        <f t="shared" si="179"/>
        <v>1270700</v>
      </c>
      <c r="K5841" s="106"/>
      <c r="L5841" s="114"/>
      <c r="M5841" s="114">
        <f>tblAquisições[[#This Row],[VALOR UNITARIO COMPRADO]]*tblAquisições[[#This Row],[QUANTIDADE COMPRADA]]</f>
        <v>0</v>
      </c>
      <c r="N5841" s="110">
        <f>K5841-tblAquisições[[#This Row],[QUANTIDADE PLANEJADA]]</f>
        <v>-10000</v>
      </c>
      <c r="O5841" s="106" t="str">
        <f t="shared" si="180"/>
        <v>Faltando Comprar</v>
      </c>
    </row>
    <row r="5842" spans="1:15" ht="45">
      <c r="A5842" s="46" t="s">
        <v>3259</v>
      </c>
      <c r="B5842" s="46" t="s">
        <v>3260</v>
      </c>
      <c r="C5842" s="17" t="s">
        <v>19</v>
      </c>
      <c r="D5842" s="47" t="s">
        <v>1497</v>
      </c>
      <c r="E5842" s="48">
        <v>100</v>
      </c>
      <c r="F5842" s="47" t="s">
        <v>38</v>
      </c>
      <c r="G5842" s="47" t="s">
        <v>39</v>
      </c>
      <c r="H5842" s="48" t="s">
        <v>23</v>
      </c>
      <c r="I5842" s="49">
        <v>0.56999999999999995</v>
      </c>
      <c r="J5842" s="50">
        <f t="shared" si="179"/>
        <v>56.999999999999993</v>
      </c>
      <c r="K5842" s="106"/>
      <c r="L5842" s="114"/>
      <c r="M5842" s="114">
        <f>tblAquisições[[#This Row],[VALOR UNITARIO COMPRADO]]*tblAquisições[[#This Row],[QUANTIDADE COMPRADA]]</f>
        <v>0</v>
      </c>
      <c r="N5842" s="110">
        <f>K5842-tblAquisições[[#This Row],[QUANTIDADE PLANEJADA]]</f>
        <v>-100</v>
      </c>
      <c r="O5842" s="106" t="str">
        <f t="shared" si="180"/>
        <v>Faltando Comprar</v>
      </c>
    </row>
    <row r="5843" spans="1:15" ht="60">
      <c r="A5843" s="46" t="s">
        <v>3259</v>
      </c>
      <c r="B5843" s="46" t="s">
        <v>3259</v>
      </c>
      <c r="C5843" s="17" t="s">
        <v>19</v>
      </c>
      <c r="D5843" s="47" t="s">
        <v>3348</v>
      </c>
      <c r="E5843" s="48">
        <v>12</v>
      </c>
      <c r="F5843" s="47" t="s">
        <v>96</v>
      </c>
      <c r="G5843" s="47" t="s">
        <v>39</v>
      </c>
      <c r="H5843" s="48" t="s">
        <v>23</v>
      </c>
      <c r="I5843" s="49">
        <v>119.67</v>
      </c>
      <c r="J5843" s="50">
        <f t="shared" si="179"/>
        <v>1436.04</v>
      </c>
      <c r="K5843" s="106"/>
      <c r="L5843" s="114"/>
      <c r="M5843" s="114">
        <f>tblAquisições[[#This Row],[VALOR UNITARIO COMPRADO]]*tblAquisições[[#This Row],[QUANTIDADE COMPRADA]]</f>
        <v>0</v>
      </c>
      <c r="N5843" s="110">
        <f>K5843-tblAquisições[[#This Row],[QUANTIDADE PLANEJADA]]</f>
        <v>-12</v>
      </c>
      <c r="O5843" s="106" t="str">
        <f t="shared" si="180"/>
        <v>Faltando Comprar</v>
      </c>
    </row>
    <row r="5844" spans="1:15" ht="60">
      <c r="A5844" s="46" t="s">
        <v>3259</v>
      </c>
      <c r="B5844" s="46" t="s">
        <v>3263</v>
      </c>
      <c r="C5844" s="17" t="s">
        <v>19</v>
      </c>
      <c r="D5844" s="47" t="s">
        <v>3348</v>
      </c>
      <c r="E5844" s="48">
        <v>50</v>
      </c>
      <c r="F5844" s="47" t="s">
        <v>96</v>
      </c>
      <c r="G5844" s="47" t="s">
        <v>39</v>
      </c>
      <c r="H5844" s="51"/>
      <c r="I5844" s="49">
        <v>119.67</v>
      </c>
      <c r="J5844" s="50">
        <f t="shared" si="179"/>
        <v>5983.5</v>
      </c>
      <c r="K5844" s="106"/>
      <c r="L5844" s="114"/>
      <c r="M5844" s="114">
        <f>tblAquisições[[#This Row],[VALOR UNITARIO COMPRADO]]*tblAquisições[[#This Row],[QUANTIDADE COMPRADA]]</f>
        <v>0</v>
      </c>
      <c r="N5844" s="110">
        <f>K5844-tblAquisições[[#This Row],[QUANTIDADE PLANEJADA]]</f>
        <v>-50</v>
      </c>
      <c r="O5844" s="106" t="str">
        <f t="shared" si="180"/>
        <v>Faltando Comprar</v>
      </c>
    </row>
    <row r="5845" spans="1:15" ht="75">
      <c r="A5845" s="46" t="s">
        <v>3259</v>
      </c>
      <c r="B5845" s="46" t="s">
        <v>3267</v>
      </c>
      <c r="C5845" s="17" t="s">
        <v>19</v>
      </c>
      <c r="D5845" s="47" t="s">
        <v>3349</v>
      </c>
      <c r="E5845" s="48">
        <v>25</v>
      </c>
      <c r="F5845" s="47" t="s">
        <v>2678</v>
      </c>
      <c r="G5845" s="47" t="s">
        <v>775</v>
      </c>
      <c r="H5845" s="51"/>
      <c r="I5845" s="49">
        <v>530.87</v>
      </c>
      <c r="J5845" s="50">
        <f t="shared" si="179"/>
        <v>13271.75</v>
      </c>
      <c r="K5845" s="106"/>
      <c r="L5845" s="114"/>
      <c r="M5845" s="114">
        <f>tblAquisições[[#This Row],[VALOR UNITARIO COMPRADO]]*tblAquisições[[#This Row],[QUANTIDADE COMPRADA]]</f>
        <v>0</v>
      </c>
      <c r="N5845" s="110">
        <f>K5845-tblAquisições[[#This Row],[QUANTIDADE PLANEJADA]]</f>
        <v>-25</v>
      </c>
      <c r="O5845" s="106" t="str">
        <f t="shared" si="180"/>
        <v>Faltando Comprar</v>
      </c>
    </row>
    <row r="5846" spans="1:15" ht="45">
      <c r="A5846" s="46" t="s">
        <v>3259</v>
      </c>
      <c r="B5846" s="46" t="s">
        <v>3267</v>
      </c>
      <c r="C5846" s="17" t="s">
        <v>19</v>
      </c>
      <c r="D5846" s="47" t="s">
        <v>2978</v>
      </c>
      <c r="E5846" s="48">
        <v>25</v>
      </c>
      <c r="F5846" s="47" t="s">
        <v>56</v>
      </c>
      <c r="G5846" s="47" t="s">
        <v>39</v>
      </c>
      <c r="H5846" s="51"/>
      <c r="I5846" s="49">
        <v>26.93</v>
      </c>
      <c r="J5846" s="50">
        <f t="shared" si="179"/>
        <v>673.25</v>
      </c>
      <c r="K5846" s="106"/>
      <c r="L5846" s="114"/>
      <c r="M5846" s="114">
        <f>tblAquisições[[#This Row],[VALOR UNITARIO COMPRADO]]*tblAquisições[[#This Row],[QUANTIDADE COMPRADA]]</f>
        <v>0</v>
      </c>
      <c r="N5846" s="110">
        <f>K5846-tblAquisições[[#This Row],[QUANTIDADE PLANEJADA]]</f>
        <v>-25</v>
      </c>
      <c r="O5846" s="106" t="str">
        <f t="shared" si="180"/>
        <v>Faltando Comprar</v>
      </c>
    </row>
    <row r="5847" spans="1:15" ht="60">
      <c r="A5847" s="46" t="s">
        <v>3259</v>
      </c>
      <c r="B5847" s="46" t="s">
        <v>3267</v>
      </c>
      <c r="C5847" s="17" t="s">
        <v>19</v>
      </c>
      <c r="D5847" s="47" t="s">
        <v>3350</v>
      </c>
      <c r="E5847" s="48">
        <v>25</v>
      </c>
      <c r="F5847" s="47" t="s">
        <v>2802</v>
      </c>
      <c r="G5847" s="47" t="s">
        <v>775</v>
      </c>
      <c r="H5847" s="51"/>
      <c r="I5847" s="49">
        <v>709.67</v>
      </c>
      <c r="J5847" s="50">
        <f t="shared" si="179"/>
        <v>17741.75</v>
      </c>
      <c r="K5847" s="106"/>
      <c r="L5847" s="114"/>
      <c r="M5847" s="114">
        <f>tblAquisições[[#This Row],[VALOR UNITARIO COMPRADO]]*tblAquisições[[#This Row],[QUANTIDADE COMPRADA]]</f>
        <v>0</v>
      </c>
      <c r="N5847" s="110">
        <f>K5847-tblAquisições[[#This Row],[QUANTIDADE PLANEJADA]]</f>
        <v>-25</v>
      </c>
      <c r="O5847" s="106" t="str">
        <f t="shared" si="180"/>
        <v>Faltando Comprar</v>
      </c>
    </row>
    <row r="5848" spans="1:15" ht="60">
      <c r="A5848" s="46" t="s">
        <v>3259</v>
      </c>
      <c r="B5848" s="46" t="s">
        <v>3267</v>
      </c>
      <c r="C5848" s="17" t="s">
        <v>19</v>
      </c>
      <c r="D5848" s="47" t="s">
        <v>2980</v>
      </c>
      <c r="E5848" s="48">
        <v>25</v>
      </c>
      <c r="F5848" s="47" t="s">
        <v>2678</v>
      </c>
      <c r="G5848" s="47" t="s">
        <v>775</v>
      </c>
      <c r="H5848" s="48" t="s">
        <v>23</v>
      </c>
      <c r="I5848" s="49">
        <v>300.66000000000003</v>
      </c>
      <c r="J5848" s="50">
        <f t="shared" si="179"/>
        <v>7516.5000000000009</v>
      </c>
      <c r="K5848" s="106"/>
      <c r="L5848" s="114"/>
      <c r="M5848" s="114">
        <f>tblAquisições[[#This Row],[VALOR UNITARIO COMPRADO]]*tblAquisições[[#This Row],[QUANTIDADE COMPRADA]]</f>
        <v>0</v>
      </c>
      <c r="N5848" s="110">
        <f>K5848-tblAquisições[[#This Row],[QUANTIDADE PLANEJADA]]</f>
        <v>-25</v>
      </c>
      <c r="O5848" s="106" t="str">
        <f t="shared" si="180"/>
        <v>Faltando Comprar</v>
      </c>
    </row>
    <row r="5849" spans="1:15" ht="60">
      <c r="A5849" s="46" t="s">
        <v>3259</v>
      </c>
      <c r="B5849" s="46" t="s">
        <v>3259</v>
      </c>
      <c r="C5849" s="17" t="s">
        <v>19</v>
      </c>
      <c r="D5849" s="47" t="s">
        <v>3148</v>
      </c>
      <c r="E5849" s="48">
        <v>15</v>
      </c>
      <c r="F5849" s="47" t="s">
        <v>96</v>
      </c>
      <c r="G5849" s="47" t="s">
        <v>39</v>
      </c>
      <c r="H5849" s="48" t="s">
        <v>23</v>
      </c>
      <c r="I5849" s="49">
        <v>27.66</v>
      </c>
      <c r="J5849" s="50">
        <f t="shared" si="179"/>
        <v>414.9</v>
      </c>
      <c r="K5849" s="106"/>
      <c r="L5849" s="114"/>
      <c r="M5849" s="114">
        <f>tblAquisições[[#This Row],[VALOR UNITARIO COMPRADO]]*tblAquisições[[#This Row],[QUANTIDADE COMPRADA]]</f>
        <v>0</v>
      </c>
      <c r="N5849" s="110">
        <f>K5849-tblAquisições[[#This Row],[QUANTIDADE PLANEJADA]]</f>
        <v>-15</v>
      </c>
      <c r="O5849" s="106" t="str">
        <f t="shared" si="180"/>
        <v>Faltando Comprar</v>
      </c>
    </row>
    <row r="5850" spans="1:15" ht="60">
      <c r="A5850" s="46" t="s">
        <v>3259</v>
      </c>
      <c r="B5850" s="46" t="s">
        <v>3263</v>
      </c>
      <c r="C5850" s="17" t="s">
        <v>19</v>
      </c>
      <c r="D5850" s="47" t="s">
        <v>3148</v>
      </c>
      <c r="E5850" s="48">
        <v>15</v>
      </c>
      <c r="F5850" s="47" t="s">
        <v>96</v>
      </c>
      <c r="G5850" s="47" t="s">
        <v>39</v>
      </c>
      <c r="H5850" s="51"/>
      <c r="I5850" s="49">
        <v>27.66</v>
      </c>
      <c r="J5850" s="50">
        <f t="shared" si="179"/>
        <v>414.9</v>
      </c>
      <c r="K5850" s="106"/>
      <c r="L5850" s="114"/>
      <c r="M5850" s="114">
        <f>tblAquisições[[#This Row],[VALOR UNITARIO COMPRADO]]*tblAquisições[[#This Row],[QUANTIDADE COMPRADA]]</f>
        <v>0</v>
      </c>
      <c r="N5850" s="110">
        <f>K5850-tblAquisições[[#This Row],[QUANTIDADE PLANEJADA]]</f>
        <v>-15</v>
      </c>
      <c r="O5850" s="106" t="str">
        <f t="shared" si="180"/>
        <v>Faltando Comprar</v>
      </c>
    </row>
    <row r="5851" spans="1:15" ht="45">
      <c r="A5851" s="46" t="s">
        <v>3259</v>
      </c>
      <c r="B5851" s="46" t="s">
        <v>3259</v>
      </c>
      <c r="C5851" s="17" t="s">
        <v>19</v>
      </c>
      <c r="D5851" s="47" t="s">
        <v>3351</v>
      </c>
      <c r="E5851" s="48">
        <v>1</v>
      </c>
      <c r="F5851" s="47" t="s">
        <v>56</v>
      </c>
      <c r="G5851" s="47" t="s">
        <v>39</v>
      </c>
      <c r="H5851" s="48" t="s">
        <v>23</v>
      </c>
      <c r="I5851" s="49">
        <v>24.65</v>
      </c>
      <c r="J5851" s="50">
        <f t="shared" si="179"/>
        <v>24.65</v>
      </c>
      <c r="K5851" s="106"/>
      <c r="L5851" s="114"/>
      <c r="M5851" s="114">
        <f>tblAquisições[[#This Row],[VALOR UNITARIO COMPRADO]]*tblAquisições[[#This Row],[QUANTIDADE COMPRADA]]</f>
        <v>0</v>
      </c>
      <c r="N5851" s="110">
        <f>K5851-tblAquisições[[#This Row],[QUANTIDADE PLANEJADA]]</f>
        <v>-1</v>
      </c>
      <c r="O5851" s="106" t="str">
        <f t="shared" si="180"/>
        <v>Faltando Comprar</v>
      </c>
    </row>
    <row r="5852" spans="1:15" ht="45">
      <c r="A5852" s="46" t="s">
        <v>3259</v>
      </c>
      <c r="B5852" s="46" t="s">
        <v>3263</v>
      </c>
      <c r="C5852" s="17" t="s">
        <v>19</v>
      </c>
      <c r="D5852" s="47" t="s">
        <v>3351</v>
      </c>
      <c r="E5852" s="48">
        <v>6</v>
      </c>
      <c r="F5852" s="47" t="s">
        <v>56</v>
      </c>
      <c r="G5852" s="47" t="s">
        <v>39</v>
      </c>
      <c r="H5852" s="51"/>
      <c r="I5852" s="49">
        <v>24.65</v>
      </c>
      <c r="J5852" s="50">
        <f t="shared" si="179"/>
        <v>147.89999999999998</v>
      </c>
      <c r="K5852" s="106"/>
      <c r="L5852" s="114"/>
      <c r="M5852" s="114">
        <f>tblAquisições[[#This Row],[VALOR UNITARIO COMPRADO]]*tblAquisições[[#This Row],[QUANTIDADE COMPRADA]]</f>
        <v>0</v>
      </c>
      <c r="N5852" s="110">
        <f>K5852-tblAquisições[[#This Row],[QUANTIDADE PLANEJADA]]</f>
        <v>-6</v>
      </c>
      <c r="O5852" s="106" t="str">
        <f t="shared" si="180"/>
        <v>Faltando Comprar</v>
      </c>
    </row>
    <row r="5853" spans="1:15" ht="45">
      <c r="A5853" s="46" t="s">
        <v>3259</v>
      </c>
      <c r="B5853" s="46" t="s">
        <v>3259</v>
      </c>
      <c r="C5853" s="17" t="s">
        <v>19</v>
      </c>
      <c r="D5853" s="47" t="s">
        <v>2984</v>
      </c>
      <c r="E5853" s="48">
        <v>5</v>
      </c>
      <c r="F5853" s="47" t="s">
        <v>56</v>
      </c>
      <c r="G5853" s="47" t="s">
        <v>39</v>
      </c>
      <c r="H5853" s="48" t="s">
        <v>23</v>
      </c>
      <c r="I5853" s="49">
        <v>27.7</v>
      </c>
      <c r="J5853" s="50">
        <f t="shared" si="179"/>
        <v>138.5</v>
      </c>
      <c r="K5853" s="106"/>
      <c r="L5853" s="114"/>
      <c r="M5853" s="114">
        <f>tblAquisições[[#This Row],[VALOR UNITARIO COMPRADO]]*tblAquisições[[#This Row],[QUANTIDADE COMPRADA]]</f>
        <v>0</v>
      </c>
      <c r="N5853" s="110">
        <f>K5853-tblAquisições[[#This Row],[QUANTIDADE PLANEJADA]]</f>
        <v>-5</v>
      </c>
      <c r="O5853" s="106" t="str">
        <f t="shared" si="180"/>
        <v>Faltando Comprar</v>
      </c>
    </row>
    <row r="5854" spans="1:15" ht="45">
      <c r="A5854" s="46" t="s">
        <v>3259</v>
      </c>
      <c r="B5854" s="46" t="s">
        <v>3263</v>
      </c>
      <c r="C5854" s="17" t="s">
        <v>19</v>
      </c>
      <c r="D5854" s="47" t="s">
        <v>2984</v>
      </c>
      <c r="E5854" s="48">
        <v>2</v>
      </c>
      <c r="F5854" s="47" t="s">
        <v>56</v>
      </c>
      <c r="G5854" s="47" t="s">
        <v>39</v>
      </c>
      <c r="H5854" s="51"/>
      <c r="I5854" s="49">
        <v>27.7</v>
      </c>
      <c r="J5854" s="50">
        <f t="shared" si="179"/>
        <v>55.4</v>
      </c>
      <c r="K5854" s="106"/>
      <c r="L5854" s="114"/>
      <c r="M5854" s="114">
        <f>tblAquisições[[#This Row],[VALOR UNITARIO COMPRADO]]*tblAquisições[[#This Row],[QUANTIDADE COMPRADA]]</f>
        <v>0</v>
      </c>
      <c r="N5854" s="110">
        <f>K5854-tblAquisições[[#This Row],[QUANTIDADE PLANEJADA]]</f>
        <v>-2</v>
      </c>
      <c r="O5854" s="106" t="str">
        <f t="shared" si="180"/>
        <v>Faltando Comprar</v>
      </c>
    </row>
    <row r="5855" spans="1:15" ht="45">
      <c r="A5855" s="46" t="s">
        <v>3259</v>
      </c>
      <c r="B5855" s="46" t="s">
        <v>3260</v>
      </c>
      <c r="C5855" s="17" t="s">
        <v>19</v>
      </c>
      <c r="D5855" s="47" t="s">
        <v>1586</v>
      </c>
      <c r="E5855" s="48">
        <v>5</v>
      </c>
      <c r="F5855" s="47" t="s">
        <v>56</v>
      </c>
      <c r="G5855" s="47" t="s">
        <v>39</v>
      </c>
      <c r="H5855" s="48" t="s">
        <v>23</v>
      </c>
      <c r="I5855" s="49">
        <v>86.29</v>
      </c>
      <c r="J5855" s="50">
        <f t="shared" si="179"/>
        <v>431.45000000000005</v>
      </c>
      <c r="K5855" s="106"/>
      <c r="L5855" s="114"/>
      <c r="M5855" s="114">
        <f>tblAquisições[[#This Row],[VALOR UNITARIO COMPRADO]]*tblAquisições[[#This Row],[QUANTIDADE COMPRADA]]</f>
        <v>0</v>
      </c>
      <c r="N5855" s="110">
        <f>K5855-tblAquisições[[#This Row],[QUANTIDADE PLANEJADA]]</f>
        <v>-5</v>
      </c>
      <c r="O5855" s="106" t="str">
        <f t="shared" si="180"/>
        <v>Faltando Comprar</v>
      </c>
    </row>
    <row r="5856" spans="1:15" ht="45">
      <c r="A5856" s="46" t="s">
        <v>3259</v>
      </c>
      <c r="B5856" s="46" t="s">
        <v>3267</v>
      </c>
      <c r="C5856" s="17" t="s">
        <v>19</v>
      </c>
      <c r="D5856" s="47" t="s">
        <v>1586</v>
      </c>
      <c r="E5856" s="48">
        <v>25</v>
      </c>
      <c r="F5856" s="47" t="s">
        <v>56</v>
      </c>
      <c r="G5856" s="47" t="s">
        <v>39</v>
      </c>
      <c r="H5856" s="51"/>
      <c r="I5856" s="49">
        <v>86.29</v>
      </c>
      <c r="J5856" s="50">
        <f t="shared" si="179"/>
        <v>2157.25</v>
      </c>
      <c r="K5856" s="106"/>
      <c r="L5856" s="114"/>
      <c r="M5856" s="114">
        <f>tblAquisições[[#This Row],[VALOR UNITARIO COMPRADO]]*tblAquisições[[#This Row],[QUANTIDADE COMPRADA]]</f>
        <v>0</v>
      </c>
      <c r="N5856" s="110">
        <f>K5856-tblAquisições[[#This Row],[QUANTIDADE PLANEJADA]]</f>
        <v>-25</v>
      </c>
      <c r="O5856" s="106" t="str">
        <f t="shared" si="180"/>
        <v>Faltando Comprar</v>
      </c>
    </row>
    <row r="5857" spans="1:15" ht="60">
      <c r="A5857" s="46" t="s">
        <v>3259</v>
      </c>
      <c r="B5857" s="46" t="s">
        <v>3259</v>
      </c>
      <c r="C5857" s="17" t="s">
        <v>19</v>
      </c>
      <c r="D5857" s="47" t="s">
        <v>2808</v>
      </c>
      <c r="E5857" s="48">
        <v>50</v>
      </c>
      <c r="F5857" s="47" t="s">
        <v>96</v>
      </c>
      <c r="G5857" s="47" t="s">
        <v>39</v>
      </c>
      <c r="H5857" s="48" t="s">
        <v>23</v>
      </c>
      <c r="I5857" s="49">
        <v>17</v>
      </c>
      <c r="J5857" s="50">
        <f t="shared" si="179"/>
        <v>850</v>
      </c>
      <c r="K5857" s="106"/>
      <c r="L5857" s="114"/>
      <c r="M5857" s="114">
        <f>tblAquisições[[#This Row],[VALOR UNITARIO COMPRADO]]*tblAquisições[[#This Row],[QUANTIDADE COMPRADA]]</f>
        <v>0</v>
      </c>
      <c r="N5857" s="110">
        <f>K5857-tblAquisições[[#This Row],[QUANTIDADE PLANEJADA]]</f>
        <v>-50</v>
      </c>
      <c r="O5857" s="106" t="str">
        <f t="shared" si="180"/>
        <v>Faltando Comprar</v>
      </c>
    </row>
    <row r="5858" spans="1:15" ht="60">
      <c r="A5858" s="46" t="s">
        <v>3259</v>
      </c>
      <c r="B5858" s="46" t="s">
        <v>3263</v>
      </c>
      <c r="C5858" s="17" t="s">
        <v>19</v>
      </c>
      <c r="D5858" s="47" t="s">
        <v>2808</v>
      </c>
      <c r="E5858" s="48">
        <v>50</v>
      </c>
      <c r="F5858" s="47" t="s">
        <v>96</v>
      </c>
      <c r="G5858" s="47" t="s">
        <v>39</v>
      </c>
      <c r="H5858" s="51"/>
      <c r="I5858" s="49">
        <v>17</v>
      </c>
      <c r="J5858" s="50">
        <f t="shared" si="179"/>
        <v>850</v>
      </c>
      <c r="K5858" s="106"/>
      <c r="L5858" s="114"/>
      <c r="M5858" s="114">
        <f>tblAquisições[[#This Row],[VALOR UNITARIO COMPRADO]]*tblAquisições[[#This Row],[QUANTIDADE COMPRADA]]</f>
        <v>0</v>
      </c>
      <c r="N5858" s="110">
        <f>K5858-tblAquisições[[#This Row],[QUANTIDADE PLANEJADA]]</f>
        <v>-50</v>
      </c>
      <c r="O5858" s="106" t="str">
        <f t="shared" si="180"/>
        <v>Faltando Comprar</v>
      </c>
    </row>
    <row r="5859" spans="1:15" ht="60">
      <c r="A5859" s="46" t="s">
        <v>3259</v>
      </c>
      <c r="B5859" s="46" t="s">
        <v>3259</v>
      </c>
      <c r="C5859" s="17" t="s">
        <v>19</v>
      </c>
      <c r="D5859" s="47" t="s">
        <v>1594</v>
      </c>
      <c r="E5859" s="48">
        <v>10</v>
      </c>
      <c r="F5859" s="47" t="s">
        <v>96</v>
      </c>
      <c r="G5859" s="47" t="s">
        <v>39</v>
      </c>
      <c r="H5859" s="48" t="s">
        <v>23</v>
      </c>
      <c r="I5859" s="49">
        <v>9.01</v>
      </c>
      <c r="J5859" s="50">
        <f t="shared" si="179"/>
        <v>90.1</v>
      </c>
      <c r="K5859" s="106"/>
      <c r="L5859" s="114"/>
      <c r="M5859" s="114">
        <f>tblAquisições[[#This Row],[VALOR UNITARIO COMPRADO]]*tblAquisições[[#This Row],[QUANTIDADE COMPRADA]]</f>
        <v>0</v>
      </c>
      <c r="N5859" s="110">
        <f>K5859-tblAquisições[[#This Row],[QUANTIDADE PLANEJADA]]</f>
        <v>-10</v>
      </c>
      <c r="O5859" s="106" t="str">
        <f t="shared" si="180"/>
        <v>Faltando Comprar</v>
      </c>
    </row>
    <row r="5860" spans="1:15" ht="60">
      <c r="A5860" s="46" t="s">
        <v>3259</v>
      </c>
      <c r="B5860" s="46" t="s">
        <v>3260</v>
      </c>
      <c r="C5860" s="17" t="s">
        <v>19</v>
      </c>
      <c r="D5860" s="47" t="s">
        <v>1594</v>
      </c>
      <c r="E5860" s="48">
        <v>2</v>
      </c>
      <c r="F5860" s="47" t="s">
        <v>96</v>
      </c>
      <c r="G5860" s="47" t="s">
        <v>39</v>
      </c>
      <c r="H5860" s="48" t="s">
        <v>23</v>
      </c>
      <c r="I5860" s="49">
        <v>9.01</v>
      </c>
      <c r="J5860" s="50">
        <f t="shared" si="179"/>
        <v>18.02</v>
      </c>
      <c r="K5860" s="106"/>
      <c r="L5860" s="114"/>
      <c r="M5860" s="114">
        <f>tblAquisições[[#This Row],[VALOR UNITARIO COMPRADO]]*tblAquisições[[#This Row],[QUANTIDADE COMPRADA]]</f>
        <v>0</v>
      </c>
      <c r="N5860" s="110">
        <f>K5860-tblAquisições[[#This Row],[QUANTIDADE PLANEJADA]]</f>
        <v>-2</v>
      </c>
      <c r="O5860" s="106" t="str">
        <f t="shared" si="180"/>
        <v>Faltando Comprar</v>
      </c>
    </row>
    <row r="5861" spans="1:15" ht="60">
      <c r="A5861" s="46" t="s">
        <v>3259</v>
      </c>
      <c r="B5861" s="46" t="s">
        <v>3263</v>
      </c>
      <c r="C5861" s="17" t="s">
        <v>19</v>
      </c>
      <c r="D5861" s="47" t="s">
        <v>1594</v>
      </c>
      <c r="E5861" s="48">
        <v>50</v>
      </c>
      <c r="F5861" s="47" t="s">
        <v>96</v>
      </c>
      <c r="G5861" s="47" t="s">
        <v>39</v>
      </c>
      <c r="H5861" s="51"/>
      <c r="I5861" s="49">
        <v>9.01</v>
      </c>
      <c r="J5861" s="50">
        <f t="shared" si="179"/>
        <v>450.5</v>
      </c>
      <c r="K5861" s="106"/>
      <c r="L5861" s="114"/>
      <c r="M5861" s="114">
        <f>tblAquisições[[#This Row],[VALOR UNITARIO COMPRADO]]*tblAquisições[[#This Row],[QUANTIDADE COMPRADA]]</f>
        <v>0</v>
      </c>
      <c r="N5861" s="110">
        <f>K5861-tblAquisições[[#This Row],[QUANTIDADE PLANEJADA]]</f>
        <v>-50</v>
      </c>
      <c r="O5861" s="106" t="str">
        <f t="shared" si="180"/>
        <v>Faltando Comprar</v>
      </c>
    </row>
    <row r="5862" spans="1:15" ht="60">
      <c r="A5862" s="46" t="s">
        <v>3259</v>
      </c>
      <c r="B5862" s="46" t="s">
        <v>3260</v>
      </c>
      <c r="C5862" s="17" t="s">
        <v>19</v>
      </c>
      <c r="D5862" s="47" t="s">
        <v>3152</v>
      </c>
      <c r="E5862" s="48">
        <v>6</v>
      </c>
      <c r="F5862" s="47" t="s">
        <v>96</v>
      </c>
      <c r="G5862" s="47" t="s">
        <v>39</v>
      </c>
      <c r="H5862" s="48" t="s">
        <v>23</v>
      </c>
      <c r="I5862" s="49">
        <v>7.7</v>
      </c>
      <c r="J5862" s="50">
        <f t="shared" si="179"/>
        <v>46.2</v>
      </c>
      <c r="K5862" s="106"/>
      <c r="L5862" s="114"/>
      <c r="M5862" s="114">
        <f>tblAquisições[[#This Row],[VALOR UNITARIO COMPRADO]]*tblAquisições[[#This Row],[QUANTIDADE COMPRADA]]</f>
        <v>0</v>
      </c>
      <c r="N5862" s="110">
        <f>K5862-tblAquisições[[#This Row],[QUANTIDADE PLANEJADA]]</f>
        <v>-6</v>
      </c>
      <c r="O5862" s="106" t="str">
        <f t="shared" si="180"/>
        <v>Faltando Comprar</v>
      </c>
    </row>
    <row r="5863" spans="1:15" ht="75">
      <c r="A5863" s="46" t="s">
        <v>3259</v>
      </c>
      <c r="B5863" s="46" t="s">
        <v>3267</v>
      </c>
      <c r="C5863" s="17" t="s">
        <v>19</v>
      </c>
      <c r="D5863" s="47" t="s">
        <v>2812</v>
      </c>
      <c r="E5863" s="48">
        <v>25</v>
      </c>
      <c r="F5863" s="47" t="s">
        <v>2678</v>
      </c>
      <c r="G5863" s="47" t="s">
        <v>775</v>
      </c>
      <c r="H5863" s="48" t="s">
        <v>23</v>
      </c>
      <c r="I5863" s="49">
        <v>210.03</v>
      </c>
      <c r="J5863" s="50">
        <f t="shared" si="179"/>
        <v>5250.75</v>
      </c>
      <c r="K5863" s="106"/>
      <c r="L5863" s="114"/>
      <c r="M5863" s="114">
        <f>tblAquisições[[#This Row],[VALOR UNITARIO COMPRADO]]*tblAquisições[[#This Row],[QUANTIDADE COMPRADA]]</f>
        <v>0</v>
      </c>
      <c r="N5863" s="110">
        <f>K5863-tblAquisições[[#This Row],[QUANTIDADE PLANEJADA]]</f>
        <v>-25</v>
      </c>
      <c r="O5863" s="106" t="str">
        <f t="shared" si="180"/>
        <v>Faltando Comprar</v>
      </c>
    </row>
    <row r="5864" spans="1:15" ht="105">
      <c r="A5864" s="46" t="s">
        <v>3259</v>
      </c>
      <c r="B5864" s="46" t="s">
        <v>3267</v>
      </c>
      <c r="C5864" s="17" t="s">
        <v>19</v>
      </c>
      <c r="D5864" s="47" t="s">
        <v>3352</v>
      </c>
      <c r="E5864" s="48">
        <v>25</v>
      </c>
      <c r="F5864" s="47" t="s">
        <v>3353</v>
      </c>
      <c r="G5864" s="47" t="s">
        <v>39</v>
      </c>
      <c r="H5864" s="51"/>
      <c r="I5864" s="49">
        <v>1300</v>
      </c>
      <c r="J5864" s="50">
        <f t="shared" si="179"/>
        <v>32500</v>
      </c>
      <c r="K5864" s="106"/>
      <c r="L5864" s="114"/>
      <c r="M5864" s="114">
        <f>tblAquisições[[#This Row],[VALOR UNITARIO COMPRADO]]*tblAquisições[[#This Row],[QUANTIDADE COMPRADA]]</f>
        <v>0</v>
      </c>
      <c r="N5864" s="110">
        <f>K5864-tblAquisições[[#This Row],[QUANTIDADE PLANEJADA]]</f>
        <v>-25</v>
      </c>
      <c r="O5864" s="106" t="str">
        <f t="shared" si="180"/>
        <v>Faltando Comprar</v>
      </c>
    </row>
    <row r="5865" spans="1:15" ht="105">
      <c r="A5865" s="46" t="s">
        <v>3259</v>
      </c>
      <c r="B5865" s="46" t="s">
        <v>3267</v>
      </c>
      <c r="C5865" s="17" t="s">
        <v>19</v>
      </c>
      <c r="D5865" s="47" t="s">
        <v>3354</v>
      </c>
      <c r="E5865" s="48">
        <v>25</v>
      </c>
      <c r="F5865" s="47" t="s">
        <v>3353</v>
      </c>
      <c r="G5865" s="47" t="s">
        <v>39</v>
      </c>
      <c r="H5865" s="51"/>
      <c r="I5865" s="49">
        <v>1900</v>
      </c>
      <c r="J5865" s="50">
        <f t="shared" si="179"/>
        <v>47500</v>
      </c>
      <c r="K5865" s="106"/>
      <c r="L5865" s="114"/>
      <c r="M5865" s="114">
        <f>tblAquisições[[#This Row],[VALOR UNITARIO COMPRADO]]*tblAquisições[[#This Row],[QUANTIDADE COMPRADA]]</f>
        <v>0</v>
      </c>
      <c r="N5865" s="110">
        <f>K5865-tblAquisições[[#This Row],[QUANTIDADE PLANEJADA]]</f>
        <v>-25</v>
      </c>
      <c r="O5865" s="106" t="str">
        <f t="shared" si="180"/>
        <v>Faltando Comprar</v>
      </c>
    </row>
    <row r="5866" spans="1:15" ht="105">
      <c r="A5866" s="46" t="s">
        <v>3259</v>
      </c>
      <c r="B5866" s="46" t="s">
        <v>3267</v>
      </c>
      <c r="C5866" s="17" t="s">
        <v>19</v>
      </c>
      <c r="D5866" s="47" t="s">
        <v>3355</v>
      </c>
      <c r="E5866" s="48">
        <v>25</v>
      </c>
      <c r="F5866" s="47" t="s">
        <v>3353</v>
      </c>
      <c r="G5866" s="47" t="s">
        <v>39</v>
      </c>
      <c r="H5866" s="51"/>
      <c r="I5866" s="49">
        <v>2000</v>
      </c>
      <c r="J5866" s="50">
        <f t="shared" si="179"/>
        <v>50000</v>
      </c>
      <c r="K5866" s="106"/>
      <c r="L5866" s="114"/>
      <c r="M5866" s="114">
        <f>tblAquisições[[#This Row],[VALOR UNITARIO COMPRADO]]*tblAquisições[[#This Row],[QUANTIDADE COMPRADA]]</f>
        <v>0</v>
      </c>
      <c r="N5866" s="110">
        <f>K5866-tblAquisições[[#This Row],[QUANTIDADE PLANEJADA]]</f>
        <v>-25</v>
      </c>
      <c r="O5866" s="106" t="str">
        <f t="shared" si="180"/>
        <v>Faltando Comprar</v>
      </c>
    </row>
    <row r="5867" spans="1:15" ht="45">
      <c r="A5867" s="46" t="s">
        <v>3259</v>
      </c>
      <c r="B5867" s="46" t="s">
        <v>3259</v>
      </c>
      <c r="C5867" s="17" t="s">
        <v>19</v>
      </c>
      <c r="D5867" s="47" t="s">
        <v>1624</v>
      </c>
      <c r="E5867" s="48">
        <v>3</v>
      </c>
      <c r="F5867" s="47" t="s">
        <v>56</v>
      </c>
      <c r="G5867" s="47" t="s">
        <v>39</v>
      </c>
      <c r="H5867" s="48" t="s">
        <v>23</v>
      </c>
      <c r="I5867" s="49">
        <v>25.52</v>
      </c>
      <c r="J5867" s="50">
        <f t="shared" si="179"/>
        <v>76.56</v>
      </c>
      <c r="K5867" s="106"/>
      <c r="L5867" s="114"/>
      <c r="M5867" s="114">
        <f>tblAquisições[[#This Row],[VALOR UNITARIO COMPRADO]]*tblAquisições[[#This Row],[QUANTIDADE COMPRADA]]</f>
        <v>0</v>
      </c>
      <c r="N5867" s="110">
        <f>K5867-tblAquisições[[#This Row],[QUANTIDADE PLANEJADA]]</f>
        <v>-3</v>
      </c>
      <c r="O5867" s="106" t="str">
        <f t="shared" si="180"/>
        <v>Faltando Comprar</v>
      </c>
    </row>
    <row r="5868" spans="1:15" ht="45">
      <c r="A5868" s="46" t="s">
        <v>3259</v>
      </c>
      <c r="B5868" s="46" t="s">
        <v>3263</v>
      </c>
      <c r="C5868" s="17" t="s">
        <v>19</v>
      </c>
      <c r="D5868" s="47" t="s">
        <v>1624</v>
      </c>
      <c r="E5868" s="48">
        <v>3</v>
      </c>
      <c r="F5868" s="47" t="s">
        <v>56</v>
      </c>
      <c r="G5868" s="47" t="s">
        <v>39</v>
      </c>
      <c r="H5868" s="51"/>
      <c r="I5868" s="49">
        <v>25.52</v>
      </c>
      <c r="J5868" s="50">
        <f t="shared" si="179"/>
        <v>76.56</v>
      </c>
      <c r="K5868" s="106"/>
      <c r="L5868" s="114"/>
      <c r="M5868" s="114">
        <f>tblAquisições[[#This Row],[VALOR UNITARIO COMPRADO]]*tblAquisições[[#This Row],[QUANTIDADE COMPRADA]]</f>
        <v>0</v>
      </c>
      <c r="N5868" s="110">
        <f>K5868-tblAquisições[[#This Row],[QUANTIDADE PLANEJADA]]</f>
        <v>-3</v>
      </c>
      <c r="O5868" s="106" t="str">
        <f t="shared" si="180"/>
        <v>Faltando Comprar</v>
      </c>
    </row>
    <row r="5869" spans="1:15" ht="45">
      <c r="A5869" s="46" t="s">
        <v>3259</v>
      </c>
      <c r="B5869" s="46" t="s">
        <v>3267</v>
      </c>
      <c r="C5869" s="17" t="s">
        <v>19</v>
      </c>
      <c r="D5869" s="47" t="s">
        <v>1624</v>
      </c>
      <c r="E5869" s="48">
        <v>25</v>
      </c>
      <c r="F5869" s="47" t="s">
        <v>56</v>
      </c>
      <c r="G5869" s="47" t="s">
        <v>39</v>
      </c>
      <c r="H5869" s="51"/>
      <c r="I5869" s="49">
        <v>25.52</v>
      </c>
      <c r="J5869" s="50">
        <f t="shared" si="179"/>
        <v>638</v>
      </c>
      <c r="K5869" s="106"/>
      <c r="L5869" s="114"/>
      <c r="M5869" s="114">
        <f>tblAquisições[[#This Row],[VALOR UNITARIO COMPRADO]]*tblAquisições[[#This Row],[QUANTIDADE COMPRADA]]</f>
        <v>0</v>
      </c>
      <c r="N5869" s="110">
        <f>K5869-tblAquisições[[#This Row],[QUANTIDADE PLANEJADA]]</f>
        <v>-25</v>
      </c>
      <c r="O5869" s="106" t="str">
        <f t="shared" si="180"/>
        <v>Faltando Comprar</v>
      </c>
    </row>
    <row r="5870" spans="1:15" ht="45">
      <c r="A5870" s="46" t="s">
        <v>3259</v>
      </c>
      <c r="B5870" s="46" t="s">
        <v>3259</v>
      </c>
      <c r="C5870" s="17" t="s">
        <v>19</v>
      </c>
      <c r="D5870" s="47" t="s">
        <v>3356</v>
      </c>
      <c r="E5870" s="48">
        <v>2</v>
      </c>
      <c r="F5870" s="47" t="s">
        <v>82</v>
      </c>
      <c r="G5870" s="47" t="s">
        <v>39</v>
      </c>
      <c r="H5870" s="48" t="s">
        <v>23</v>
      </c>
      <c r="I5870" s="49">
        <v>21.66</v>
      </c>
      <c r="J5870" s="50">
        <f t="shared" si="179"/>
        <v>43.32</v>
      </c>
      <c r="K5870" s="106"/>
      <c r="L5870" s="114"/>
      <c r="M5870" s="114">
        <f>tblAquisições[[#This Row],[VALOR UNITARIO COMPRADO]]*tblAquisições[[#This Row],[QUANTIDADE COMPRADA]]</f>
        <v>0</v>
      </c>
      <c r="N5870" s="110">
        <f>K5870-tblAquisições[[#This Row],[QUANTIDADE PLANEJADA]]</f>
        <v>-2</v>
      </c>
      <c r="O5870" s="106" t="str">
        <f t="shared" si="180"/>
        <v>Faltando Comprar</v>
      </c>
    </row>
    <row r="5871" spans="1:15" ht="45">
      <c r="A5871" s="46" t="s">
        <v>3259</v>
      </c>
      <c r="B5871" s="46" t="s">
        <v>3263</v>
      </c>
      <c r="C5871" s="17" t="s">
        <v>19</v>
      </c>
      <c r="D5871" s="47" t="s">
        <v>3356</v>
      </c>
      <c r="E5871" s="48">
        <v>20</v>
      </c>
      <c r="F5871" s="47" t="s">
        <v>82</v>
      </c>
      <c r="G5871" s="47" t="s">
        <v>39</v>
      </c>
      <c r="H5871" s="51"/>
      <c r="I5871" s="49">
        <v>21.66</v>
      </c>
      <c r="J5871" s="50">
        <f t="shared" si="179"/>
        <v>433.2</v>
      </c>
      <c r="K5871" s="106"/>
      <c r="L5871" s="114"/>
      <c r="M5871" s="114">
        <f>tblAquisições[[#This Row],[VALOR UNITARIO COMPRADO]]*tblAquisições[[#This Row],[QUANTIDADE COMPRADA]]</f>
        <v>0</v>
      </c>
      <c r="N5871" s="110">
        <f>K5871-tblAquisições[[#This Row],[QUANTIDADE PLANEJADA]]</f>
        <v>-20</v>
      </c>
      <c r="O5871" s="106" t="str">
        <f t="shared" si="180"/>
        <v>Faltando Comprar</v>
      </c>
    </row>
    <row r="5872" spans="1:15" ht="45">
      <c r="A5872" s="46" t="s">
        <v>3259</v>
      </c>
      <c r="B5872" s="46" t="s">
        <v>3267</v>
      </c>
      <c r="C5872" s="17" t="s">
        <v>19</v>
      </c>
      <c r="D5872" s="47" t="s">
        <v>3357</v>
      </c>
      <c r="E5872" s="48">
        <v>25</v>
      </c>
      <c r="F5872" s="47" t="s">
        <v>56</v>
      </c>
      <c r="G5872" s="47" t="s">
        <v>39</v>
      </c>
      <c r="H5872" s="51"/>
      <c r="I5872" s="49">
        <v>42.47</v>
      </c>
      <c r="J5872" s="50">
        <f t="shared" si="179"/>
        <v>1061.75</v>
      </c>
      <c r="K5872" s="106"/>
      <c r="L5872" s="114"/>
      <c r="M5872" s="114">
        <f>tblAquisições[[#This Row],[VALOR UNITARIO COMPRADO]]*tblAquisições[[#This Row],[QUANTIDADE COMPRADA]]</f>
        <v>0</v>
      </c>
      <c r="N5872" s="110">
        <f>K5872-tblAquisições[[#This Row],[QUANTIDADE PLANEJADA]]</f>
        <v>-25</v>
      </c>
      <c r="O5872" s="106" t="str">
        <f t="shared" si="180"/>
        <v>Faltando Comprar</v>
      </c>
    </row>
    <row r="5873" spans="1:15" ht="60">
      <c r="A5873" s="46" t="s">
        <v>3259</v>
      </c>
      <c r="B5873" s="46" t="s">
        <v>3259</v>
      </c>
      <c r="C5873" s="17" t="s">
        <v>19</v>
      </c>
      <c r="D5873" s="47" t="s">
        <v>3358</v>
      </c>
      <c r="E5873" s="48">
        <v>2</v>
      </c>
      <c r="F5873" s="47" t="s">
        <v>2678</v>
      </c>
      <c r="G5873" s="47" t="s">
        <v>775</v>
      </c>
      <c r="H5873" s="48" t="s">
        <v>23</v>
      </c>
      <c r="I5873" s="49">
        <v>1860.3</v>
      </c>
      <c r="J5873" s="50">
        <f t="shared" si="179"/>
        <v>3720.6</v>
      </c>
      <c r="K5873" s="106"/>
      <c r="L5873" s="114"/>
      <c r="M5873" s="114">
        <f>tblAquisições[[#This Row],[VALOR UNITARIO COMPRADO]]*tblAquisições[[#This Row],[QUANTIDADE COMPRADA]]</f>
        <v>0</v>
      </c>
      <c r="N5873" s="110">
        <f>K5873-tblAquisições[[#This Row],[QUANTIDADE PLANEJADA]]</f>
        <v>-2</v>
      </c>
      <c r="O5873" s="106" t="str">
        <f t="shared" si="180"/>
        <v>Faltando Comprar</v>
      </c>
    </row>
    <row r="5874" spans="1:15" ht="45">
      <c r="A5874" s="46" t="s">
        <v>3259</v>
      </c>
      <c r="B5874" s="46" t="s">
        <v>3260</v>
      </c>
      <c r="C5874" s="17" t="s">
        <v>19</v>
      </c>
      <c r="D5874" s="47" t="s">
        <v>3359</v>
      </c>
      <c r="E5874" s="48">
        <v>5</v>
      </c>
      <c r="F5874" s="47" t="s">
        <v>147</v>
      </c>
      <c r="G5874" s="47" t="s">
        <v>39</v>
      </c>
      <c r="H5874" s="48" t="s">
        <v>23</v>
      </c>
      <c r="I5874" s="49">
        <v>9.77</v>
      </c>
      <c r="J5874" s="50">
        <f t="shared" si="179"/>
        <v>48.849999999999994</v>
      </c>
      <c r="K5874" s="106"/>
      <c r="L5874" s="114"/>
      <c r="M5874" s="114">
        <f>tblAquisições[[#This Row],[VALOR UNITARIO COMPRADO]]*tblAquisições[[#This Row],[QUANTIDADE COMPRADA]]</f>
        <v>0</v>
      </c>
      <c r="N5874" s="110">
        <f>K5874-tblAquisições[[#This Row],[QUANTIDADE PLANEJADA]]</f>
        <v>-5</v>
      </c>
      <c r="O5874" s="106" t="str">
        <f t="shared" si="180"/>
        <v>Faltando Comprar</v>
      </c>
    </row>
    <row r="5875" spans="1:15" ht="45">
      <c r="A5875" s="46" t="s">
        <v>3259</v>
      </c>
      <c r="B5875" s="46" t="s">
        <v>3260</v>
      </c>
      <c r="C5875" s="17" t="s">
        <v>19</v>
      </c>
      <c r="D5875" s="47" t="s">
        <v>3360</v>
      </c>
      <c r="E5875" s="48">
        <v>100</v>
      </c>
      <c r="F5875" s="47" t="s">
        <v>38</v>
      </c>
      <c r="G5875" s="47" t="s">
        <v>39</v>
      </c>
      <c r="H5875" s="48" t="s">
        <v>23</v>
      </c>
      <c r="I5875" s="49">
        <v>8.7799999999999994</v>
      </c>
      <c r="J5875" s="50">
        <f t="shared" ref="J5875:J5938" si="181">E5875*I5875</f>
        <v>877.99999999999989</v>
      </c>
      <c r="K5875" s="106"/>
      <c r="L5875" s="114"/>
      <c r="M5875" s="114">
        <f>tblAquisições[[#This Row],[VALOR UNITARIO COMPRADO]]*tblAquisições[[#This Row],[QUANTIDADE COMPRADA]]</f>
        <v>0</v>
      </c>
      <c r="N5875" s="110">
        <f>K5875-tblAquisições[[#This Row],[QUANTIDADE PLANEJADA]]</f>
        <v>-100</v>
      </c>
      <c r="O5875" s="106" t="str">
        <f t="shared" si="180"/>
        <v>Faltando Comprar</v>
      </c>
    </row>
    <row r="5876" spans="1:15" ht="45">
      <c r="A5876" s="46" t="s">
        <v>3259</v>
      </c>
      <c r="B5876" s="46" t="s">
        <v>3260</v>
      </c>
      <c r="C5876" s="17" t="s">
        <v>19</v>
      </c>
      <c r="D5876" s="47" t="s">
        <v>3361</v>
      </c>
      <c r="E5876" s="48">
        <v>120</v>
      </c>
      <c r="F5876" s="47" t="s">
        <v>38</v>
      </c>
      <c r="G5876" s="47" t="s">
        <v>39</v>
      </c>
      <c r="H5876" s="48" t="s">
        <v>23</v>
      </c>
      <c r="I5876" s="49">
        <v>17.510000000000002</v>
      </c>
      <c r="J5876" s="50">
        <f t="shared" si="181"/>
        <v>2101.2000000000003</v>
      </c>
      <c r="K5876" s="106"/>
      <c r="L5876" s="114"/>
      <c r="M5876" s="114">
        <f>tblAquisições[[#This Row],[VALOR UNITARIO COMPRADO]]*tblAquisições[[#This Row],[QUANTIDADE COMPRADA]]</f>
        <v>0</v>
      </c>
      <c r="N5876" s="110">
        <f>K5876-tblAquisições[[#This Row],[QUANTIDADE PLANEJADA]]</f>
        <v>-120</v>
      </c>
      <c r="O5876" s="106" t="str">
        <f t="shared" si="180"/>
        <v>Faltando Comprar</v>
      </c>
    </row>
    <row r="5877" spans="1:15" ht="60">
      <c r="A5877" s="46" t="s">
        <v>3259</v>
      </c>
      <c r="B5877" s="46" t="s">
        <v>3267</v>
      </c>
      <c r="C5877" s="17" t="s">
        <v>19</v>
      </c>
      <c r="D5877" s="47" t="s">
        <v>3362</v>
      </c>
      <c r="E5877" s="48">
        <v>25</v>
      </c>
      <c r="F5877" s="47" t="s">
        <v>2678</v>
      </c>
      <c r="G5877" s="47" t="s">
        <v>775</v>
      </c>
      <c r="H5877" s="51"/>
      <c r="I5877" s="49">
        <v>365.04</v>
      </c>
      <c r="J5877" s="50">
        <f t="shared" si="181"/>
        <v>9126</v>
      </c>
      <c r="K5877" s="106"/>
      <c r="L5877" s="114"/>
      <c r="M5877" s="114">
        <f>tblAquisições[[#This Row],[VALOR UNITARIO COMPRADO]]*tblAquisições[[#This Row],[QUANTIDADE COMPRADA]]</f>
        <v>0</v>
      </c>
      <c r="N5877" s="110">
        <f>K5877-tblAquisições[[#This Row],[QUANTIDADE PLANEJADA]]</f>
        <v>-25</v>
      </c>
      <c r="O5877" s="106" t="str">
        <f t="shared" si="180"/>
        <v>Faltando Comprar</v>
      </c>
    </row>
    <row r="5878" spans="1:15" ht="60">
      <c r="A5878" s="46" t="s">
        <v>3259</v>
      </c>
      <c r="B5878" s="46" t="s">
        <v>3259</v>
      </c>
      <c r="C5878" s="17" t="s">
        <v>19</v>
      </c>
      <c r="D5878" s="47" t="s">
        <v>3363</v>
      </c>
      <c r="E5878" s="48">
        <v>10</v>
      </c>
      <c r="F5878" s="47" t="s">
        <v>2678</v>
      </c>
      <c r="G5878" s="47" t="s">
        <v>775</v>
      </c>
      <c r="H5878" s="48" t="s">
        <v>23</v>
      </c>
      <c r="I5878" s="49">
        <v>239.46</v>
      </c>
      <c r="J5878" s="50">
        <f t="shared" si="181"/>
        <v>2394.6</v>
      </c>
      <c r="K5878" s="106"/>
      <c r="L5878" s="114"/>
      <c r="M5878" s="114">
        <f>tblAquisições[[#This Row],[VALOR UNITARIO COMPRADO]]*tblAquisições[[#This Row],[QUANTIDADE COMPRADA]]</f>
        <v>0</v>
      </c>
      <c r="N5878" s="110">
        <f>K5878-tblAquisições[[#This Row],[QUANTIDADE PLANEJADA]]</f>
        <v>-10</v>
      </c>
      <c r="O5878" s="106" t="str">
        <f t="shared" si="180"/>
        <v>Faltando Comprar</v>
      </c>
    </row>
    <row r="5879" spans="1:15" ht="60">
      <c r="A5879" s="46" t="s">
        <v>3259</v>
      </c>
      <c r="B5879" s="46" t="s">
        <v>3263</v>
      </c>
      <c r="C5879" s="17" t="s">
        <v>19</v>
      </c>
      <c r="D5879" s="47" t="s">
        <v>3363</v>
      </c>
      <c r="E5879" s="48">
        <v>60</v>
      </c>
      <c r="F5879" s="47" t="s">
        <v>2678</v>
      </c>
      <c r="G5879" s="47" t="s">
        <v>775</v>
      </c>
      <c r="H5879" s="51"/>
      <c r="I5879" s="49">
        <v>239.46</v>
      </c>
      <c r="J5879" s="50">
        <f t="shared" si="181"/>
        <v>14367.6</v>
      </c>
      <c r="K5879" s="106"/>
      <c r="L5879" s="114"/>
      <c r="M5879" s="114">
        <f>tblAquisições[[#This Row],[VALOR UNITARIO COMPRADO]]*tblAquisições[[#This Row],[QUANTIDADE COMPRADA]]</f>
        <v>0</v>
      </c>
      <c r="N5879" s="110">
        <f>K5879-tblAquisições[[#This Row],[QUANTIDADE PLANEJADA]]</f>
        <v>-60</v>
      </c>
      <c r="O5879" s="106" t="str">
        <f t="shared" si="180"/>
        <v>Faltando Comprar</v>
      </c>
    </row>
    <row r="5880" spans="1:15" ht="60">
      <c r="A5880" s="46" t="s">
        <v>3259</v>
      </c>
      <c r="B5880" s="46" t="s">
        <v>3267</v>
      </c>
      <c r="C5880" s="17" t="s">
        <v>19</v>
      </c>
      <c r="D5880" s="47" t="s">
        <v>3363</v>
      </c>
      <c r="E5880" s="48">
        <v>25</v>
      </c>
      <c r="F5880" s="47" t="s">
        <v>2678</v>
      </c>
      <c r="G5880" s="47" t="s">
        <v>775</v>
      </c>
      <c r="H5880" s="48" t="s">
        <v>23</v>
      </c>
      <c r="I5880" s="49">
        <v>239.46</v>
      </c>
      <c r="J5880" s="50">
        <f t="shared" si="181"/>
        <v>5986.5</v>
      </c>
      <c r="K5880" s="106"/>
      <c r="L5880" s="114"/>
      <c r="M5880" s="114">
        <f>tblAquisições[[#This Row],[VALOR UNITARIO COMPRADO]]*tblAquisições[[#This Row],[QUANTIDADE COMPRADA]]</f>
        <v>0</v>
      </c>
      <c r="N5880" s="110">
        <f>K5880-tblAquisições[[#This Row],[QUANTIDADE PLANEJADA]]</f>
        <v>-25</v>
      </c>
      <c r="O5880" s="106" t="str">
        <f t="shared" si="180"/>
        <v>Faltando Comprar</v>
      </c>
    </row>
    <row r="5881" spans="1:15" ht="45">
      <c r="A5881" s="46" t="s">
        <v>3259</v>
      </c>
      <c r="B5881" s="46" t="s">
        <v>3267</v>
      </c>
      <c r="C5881" s="17" t="s">
        <v>19</v>
      </c>
      <c r="D5881" s="47" t="s">
        <v>3364</v>
      </c>
      <c r="E5881" s="48">
        <v>25</v>
      </c>
      <c r="F5881" s="47" t="s">
        <v>56</v>
      </c>
      <c r="G5881" s="47" t="s">
        <v>39</v>
      </c>
      <c r="H5881" s="51"/>
      <c r="I5881" s="49">
        <v>47.78</v>
      </c>
      <c r="J5881" s="50">
        <f t="shared" si="181"/>
        <v>1194.5</v>
      </c>
      <c r="K5881" s="106"/>
      <c r="L5881" s="114"/>
      <c r="M5881" s="114">
        <f>tblAquisições[[#This Row],[VALOR UNITARIO COMPRADO]]*tblAquisições[[#This Row],[QUANTIDADE COMPRADA]]</f>
        <v>0</v>
      </c>
      <c r="N5881" s="110">
        <f>K5881-tblAquisições[[#This Row],[QUANTIDADE PLANEJADA]]</f>
        <v>-25</v>
      </c>
      <c r="O5881" s="106" t="str">
        <f t="shared" si="180"/>
        <v>Faltando Comprar</v>
      </c>
    </row>
    <row r="5882" spans="1:15" ht="45">
      <c r="A5882" s="46" t="s">
        <v>3259</v>
      </c>
      <c r="B5882" s="46" t="s">
        <v>3259</v>
      </c>
      <c r="C5882" s="17" t="s">
        <v>19</v>
      </c>
      <c r="D5882" s="47" t="s">
        <v>3365</v>
      </c>
      <c r="E5882" s="48">
        <v>12</v>
      </c>
      <c r="F5882" s="47" t="s">
        <v>2865</v>
      </c>
      <c r="G5882" s="47" t="s">
        <v>39</v>
      </c>
      <c r="H5882" s="48" t="s">
        <v>275</v>
      </c>
      <c r="I5882" s="49">
        <v>51.1</v>
      </c>
      <c r="J5882" s="50">
        <f t="shared" si="181"/>
        <v>613.20000000000005</v>
      </c>
      <c r="K5882" s="106"/>
      <c r="L5882" s="114"/>
      <c r="M5882" s="114">
        <f>tblAquisições[[#This Row],[VALOR UNITARIO COMPRADO]]*tblAquisições[[#This Row],[QUANTIDADE COMPRADA]]</f>
        <v>0</v>
      </c>
      <c r="N5882" s="110">
        <f>K5882-tblAquisições[[#This Row],[QUANTIDADE PLANEJADA]]</f>
        <v>-12</v>
      </c>
      <c r="O5882" s="106" t="str">
        <f t="shared" si="180"/>
        <v>Faltando Comprar</v>
      </c>
    </row>
    <row r="5883" spans="1:15" ht="45">
      <c r="A5883" s="46" t="s">
        <v>3259</v>
      </c>
      <c r="B5883" s="46" t="s">
        <v>3263</v>
      </c>
      <c r="C5883" s="17" t="s">
        <v>19</v>
      </c>
      <c r="D5883" s="47" t="s">
        <v>3365</v>
      </c>
      <c r="E5883" s="48">
        <v>36</v>
      </c>
      <c r="F5883" s="47" t="s">
        <v>2865</v>
      </c>
      <c r="G5883" s="47" t="s">
        <v>39</v>
      </c>
      <c r="H5883" s="51"/>
      <c r="I5883" s="49">
        <v>51.1</v>
      </c>
      <c r="J5883" s="50">
        <f t="shared" si="181"/>
        <v>1839.6000000000001</v>
      </c>
      <c r="K5883" s="106"/>
      <c r="L5883" s="114"/>
      <c r="M5883" s="114">
        <f>tblAquisições[[#This Row],[VALOR UNITARIO COMPRADO]]*tblAquisições[[#This Row],[QUANTIDADE COMPRADA]]</f>
        <v>0</v>
      </c>
      <c r="N5883" s="110">
        <f>K5883-tblAquisições[[#This Row],[QUANTIDADE PLANEJADA]]</f>
        <v>-36</v>
      </c>
      <c r="O5883" s="106" t="str">
        <f t="shared" si="180"/>
        <v>Faltando Comprar</v>
      </c>
    </row>
    <row r="5884" spans="1:15" ht="45">
      <c r="A5884" s="46" t="s">
        <v>3259</v>
      </c>
      <c r="B5884" s="46" t="s">
        <v>3260</v>
      </c>
      <c r="C5884" s="17" t="s">
        <v>19</v>
      </c>
      <c r="D5884" s="47" t="s">
        <v>3366</v>
      </c>
      <c r="E5884" s="48">
        <v>80</v>
      </c>
      <c r="F5884" s="47" t="s">
        <v>38</v>
      </c>
      <c r="G5884" s="47" t="s">
        <v>39</v>
      </c>
      <c r="H5884" s="48" t="s">
        <v>23</v>
      </c>
      <c r="I5884" s="49">
        <v>8</v>
      </c>
      <c r="J5884" s="50">
        <f t="shared" si="181"/>
        <v>640</v>
      </c>
      <c r="K5884" s="106"/>
      <c r="L5884" s="114"/>
      <c r="M5884" s="114">
        <f>tblAquisições[[#This Row],[VALOR UNITARIO COMPRADO]]*tblAquisições[[#This Row],[QUANTIDADE COMPRADA]]</f>
        <v>0</v>
      </c>
      <c r="N5884" s="110">
        <f>K5884-tblAquisições[[#This Row],[QUANTIDADE PLANEJADA]]</f>
        <v>-80</v>
      </c>
      <c r="O5884" s="106" t="str">
        <f t="shared" si="180"/>
        <v>Faltando Comprar</v>
      </c>
    </row>
    <row r="5885" spans="1:15" ht="60">
      <c r="A5885" s="46" t="s">
        <v>3259</v>
      </c>
      <c r="B5885" s="46" t="s">
        <v>3260</v>
      </c>
      <c r="C5885" s="17" t="s">
        <v>19</v>
      </c>
      <c r="D5885" s="47" t="s">
        <v>1755</v>
      </c>
      <c r="E5885" s="48">
        <v>6</v>
      </c>
      <c r="F5885" s="47" t="s">
        <v>96</v>
      </c>
      <c r="G5885" s="47" t="s">
        <v>39</v>
      </c>
      <c r="H5885" s="48" t="s">
        <v>23</v>
      </c>
      <c r="I5885" s="49">
        <v>9.33</v>
      </c>
      <c r="J5885" s="50">
        <f t="shared" si="181"/>
        <v>55.980000000000004</v>
      </c>
      <c r="K5885" s="106"/>
      <c r="L5885" s="114"/>
      <c r="M5885" s="114">
        <f>tblAquisições[[#This Row],[VALOR UNITARIO COMPRADO]]*tblAquisições[[#This Row],[QUANTIDADE COMPRADA]]</f>
        <v>0</v>
      </c>
      <c r="N5885" s="110">
        <f>K5885-tblAquisições[[#This Row],[QUANTIDADE PLANEJADA]]</f>
        <v>-6</v>
      </c>
      <c r="O5885" s="106" t="str">
        <f t="shared" si="180"/>
        <v>Faltando Comprar</v>
      </c>
    </row>
    <row r="5886" spans="1:15" ht="45">
      <c r="A5886" s="46" t="s">
        <v>3259</v>
      </c>
      <c r="B5886" s="46" t="s">
        <v>3259</v>
      </c>
      <c r="C5886" s="17" t="s">
        <v>19</v>
      </c>
      <c r="D5886" s="47" t="s">
        <v>3367</v>
      </c>
      <c r="E5886" s="48">
        <v>4</v>
      </c>
      <c r="F5886" s="47" t="s">
        <v>82</v>
      </c>
      <c r="G5886" s="47" t="s">
        <v>39</v>
      </c>
      <c r="H5886" s="48" t="s">
        <v>23</v>
      </c>
      <c r="I5886" s="49">
        <v>20.52</v>
      </c>
      <c r="J5886" s="50">
        <f t="shared" si="181"/>
        <v>82.08</v>
      </c>
      <c r="K5886" s="106"/>
      <c r="L5886" s="114"/>
      <c r="M5886" s="114">
        <f>tblAquisições[[#This Row],[VALOR UNITARIO COMPRADO]]*tblAquisições[[#This Row],[QUANTIDADE COMPRADA]]</f>
        <v>0</v>
      </c>
      <c r="N5886" s="110">
        <f>K5886-tblAquisições[[#This Row],[QUANTIDADE PLANEJADA]]</f>
        <v>-4</v>
      </c>
      <c r="O5886" s="106" t="str">
        <f t="shared" si="180"/>
        <v>Faltando Comprar</v>
      </c>
    </row>
    <row r="5887" spans="1:15" ht="45">
      <c r="A5887" s="46" t="s">
        <v>3259</v>
      </c>
      <c r="B5887" s="46" t="s">
        <v>3263</v>
      </c>
      <c r="C5887" s="17" t="s">
        <v>19</v>
      </c>
      <c r="D5887" s="47" t="s">
        <v>3367</v>
      </c>
      <c r="E5887" s="48">
        <v>30</v>
      </c>
      <c r="F5887" s="47" t="s">
        <v>82</v>
      </c>
      <c r="G5887" s="47" t="s">
        <v>39</v>
      </c>
      <c r="H5887" s="51"/>
      <c r="I5887" s="49">
        <v>20.52</v>
      </c>
      <c r="J5887" s="50">
        <f t="shared" si="181"/>
        <v>615.6</v>
      </c>
      <c r="K5887" s="106"/>
      <c r="L5887" s="114"/>
      <c r="M5887" s="114">
        <f>tblAquisições[[#This Row],[VALOR UNITARIO COMPRADO]]*tblAquisições[[#This Row],[QUANTIDADE COMPRADA]]</f>
        <v>0</v>
      </c>
      <c r="N5887" s="110">
        <f>K5887-tblAquisições[[#This Row],[QUANTIDADE PLANEJADA]]</f>
        <v>-30</v>
      </c>
      <c r="O5887" s="106" t="str">
        <f t="shared" si="180"/>
        <v>Faltando Comprar</v>
      </c>
    </row>
    <row r="5888" spans="1:15" ht="45">
      <c r="A5888" s="46" t="s">
        <v>3259</v>
      </c>
      <c r="B5888" s="46" t="s">
        <v>3260</v>
      </c>
      <c r="C5888" s="17" t="s">
        <v>19</v>
      </c>
      <c r="D5888" s="47" t="s">
        <v>1770</v>
      </c>
      <c r="E5888" s="48">
        <v>100</v>
      </c>
      <c r="F5888" s="47" t="s">
        <v>38</v>
      </c>
      <c r="G5888" s="47" t="s">
        <v>39</v>
      </c>
      <c r="H5888" s="48" t="s">
        <v>23</v>
      </c>
      <c r="I5888" s="49">
        <v>1.4</v>
      </c>
      <c r="J5888" s="50">
        <f t="shared" si="181"/>
        <v>140</v>
      </c>
      <c r="K5888" s="106"/>
      <c r="L5888" s="114"/>
      <c r="M5888" s="114">
        <f>tblAquisições[[#This Row],[VALOR UNITARIO COMPRADO]]*tblAquisições[[#This Row],[QUANTIDADE COMPRADA]]</f>
        <v>0</v>
      </c>
      <c r="N5888" s="110">
        <f>K5888-tblAquisições[[#This Row],[QUANTIDADE PLANEJADA]]</f>
        <v>-100</v>
      </c>
      <c r="O5888" s="106" t="str">
        <f t="shared" si="180"/>
        <v>Faltando Comprar</v>
      </c>
    </row>
    <row r="5889" spans="1:15" ht="45">
      <c r="A5889" s="46" t="s">
        <v>3259</v>
      </c>
      <c r="B5889" s="46" t="s">
        <v>3259</v>
      </c>
      <c r="C5889" s="17" t="s">
        <v>19</v>
      </c>
      <c r="D5889" s="47" t="s">
        <v>3368</v>
      </c>
      <c r="E5889" s="48">
        <v>10</v>
      </c>
      <c r="F5889" s="47" t="s">
        <v>82</v>
      </c>
      <c r="G5889" s="47" t="s">
        <v>39</v>
      </c>
      <c r="H5889" s="48" t="s">
        <v>23</v>
      </c>
      <c r="I5889" s="49">
        <v>15.66</v>
      </c>
      <c r="J5889" s="50">
        <f t="shared" si="181"/>
        <v>156.6</v>
      </c>
      <c r="K5889" s="106"/>
      <c r="L5889" s="114"/>
      <c r="M5889" s="114">
        <f>tblAquisições[[#This Row],[VALOR UNITARIO COMPRADO]]*tblAquisições[[#This Row],[QUANTIDADE COMPRADA]]</f>
        <v>0</v>
      </c>
      <c r="N5889" s="110">
        <f>K5889-tblAquisições[[#This Row],[QUANTIDADE PLANEJADA]]</f>
        <v>-10</v>
      </c>
      <c r="O5889" s="106" t="str">
        <f t="shared" si="180"/>
        <v>Faltando Comprar</v>
      </c>
    </row>
    <row r="5890" spans="1:15" ht="45">
      <c r="A5890" s="46" t="s">
        <v>3259</v>
      </c>
      <c r="B5890" s="46" t="s">
        <v>3263</v>
      </c>
      <c r="C5890" s="17" t="s">
        <v>19</v>
      </c>
      <c r="D5890" s="47" t="s">
        <v>3368</v>
      </c>
      <c r="E5890" s="48">
        <v>20</v>
      </c>
      <c r="F5890" s="47" t="s">
        <v>82</v>
      </c>
      <c r="G5890" s="47" t="s">
        <v>39</v>
      </c>
      <c r="H5890" s="51"/>
      <c r="I5890" s="49">
        <v>15.66</v>
      </c>
      <c r="J5890" s="50">
        <f t="shared" si="181"/>
        <v>313.2</v>
      </c>
      <c r="K5890" s="106"/>
      <c r="L5890" s="114"/>
      <c r="M5890" s="114">
        <f>tblAquisições[[#This Row],[VALOR UNITARIO COMPRADO]]*tblAquisições[[#This Row],[QUANTIDADE COMPRADA]]</f>
        <v>0</v>
      </c>
      <c r="N5890" s="110">
        <f>K5890-tblAquisições[[#This Row],[QUANTIDADE PLANEJADA]]</f>
        <v>-20</v>
      </c>
      <c r="O5890" s="106" t="str">
        <f t="shared" ref="O5890:O5953" si="182">IF(K5890=E5890,"OK",IF(K5890&lt;E5890,"Faltando Comprar","Excedente"))</f>
        <v>Faltando Comprar</v>
      </c>
    </row>
    <row r="5891" spans="1:15" ht="60">
      <c r="A5891" s="46" t="s">
        <v>3259</v>
      </c>
      <c r="B5891" s="46" t="s">
        <v>3260</v>
      </c>
      <c r="C5891" s="17" t="s">
        <v>19</v>
      </c>
      <c r="D5891" s="47" t="s">
        <v>3369</v>
      </c>
      <c r="E5891" s="48">
        <v>1</v>
      </c>
      <c r="F5891" s="47" t="s">
        <v>191</v>
      </c>
      <c r="G5891" s="47" t="s">
        <v>39</v>
      </c>
      <c r="H5891" s="48" t="s">
        <v>23</v>
      </c>
      <c r="I5891" s="49">
        <v>47.02</v>
      </c>
      <c r="J5891" s="50">
        <f t="shared" si="181"/>
        <v>47.02</v>
      </c>
      <c r="K5891" s="106"/>
      <c r="L5891" s="114"/>
      <c r="M5891" s="114">
        <f>tblAquisições[[#This Row],[VALOR UNITARIO COMPRADO]]*tblAquisições[[#This Row],[QUANTIDADE COMPRADA]]</f>
        <v>0</v>
      </c>
      <c r="N5891" s="110">
        <f>K5891-tblAquisições[[#This Row],[QUANTIDADE PLANEJADA]]</f>
        <v>-1</v>
      </c>
      <c r="O5891" s="106" t="str">
        <f t="shared" si="182"/>
        <v>Faltando Comprar</v>
      </c>
    </row>
    <row r="5892" spans="1:15" ht="75">
      <c r="A5892" s="46" t="s">
        <v>3259</v>
      </c>
      <c r="B5892" s="46" t="s">
        <v>3260</v>
      </c>
      <c r="C5892" s="17" t="s">
        <v>19</v>
      </c>
      <c r="D5892" s="47" t="s">
        <v>3370</v>
      </c>
      <c r="E5892" s="48">
        <v>5</v>
      </c>
      <c r="F5892" s="47" t="s">
        <v>2750</v>
      </c>
      <c r="G5892" s="47" t="s">
        <v>39</v>
      </c>
      <c r="H5892" s="48" t="s">
        <v>23</v>
      </c>
      <c r="I5892" s="49">
        <v>45</v>
      </c>
      <c r="J5892" s="50">
        <f t="shared" si="181"/>
        <v>225</v>
      </c>
      <c r="K5892" s="106"/>
      <c r="L5892" s="114"/>
      <c r="M5892" s="114">
        <f>tblAquisições[[#This Row],[VALOR UNITARIO COMPRADO]]*tblAquisições[[#This Row],[QUANTIDADE COMPRADA]]</f>
        <v>0</v>
      </c>
      <c r="N5892" s="110">
        <f>K5892-tblAquisições[[#This Row],[QUANTIDADE PLANEJADA]]</f>
        <v>-5</v>
      </c>
      <c r="O5892" s="106" t="str">
        <f t="shared" si="182"/>
        <v>Faltando Comprar</v>
      </c>
    </row>
    <row r="5893" spans="1:15" ht="45">
      <c r="A5893" s="46" t="s">
        <v>3259</v>
      </c>
      <c r="B5893" s="46" t="s">
        <v>3260</v>
      </c>
      <c r="C5893" s="17" t="s">
        <v>19</v>
      </c>
      <c r="D5893" s="47" t="s">
        <v>1891</v>
      </c>
      <c r="E5893" s="48">
        <v>50</v>
      </c>
      <c r="F5893" s="47" t="s">
        <v>38</v>
      </c>
      <c r="G5893" s="47" t="s">
        <v>39</v>
      </c>
      <c r="H5893" s="48" t="s">
        <v>23</v>
      </c>
      <c r="I5893" s="49">
        <v>2.89</v>
      </c>
      <c r="J5893" s="50">
        <f t="shared" si="181"/>
        <v>144.5</v>
      </c>
      <c r="K5893" s="106"/>
      <c r="L5893" s="114"/>
      <c r="M5893" s="114">
        <f>tblAquisições[[#This Row],[VALOR UNITARIO COMPRADO]]*tblAquisições[[#This Row],[QUANTIDADE COMPRADA]]</f>
        <v>0</v>
      </c>
      <c r="N5893" s="110">
        <f>K5893-tblAquisições[[#This Row],[QUANTIDADE PLANEJADA]]</f>
        <v>-50</v>
      </c>
      <c r="O5893" s="106" t="str">
        <f t="shared" si="182"/>
        <v>Faltando Comprar</v>
      </c>
    </row>
    <row r="5894" spans="1:15" ht="75">
      <c r="A5894" s="46" t="s">
        <v>3259</v>
      </c>
      <c r="B5894" s="46" t="s">
        <v>3259</v>
      </c>
      <c r="C5894" s="17" t="s">
        <v>19</v>
      </c>
      <c r="D5894" s="47" t="s">
        <v>3371</v>
      </c>
      <c r="E5894" s="48">
        <v>10</v>
      </c>
      <c r="F5894" s="47" t="s">
        <v>2750</v>
      </c>
      <c r="G5894" s="47" t="s">
        <v>39</v>
      </c>
      <c r="H5894" s="48" t="s">
        <v>23</v>
      </c>
      <c r="I5894" s="49">
        <v>13.82</v>
      </c>
      <c r="J5894" s="50">
        <f t="shared" si="181"/>
        <v>138.19999999999999</v>
      </c>
      <c r="K5894" s="106"/>
      <c r="L5894" s="114"/>
      <c r="M5894" s="114">
        <f>tblAquisições[[#This Row],[VALOR UNITARIO COMPRADO]]*tblAquisições[[#This Row],[QUANTIDADE COMPRADA]]</f>
        <v>0</v>
      </c>
      <c r="N5894" s="110">
        <f>K5894-tblAquisições[[#This Row],[QUANTIDADE PLANEJADA]]</f>
        <v>-10</v>
      </c>
      <c r="O5894" s="106" t="str">
        <f t="shared" si="182"/>
        <v>Faltando Comprar</v>
      </c>
    </row>
    <row r="5895" spans="1:15" ht="75">
      <c r="A5895" s="46" t="s">
        <v>3259</v>
      </c>
      <c r="B5895" s="46" t="s">
        <v>3263</v>
      </c>
      <c r="C5895" s="17" t="s">
        <v>19</v>
      </c>
      <c r="D5895" s="47" t="s">
        <v>3371</v>
      </c>
      <c r="E5895" s="48">
        <v>10</v>
      </c>
      <c r="F5895" s="47" t="s">
        <v>2750</v>
      </c>
      <c r="G5895" s="47" t="s">
        <v>39</v>
      </c>
      <c r="H5895" s="51"/>
      <c r="I5895" s="49">
        <v>13.82</v>
      </c>
      <c r="J5895" s="50">
        <f t="shared" si="181"/>
        <v>138.19999999999999</v>
      </c>
      <c r="K5895" s="106"/>
      <c r="L5895" s="114"/>
      <c r="M5895" s="114">
        <f>tblAquisições[[#This Row],[VALOR UNITARIO COMPRADO]]*tblAquisições[[#This Row],[QUANTIDADE COMPRADA]]</f>
        <v>0</v>
      </c>
      <c r="N5895" s="110">
        <f>K5895-tblAquisições[[#This Row],[QUANTIDADE PLANEJADA]]</f>
        <v>-10</v>
      </c>
      <c r="O5895" s="106" t="str">
        <f t="shared" si="182"/>
        <v>Faltando Comprar</v>
      </c>
    </row>
    <row r="5896" spans="1:15" ht="45">
      <c r="A5896" s="46" t="s">
        <v>3259</v>
      </c>
      <c r="B5896" s="46" t="s">
        <v>3267</v>
      </c>
      <c r="C5896" s="17" t="s">
        <v>19</v>
      </c>
      <c r="D5896" s="47" t="s">
        <v>3372</v>
      </c>
      <c r="E5896" s="48">
        <v>25</v>
      </c>
      <c r="F5896" s="47" t="s">
        <v>56</v>
      </c>
      <c r="G5896" s="47" t="s">
        <v>39</v>
      </c>
      <c r="H5896" s="51"/>
      <c r="I5896" s="49">
        <v>37.26</v>
      </c>
      <c r="J5896" s="50">
        <f t="shared" si="181"/>
        <v>931.5</v>
      </c>
      <c r="K5896" s="106"/>
      <c r="L5896" s="114"/>
      <c r="M5896" s="114">
        <f>tblAquisições[[#This Row],[VALOR UNITARIO COMPRADO]]*tblAquisições[[#This Row],[QUANTIDADE COMPRADA]]</f>
        <v>0</v>
      </c>
      <c r="N5896" s="110">
        <f>K5896-tblAquisições[[#This Row],[QUANTIDADE PLANEJADA]]</f>
        <v>-25</v>
      </c>
      <c r="O5896" s="106" t="str">
        <f t="shared" si="182"/>
        <v>Faltando Comprar</v>
      </c>
    </row>
    <row r="5897" spans="1:15" ht="60">
      <c r="A5897" s="46" t="s">
        <v>3259</v>
      </c>
      <c r="B5897" s="46" t="s">
        <v>3259</v>
      </c>
      <c r="C5897" s="17" t="s">
        <v>19</v>
      </c>
      <c r="D5897" s="47" t="s">
        <v>3373</v>
      </c>
      <c r="E5897" s="48">
        <v>10</v>
      </c>
      <c r="F5897" s="47" t="s">
        <v>191</v>
      </c>
      <c r="G5897" s="47" t="s">
        <v>39</v>
      </c>
      <c r="H5897" s="48" t="s">
        <v>23</v>
      </c>
      <c r="I5897" s="49">
        <v>13</v>
      </c>
      <c r="J5897" s="50">
        <f t="shared" si="181"/>
        <v>130</v>
      </c>
      <c r="K5897" s="106"/>
      <c r="L5897" s="114"/>
      <c r="M5897" s="114">
        <f>tblAquisições[[#This Row],[VALOR UNITARIO COMPRADO]]*tblAquisições[[#This Row],[QUANTIDADE COMPRADA]]</f>
        <v>0</v>
      </c>
      <c r="N5897" s="110">
        <f>K5897-tblAquisições[[#This Row],[QUANTIDADE PLANEJADA]]</f>
        <v>-10</v>
      </c>
      <c r="O5897" s="106" t="str">
        <f t="shared" si="182"/>
        <v>Faltando Comprar</v>
      </c>
    </row>
    <row r="5898" spans="1:15" ht="60">
      <c r="A5898" s="46" t="s">
        <v>3259</v>
      </c>
      <c r="B5898" s="46" t="s">
        <v>3263</v>
      </c>
      <c r="C5898" s="17" t="s">
        <v>19</v>
      </c>
      <c r="D5898" s="47" t="s">
        <v>3373</v>
      </c>
      <c r="E5898" s="48">
        <v>150</v>
      </c>
      <c r="F5898" s="47" t="s">
        <v>191</v>
      </c>
      <c r="G5898" s="47" t="s">
        <v>39</v>
      </c>
      <c r="H5898" s="51"/>
      <c r="I5898" s="49">
        <v>13</v>
      </c>
      <c r="J5898" s="50">
        <f t="shared" si="181"/>
        <v>1950</v>
      </c>
      <c r="K5898" s="106"/>
      <c r="L5898" s="114"/>
      <c r="M5898" s="114">
        <f>tblAquisições[[#This Row],[VALOR UNITARIO COMPRADO]]*tblAquisições[[#This Row],[QUANTIDADE COMPRADA]]</f>
        <v>0</v>
      </c>
      <c r="N5898" s="110">
        <f>K5898-tblAquisições[[#This Row],[QUANTIDADE PLANEJADA]]</f>
        <v>-150</v>
      </c>
      <c r="O5898" s="106" t="str">
        <f t="shared" si="182"/>
        <v>Faltando Comprar</v>
      </c>
    </row>
    <row r="5899" spans="1:15" ht="60">
      <c r="A5899" s="46" t="s">
        <v>3259</v>
      </c>
      <c r="B5899" s="46" t="s">
        <v>3259</v>
      </c>
      <c r="C5899" s="17" t="s">
        <v>19</v>
      </c>
      <c r="D5899" s="47" t="s">
        <v>3374</v>
      </c>
      <c r="E5899" s="48">
        <v>12</v>
      </c>
      <c r="F5899" s="47" t="s">
        <v>191</v>
      </c>
      <c r="G5899" s="47" t="s">
        <v>39</v>
      </c>
      <c r="H5899" s="48" t="s">
        <v>23</v>
      </c>
      <c r="I5899" s="49">
        <v>4.96</v>
      </c>
      <c r="J5899" s="50">
        <f t="shared" si="181"/>
        <v>59.519999999999996</v>
      </c>
      <c r="K5899" s="106"/>
      <c r="L5899" s="114"/>
      <c r="M5899" s="114">
        <f>tblAquisições[[#This Row],[VALOR UNITARIO COMPRADO]]*tblAquisições[[#This Row],[QUANTIDADE COMPRADA]]</f>
        <v>0</v>
      </c>
      <c r="N5899" s="110">
        <f>K5899-tblAquisições[[#This Row],[QUANTIDADE PLANEJADA]]</f>
        <v>-12</v>
      </c>
      <c r="O5899" s="106" t="str">
        <f t="shared" si="182"/>
        <v>Faltando Comprar</v>
      </c>
    </row>
    <row r="5900" spans="1:15" ht="60">
      <c r="A5900" s="46" t="s">
        <v>3259</v>
      </c>
      <c r="B5900" s="46" t="s">
        <v>3263</v>
      </c>
      <c r="C5900" s="17" t="s">
        <v>19</v>
      </c>
      <c r="D5900" s="47" t="s">
        <v>3374</v>
      </c>
      <c r="E5900" s="48">
        <v>150</v>
      </c>
      <c r="F5900" s="47" t="s">
        <v>191</v>
      </c>
      <c r="G5900" s="47" t="s">
        <v>39</v>
      </c>
      <c r="H5900" s="51"/>
      <c r="I5900" s="49">
        <v>4.96</v>
      </c>
      <c r="J5900" s="50">
        <f t="shared" si="181"/>
        <v>744</v>
      </c>
      <c r="K5900" s="106"/>
      <c r="L5900" s="114"/>
      <c r="M5900" s="114">
        <f>tblAquisições[[#This Row],[VALOR UNITARIO COMPRADO]]*tblAquisições[[#This Row],[QUANTIDADE COMPRADA]]</f>
        <v>0</v>
      </c>
      <c r="N5900" s="110">
        <f>K5900-tblAquisições[[#This Row],[QUANTIDADE PLANEJADA]]</f>
        <v>-150</v>
      </c>
      <c r="O5900" s="106" t="str">
        <f t="shared" si="182"/>
        <v>Faltando Comprar</v>
      </c>
    </row>
    <row r="5901" spans="1:15" ht="60">
      <c r="A5901" s="46" t="s">
        <v>3259</v>
      </c>
      <c r="B5901" s="46" t="s">
        <v>3259</v>
      </c>
      <c r="C5901" s="17" t="s">
        <v>19</v>
      </c>
      <c r="D5901" s="47" t="s">
        <v>3375</v>
      </c>
      <c r="E5901" s="48">
        <v>12</v>
      </c>
      <c r="F5901" s="47" t="s">
        <v>191</v>
      </c>
      <c r="G5901" s="47" t="s">
        <v>39</v>
      </c>
      <c r="H5901" s="48" t="s">
        <v>23</v>
      </c>
      <c r="I5901" s="49">
        <v>6.13</v>
      </c>
      <c r="J5901" s="50">
        <f t="shared" si="181"/>
        <v>73.56</v>
      </c>
      <c r="K5901" s="106"/>
      <c r="L5901" s="114"/>
      <c r="M5901" s="114">
        <f>tblAquisições[[#This Row],[VALOR UNITARIO COMPRADO]]*tblAquisições[[#This Row],[QUANTIDADE COMPRADA]]</f>
        <v>0</v>
      </c>
      <c r="N5901" s="110">
        <f>K5901-tblAquisições[[#This Row],[QUANTIDADE PLANEJADA]]</f>
        <v>-12</v>
      </c>
      <c r="O5901" s="106" t="str">
        <f t="shared" si="182"/>
        <v>Faltando Comprar</v>
      </c>
    </row>
    <row r="5902" spans="1:15" ht="60">
      <c r="A5902" s="46" t="s">
        <v>3259</v>
      </c>
      <c r="B5902" s="46" t="s">
        <v>3263</v>
      </c>
      <c r="C5902" s="17" t="s">
        <v>19</v>
      </c>
      <c r="D5902" s="47" t="s">
        <v>3375</v>
      </c>
      <c r="E5902" s="48">
        <v>150</v>
      </c>
      <c r="F5902" s="47" t="s">
        <v>191</v>
      </c>
      <c r="G5902" s="47" t="s">
        <v>39</v>
      </c>
      <c r="H5902" s="51"/>
      <c r="I5902" s="49">
        <v>6.13</v>
      </c>
      <c r="J5902" s="50">
        <f t="shared" si="181"/>
        <v>919.5</v>
      </c>
      <c r="K5902" s="106"/>
      <c r="L5902" s="114"/>
      <c r="M5902" s="114">
        <f>tblAquisições[[#This Row],[VALOR UNITARIO COMPRADO]]*tblAquisições[[#This Row],[QUANTIDADE COMPRADA]]</f>
        <v>0</v>
      </c>
      <c r="N5902" s="110">
        <f>K5902-tblAquisições[[#This Row],[QUANTIDADE PLANEJADA]]</f>
        <v>-150</v>
      </c>
      <c r="O5902" s="106" t="str">
        <f t="shared" si="182"/>
        <v>Faltando Comprar</v>
      </c>
    </row>
    <row r="5903" spans="1:15" ht="60">
      <c r="A5903" s="46" t="s">
        <v>3259</v>
      </c>
      <c r="B5903" s="46" t="s">
        <v>3259</v>
      </c>
      <c r="C5903" s="17" t="s">
        <v>19</v>
      </c>
      <c r="D5903" s="47" t="s">
        <v>2823</v>
      </c>
      <c r="E5903" s="48">
        <v>24</v>
      </c>
      <c r="F5903" s="47" t="s">
        <v>191</v>
      </c>
      <c r="G5903" s="47" t="s">
        <v>39</v>
      </c>
      <c r="H5903" s="48" t="s">
        <v>23</v>
      </c>
      <c r="I5903" s="49">
        <v>5.49</v>
      </c>
      <c r="J5903" s="50">
        <f t="shared" si="181"/>
        <v>131.76</v>
      </c>
      <c r="K5903" s="106"/>
      <c r="L5903" s="114"/>
      <c r="M5903" s="114">
        <f>tblAquisições[[#This Row],[VALOR UNITARIO COMPRADO]]*tblAquisições[[#This Row],[QUANTIDADE COMPRADA]]</f>
        <v>0</v>
      </c>
      <c r="N5903" s="110">
        <f>K5903-tblAquisições[[#This Row],[QUANTIDADE PLANEJADA]]</f>
        <v>-24</v>
      </c>
      <c r="O5903" s="106" t="str">
        <f t="shared" si="182"/>
        <v>Faltando Comprar</v>
      </c>
    </row>
    <row r="5904" spans="1:15" ht="60">
      <c r="A5904" s="46" t="s">
        <v>3259</v>
      </c>
      <c r="B5904" s="46" t="s">
        <v>3263</v>
      </c>
      <c r="C5904" s="17" t="s">
        <v>19</v>
      </c>
      <c r="D5904" s="47" t="s">
        <v>2823</v>
      </c>
      <c r="E5904" s="48">
        <v>150</v>
      </c>
      <c r="F5904" s="47" t="s">
        <v>191</v>
      </c>
      <c r="G5904" s="47" t="s">
        <v>39</v>
      </c>
      <c r="H5904" s="51"/>
      <c r="I5904" s="49">
        <v>5.49</v>
      </c>
      <c r="J5904" s="50">
        <f t="shared" si="181"/>
        <v>823.5</v>
      </c>
      <c r="K5904" s="106"/>
      <c r="L5904" s="114"/>
      <c r="M5904" s="114">
        <f>tblAquisições[[#This Row],[VALOR UNITARIO COMPRADO]]*tblAquisições[[#This Row],[QUANTIDADE COMPRADA]]</f>
        <v>0</v>
      </c>
      <c r="N5904" s="110">
        <f>K5904-tblAquisições[[#This Row],[QUANTIDADE PLANEJADA]]</f>
        <v>-150</v>
      </c>
      <c r="O5904" s="106" t="str">
        <f t="shared" si="182"/>
        <v>Faltando Comprar</v>
      </c>
    </row>
    <row r="5905" spans="1:15" ht="60">
      <c r="A5905" s="46" t="s">
        <v>3259</v>
      </c>
      <c r="B5905" s="46" t="s">
        <v>3259</v>
      </c>
      <c r="C5905" s="17" t="s">
        <v>19</v>
      </c>
      <c r="D5905" s="47" t="s">
        <v>2824</v>
      </c>
      <c r="E5905" s="48">
        <v>24</v>
      </c>
      <c r="F5905" s="47" t="s">
        <v>191</v>
      </c>
      <c r="G5905" s="47" t="s">
        <v>39</v>
      </c>
      <c r="H5905" s="48" t="s">
        <v>23</v>
      </c>
      <c r="I5905" s="49">
        <v>7.22</v>
      </c>
      <c r="J5905" s="50">
        <f t="shared" si="181"/>
        <v>173.28</v>
      </c>
      <c r="K5905" s="106"/>
      <c r="L5905" s="114"/>
      <c r="M5905" s="114">
        <f>tblAquisições[[#This Row],[VALOR UNITARIO COMPRADO]]*tblAquisições[[#This Row],[QUANTIDADE COMPRADA]]</f>
        <v>0</v>
      </c>
      <c r="N5905" s="110">
        <f>K5905-tblAquisições[[#This Row],[QUANTIDADE PLANEJADA]]</f>
        <v>-24</v>
      </c>
      <c r="O5905" s="106" t="str">
        <f t="shared" si="182"/>
        <v>Faltando Comprar</v>
      </c>
    </row>
    <row r="5906" spans="1:15" ht="60">
      <c r="A5906" s="46" t="s">
        <v>3259</v>
      </c>
      <c r="B5906" s="46" t="s">
        <v>3263</v>
      </c>
      <c r="C5906" s="17" t="s">
        <v>19</v>
      </c>
      <c r="D5906" s="47" t="s">
        <v>2824</v>
      </c>
      <c r="E5906" s="48">
        <v>150</v>
      </c>
      <c r="F5906" s="47" t="s">
        <v>191</v>
      </c>
      <c r="G5906" s="47" t="s">
        <v>39</v>
      </c>
      <c r="H5906" s="51"/>
      <c r="I5906" s="49">
        <v>7.22</v>
      </c>
      <c r="J5906" s="50">
        <f t="shared" si="181"/>
        <v>1083</v>
      </c>
      <c r="K5906" s="106"/>
      <c r="L5906" s="114"/>
      <c r="M5906" s="114">
        <f>tblAquisições[[#This Row],[VALOR UNITARIO COMPRADO]]*tblAquisições[[#This Row],[QUANTIDADE COMPRADA]]</f>
        <v>0</v>
      </c>
      <c r="N5906" s="110">
        <f>K5906-tblAquisições[[#This Row],[QUANTIDADE PLANEJADA]]</f>
        <v>-150</v>
      </c>
      <c r="O5906" s="106" t="str">
        <f t="shared" si="182"/>
        <v>Faltando Comprar</v>
      </c>
    </row>
    <row r="5907" spans="1:15" ht="60">
      <c r="A5907" s="46" t="s">
        <v>3259</v>
      </c>
      <c r="B5907" s="46" t="s">
        <v>3259</v>
      </c>
      <c r="C5907" s="17" t="s">
        <v>19</v>
      </c>
      <c r="D5907" s="47" t="s">
        <v>3376</v>
      </c>
      <c r="E5907" s="48">
        <v>12</v>
      </c>
      <c r="F5907" s="47" t="s">
        <v>191</v>
      </c>
      <c r="G5907" s="47" t="s">
        <v>39</v>
      </c>
      <c r="H5907" s="48" t="s">
        <v>23</v>
      </c>
      <c r="I5907" s="49">
        <v>11.26</v>
      </c>
      <c r="J5907" s="50">
        <f t="shared" si="181"/>
        <v>135.12</v>
      </c>
      <c r="K5907" s="106"/>
      <c r="L5907" s="114"/>
      <c r="M5907" s="114">
        <f>tblAquisições[[#This Row],[VALOR UNITARIO COMPRADO]]*tblAquisições[[#This Row],[QUANTIDADE COMPRADA]]</f>
        <v>0</v>
      </c>
      <c r="N5907" s="110">
        <f>K5907-tblAquisições[[#This Row],[QUANTIDADE PLANEJADA]]</f>
        <v>-12</v>
      </c>
      <c r="O5907" s="106" t="str">
        <f t="shared" si="182"/>
        <v>Faltando Comprar</v>
      </c>
    </row>
    <row r="5908" spans="1:15" ht="60">
      <c r="A5908" s="46" t="s">
        <v>3259</v>
      </c>
      <c r="B5908" s="46" t="s">
        <v>3263</v>
      </c>
      <c r="C5908" s="17" t="s">
        <v>19</v>
      </c>
      <c r="D5908" s="47" t="s">
        <v>3376</v>
      </c>
      <c r="E5908" s="48">
        <v>150</v>
      </c>
      <c r="F5908" s="47" t="s">
        <v>191</v>
      </c>
      <c r="G5908" s="47" t="s">
        <v>39</v>
      </c>
      <c r="H5908" s="51"/>
      <c r="I5908" s="49">
        <v>11.26</v>
      </c>
      <c r="J5908" s="50">
        <f t="shared" si="181"/>
        <v>1689</v>
      </c>
      <c r="K5908" s="106"/>
      <c r="L5908" s="114"/>
      <c r="M5908" s="114">
        <f>tblAquisições[[#This Row],[VALOR UNITARIO COMPRADO]]*tblAquisições[[#This Row],[QUANTIDADE COMPRADA]]</f>
        <v>0</v>
      </c>
      <c r="N5908" s="110">
        <f>K5908-tblAquisições[[#This Row],[QUANTIDADE PLANEJADA]]</f>
        <v>-150</v>
      </c>
      <c r="O5908" s="106" t="str">
        <f t="shared" si="182"/>
        <v>Faltando Comprar</v>
      </c>
    </row>
    <row r="5909" spans="1:15" ht="60">
      <c r="A5909" s="46" t="s">
        <v>3259</v>
      </c>
      <c r="B5909" s="46" t="s">
        <v>3259</v>
      </c>
      <c r="C5909" s="17" t="s">
        <v>19</v>
      </c>
      <c r="D5909" s="47" t="s">
        <v>3377</v>
      </c>
      <c r="E5909" s="48">
        <v>12</v>
      </c>
      <c r="F5909" s="47" t="s">
        <v>191</v>
      </c>
      <c r="G5909" s="47" t="s">
        <v>39</v>
      </c>
      <c r="H5909" s="48" t="s">
        <v>23</v>
      </c>
      <c r="I5909" s="49">
        <v>9.41</v>
      </c>
      <c r="J5909" s="50">
        <f t="shared" si="181"/>
        <v>112.92</v>
      </c>
      <c r="K5909" s="106"/>
      <c r="L5909" s="114"/>
      <c r="M5909" s="114">
        <f>tblAquisições[[#This Row],[VALOR UNITARIO COMPRADO]]*tblAquisições[[#This Row],[QUANTIDADE COMPRADA]]</f>
        <v>0</v>
      </c>
      <c r="N5909" s="110">
        <f>K5909-tblAquisições[[#This Row],[QUANTIDADE PLANEJADA]]</f>
        <v>-12</v>
      </c>
      <c r="O5909" s="106" t="str">
        <f t="shared" si="182"/>
        <v>Faltando Comprar</v>
      </c>
    </row>
    <row r="5910" spans="1:15" ht="60">
      <c r="A5910" s="46" t="s">
        <v>3259</v>
      </c>
      <c r="B5910" s="46" t="s">
        <v>3263</v>
      </c>
      <c r="C5910" s="17" t="s">
        <v>19</v>
      </c>
      <c r="D5910" s="47" t="s">
        <v>3377</v>
      </c>
      <c r="E5910" s="48">
        <v>150</v>
      </c>
      <c r="F5910" s="47" t="s">
        <v>191</v>
      </c>
      <c r="G5910" s="47" t="s">
        <v>39</v>
      </c>
      <c r="H5910" s="51"/>
      <c r="I5910" s="49">
        <v>9.41</v>
      </c>
      <c r="J5910" s="50">
        <f t="shared" si="181"/>
        <v>1411.5</v>
      </c>
      <c r="K5910" s="106"/>
      <c r="L5910" s="114"/>
      <c r="M5910" s="114">
        <f>tblAquisições[[#This Row],[VALOR UNITARIO COMPRADO]]*tblAquisições[[#This Row],[QUANTIDADE COMPRADA]]</f>
        <v>0</v>
      </c>
      <c r="N5910" s="110">
        <f>K5910-tblAquisições[[#This Row],[QUANTIDADE PLANEJADA]]</f>
        <v>-150</v>
      </c>
      <c r="O5910" s="106" t="str">
        <f t="shared" si="182"/>
        <v>Faltando Comprar</v>
      </c>
    </row>
    <row r="5911" spans="1:15" ht="45">
      <c r="A5911" s="46" t="s">
        <v>3259</v>
      </c>
      <c r="B5911" s="46" t="s">
        <v>3260</v>
      </c>
      <c r="C5911" s="17" t="s">
        <v>19</v>
      </c>
      <c r="D5911" s="47" t="s">
        <v>1961</v>
      </c>
      <c r="E5911" s="48">
        <v>3</v>
      </c>
      <c r="F5911" s="47" t="s">
        <v>38</v>
      </c>
      <c r="G5911" s="47" t="s">
        <v>39</v>
      </c>
      <c r="H5911" s="48" t="s">
        <v>23</v>
      </c>
      <c r="I5911" s="49">
        <v>179.24</v>
      </c>
      <c r="J5911" s="50">
        <f t="shared" si="181"/>
        <v>537.72</v>
      </c>
      <c r="K5911" s="106"/>
      <c r="L5911" s="114"/>
      <c r="M5911" s="114">
        <f>tblAquisições[[#This Row],[VALOR UNITARIO COMPRADO]]*tblAquisições[[#This Row],[QUANTIDADE COMPRADA]]</f>
        <v>0</v>
      </c>
      <c r="N5911" s="110">
        <f>K5911-tblAquisições[[#This Row],[QUANTIDADE PLANEJADA]]</f>
        <v>-3</v>
      </c>
      <c r="O5911" s="106" t="str">
        <f t="shared" si="182"/>
        <v>Faltando Comprar</v>
      </c>
    </row>
    <row r="5912" spans="1:15" ht="45">
      <c r="A5912" s="46" t="s">
        <v>3259</v>
      </c>
      <c r="B5912" s="46" t="s">
        <v>3259</v>
      </c>
      <c r="C5912" s="17" t="s">
        <v>19</v>
      </c>
      <c r="D5912" s="47" t="s">
        <v>3378</v>
      </c>
      <c r="E5912" s="48">
        <v>3</v>
      </c>
      <c r="F5912" s="47" t="s">
        <v>38</v>
      </c>
      <c r="G5912" s="47" t="s">
        <v>39</v>
      </c>
      <c r="H5912" s="48" t="s">
        <v>23</v>
      </c>
      <c r="I5912" s="49">
        <v>103.45</v>
      </c>
      <c r="J5912" s="50">
        <f t="shared" si="181"/>
        <v>310.35000000000002</v>
      </c>
      <c r="K5912" s="106"/>
      <c r="L5912" s="114"/>
      <c r="M5912" s="114">
        <f>tblAquisições[[#This Row],[VALOR UNITARIO COMPRADO]]*tblAquisições[[#This Row],[QUANTIDADE COMPRADA]]</f>
        <v>0</v>
      </c>
      <c r="N5912" s="110">
        <f>K5912-tblAquisições[[#This Row],[QUANTIDADE PLANEJADA]]</f>
        <v>-3</v>
      </c>
      <c r="O5912" s="106" t="str">
        <f t="shared" si="182"/>
        <v>Faltando Comprar</v>
      </c>
    </row>
    <row r="5913" spans="1:15" ht="45">
      <c r="A5913" s="46" t="s">
        <v>3259</v>
      </c>
      <c r="B5913" s="46" t="s">
        <v>3263</v>
      </c>
      <c r="C5913" s="17" t="s">
        <v>19</v>
      </c>
      <c r="D5913" s="47" t="s">
        <v>3378</v>
      </c>
      <c r="E5913" s="48">
        <v>12</v>
      </c>
      <c r="F5913" s="47" t="s">
        <v>38</v>
      </c>
      <c r="G5913" s="47" t="s">
        <v>39</v>
      </c>
      <c r="H5913" s="51"/>
      <c r="I5913" s="49">
        <v>103.45</v>
      </c>
      <c r="J5913" s="50">
        <f t="shared" si="181"/>
        <v>1241.4000000000001</v>
      </c>
      <c r="K5913" s="106"/>
      <c r="L5913" s="114"/>
      <c r="M5913" s="114">
        <f>tblAquisições[[#This Row],[VALOR UNITARIO COMPRADO]]*tblAquisições[[#This Row],[QUANTIDADE COMPRADA]]</f>
        <v>0</v>
      </c>
      <c r="N5913" s="110">
        <f>K5913-tblAquisições[[#This Row],[QUANTIDADE PLANEJADA]]</f>
        <v>-12</v>
      </c>
      <c r="O5913" s="106" t="str">
        <f t="shared" si="182"/>
        <v>Faltando Comprar</v>
      </c>
    </row>
    <row r="5914" spans="1:15" ht="45">
      <c r="A5914" s="46" t="s">
        <v>3259</v>
      </c>
      <c r="B5914" s="46" t="s">
        <v>3260</v>
      </c>
      <c r="C5914" s="17" t="s">
        <v>19</v>
      </c>
      <c r="D5914" s="47" t="s">
        <v>1968</v>
      </c>
      <c r="E5914" s="48">
        <v>100</v>
      </c>
      <c r="F5914" s="47" t="s">
        <v>38</v>
      </c>
      <c r="G5914" s="47" t="s">
        <v>39</v>
      </c>
      <c r="H5914" s="48" t="s">
        <v>23</v>
      </c>
      <c r="I5914" s="49">
        <v>14.53</v>
      </c>
      <c r="J5914" s="50">
        <f t="shared" si="181"/>
        <v>1453</v>
      </c>
      <c r="K5914" s="106"/>
      <c r="L5914" s="114"/>
      <c r="M5914" s="114">
        <f>tblAquisições[[#This Row],[VALOR UNITARIO COMPRADO]]*tblAquisições[[#This Row],[QUANTIDADE COMPRADA]]</f>
        <v>0</v>
      </c>
      <c r="N5914" s="110">
        <f>K5914-tblAquisições[[#This Row],[QUANTIDADE PLANEJADA]]</f>
        <v>-100</v>
      </c>
      <c r="O5914" s="106" t="str">
        <f t="shared" si="182"/>
        <v>Faltando Comprar</v>
      </c>
    </row>
    <row r="5915" spans="1:15" ht="45">
      <c r="A5915" s="46" t="s">
        <v>3259</v>
      </c>
      <c r="B5915" s="46" t="s">
        <v>3267</v>
      </c>
      <c r="C5915" s="17" t="s">
        <v>19</v>
      </c>
      <c r="D5915" s="47" t="s">
        <v>3379</v>
      </c>
      <c r="E5915" s="48">
        <v>25</v>
      </c>
      <c r="F5915" s="47" t="s">
        <v>56</v>
      </c>
      <c r="G5915" s="47" t="s">
        <v>39</v>
      </c>
      <c r="H5915" s="51"/>
      <c r="I5915" s="49">
        <v>26.21</v>
      </c>
      <c r="J5915" s="50">
        <f t="shared" si="181"/>
        <v>655.25</v>
      </c>
      <c r="K5915" s="106"/>
      <c r="L5915" s="114"/>
      <c r="M5915" s="114">
        <f>tblAquisições[[#This Row],[VALOR UNITARIO COMPRADO]]*tblAquisições[[#This Row],[QUANTIDADE COMPRADA]]</f>
        <v>0</v>
      </c>
      <c r="N5915" s="110">
        <f>K5915-tblAquisições[[#This Row],[QUANTIDADE PLANEJADA]]</f>
        <v>-25</v>
      </c>
      <c r="O5915" s="106" t="str">
        <f t="shared" si="182"/>
        <v>Faltando Comprar</v>
      </c>
    </row>
    <row r="5916" spans="1:15" ht="45">
      <c r="A5916" s="46" t="s">
        <v>3259</v>
      </c>
      <c r="B5916" s="46" t="s">
        <v>3259</v>
      </c>
      <c r="C5916" s="17" t="s">
        <v>19</v>
      </c>
      <c r="D5916" s="47" t="s">
        <v>3380</v>
      </c>
      <c r="E5916" s="48">
        <v>7</v>
      </c>
      <c r="F5916" s="47" t="s">
        <v>252</v>
      </c>
      <c r="G5916" s="47" t="s">
        <v>39</v>
      </c>
      <c r="H5916" s="48" t="s">
        <v>100</v>
      </c>
      <c r="I5916" s="49">
        <v>11.64</v>
      </c>
      <c r="J5916" s="50">
        <f t="shared" si="181"/>
        <v>81.48</v>
      </c>
      <c r="K5916" s="106"/>
      <c r="L5916" s="114"/>
      <c r="M5916" s="114">
        <f>tblAquisições[[#This Row],[VALOR UNITARIO COMPRADO]]*tblAquisições[[#This Row],[QUANTIDADE COMPRADA]]</f>
        <v>0</v>
      </c>
      <c r="N5916" s="110">
        <f>K5916-tblAquisições[[#This Row],[QUANTIDADE PLANEJADA]]</f>
        <v>-7</v>
      </c>
      <c r="O5916" s="106" t="str">
        <f t="shared" si="182"/>
        <v>Faltando Comprar</v>
      </c>
    </row>
    <row r="5917" spans="1:15" ht="45">
      <c r="A5917" s="46" t="s">
        <v>3259</v>
      </c>
      <c r="B5917" s="46" t="s">
        <v>3263</v>
      </c>
      <c r="C5917" s="17" t="s">
        <v>19</v>
      </c>
      <c r="D5917" s="47" t="s">
        <v>3380</v>
      </c>
      <c r="E5917" s="48">
        <v>12</v>
      </c>
      <c r="F5917" s="47" t="s">
        <v>252</v>
      </c>
      <c r="G5917" s="47" t="s">
        <v>39</v>
      </c>
      <c r="H5917" s="51"/>
      <c r="I5917" s="49">
        <v>11.64</v>
      </c>
      <c r="J5917" s="50">
        <f t="shared" si="181"/>
        <v>139.68</v>
      </c>
      <c r="K5917" s="106"/>
      <c r="L5917" s="114"/>
      <c r="M5917" s="114">
        <f>tblAquisições[[#This Row],[VALOR UNITARIO COMPRADO]]*tblAquisições[[#This Row],[QUANTIDADE COMPRADA]]</f>
        <v>0</v>
      </c>
      <c r="N5917" s="110">
        <f>K5917-tblAquisições[[#This Row],[QUANTIDADE PLANEJADA]]</f>
        <v>-12</v>
      </c>
      <c r="O5917" s="106" t="str">
        <f t="shared" si="182"/>
        <v>Faltando Comprar</v>
      </c>
    </row>
    <row r="5918" spans="1:15" ht="60">
      <c r="A5918" s="46" t="s">
        <v>3259</v>
      </c>
      <c r="B5918" s="46" t="s">
        <v>3260</v>
      </c>
      <c r="C5918" s="17" t="s">
        <v>19</v>
      </c>
      <c r="D5918" s="47" t="s">
        <v>3381</v>
      </c>
      <c r="E5918" s="48">
        <v>2</v>
      </c>
      <c r="F5918" s="47" t="s">
        <v>191</v>
      </c>
      <c r="G5918" s="47" t="s">
        <v>39</v>
      </c>
      <c r="H5918" s="48" t="s">
        <v>23</v>
      </c>
      <c r="I5918" s="49">
        <v>27.83</v>
      </c>
      <c r="J5918" s="50">
        <f t="shared" si="181"/>
        <v>55.66</v>
      </c>
      <c r="K5918" s="106"/>
      <c r="L5918" s="114"/>
      <c r="M5918" s="114">
        <f>tblAquisições[[#This Row],[VALOR UNITARIO COMPRADO]]*tblAquisições[[#This Row],[QUANTIDADE COMPRADA]]</f>
        <v>0</v>
      </c>
      <c r="N5918" s="110">
        <f>K5918-tblAquisições[[#This Row],[QUANTIDADE PLANEJADA]]</f>
        <v>-2</v>
      </c>
      <c r="O5918" s="106" t="str">
        <f t="shared" si="182"/>
        <v>Faltando Comprar</v>
      </c>
    </row>
    <row r="5919" spans="1:15" ht="60">
      <c r="A5919" s="46" t="s">
        <v>3259</v>
      </c>
      <c r="B5919" s="46" t="s">
        <v>3259</v>
      </c>
      <c r="C5919" s="17" t="s">
        <v>19</v>
      </c>
      <c r="D5919" s="47" t="s">
        <v>1984</v>
      </c>
      <c r="E5919" s="48">
        <v>2</v>
      </c>
      <c r="F5919" s="47" t="s">
        <v>191</v>
      </c>
      <c r="G5919" s="47" t="s">
        <v>39</v>
      </c>
      <c r="H5919" s="48" t="s">
        <v>65</v>
      </c>
      <c r="I5919" s="52">
        <v>147.93</v>
      </c>
      <c r="J5919" s="50">
        <f t="shared" si="181"/>
        <v>295.86</v>
      </c>
      <c r="K5919" s="106"/>
      <c r="L5919" s="114"/>
      <c r="M5919" s="114">
        <f>tblAquisições[[#This Row],[VALOR UNITARIO COMPRADO]]*tblAquisições[[#This Row],[QUANTIDADE COMPRADA]]</f>
        <v>0</v>
      </c>
      <c r="N5919" s="110">
        <f>K5919-tblAquisições[[#This Row],[QUANTIDADE PLANEJADA]]</f>
        <v>-2</v>
      </c>
      <c r="O5919" s="106" t="str">
        <f t="shared" si="182"/>
        <v>Faltando Comprar</v>
      </c>
    </row>
    <row r="5920" spans="1:15" ht="60">
      <c r="A5920" s="46" t="s">
        <v>3259</v>
      </c>
      <c r="B5920" s="46" t="s">
        <v>3263</v>
      </c>
      <c r="C5920" s="17" t="s">
        <v>19</v>
      </c>
      <c r="D5920" s="47" t="s">
        <v>1984</v>
      </c>
      <c r="E5920" s="48">
        <v>2</v>
      </c>
      <c r="F5920" s="47" t="s">
        <v>191</v>
      </c>
      <c r="G5920" s="47" t="s">
        <v>39</v>
      </c>
      <c r="H5920" s="51"/>
      <c r="I5920" s="49">
        <v>7.3</v>
      </c>
      <c r="J5920" s="50">
        <f t="shared" si="181"/>
        <v>14.6</v>
      </c>
      <c r="K5920" s="106"/>
      <c r="L5920" s="114"/>
      <c r="M5920" s="114">
        <f>tblAquisições[[#This Row],[VALOR UNITARIO COMPRADO]]*tblAquisições[[#This Row],[QUANTIDADE COMPRADA]]</f>
        <v>0</v>
      </c>
      <c r="N5920" s="110">
        <f>K5920-tblAquisições[[#This Row],[QUANTIDADE PLANEJADA]]</f>
        <v>-2</v>
      </c>
      <c r="O5920" s="106" t="str">
        <f t="shared" si="182"/>
        <v>Faltando Comprar</v>
      </c>
    </row>
    <row r="5921" spans="1:15" ht="60">
      <c r="A5921" s="46" t="s">
        <v>3259</v>
      </c>
      <c r="B5921" s="46" t="s">
        <v>3259</v>
      </c>
      <c r="C5921" s="17" t="s">
        <v>19</v>
      </c>
      <c r="D5921" s="47" t="s">
        <v>3382</v>
      </c>
      <c r="E5921" s="48">
        <v>50</v>
      </c>
      <c r="F5921" s="47" t="s">
        <v>191</v>
      </c>
      <c r="G5921" s="47" t="s">
        <v>39</v>
      </c>
      <c r="H5921" s="48" t="s">
        <v>23</v>
      </c>
      <c r="I5921" s="49">
        <v>3.26</v>
      </c>
      <c r="J5921" s="50">
        <f t="shared" si="181"/>
        <v>163</v>
      </c>
      <c r="K5921" s="106"/>
      <c r="L5921" s="114"/>
      <c r="M5921" s="114">
        <f>tblAquisições[[#This Row],[VALOR UNITARIO COMPRADO]]*tblAquisições[[#This Row],[QUANTIDADE COMPRADA]]</f>
        <v>0</v>
      </c>
      <c r="N5921" s="110">
        <f>K5921-tblAquisições[[#This Row],[QUANTIDADE PLANEJADA]]</f>
        <v>-50</v>
      </c>
      <c r="O5921" s="106" t="str">
        <f t="shared" si="182"/>
        <v>Faltando Comprar</v>
      </c>
    </row>
    <row r="5922" spans="1:15" ht="60">
      <c r="A5922" s="46" t="s">
        <v>3259</v>
      </c>
      <c r="B5922" s="46" t="s">
        <v>3263</v>
      </c>
      <c r="C5922" s="17" t="s">
        <v>19</v>
      </c>
      <c r="D5922" s="47" t="s">
        <v>3382</v>
      </c>
      <c r="E5922" s="48">
        <v>50</v>
      </c>
      <c r="F5922" s="47" t="s">
        <v>191</v>
      </c>
      <c r="G5922" s="47" t="s">
        <v>39</v>
      </c>
      <c r="H5922" s="51"/>
      <c r="I5922" s="49">
        <v>3.26</v>
      </c>
      <c r="J5922" s="50">
        <f t="shared" si="181"/>
        <v>163</v>
      </c>
      <c r="K5922" s="106"/>
      <c r="L5922" s="114"/>
      <c r="M5922" s="114">
        <f>tblAquisições[[#This Row],[VALOR UNITARIO COMPRADO]]*tblAquisições[[#This Row],[QUANTIDADE COMPRADA]]</f>
        <v>0</v>
      </c>
      <c r="N5922" s="110">
        <f>K5922-tblAquisições[[#This Row],[QUANTIDADE PLANEJADA]]</f>
        <v>-50</v>
      </c>
      <c r="O5922" s="106" t="str">
        <f t="shared" si="182"/>
        <v>Faltando Comprar</v>
      </c>
    </row>
    <row r="5923" spans="1:15" ht="60">
      <c r="A5923" s="46" t="s">
        <v>3259</v>
      </c>
      <c r="B5923" s="46" t="s">
        <v>3260</v>
      </c>
      <c r="C5923" s="17" t="s">
        <v>19</v>
      </c>
      <c r="D5923" s="47" t="s">
        <v>2825</v>
      </c>
      <c r="E5923" s="48">
        <v>2</v>
      </c>
      <c r="F5923" s="47" t="s">
        <v>191</v>
      </c>
      <c r="G5923" s="47" t="s">
        <v>39</v>
      </c>
      <c r="H5923" s="48" t="s">
        <v>23</v>
      </c>
      <c r="I5923" s="49">
        <v>14.44</v>
      </c>
      <c r="J5923" s="50">
        <f t="shared" si="181"/>
        <v>28.88</v>
      </c>
      <c r="K5923" s="106"/>
      <c r="L5923" s="114"/>
      <c r="M5923" s="114">
        <f>tblAquisições[[#This Row],[VALOR UNITARIO COMPRADO]]*tblAquisições[[#This Row],[QUANTIDADE COMPRADA]]</f>
        <v>0</v>
      </c>
      <c r="N5923" s="110">
        <f>K5923-tblAquisições[[#This Row],[QUANTIDADE PLANEJADA]]</f>
        <v>-2</v>
      </c>
      <c r="O5923" s="106" t="str">
        <f t="shared" si="182"/>
        <v>Faltando Comprar</v>
      </c>
    </row>
    <row r="5924" spans="1:15" ht="60">
      <c r="A5924" s="46" t="s">
        <v>3259</v>
      </c>
      <c r="B5924" s="46" t="s">
        <v>3267</v>
      </c>
      <c r="C5924" s="17" t="s">
        <v>19</v>
      </c>
      <c r="D5924" s="47" t="s">
        <v>2825</v>
      </c>
      <c r="E5924" s="48">
        <v>25</v>
      </c>
      <c r="F5924" s="47" t="s">
        <v>191</v>
      </c>
      <c r="G5924" s="47" t="s">
        <v>39</v>
      </c>
      <c r="H5924" s="51"/>
      <c r="I5924" s="49">
        <v>14.44</v>
      </c>
      <c r="J5924" s="50">
        <f t="shared" si="181"/>
        <v>361</v>
      </c>
      <c r="K5924" s="106"/>
      <c r="L5924" s="114"/>
      <c r="M5924" s="114">
        <f>tblAquisições[[#This Row],[VALOR UNITARIO COMPRADO]]*tblAquisições[[#This Row],[QUANTIDADE COMPRADA]]</f>
        <v>0</v>
      </c>
      <c r="N5924" s="110">
        <f>K5924-tblAquisições[[#This Row],[QUANTIDADE PLANEJADA]]</f>
        <v>-25</v>
      </c>
      <c r="O5924" s="106" t="str">
        <f t="shared" si="182"/>
        <v>Faltando Comprar</v>
      </c>
    </row>
    <row r="5925" spans="1:15" ht="45">
      <c r="A5925" s="46" t="s">
        <v>3259</v>
      </c>
      <c r="B5925" s="46" t="s">
        <v>3260</v>
      </c>
      <c r="C5925" s="17" t="s">
        <v>19</v>
      </c>
      <c r="D5925" s="47" t="s">
        <v>2012</v>
      </c>
      <c r="E5925" s="48">
        <v>100</v>
      </c>
      <c r="F5925" s="47" t="s">
        <v>38</v>
      </c>
      <c r="G5925" s="47" t="s">
        <v>39</v>
      </c>
      <c r="H5925" s="48" t="s">
        <v>23</v>
      </c>
      <c r="I5925" s="49">
        <v>6.44</v>
      </c>
      <c r="J5925" s="50">
        <f t="shared" si="181"/>
        <v>644</v>
      </c>
      <c r="K5925" s="106"/>
      <c r="L5925" s="114"/>
      <c r="M5925" s="114">
        <f>tblAquisições[[#This Row],[VALOR UNITARIO COMPRADO]]*tblAquisições[[#This Row],[QUANTIDADE COMPRADA]]</f>
        <v>0</v>
      </c>
      <c r="N5925" s="110">
        <f>K5925-tblAquisições[[#This Row],[QUANTIDADE PLANEJADA]]</f>
        <v>-100</v>
      </c>
      <c r="O5925" s="106" t="str">
        <f t="shared" si="182"/>
        <v>Faltando Comprar</v>
      </c>
    </row>
    <row r="5926" spans="1:15" ht="60">
      <c r="A5926" s="46" t="s">
        <v>3259</v>
      </c>
      <c r="B5926" s="46" t="s">
        <v>3259</v>
      </c>
      <c r="C5926" s="17" t="s">
        <v>19</v>
      </c>
      <c r="D5926" s="47" t="s">
        <v>3010</v>
      </c>
      <c r="E5926" s="48">
        <v>2</v>
      </c>
      <c r="F5926" s="47" t="s">
        <v>191</v>
      </c>
      <c r="G5926" s="47" t="s">
        <v>39</v>
      </c>
      <c r="H5926" s="48" t="s">
        <v>23</v>
      </c>
      <c r="I5926" s="49">
        <v>4.8</v>
      </c>
      <c r="J5926" s="50">
        <f t="shared" si="181"/>
        <v>9.6</v>
      </c>
      <c r="K5926" s="106"/>
      <c r="L5926" s="114"/>
      <c r="M5926" s="114">
        <f>tblAquisições[[#This Row],[VALOR UNITARIO COMPRADO]]*tblAquisições[[#This Row],[QUANTIDADE COMPRADA]]</f>
        <v>0</v>
      </c>
      <c r="N5926" s="110">
        <f>K5926-tblAquisições[[#This Row],[QUANTIDADE PLANEJADA]]</f>
        <v>-2</v>
      </c>
      <c r="O5926" s="106" t="str">
        <f t="shared" si="182"/>
        <v>Faltando Comprar</v>
      </c>
    </row>
    <row r="5927" spans="1:15" ht="60">
      <c r="A5927" s="46" t="s">
        <v>3259</v>
      </c>
      <c r="B5927" s="46" t="s">
        <v>3263</v>
      </c>
      <c r="C5927" s="17" t="s">
        <v>19</v>
      </c>
      <c r="D5927" s="47" t="s">
        <v>3010</v>
      </c>
      <c r="E5927" s="48">
        <v>25</v>
      </c>
      <c r="F5927" s="47" t="s">
        <v>191</v>
      </c>
      <c r="G5927" s="47" t="s">
        <v>39</v>
      </c>
      <c r="H5927" s="51"/>
      <c r="I5927" s="49">
        <v>4.8</v>
      </c>
      <c r="J5927" s="50">
        <f t="shared" si="181"/>
        <v>120</v>
      </c>
      <c r="K5927" s="106"/>
      <c r="L5927" s="114"/>
      <c r="M5927" s="114">
        <f>tblAquisições[[#This Row],[VALOR UNITARIO COMPRADO]]*tblAquisições[[#This Row],[QUANTIDADE COMPRADA]]</f>
        <v>0</v>
      </c>
      <c r="N5927" s="110">
        <f>K5927-tblAquisições[[#This Row],[QUANTIDADE PLANEJADA]]</f>
        <v>-25</v>
      </c>
      <c r="O5927" s="106" t="str">
        <f t="shared" si="182"/>
        <v>Faltando Comprar</v>
      </c>
    </row>
    <row r="5928" spans="1:15" ht="45">
      <c r="A5928" s="46" t="s">
        <v>3259</v>
      </c>
      <c r="B5928" s="46" t="s">
        <v>3259</v>
      </c>
      <c r="C5928" s="17" t="s">
        <v>19</v>
      </c>
      <c r="D5928" s="47" t="s">
        <v>3383</v>
      </c>
      <c r="E5928" s="48">
        <v>30</v>
      </c>
      <c r="F5928" s="47" t="s">
        <v>2865</v>
      </c>
      <c r="G5928" s="47" t="s">
        <v>39</v>
      </c>
      <c r="H5928" s="48" t="s">
        <v>23</v>
      </c>
      <c r="I5928" s="49">
        <v>77.849999999999994</v>
      </c>
      <c r="J5928" s="50">
        <f t="shared" si="181"/>
        <v>2335.5</v>
      </c>
      <c r="K5928" s="106"/>
      <c r="L5928" s="114"/>
      <c r="M5928" s="114">
        <f>tblAquisições[[#This Row],[VALOR UNITARIO COMPRADO]]*tblAquisições[[#This Row],[QUANTIDADE COMPRADA]]</f>
        <v>0</v>
      </c>
      <c r="N5928" s="110">
        <f>K5928-tblAquisições[[#This Row],[QUANTIDADE PLANEJADA]]</f>
        <v>-30</v>
      </c>
      <c r="O5928" s="106" t="str">
        <f t="shared" si="182"/>
        <v>Faltando Comprar</v>
      </c>
    </row>
    <row r="5929" spans="1:15" ht="45">
      <c r="A5929" s="46" t="s">
        <v>3259</v>
      </c>
      <c r="B5929" s="46" t="s">
        <v>3263</v>
      </c>
      <c r="C5929" s="17" t="s">
        <v>19</v>
      </c>
      <c r="D5929" s="47" t="s">
        <v>3383</v>
      </c>
      <c r="E5929" s="48">
        <v>50</v>
      </c>
      <c r="F5929" s="47" t="s">
        <v>2865</v>
      </c>
      <c r="G5929" s="47" t="s">
        <v>39</v>
      </c>
      <c r="H5929" s="51"/>
      <c r="I5929" s="49">
        <v>77.849999999999994</v>
      </c>
      <c r="J5929" s="50">
        <f t="shared" si="181"/>
        <v>3892.4999999999995</v>
      </c>
      <c r="K5929" s="106"/>
      <c r="L5929" s="114"/>
      <c r="M5929" s="114">
        <f>tblAquisições[[#This Row],[VALOR UNITARIO COMPRADO]]*tblAquisições[[#This Row],[QUANTIDADE COMPRADA]]</f>
        <v>0</v>
      </c>
      <c r="N5929" s="110">
        <f>K5929-tblAquisições[[#This Row],[QUANTIDADE PLANEJADA]]</f>
        <v>-50</v>
      </c>
      <c r="O5929" s="106" t="str">
        <f t="shared" si="182"/>
        <v>Faltando Comprar</v>
      </c>
    </row>
    <row r="5930" spans="1:15" ht="45">
      <c r="A5930" s="46" t="s">
        <v>3259</v>
      </c>
      <c r="B5930" s="46" t="s">
        <v>3259</v>
      </c>
      <c r="C5930" s="17" t="s">
        <v>19</v>
      </c>
      <c r="D5930" s="47" t="s">
        <v>3384</v>
      </c>
      <c r="E5930" s="48">
        <v>5</v>
      </c>
      <c r="F5930" s="47" t="s">
        <v>82</v>
      </c>
      <c r="G5930" s="47" t="s">
        <v>39</v>
      </c>
      <c r="H5930" s="48" t="s">
        <v>23</v>
      </c>
      <c r="I5930" s="49">
        <v>34.79</v>
      </c>
      <c r="J5930" s="50">
        <f t="shared" si="181"/>
        <v>173.95</v>
      </c>
      <c r="K5930" s="106"/>
      <c r="L5930" s="114"/>
      <c r="M5930" s="114">
        <f>tblAquisições[[#This Row],[VALOR UNITARIO COMPRADO]]*tblAquisições[[#This Row],[QUANTIDADE COMPRADA]]</f>
        <v>0</v>
      </c>
      <c r="N5930" s="110">
        <f>K5930-tblAquisições[[#This Row],[QUANTIDADE PLANEJADA]]</f>
        <v>-5</v>
      </c>
      <c r="O5930" s="106" t="str">
        <f t="shared" si="182"/>
        <v>Faltando Comprar</v>
      </c>
    </row>
    <row r="5931" spans="1:15" ht="45">
      <c r="A5931" s="46" t="s">
        <v>3259</v>
      </c>
      <c r="B5931" s="46" t="s">
        <v>3263</v>
      </c>
      <c r="C5931" s="17" t="s">
        <v>19</v>
      </c>
      <c r="D5931" s="47" t="s">
        <v>3384</v>
      </c>
      <c r="E5931" s="48">
        <v>30</v>
      </c>
      <c r="F5931" s="47" t="s">
        <v>82</v>
      </c>
      <c r="G5931" s="47" t="s">
        <v>39</v>
      </c>
      <c r="H5931" s="51"/>
      <c r="I5931" s="49">
        <v>34.79</v>
      </c>
      <c r="J5931" s="50">
        <f t="shared" si="181"/>
        <v>1043.7</v>
      </c>
      <c r="K5931" s="106"/>
      <c r="L5931" s="114"/>
      <c r="M5931" s="114">
        <f>tblAquisições[[#This Row],[VALOR UNITARIO COMPRADO]]*tblAquisições[[#This Row],[QUANTIDADE COMPRADA]]</f>
        <v>0</v>
      </c>
      <c r="N5931" s="110">
        <f>K5931-tblAquisições[[#This Row],[QUANTIDADE PLANEJADA]]</f>
        <v>-30</v>
      </c>
      <c r="O5931" s="106" t="str">
        <f t="shared" si="182"/>
        <v>Faltando Comprar</v>
      </c>
    </row>
    <row r="5932" spans="1:15" ht="75">
      <c r="A5932" s="46" t="s">
        <v>3259</v>
      </c>
      <c r="B5932" s="46" t="s">
        <v>3260</v>
      </c>
      <c r="C5932" s="17" t="s">
        <v>19</v>
      </c>
      <c r="D5932" s="47" t="s">
        <v>3385</v>
      </c>
      <c r="E5932" s="48">
        <v>1</v>
      </c>
      <c r="F5932" s="47" t="s">
        <v>3019</v>
      </c>
      <c r="G5932" s="47" t="s">
        <v>39</v>
      </c>
      <c r="H5932" s="48" t="s">
        <v>23</v>
      </c>
      <c r="I5932" s="49">
        <v>513.97</v>
      </c>
      <c r="J5932" s="50">
        <f t="shared" si="181"/>
        <v>513.97</v>
      </c>
      <c r="K5932" s="106"/>
      <c r="L5932" s="114"/>
      <c r="M5932" s="114">
        <f>tblAquisições[[#This Row],[VALOR UNITARIO COMPRADO]]*tblAquisições[[#This Row],[QUANTIDADE COMPRADA]]</f>
        <v>0</v>
      </c>
      <c r="N5932" s="110">
        <f>K5932-tblAquisições[[#This Row],[QUANTIDADE PLANEJADA]]</f>
        <v>-1</v>
      </c>
      <c r="O5932" s="106" t="str">
        <f t="shared" si="182"/>
        <v>Faltando Comprar</v>
      </c>
    </row>
    <row r="5933" spans="1:15" ht="45">
      <c r="A5933" s="46" t="s">
        <v>3259</v>
      </c>
      <c r="B5933" s="46" t="s">
        <v>3259</v>
      </c>
      <c r="C5933" s="17" t="s">
        <v>19</v>
      </c>
      <c r="D5933" s="47" t="s">
        <v>3386</v>
      </c>
      <c r="E5933" s="48">
        <v>2</v>
      </c>
      <c r="F5933" s="47" t="s">
        <v>147</v>
      </c>
      <c r="G5933" s="47" t="s">
        <v>39</v>
      </c>
      <c r="H5933" s="48" t="s">
        <v>23</v>
      </c>
      <c r="I5933" s="49">
        <v>68.77</v>
      </c>
      <c r="J5933" s="50">
        <f t="shared" si="181"/>
        <v>137.54</v>
      </c>
      <c r="K5933" s="106"/>
      <c r="L5933" s="114"/>
      <c r="M5933" s="114">
        <f>tblAquisições[[#This Row],[VALOR UNITARIO COMPRADO]]*tblAquisições[[#This Row],[QUANTIDADE COMPRADA]]</f>
        <v>0</v>
      </c>
      <c r="N5933" s="110">
        <f>K5933-tblAquisições[[#This Row],[QUANTIDADE PLANEJADA]]</f>
        <v>-2</v>
      </c>
      <c r="O5933" s="106" t="str">
        <f t="shared" si="182"/>
        <v>Faltando Comprar</v>
      </c>
    </row>
    <row r="5934" spans="1:15" ht="45">
      <c r="A5934" s="46" t="s">
        <v>3259</v>
      </c>
      <c r="B5934" s="46" t="s">
        <v>3263</v>
      </c>
      <c r="C5934" s="17" t="s">
        <v>19</v>
      </c>
      <c r="D5934" s="47" t="s">
        <v>3386</v>
      </c>
      <c r="E5934" s="48">
        <v>20</v>
      </c>
      <c r="F5934" s="47" t="s">
        <v>147</v>
      </c>
      <c r="G5934" s="47" t="s">
        <v>39</v>
      </c>
      <c r="H5934" s="51"/>
      <c r="I5934" s="49">
        <v>68.77</v>
      </c>
      <c r="J5934" s="50">
        <f t="shared" si="181"/>
        <v>1375.3999999999999</v>
      </c>
      <c r="K5934" s="106"/>
      <c r="L5934" s="114"/>
      <c r="M5934" s="114">
        <f>tblAquisições[[#This Row],[VALOR UNITARIO COMPRADO]]*tblAquisições[[#This Row],[QUANTIDADE COMPRADA]]</f>
        <v>0</v>
      </c>
      <c r="N5934" s="110">
        <f>K5934-tblAquisições[[#This Row],[QUANTIDADE PLANEJADA]]</f>
        <v>-20</v>
      </c>
      <c r="O5934" s="106" t="str">
        <f t="shared" si="182"/>
        <v>Faltando Comprar</v>
      </c>
    </row>
    <row r="5935" spans="1:15" ht="45">
      <c r="A5935" s="46" t="s">
        <v>3259</v>
      </c>
      <c r="B5935" s="46" t="s">
        <v>3260</v>
      </c>
      <c r="C5935" s="17" t="s">
        <v>19</v>
      </c>
      <c r="D5935" s="47" t="s">
        <v>3387</v>
      </c>
      <c r="E5935" s="48">
        <v>30</v>
      </c>
      <c r="F5935" s="47" t="s">
        <v>38</v>
      </c>
      <c r="G5935" s="47" t="s">
        <v>39</v>
      </c>
      <c r="H5935" s="48" t="s">
        <v>23</v>
      </c>
      <c r="I5935" s="49">
        <v>6.31</v>
      </c>
      <c r="J5935" s="50">
        <f t="shared" si="181"/>
        <v>189.29999999999998</v>
      </c>
      <c r="K5935" s="106"/>
      <c r="L5935" s="114"/>
      <c r="M5935" s="114">
        <f>tblAquisições[[#This Row],[VALOR UNITARIO COMPRADO]]*tblAquisições[[#This Row],[QUANTIDADE COMPRADA]]</f>
        <v>0</v>
      </c>
      <c r="N5935" s="110">
        <f>K5935-tblAquisições[[#This Row],[QUANTIDADE PLANEJADA]]</f>
        <v>-30</v>
      </c>
      <c r="O5935" s="106" t="str">
        <f t="shared" si="182"/>
        <v>Faltando Comprar</v>
      </c>
    </row>
    <row r="5936" spans="1:15" ht="45">
      <c r="A5936" s="46" t="s">
        <v>3259</v>
      </c>
      <c r="B5936" s="46" t="s">
        <v>3259</v>
      </c>
      <c r="C5936" s="17" t="s">
        <v>19</v>
      </c>
      <c r="D5936" s="47" t="s">
        <v>3388</v>
      </c>
      <c r="E5936" s="48">
        <v>8</v>
      </c>
      <c r="F5936" s="47" t="s">
        <v>147</v>
      </c>
      <c r="G5936" s="47" t="s">
        <v>39</v>
      </c>
      <c r="H5936" s="48" t="s">
        <v>23</v>
      </c>
      <c r="I5936" s="49">
        <v>22.97</v>
      </c>
      <c r="J5936" s="50">
        <f t="shared" si="181"/>
        <v>183.76</v>
      </c>
      <c r="K5936" s="106"/>
      <c r="L5936" s="114"/>
      <c r="M5936" s="114">
        <f>tblAquisições[[#This Row],[VALOR UNITARIO COMPRADO]]*tblAquisições[[#This Row],[QUANTIDADE COMPRADA]]</f>
        <v>0</v>
      </c>
      <c r="N5936" s="110">
        <f>K5936-tblAquisições[[#This Row],[QUANTIDADE PLANEJADA]]</f>
        <v>-8</v>
      </c>
      <c r="O5936" s="106" t="str">
        <f t="shared" si="182"/>
        <v>Faltando Comprar</v>
      </c>
    </row>
    <row r="5937" spans="1:15" ht="60">
      <c r="A5937" s="46" t="s">
        <v>3259</v>
      </c>
      <c r="B5937" s="46" t="s">
        <v>3259</v>
      </c>
      <c r="C5937" s="17" t="s">
        <v>19</v>
      </c>
      <c r="D5937" s="47" t="s">
        <v>3389</v>
      </c>
      <c r="E5937" s="48">
        <v>160</v>
      </c>
      <c r="F5937" s="47" t="s">
        <v>191</v>
      </c>
      <c r="G5937" s="47" t="s">
        <v>39</v>
      </c>
      <c r="H5937" s="48" t="s">
        <v>23</v>
      </c>
      <c r="I5937" s="49">
        <v>18</v>
      </c>
      <c r="J5937" s="50">
        <f t="shared" si="181"/>
        <v>2880</v>
      </c>
      <c r="K5937" s="106"/>
      <c r="L5937" s="114"/>
      <c r="M5937" s="114">
        <f>tblAquisições[[#This Row],[VALOR UNITARIO COMPRADO]]*tblAquisições[[#This Row],[QUANTIDADE COMPRADA]]</f>
        <v>0</v>
      </c>
      <c r="N5937" s="110">
        <f>K5937-tblAquisições[[#This Row],[QUANTIDADE PLANEJADA]]</f>
        <v>-160</v>
      </c>
      <c r="O5937" s="106" t="str">
        <f t="shared" si="182"/>
        <v>Faltando Comprar</v>
      </c>
    </row>
    <row r="5938" spans="1:15" ht="60">
      <c r="A5938" s="46" t="s">
        <v>3259</v>
      </c>
      <c r="B5938" s="46" t="s">
        <v>3263</v>
      </c>
      <c r="C5938" s="17" t="s">
        <v>19</v>
      </c>
      <c r="D5938" s="47" t="s">
        <v>3389</v>
      </c>
      <c r="E5938" s="48">
        <v>350</v>
      </c>
      <c r="F5938" s="47" t="s">
        <v>191</v>
      </c>
      <c r="G5938" s="47" t="s">
        <v>39</v>
      </c>
      <c r="H5938" s="51"/>
      <c r="I5938" s="49">
        <v>18</v>
      </c>
      <c r="J5938" s="50">
        <f t="shared" si="181"/>
        <v>6300</v>
      </c>
      <c r="K5938" s="106"/>
      <c r="L5938" s="114"/>
      <c r="M5938" s="114">
        <f>tblAquisições[[#This Row],[VALOR UNITARIO COMPRADO]]*tblAquisições[[#This Row],[QUANTIDADE COMPRADA]]</f>
        <v>0</v>
      </c>
      <c r="N5938" s="110">
        <f>K5938-tblAquisições[[#This Row],[QUANTIDADE PLANEJADA]]</f>
        <v>-350</v>
      </c>
      <c r="O5938" s="106" t="str">
        <f t="shared" si="182"/>
        <v>Faltando Comprar</v>
      </c>
    </row>
    <row r="5939" spans="1:15" ht="60">
      <c r="A5939" s="46" t="s">
        <v>3259</v>
      </c>
      <c r="B5939" s="46" t="s">
        <v>3259</v>
      </c>
      <c r="C5939" s="17" t="s">
        <v>19</v>
      </c>
      <c r="D5939" s="47" t="s">
        <v>3390</v>
      </c>
      <c r="E5939" s="48">
        <v>100</v>
      </c>
      <c r="F5939" s="47" t="s">
        <v>191</v>
      </c>
      <c r="G5939" s="47" t="s">
        <v>39</v>
      </c>
      <c r="H5939" s="48" t="s">
        <v>23</v>
      </c>
      <c r="I5939" s="49">
        <v>22.65</v>
      </c>
      <c r="J5939" s="50">
        <f t="shared" ref="J5939:J6002" si="183">E5939*I5939</f>
        <v>2265</v>
      </c>
      <c r="K5939" s="106"/>
      <c r="L5939" s="114"/>
      <c r="M5939" s="114">
        <f>tblAquisições[[#This Row],[VALOR UNITARIO COMPRADO]]*tblAquisições[[#This Row],[QUANTIDADE COMPRADA]]</f>
        <v>0</v>
      </c>
      <c r="N5939" s="110">
        <f>K5939-tblAquisições[[#This Row],[QUANTIDADE PLANEJADA]]</f>
        <v>-100</v>
      </c>
      <c r="O5939" s="106" t="str">
        <f t="shared" si="182"/>
        <v>Faltando Comprar</v>
      </c>
    </row>
    <row r="5940" spans="1:15" ht="60">
      <c r="A5940" s="46" t="s">
        <v>3259</v>
      </c>
      <c r="B5940" s="46" t="s">
        <v>3263</v>
      </c>
      <c r="C5940" s="17" t="s">
        <v>19</v>
      </c>
      <c r="D5940" s="47" t="s">
        <v>3390</v>
      </c>
      <c r="E5940" s="48">
        <v>400</v>
      </c>
      <c r="F5940" s="47" t="s">
        <v>191</v>
      </c>
      <c r="G5940" s="47" t="s">
        <v>39</v>
      </c>
      <c r="H5940" s="51"/>
      <c r="I5940" s="49">
        <v>22.65</v>
      </c>
      <c r="J5940" s="50">
        <f t="shared" si="183"/>
        <v>9060</v>
      </c>
      <c r="K5940" s="106"/>
      <c r="L5940" s="114"/>
      <c r="M5940" s="114">
        <f>tblAquisições[[#This Row],[VALOR UNITARIO COMPRADO]]*tblAquisições[[#This Row],[QUANTIDADE COMPRADA]]</f>
        <v>0</v>
      </c>
      <c r="N5940" s="110">
        <f>K5940-tblAquisições[[#This Row],[QUANTIDADE PLANEJADA]]</f>
        <v>-400</v>
      </c>
      <c r="O5940" s="106" t="str">
        <f t="shared" si="182"/>
        <v>Faltando Comprar</v>
      </c>
    </row>
    <row r="5941" spans="1:15" ht="60">
      <c r="A5941" s="46" t="s">
        <v>3259</v>
      </c>
      <c r="B5941" s="46" t="s">
        <v>3259</v>
      </c>
      <c r="C5941" s="17" t="s">
        <v>19</v>
      </c>
      <c r="D5941" s="47" t="s">
        <v>3391</v>
      </c>
      <c r="E5941" s="48">
        <v>200</v>
      </c>
      <c r="F5941" s="47" t="s">
        <v>191</v>
      </c>
      <c r="G5941" s="47" t="s">
        <v>39</v>
      </c>
      <c r="H5941" s="48" t="s">
        <v>23</v>
      </c>
      <c r="I5941" s="49">
        <v>9</v>
      </c>
      <c r="J5941" s="50">
        <f t="shared" si="183"/>
        <v>1800</v>
      </c>
      <c r="K5941" s="106"/>
      <c r="L5941" s="114"/>
      <c r="M5941" s="114">
        <f>tblAquisições[[#This Row],[VALOR UNITARIO COMPRADO]]*tblAquisições[[#This Row],[QUANTIDADE COMPRADA]]</f>
        <v>0</v>
      </c>
      <c r="N5941" s="110">
        <f>K5941-tblAquisições[[#This Row],[QUANTIDADE PLANEJADA]]</f>
        <v>-200</v>
      </c>
      <c r="O5941" s="106" t="str">
        <f t="shared" si="182"/>
        <v>Faltando Comprar</v>
      </c>
    </row>
    <row r="5942" spans="1:15" ht="60">
      <c r="A5942" s="46" t="s">
        <v>3259</v>
      </c>
      <c r="B5942" s="46" t="s">
        <v>3263</v>
      </c>
      <c r="C5942" s="17" t="s">
        <v>19</v>
      </c>
      <c r="D5942" s="47" t="s">
        <v>3391</v>
      </c>
      <c r="E5942" s="48">
        <v>300</v>
      </c>
      <c r="F5942" s="47" t="s">
        <v>191</v>
      </c>
      <c r="G5942" s="47" t="s">
        <v>39</v>
      </c>
      <c r="H5942" s="51"/>
      <c r="I5942" s="49">
        <v>9</v>
      </c>
      <c r="J5942" s="50">
        <f t="shared" si="183"/>
        <v>2700</v>
      </c>
      <c r="K5942" s="106"/>
      <c r="L5942" s="114"/>
      <c r="M5942" s="114">
        <f>tblAquisições[[#This Row],[VALOR UNITARIO COMPRADO]]*tblAquisições[[#This Row],[QUANTIDADE COMPRADA]]</f>
        <v>0</v>
      </c>
      <c r="N5942" s="110">
        <f>K5942-tblAquisições[[#This Row],[QUANTIDADE PLANEJADA]]</f>
        <v>-300</v>
      </c>
      <c r="O5942" s="106" t="str">
        <f t="shared" si="182"/>
        <v>Faltando Comprar</v>
      </c>
    </row>
    <row r="5943" spans="1:15" ht="60">
      <c r="A5943" s="46" t="s">
        <v>3259</v>
      </c>
      <c r="B5943" s="46" t="s">
        <v>3259</v>
      </c>
      <c r="C5943" s="17" t="s">
        <v>19</v>
      </c>
      <c r="D5943" s="47" t="s">
        <v>3392</v>
      </c>
      <c r="E5943" s="48">
        <v>5</v>
      </c>
      <c r="F5943" s="47" t="s">
        <v>2802</v>
      </c>
      <c r="G5943" s="47" t="s">
        <v>775</v>
      </c>
      <c r="H5943" s="48" t="s">
        <v>23</v>
      </c>
      <c r="I5943" s="49">
        <v>463.94</v>
      </c>
      <c r="J5943" s="50">
        <f t="shared" si="183"/>
        <v>2319.6999999999998</v>
      </c>
      <c r="K5943" s="106"/>
      <c r="L5943" s="114"/>
      <c r="M5943" s="114">
        <f>tblAquisições[[#This Row],[VALOR UNITARIO COMPRADO]]*tblAquisições[[#This Row],[QUANTIDADE COMPRADA]]</f>
        <v>0</v>
      </c>
      <c r="N5943" s="110">
        <f>K5943-tblAquisições[[#This Row],[QUANTIDADE PLANEJADA]]</f>
        <v>-5</v>
      </c>
      <c r="O5943" s="106" t="str">
        <f t="shared" si="182"/>
        <v>Faltando Comprar</v>
      </c>
    </row>
    <row r="5944" spans="1:15" ht="60">
      <c r="A5944" s="46" t="s">
        <v>3259</v>
      </c>
      <c r="B5944" s="46" t="s">
        <v>3263</v>
      </c>
      <c r="C5944" s="17" t="s">
        <v>19</v>
      </c>
      <c r="D5944" s="47" t="s">
        <v>3392</v>
      </c>
      <c r="E5944" s="48">
        <v>30</v>
      </c>
      <c r="F5944" s="47" t="s">
        <v>2802</v>
      </c>
      <c r="G5944" s="47" t="s">
        <v>775</v>
      </c>
      <c r="H5944" s="51"/>
      <c r="I5944" s="49">
        <v>463.94</v>
      </c>
      <c r="J5944" s="50">
        <f t="shared" si="183"/>
        <v>13918.2</v>
      </c>
      <c r="K5944" s="106"/>
      <c r="L5944" s="114"/>
      <c r="M5944" s="114">
        <f>tblAquisições[[#This Row],[VALOR UNITARIO COMPRADO]]*tblAquisições[[#This Row],[QUANTIDADE COMPRADA]]</f>
        <v>0</v>
      </c>
      <c r="N5944" s="110">
        <f>K5944-tblAquisições[[#This Row],[QUANTIDADE PLANEJADA]]</f>
        <v>-30</v>
      </c>
      <c r="O5944" s="106" t="str">
        <f t="shared" si="182"/>
        <v>Faltando Comprar</v>
      </c>
    </row>
    <row r="5945" spans="1:15" ht="45">
      <c r="A5945" s="46" t="s">
        <v>3259</v>
      </c>
      <c r="B5945" s="46" t="s">
        <v>3260</v>
      </c>
      <c r="C5945" s="17" t="s">
        <v>19</v>
      </c>
      <c r="D5945" s="47" t="s">
        <v>3393</v>
      </c>
      <c r="E5945" s="48">
        <v>5</v>
      </c>
      <c r="F5945" s="47" t="s">
        <v>468</v>
      </c>
      <c r="G5945" s="47" t="s">
        <v>39</v>
      </c>
      <c r="H5945" s="48" t="s">
        <v>23</v>
      </c>
      <c r="I5945" s="49">
        <v>66.86</v>
      </c>
      <c r="J5945" s="50">
        <f t="shared" si="183"/>
        <v>334.3</v>
      </c>
      <c r="K5945" s="106"/>
      <c r="L5945" s="114"/>
      <c r="M5945" s="114">
        <f>tblAquisições[[#This Row],[VALOR UNITARIO COMPRADO]]*tblAquisições[[#This Row],[QUANTIDADE COMPRADA]]</f>
        <v>0</v>
      </c>
      <c r="N5945" s="110">
        <f>K5945-tblAquisições[[#This Row],[QUANTIDADE PLANEJADA]]</f>
        <v>-5</v>
      </c>
      <c r="O5945" s="106" t="str">
        <f t="shared" si="182"/>
        <v>Faltando Comprar</v>
      </c>
    </row>
    <row r="5946" spans="1:15" ht="60">
      <c r="A5946" s="46" t="s">
        <v>3259</v>
      </c>
      <c r="B5946" s="46" t="s">
        <v>3267</v>
      </c>
      <c r="C5946" s="17" t="s">
        <v>19</v>
      </c>
      <c r="D5946" s="47" t="s">
        <v>3394</v>
      </c>
      <c r="E5946" s="48">
        <v>1</v>
      </c>
      <c r="F5946" s="47" t="s">
        <v>191</v>
      </c>
      <c r="G5946" s="47" t="s">
        <v>39</v>
      </c>
      <c r="H5946" s="48" t="s">
        <v>23</v>
      </c>
      <c r="I5946" s="49">
        <v>69.31</v>
      </c>
      <c r="J5946" s="50">
        <f t="shared" si="183"/>
        <v>69.31</v>
      </c>
      <c r="K5946" s="106"/>
      <c r="L5946" s="114"/>
      <c r="M5946" s="114">
        <f>tblAquisições[[#This Row],[VALOR UNITARIO COMPRADO]]*tblAquisições[[#This Row],[QUANTIDADE COMPRADA]]</f>
        <v>0</v>
      </c>
      <c r="N5946" s="110">
        <f>K5946-tblAquisições[[#This Row],[QUANTIDADE PLANEJADA]]</f>
        <v>-1</v>
      </c>
      <c r="O5946" s="106" t="str">
        <f t="shared" si="182"/>
        <v>Faltando Comprar</v>
      </c>
    </row>
    <row r="5947" spans="1:15" ht="45">
      <c r="A5947" s="46" t="s">
        <v>3259</v>
      </c>
      <c r="B5947" s="46" t="s">
        <v>3259</v>
      </c>
      <c r="C5947" s="17" t="s">
        <v>19</v>
      </c>
      <c r="D5947" s="47" t="s">
        <v>3395</v>
      </c>
      <c r="E5947" s="48">
        <v>1</v>
      </c>
      <c r="F5947" s="47" t="s">
        <v>147</v>
      </c>
      <c r="G5947" s="47" t="s">
        <v>39</v>
      </c>
      <c r="H5947" s="48" t="s">
        <v>65</v>
      </c>
      <c r="I5947" s="52">
        <v>5.77</v>
      </c>
      <c r="J5947" s="50">
        <f t="shared" si="183"/>
        <v>5.77</v>
      </c>
      <c r="K5947" s="106"/>
      <c r="L5947" s="114"/>
      <c r="M5947" s="114">
        <f>tblAquisições[[#This Row],[VALOR UNITARIO COMPRADO]]*tblAquisições[[#This Row],[QUANTIDADE COMPRADA]]</f>
        <v>0</v>
      </c>
      <c r="N5947" s="110">
        <f>K5947-tblAquisições[[#This Row],[QUANTIDADE PLANEJADA]]</f>
        <v>-1</v>
      </c>
      <c r="O5947" s="106" t="str">
        <f t="shared" si="182"/>
        <v>Faltando Comprar</v>
      </c>
    </row>
    <row r="5948" spans="1:15" ht="45">
      <c r="A5948" s="46" t="s">
        <v>3259</v>
      </c>
      <c r="B5948" s="46" t="s">
        <v>3263</v>
      </c>
      <c r="C5948" s="17" t="s">
        <v>19</v>
      </c>
      <c r="D5948" s="47" t="s">
        <v>3395</v>
      </c>
      <c r="E5948" s="48">
        <v>5</v>
      </c>
      <c r="F5948" s="47" t="s">
        <v>147</v>
      </c>
      <c r="G5948" s="47" t="s">
        <v>39</v>
      </c>
      <c r="H5948" s="51"/>
      <c r="I5948" s="49">
        <v>4.05</v>
      </c>
      <c r="J5948" s="50">
        <f t="shared" si="183"/>
        <v>20.25</v>
      </c>
      <c r="K5948" s="106"/>
      <c r="L5948" s="114"/>
      <c r="M5948" s="114">
        <f>tblAquisições[[#This Row],[VALOR UNITARIO COMPRADO]]*tblAquisições[[#This Row],[QUANTIDADE COMPRADA]]</f>
        <v>0</v>
      </c>
      <c r="N5948" s="110">
        <f>K5948-tblAquisições[[#This Row],[QUANTIDADE PLANEJADA]]</f>
        <v>-5</v>
      </c>
      <c r="O5948" s="106" t="str">
        <f t="shared" si="182"/>
        <v>Faltando Comprar</v>
      </c>
    </row>
    <row r="5949" spans="1:15" ht="60">
      <c r="A5949" s="46" t="s">
        <v>3259</v>
      </c>
      <c r="B5949" s="46" t="s">
        <v>3260</v>
      </c>
      <c r="C5949" s="17" t="s">
        <v>19</v>
      </c>
      <c r="D5949" s="47" t="s">
        <v>2137</v>
      </c>
      <c r="E5949" s="48">
        <v>10</v>
      </c>
      <c r="F5949" s="47" t="s">
        <v>217</v>
      </c>
      <c r="G5949" s="47" t="s">
        <v>39</v>
      </c>
      <c r="H5949" s="48" t="s">
        <v>23</v>
      </c>
      <c r="I5949" s="49">
        <v>31.26</v>
      </c>
      <c r="J5949" s="50">
        <f t="shared" si="183"/>
        <v>312.60000000000002</v>
      </c>
      <c r="K5949" s="106"/>
      <c r="L5949" s="114"/>
      <c r="M5949" s="114">
        <f>tblAquisições[[#This Row],[VALOR UNITARIO COMPRADO]]*tblAquisições[[#This Row],[QUANTIDADE COMPRADA]]</f>
        <v>0</v>
      </c>
      <c r="N5949" s="110">
        <f>K5949-tblAquisições[[#This Row],[QUANTIDADE PLANEJADA]]</f>
        <v>-10</v>
      </c>
      <c r="O5949" s="106" t="str">
        <f t="shared" si="182"/>
        <v>Faltando Comprar</v>
      </c>
    </row>
    <row r="5950" spans="1:15" ht="45">
      <c r="A5950" s="46" t="s">
        <v>3259</v>
      </c>
      <c r="B5950" s="46" t="s">
        <v>3259</v>
      </c>
      <c r="C5950" s="17" t="s">
        <v>19</v>
      </c>
      <c r="D5950" s="47" t="s">
        <v>2828</v>
      </c>
      <c r="E5950" s="48">
        <v>7</v>
      </c>
      <c r="F5950" s="47" t="s">
        <v>252</v>
      </c>
      <c r="G5950" s="47" t="s">
        <v>39</v>
      </c>
      <c r="H5950" s="48" t="s">
        <v>100</v>
      </c>
      <c r="I5950" s="49">
        <v>4.93</v>
      </c>
      <c r="J5950" s="50">
        <f t="shared" si="183"/>
        <v>34.51</v>
      </c>
      <c r="K5950" s="106"/>
      <c r="L5950" s="114"/>
      <c r="M5950" s="114">
        <f>tblAquisições[[#This Row],[VALOR UNITARIO COMPRADO]]*tblAquisições[[#This Row],[QUANTIDADE COMPRADA]]</f>
        <v>0</v>
      </c>
      <c r="N5950" s="110">
        <f>K5950-tblAquisições[[#This Row],[QUANTIDADE PLANEJADA]]</f>
        <v>-7</v>
      </c>
      <c r="O5950" s="106" t="str">
        <f t="shared" si="182"/>
        <v>Faltando Comprar</v>
      </c>
    </row>
    <row r="5951" spans="1:15" ht="45">
      <c r="A5951" s="46" t="s">
        <v>3259</v>
      </c>
      <c r="B5951" s="46" t="s">
        <v>3263</v>
      </c>
      <c r="C5951" s="17" t="s">
        <v>19</v>
      </c>
      <c r="D5951" s="47" t="s">
        <v>2828</v>
      </c>
      <c r="E5951" s="48">
        <v>36</v>
      </c>
      <c r="F5951" s="47" t="s">
        <v>252</v>
      </c>
      <c r="G5951" s="47" t="s">
        <v>39</v>
      </c>
      <c r="H5951" s="51"/>
      <c r="I5951" s="49">
        <v>4.93</v>
      </c>
      <c r="J5951" s="50">
        <f t="shared" si="183"/>
        <v>177.48</v>
      </c>
      <c r="K5951" s="106"/>
      <c r="L5951" s="114"/>
      <c r="M5951" s="114">
        <f>tblAquisições[[#This Row],[VALOR UNITARIO COMPRADO]]*tblAquisições[[#This Row],[QUANTIDADE COMPRADA]]</f>
        <v>0</v>
      </c>
      <c r="N5951" s="110">
        <f>K5951-tblAquisições[[#This Row],[QUANTIDADE PLANEJADA]]</f>
        <v>-36</v>
      </c>
      <c r="O5951" s="106" t="str">
        <f t="shared" si="182"/>
        <v>Faltando Comprar</v>
      </c>
    </row>
    <row r="5952" spans="1:15" ht="60">
      <c r="A5952" s="46" t="s">
        <v>3259</v>
      </c>
      <c r="B5952" s="46" t="s">
        <v>3259</v>
      </c>
      <c r="C5952" s="17" t="s">
        <v>19</v>
      </c>
      <c r="D5952" s="47" t="s">
        <v>3396</v>
      </c>
      <c r="E5952" s="48">
        <v>3</v>
      </c>
      <c r="F5952" s="47" t="s">
        <v>191</v>
      </c>
      <c r="G5952" s="47" t="s">
        <v>39</v>
      </c>
      <c r="H5952" s="48" t="s">
        <v>23</v>
      </c>
      <c r="I5952" s="49">
        <v>18.3</v>
      </c>
      <c r="J5952" s="50">
        <f t="shared" si="183"/>
        <v>54.900000000000006</v>
      </c>
      <c r="K5952" s="106"/>
      <c r="L5952" s="114"/>
      <c r="M5952" s="114">
        <f>tblAquisições[[#This Row],[VALOR UNITARIO COMPRADO]]*tblAquisições[[#This Row],[QUANTIDADE COMPRADA]]</f>
        <v>0</v>
      </c>
      <c r="N5952" s="110">
        <f>K5952-tblAquisições[[#This Row],[QUANTIDADE PLANEJADA]]</f>
        <v>-3</v>
      </c>
      <c r="O5952" s="106" t="str">
        <f t="shared" si="182"/>
        <v>Faltando Comprar</v>
      </c>
    </row>
    <row r="5953" spans="1:15" ht="60">
      <c r="A5953" s="46" t="s">
        <v>3259</v>
      </c>
      <c r="B5953" s="46" t="s">
        <v>3263</v>
      </c>
      <c r="C5953" s="17" t="s">
        <v>19</v>
      </c>
      <c r="D5953" s="47" t="s">
        <v>3396</v>
      </c>
      <c r="E5953" s="48">
        <v>5</v>
      </c>
      <c r="F5953" s="47" t="s">
        <v>191</v>
      </c>
      <c r="G5953" s="47" t="s">
        <v>39</v>
      </c>
      <c r="H5953" s="51"/>
      <c r="I5953" s="49">
        <v>18.3</v>
      </c>
      <c r="J5953" s="50">
        <f t="shared" si="183"/>
        <v>91.5</v>
      </c>
      <c r="K5953" s="106"/>
      <c r="L5953" s="114"/>
      <c r="M5953" s="114">
        <f>tblAquisições[[#This Row],[VALOR UNITARIO COMPRADO]]*tblAquisições[[#This Row],[QUANTIDADE COMPRADA]]</f>
        <v>0</v>
      </c>
      <c r="N5953" s="110">
        <f>K5953-tblAquisições[[#This Row],[QUANTIDADE PLANEJADA]]</f>
        <v>-5</v>
      </c>
      <c r="O5953" s="106" t="str">
        <f t="shared" si="182"/>
        <v>Faltando Comprar</v>
      </c>
    </row>
    <row r="5954" spans="1:15" ht="45">
      <c r="A5954" s="46" t="s">
        <v>3259</v>
      </c>
      <c r="B5954" s="46" t="s">
        <v>3260</v>
      </c>
      <c r="C5954" s="17" t="s">
        <v>19</v>
      </c>
      <c r="D5954" s="47" t="s">
        <v>2184</v>
      </c>
      <c r="E5954" s="48">
        <v>10</v>
      </c>
      <c r="F5954" s="47" t="s">
        <v>38</v>
      </c>
      <c r="G5954" s="47" t="s">
        <v>39</v>
      </c>
      <c r="H5954" s="48" t="s">
        <v>23</v>
      </c>
      <c r="I5954" s="49">
        <v>22.48</v>
      </c>
      <c r="J5954" s="50">
        <f t="shared" si="183"/>
        <v>224.8</v>
      </c>
      <c r="K5954" s="106"/>
      <c r="L5954" s="114"/>
      <c r="M5954" s="114">
        <f>tblAquisições[[#This Row],[VALOR UNITARIO COMPRADO]]*tblAquisições[[#This Row],[QUANTIDADE COMPRADA]]</f>
        <v>0</v>
      </c>
      <c r="N5954" s="110">
        <f>K5954-tblAquisições[[#This Row],[QUANTIDADE PLANEJADA]]</f>
        <v>-10</v>
      </c>
      <c r="O5954" s="106" t="str">
        <f t="shared" ref="O5954:O6017" si="184">IF(K5954=E5954,"OK",IF(K5954&lt;E5954,"Faltando Comprar","Excedente"))</f>
        <v>Faltando Comprar</v>
      </c>
    </row>
    <row r="5955" spans="1:15" ht="45">
      <c r="A5955" s="46" t="s">
        <v>3259</v>
      </c>
      <c r="B5955" s="46" t="s">
        <v>3259</v>
      </c>
      <c r="C5955" s="17" t="s">
        <v>19</v>
      </c>
      <c r="D5955" s="47" t="s">
        <v>3397</v>
      </c>
      <c r="E5955" s="48">
        <v>2</v>
      </c>
      <c r="F5955" s="47" t="s">
        <v>272</v>
      </c>
      <c r="G5955" s="47" t="s">
        <v>39</v>
      </c>
      <c r="H5955" s="48" t="s">
        <v>23</v>
      </c>
      <c r="I5955" s="49">
        <v>15.22</v>
      </c>
      <c r="J5955" s="50">
        <f t="shared" si="183"/>
        <v>30.44</v>
      </c>
      <c r="K5955" s="106"/>
      <c r="L5955" s="114"/>
      <c r="M5955" s="114">
        <f>tblAquisições[[#This Row],[VALOR UNITARIO COMPRADO]]*tblAquisições[[#This Row],[QUANTIDADE COMPRADA]]</f>
        <v>0</v>
      </c>
      <c r="N5955" s="110">
        <f>K5955-tblAquisições[[#This Row],[QUANTIDADE PLANEJADA]]</f>
        <v>-2</v>
      </c>
      <c r="O5955" s="106" t="str">
        <f t="shared" si="184"/>
        <v>Faltando Comprar</v>
      </c>
    </row>
    <row r="5956" spans="1:15" ht="45">
      <c r="A5956" s="46" t="s">
        <v>3259</v>
      </c>
      <c r="B5956" s="46" t="s">
        <v>3263</v>
      </c>
      <c r="C5956" s="17" t="s">
        <v>19</v>
      </c>
      <c r="D5956" s="47" t="s">
        <v>3397</v>
      </c>
      <c r="E5956" s="48">
        <v>10</v>
      </c>
      <c r="F5956" s="47" t="s">
        <v>272</v>
      </c>
      <c r="G5956" s="47" t="s">
        <v>39</v>
      </c>
      <c r="H5956" s="51"/>
      <c r="I5956" s="49">
        <v>15.22</v>
      </c>
      <c r="J5956" s="50">
        <f t="shared" si="183"/>
        <v>152.20000000000002</v>
      </c>
      <c r="K5956" s="106"/>
      <c r="L5956" s="114"/>
      <c r="M5956" s="114">
        <f>tblAquisições[[#This Row],[VALOR UNITARIO COMPRADO]]*tblAquisições[[#This Row],[QUANTIDADE COMPRADA]]</f>
        <v>0</v>
      </c>
      <c r="N5956" s="110">
        <f>K5956-tblAquisições[[#This Row],[QUANTIDADE PLANEJADA]]</f>
        <v>-10</v>
      </c>
      <c r="O5956" s="106" t="str">
        <f t="shared" si="184"/>
        <v>Faltando Comprar</v>
      </c>
    </row>
    <row r="5957" spans="1:15" ht="60">
      <c r="A5957" s="46" t="s">
        <v>3259</v>
      </c>
      <c r="B5957" s="46" t="s">
        <v>3259</v>
      </c>
      <c r="C5957" s="17" t="s">
        <v>19</v>
      </c>
      <c r="D5957" s="47" t="s">
        <v>3398</v>
      </c>
      <c r="E5957" s="48">
        <v>10</v>
      </c>
      <c r="F5957" s="47" t="s">
        <v>96</v>
      </c>
      <c r="G5957" s="47" t="s">
        <v>39</v>
      </c>
      <c r="H5957" s="48" t="s">
        <v>23</v>
      </c>
      <c r="I5957" s="49">
        <v>4.8099999999999996</v>
      </c>
      <c r="J5957" s="50">
        <f t="shared" si="183"/>
        <v>48.099999999999994</v>
      </c>
      <c r="K5957" s="106"/>
      <c r="L5957" s="114"/>
      <c r="M5957" s="114">
        <f>tblAquisições[[#This Row],[VALOR UNITARIO COMPRADO]]*tblAquisições[[#This Row],[QUANTIDADE COMPRADA]]</f>
        <v>0</v>
      </c>
      <c r="N5957" s="110">
        <f>K5957-tblAquisições[[#This Row],[QUANTIDADE PLANEJADA]]</f>
        <v>-10</v>
      </c>
      <c r="O5957" s="106" t="str">
        <f t="shared" si="184"/>
        <v>Faltando Comprar</v>
      </c>
    </row>
    <row r="5958" spans="1:15" ht="60">
      <c r="A5958" s="46" t="s">
        <v>3259</v>
      </c>
      <c r="B5958" s="46" t="s">
        <v>3263</v>
      </c>
      <c r="C5958" s="17" t="s">
        <v>19</v>
      </c>
      <c r="D5958" s="47" t="s">
        <v>3398</v>
      </c>
      <c r="E5958" s="48">
        <v>50</v>
      </c>
      <c r="F5958" s="47" t="s">
        <v>96</v>
      </c>
      <c r="G5958" s="47" t="s">
        <v>39</v>
      </c>
      <c r="H5958" s="51"/>
      <c r="I5958" s="49">
        <v>4.8099999999999996</v>
      </c>
      <c r="J5958" s="50">
        <f t="shared" si="183"/>
        <v>240.49999999999997</v>
      </c>
      <c r="K5958" s="106"/>
      <c r="L5958" s="114"/>
      <c r="M5958" s="114">
        <f>tblAquisições[[#This Row],[VALOR UNITARIO COMPRADO]]*tblAquisições[[#This Row],[QUANTIDADE COMPRADA]]</f>
        <v>0</v>
      </c>
      <c r="N5958" s="110">
        <f>K5958-tblAquisições[[#This Row],[QUANTIDADE PLANEJADA]]</f>
        <v>-50</v>
      </c>
      <c r="O5958" s="106" t="str">
        <f t="shared" si="184"/>
        <v>Faltando Comprar</v>
      </c>
    </row>
    <row r="5959" spans="1:15" ht="45">
      <c r="A5959" s="46" t="s">
        <v>3259</v>
      </c>
      <c r="B5959" s="46" t="s">
        <v>3260</v>
      </c>
      <c r="C5959" s="17" t="s">
        <v>19</v>
      </c>
      <c r="D5959" s="47" t="s">
        <v>3399</v>
      </c>
      <c r="E5959" s="48">
        <v>500</v>
      </c>
      <c r="F5959" s="47" t="s">
        <v>147</v>
      </c>
      <c r="G5959" s="47" t="s">
        <v>39</v>
      </c>
      <c r="H5959" s="48" t="s">
        <v>23</v>
      </c>
      <c r="I5959" s="49">
        <v>45.6</v>
      </c>
      <c r="J5959" s="50">
        <f t="shared" si="183"/>
        <v>22800</v>
      </c>
      <c r="K5959" s="106"/>
      <c r="L5959" s="114"/>
      <c r="M5959" s="114">
        <f>tblAquisições[[#This Row],[VALOR UNITARIO COMPRADO]]*tblAquisições[[#This Row],[QUANTIDADE COMPRADA]]</f>
        <v>0</v>
      </c>
      <c r="N5959" s="110">
        <f>K5959-tblAquisições[[#This Row],[QUANTIDADE PLANEJADA]]</f>
        <v>-500</v>
      </c>
      <c r="O5959" s="106" t="str">
        <f t="shared" si="184"/>
        <v>Faltando Comprar</v>
      </c>
    </row>
    <row r="5960" spans="1:15" ht="45">
      <c r="A5960" s="46" t="s">
        <v>3259</v>
      </c>
      <c r="B5960" s="46" t="s">
        <v>3259</v>
      </c>
      <c r="C5960" s="17" t="s">
        <v>19</v>
      </c>
      <c r="D5960" s="47" t="s">
        <v>3020</v>
      </c>
      <c r="E5960" s="48">
        <v>10</v>
      </c>
      <c r="F5960" s="47" t="s">
        <v>82</v>
      </c>
      <c r="G5960" s="47" t="s">
        <v>39</v>
      </c>
      <c r="H5960" s="48" t="s">
        <v>23</v>
      </c>
      <c r="I5960" s="49">
        <v>118.07</v>
      </c>
      <c r="J5960" s="50">
        <f t="shared" si="183"/>
        <v>1180.6999999999998</v>
      </c>
      <c r="K5960" s="106"/>
      <c r="L5960" s="114"/>
      <c r="M5960" s="114">
        <f>tblAquisições[[#This Row],[VALOR UNITARIO COMPRADO]]*tblAquisições[[#This Row],[QUANTIDADE COMPRADA]]</f>
        <v>0</v>
      </c>
      <c r="N5960" s="110">
        <f>K5960-tblAquisições[[#This Row],[QUANTIDADE PLANEJADA]]</f>
        <v>-10</v>
      </c>
      <c r="O5960" s="106" t="str">
        <f t="shared" si="184"/>
        <v>Faltando Comprar</v>
      </c>
    </row>
    <row r="5961" spans="1:15" ht="60">
      <c r="A5961" s="46" t="s">
        <v>3259</v>
      </c>
      <c r="B5961" s="46" t="s">
        <v>3267</v>
      </c>
      <c r="C5961" s="17" t="s">
        <v>19</v>
      </c>
      <c r="D5961" s="47" t="s">
        <v>3400</v>
      </c>
      <c r="E5961" s="48">
        <v>5</v>
      </c>
      <c r="F5961" s="47" t="s">
        <v>191</v>
      </c>
      <c r="G5961" s="47" t="s">
        <v>39</v>
      </c>
      <c r="H5961" s="48" t="s">
        <v>23</v>
      </c>
      <c r="I5961" s="49">
        <v>13.51</v>
      </c>
      <c r="J5961" s="50">
        <f t="shared" si="183"/>
        <v>67.55</v>
      </c>
      <c r="K5961" s="106"/>
      <c r="L5961" s="114"/>
      <c r="M5961" s="114">
        <f>tblAquisições[[#This Row],[VALOR UNITARIO COMPRADO]]*tblAquisições[[#This Row],[QUANTIDADE COMPRADA]]</f>
        <v>0</v>
      </c>
      <c r="N5961" s="110">
        <f>K5961-tblAquisições[[#This Row],[QUANTIDADE PLANEJADA]]</f>
        <v>-5</v>
      </c>
      <c r="O5961" s="106" t="str">
        <f t="shared" si="184"/>
        <v>Faltando Comprar</v>
      </c>
    </row>
    <row r="5962" spans="1:15" ht="60">
      <c r="A5962" s="46" t="s">
        <v>3259</v>
      </c>
      <c r="B5962" s="46" t="s">
        <v>3259</v>
      </c>
      <c r="C5962" s="17" t="s">
        <v>19</v>
      </c>
      <c r="D5962" s="47" t="s">
        <v>3401</v>
      </c>
      <c r="E5962" s="48">
        <v>50</v>
      </c>
      <c r="F5962" s="47" t="s">
        <v>191</v>
      </c>
      <c r="G5962" s="47" t="s">
        <v>39</v>
      </c>
      <c r="H5962" s="48" t="s">
        <v>23</v>
      </c>
      <c r="I5962" s="49">
        <v>21.96</v>
      </c>
      <c r="J5962" s="50">
        <f t="shared" si="183"/>
        <v>1098</v>
      </c>
      <c r="K5962" s="106"/>
      <c r="L5962" s="114"/>
      <c r="M5962" s="114">
        <f>tblAquisições[[#This Row],[VALOR UNITARIO COMPRADO]]*tblAquisições[[#This Row],[QUANTIDADE COMPRADA]]</f>
        <v>0</v>
      </c>
      <c r="N5962" s="110">
        <f>K5962-tblAquisições[[#This Row],[QUANTIDADE PLANEJADA]]</f>
        <v>-50</v>
      </c>
      <c r="O5962" s="106" t="str">
        <f t="shared" si="184"/>
        <v>Faltando Comprar</v>
      </c>
    </row>
    <row r="5963" spans="1:15" ht="60">
      <c r="A5963" s="46" t="s">
        <v>3259</v>
      </c>
      <c r="B5963" s="46" t="s">
        <v>3263</v>
      </c>
      <c r="C5963" s="17" t="s">
        <v>19</v>
      </c>
      <c r="D5963" s="47" t="s">
        <v>3401</v>
      </c>
      <c r="E5963" s="48">
        <v>400</v>
      </c>
      <c r="F5963" s="47" t="s">
        <v>191</v>
      </c>
      <c r="G5963" s="47" t="s">
        <v>39</v>
      </c>
      <c r="H5963" s="51"/>
      <c r="I5963" s="49">
        <v>21.96</v>
      </c>
      <c r="J5963" s="50">
        <f t="shared" si="183"/>
        <v>8784</v>
      </c>
      <c r="K5963" s="106"/>
      <c r="L5963" s="114"/>
      <c r="M5963" s="114">
        <f>tblAquisições[[#This Row],[VALOR UNITARIO COMPRADO]]*tblAquisições[[#This Row],[QUANTIDADE COMPRADA]]</f>
        <v>0</v>
      </c>
      <c r="N5963" s="110">
        <f>K5963-tblAquisições[[#This Row],[QUANTIDADE PLANEJADA]]</f>
        <v>-400</v>
      </c>
      <c r="O5963" s="106" t="str">
        <f t="shared" si="184"/>
        <v>Faltando Comprar</v>
      </c>
    </row>
    <row r="5964" spans="1:15" ht="45">
      <c r="A5964" s="46" t="s">
        <v>3259</v>
      </c>
      <c r="B5964" s="46" t="s">
        <v>3267</v>
      </c>
      <c r="C5964" s="17" t="s">
        <v>19</v>
      </c>
      <c r="D5964" s="47" t="s">
        <v>3022</v>
      </c>
      <c r="E5964" s="48">
        <v>25</v>
      </c>
      <c r="F5964" s="47" t="s">
        <v>56</v>
      </c>
      <c r="G5964" s="47" t="s">
        <v>39</v>
      </c>
      <c r="H5964" s="51"/>
      <c r="I5964" s="49">
        <v>266.2</v>
      </c>
      <c r="J5964" s="50">
        <f t="shared" si="183"/>
        <v>6655</v>
      </c>
      <c r="K5964" s="106"/>
      <c r="L5964" s="114"/>
      <c r="M5964" s="114">
        <f>tblAquisições[[#This Row],[VALOR UNITARIO COMPRADO]]*tblAquisições[[#This Row],[QUANTIDADE COMPRADA]]</f>
        <v>0</v>
      </c>
      <c r="N5964" s="110">
        <f>K5964-tblAquisições[[#This Row],[QUANTIDADE PLANEJADA]]</f>
        <v>-25</v>
      </c>
      <c r="O5964" s="106" t="str">
        <f t="shared" si="184"/>
        <v>Faltando Comprar</v>
      </c>
    </row>
    <row r="5965" spans="1:15" ht="45">
      <c r="A5965" s="46" t="s">
        <v>3259</v>
      </c>
      <c r="B5965" s="46" t="s">
        <v>3267</v>
      </c>
      <c r="C5965" s="17" t="s">
        <v>19</v>
      </c>
      <c r="D5965" s="47" t="s">
        <v>3023</v>
      </c>
      <c r="E5965" s="48">
        <v>25</v>
      </c>
      <c r="F5965" s="47" t="s">
        <v>56</v>
      </c>
      <c r="G5965" s="47" t="s">
        <v>39</v>
      </c>
      <c r="H5965" s="51"/>
      <c r="I5965" s="49">
        <v>165.9</v>
      </c>
      <c r="J5965" s="50">
        <f t="shared" si="183"/>
        <v>4147.5</v>
      </c>
      <c r="K5965" s="106"/>
      <c r="L5965" s="114"/>
      <c r="M5965" s="114">
        <f>tblAquisições[[#This Row],[VALOR UNITARIO COMPRADO]]*tblAquisições[[#This Row],[QUANTIDADE COMPRADA]]</f>
        <v>0</v>
      </c>
      <c r="N5965" s="110">
        <f>K5965-tblAquisições[[#This Row],[QUANTIDADE PLANEJADA]]</f>
        <v>-25</v>
      </c>
      <c r="O5965" s="106" t="str">
        <f t="shared" si="184"/>
        <v>Faltando Comprar</v>
      </c>
    </row>
    <row r="5966" spans="1:15" ht="45">
      <c r="A5966" s="53" t="s">
        <v>3259</v>
      </c>
      <c r="B5966" s="53" t="s">
        <v>3267</v>
      </c>
      <c r="C5966" s="17" t="s">
        <v>19</v>
      </c>
      <c r="D5966" s="54" t="s">
        <v>3402</v>
      </c>
      <c r="E5966" s="55">
        <v>25</v>
      </c>
      <c r="F5966" s="54" t="s">
        <v>56</v>
      </c>
      <c r="G5966" s="54" t="s">
        <v>39</v>
      </c>
      <c r="H5966" s="56"/>
      <c r="I5966" s="49">
        <v>76.33</v>
      </c>
      <c r="J5966" s="50">
        <f t="shared" si="183"/>
        <v>1908.25</v>
      </c>
      <c r="K5966" s="106"/>
      <c r="L5966" s="114"/>
      <c r="M5966" s="114">
        <f>tblAquisições[[#This Row],[VALOR UNITARIO COMPRADO]]*tblAquisições[[#This Row],[QUANTIDADE COMPRADA]]</f>
        <v>0</v>
      </c>
      <c r="N5966" s="110">
        <f>K5966-tblAquisições[[#This Row],[QUANTIDADE PLANEJADA]]</f>
        <v>-25</v>
      </c>
      <c r="O5966" s="106" t="str">
        <f t="shared" si="184"/>
        <v>Faltando Comprar</v>
      </c>
    </row>
    <row r="5967" spans="1:15" ht="45">
      <c r="A5967" s="46" t="s">
        <v>3259</v>
      </c>
      <c r="B5967" s="46" t="s">
        <v>3260</v>
      </c>
      <c r="C5967" s="17" t="s">
        <v>19</v>
      </c>
      <c r="D5967" s="47" t="s">
        <v>2238</v>
      </c>
      <c r="E5967" s="48">
        <v>50</v>
      </c>
      <c r="F5967" s="47" t="s">
        <v>38</v>
      </c>
      <c r="G5967" s="47" t="s">
        <v>39</v>
      </c>
      <c r="H5967" s="48" t="s">
        <v>23</v>
      </c>
      <c r="I5967" s="49">
        <v>1.1599999999999999</v>
      </c>
      <c r="J5967" s="50">
        <f t="shared" si="183"/>
        <v>57.999999999999993</v>
      </c>
      <c r="K5967" s="106"/>
      <c r="L5967" s="114"/>
      <c r="M5967" s="114">
        <f>tblAquisições[[#This Row],[VALOR UNITARIO COMPRADO]]*tblAquisições[[#This Row],[QUANTIDADE COMPRADA]]</f>
        <v>0</v>
      </c>
      <c r="N5967" s="110">
        <f>K5967-tblAquisições[[#This Row],[QUANTIDADE PLANEJADA]]</f>
        <v>-50</v>
      </c>
      <c r="O5967" s="106" t="str">
        <f t="shared" si="184"/>
        <v>Faltando Comprar</v>
      </c>
    </row>
    <row r="5968" spans="1:15" ht="45">
      <c r="A5968" s="46" t="s">
        <v>3259</v>
      </c>
      <c r="B5968" s="46" t="s">
        <v>3267</v>
      </c>
      <c r="C5968" s="17" t="s">
        <v>19</v>
      </c>
      <c r="D5968" s="47" t="s">
        <v>3025</v>
      </c>
      <c r="E5968" s="48">
        <v>25</v>
      </c>
      <c r="F5968" s="47" t="s">
        <v>56</v>
      </c>
      <c r="G5968" s="47" t="s">
        <v>39</v>
      </c>
      <c r="H5968" s="51"/>
      <c r="I5968" s="49">
        <v>13.23</v>
      </c>
      <c r="J5968" s="50">
        <f t="shared" si="183"/>
        <v>330.75</v>
      </c>
      <c r="K5968" s="106"/>
      <c r="L5968" s="114"/>
      <c r="M5968" s="114">
        <f>tblAquisições[[#This Row],[VALOR UNITARIO COMPRADO]]*tblAquisições[[#This Row],[QUANTIDADE COMPRADA]]</f>
        <v>0</v>
      </c>
      <c r="N5968" s="110">
        <f>K5968-tblAquisições[[#This Row],[QUANTIDADE PLANEJADA]]</f>
        <v>-25</v>
      </c>
      <c r="O5968" s="106" t="str">
        <f t="shared" si="184"/>
        <v>Faltando Comprar</v>
      </c>
    </row>
    <row r="5969" spans="1:15" ht="45">
      <c r="A5969" s="46" t="s">
        <v>3259</v>
      </c>
      <c r="B5969" s="46" t="s">
        <v>3260</v>
      </c>
      <c r="C5969" s="17" t="s">
        <v>19</v>
      </c>
      <c r="D5969" s="47" t="s">
        <v>3403</v>
      </c>
      <c r="E5969" s="48">
        <v>8</v>
      </c>
      <c r="F5969" s="47" t="s">
        <v>56</v>
      </c>
      <c r="G5969" s="47" t="s">
        <v>39</v>
      </c>
      <c r="H5969" s="48" t="s">
        <v>23</v>
      </c>
      <c r="I5969" s="49">
        <v>31.55</v>
      </c>
      <c r="J5969" s="50">
        <f t="shared" si="183"/>
        <v>252.4</v>
      </c>
      <c r="K5969" s="106"/>
      <c r="L5969" s="114"/>
      <c r="M5969" s="114">
        <f>tblAquisições[[#This Row],[VALOR UNITARIO COMPRADO]]*tblAquisições[[#This Row],[QUANTIDADE COMPRADA]]</f>
        <v>0</v>
      </c>
      <c r="N5969" s="110">
        <f>K5969-tblAquisições[[#This Row],[QUANTIDADE PLANEJADA]]</f>
        <v>-8</v>
      </c>
      <c r="O5969" s="106" t="str">
        <f t="shared" si="184"/>
        <v>Faltando Comprar</v>
      </c>
    </row>
    <row r="5970" spans="1:15" ht="45">
      <c r="A5970" s="46" t="s">
        <v>3259</v>
      </c>
      <c r="B5970" s="46" t="s">
        <v>3267</v>
      </c>
      <c r="C5970" s="17" t="s">
        <v>19</v>
      </c>
      <c r="D5970" s="47" t="s">
        <v>3403</v>
      </c>
      <c r="E5970" s="48">
        <v>25</v>
      </c>
      <c r="F5970" s="47" t="s">
        <v>56</v>
      </c>
      <c r="G5970" s="47" t="s">
        <v>39</v>
      </c>
      <c r="H5970" s="51"/>
      <c r="I5970" s="49">
        <v>31.55</v>
      </c>
      <c r="J5970" s="50">
        <f t="shared" si="183"/>
        <v>788.75</v>
      </c>
      <c r="K5970" s="106"/>
      <c r="L5970" s="114"/>
      <c r="M5970" s="114">
        <f>tblAquisições[[#This Row],[VALOR UNITARIO COMPRADO]]*tblAquisições[[#This Row],[QUANTIDADE COMPRADA]]</f>
        <v>0</v>
      </c>
      <c r="N5970" s="110">
        <f>K5970-tblAquisições[[#This Row],[QUANTIDADE PLANEJADA]]</f>
        <v>-25</v>
      </c>
      <c r="O5970" s="106" t="str">
        <f t="shared" si="184"/>
        <v>Faltando Comprar</v>
      </c>
    </row>
    <row r="5971" spans="1:15" ht="45">
      <c r="A5971" s="46" t="s">
        <v>3259</v>
      </c>
      <c r="B5971" s="46" t="s">
        <v>3260</v>
      </c>
      <c r="C5971" s="17" t="s">
        <v>19</v>
      </c>
      <c r="D5971" s="47" t="s">
        <v>3404</v>
      </c>
      <c r="E5971" s="48">
        <v>100</v>
      </c>
      <c r="F5971" s="47" t="s">
        <v>38</v>
      </c>
      <c r="G5971" s="47" t="s">
        <v>39</v>
      </c>
      <c r="H5971" s="48" t="s">
        <v>23</v>
      </c>
      <c r="I5971" s="49">
        <v>1.59</v>
      </c>
      <c r="J5971" s="50">
        <f t="shared" si="183"/>
        <v>159</v>
      </c>
      <c r="K5971" s="106"/>
      <c r="L5971" s="114"/>
      <c r="M5971" s="114">
        <f>tblAquisições[[#This Row],[VALOR UNITARIO COMPRADO]]*tblAquisições[[#This Row],[QUANTIDADE COMPRADA]]</f>
        <v>0</v>
      </c>
      <c r="N5971" s="110">
        <f>K5971-tblAquisições[[#This Row],[QUANTIDADE PLANEJADA]]</f>
        <v>-100</v>
      </c>
      <c r="O5971" s="106" t="str">
        <f t="shared" si="184"/>
        <v>Faltando Comprar</v>
      </c>
    </row>
    <row r="5972" spans="1:15" ht="60">
      <c r="A5972" s="46" t="s">
        <v>3259</v>
      </c>
      <c r="B5972" s="46" t="s">
        <v>3259</v>
      </c>
      <c r="C5972" s="17" t="s">
        <v>19</v>
      </c>
      <c r="D5972" s="47" t="s">
        <v>3028</v>
      </c>
      <c r="E5972" s="48">
        <v>4</v>
      </c>
      <c r="F5972" s="47" t="s">
        <v>96</v>
      </c>
      <c r="G5972" s="47" t="s">
        <v>39</v>
      </c>
      <c r="H5972" s="48" t="s">
        <v>23</v>
      </c>
      <c r="I5972" s="49">
        <v>26.1</v>
      </c>
      <c r="J5972" s="50">
        <f t="shared" si="183"/>
        <v>104.4</v>
      </c>
      <c r="K5972" s="106"/>
      <c r="L5972" s="114"/>
      <c r="M5972" s="114">
        <f>tblAquisições[[#This Row],[VALOR UNITARIO COMPRADO]]*tblAquisições[[#This Row],[QUANTIDADE COMPRADA]]</f>
        <v>0</v>
      </c>
      <c r="N5972" s="110">
        <f>K5972-tblAquisições[[#This Row],[QUANTIDADE PLANEJADA]]</f>
        <v>-4</v>
      </c>
      <c r="O5972" s="106" t="str">
        <f t="shared" si="184"/>
        <v>Faltando Comprar</v>
      </c>
    </row>
    <row r="5973" spans="1:15" ht="60">
      <c r="A5973" s="46" t="s">
        <v>3259</v>
      </c>
      <c r="B5973" s="46" t="s">
        <v>3263</v>
      </c>
      <c r="C5973" s="17" t="s">
        <v>19</v>
      </c>
      <c r="D5973" s="47" t="s">
        <v>3028</v>
      </c>
      <c r="E5973" s="48">
        <v>25</v>
      </c>
      <c r="F5973" s="47" t="s">
        <v>96</v>
      </c>
      <c r="G5973" s="47" t="s">
        <v>39</v>
      </c>
      <c r="H5973" s="51"/>
      <c r="I5973" s="49">
        <v>26.1</v>
      </c>
      <c r="J5973" s="50">
        <f t="shared" si="183"/>
        <v>652.5</v>
      </c>
      <c r="K5973" s="106"/>
      <c r="L5973" s="114"/>
      <c r="M5973" s="114">
        <f>tblAquisições[[#This Row],[VALOR UNITARIO COMPRADO]]*tblAquisições[[#This Row],[QUANTIDADE COMPRADA]]</f>
        <v>0</v>
      </c>
      <c r="N5973" s="110">
        <f>K5973-tblAquisições[[#This Row],[QUANTIDADE PLANEJADA]]</f>
        <v>-25</v>
      </c>
      <c r="O5973" s="106" t="str">
        <f t="shared" si="184"/>
        <v>Faltando Comprar</v>
      </c>
    </row>
    <row r="5974" spans="1:15" ht="45">
      <c r="A5974" s="46" t="s">
        <v>3259</v>
      </c>
      <c r="B5974" s="46" t="s">
        <v>3267</v>
      </c>
      <c r="C5974" s="17" t="s">
        <v>19</v>
      </c>
      <c r="D5974" s="47" t="s">
        <v>3405</v>
      </c>
      <c r="E5974" s="48">
        <v>25</v>
      </c>
      <c r="F5974" s="47" t="s">
        <v>56</v>
      </c>
      <c r="G5974" s="47" t="s">
        <v>39</v>
      </c>
      <c r="H5974" s="51"/>
      <c r="I5974" s="49">
        <v>53.13</v>
      </c>
      <c r="J5974" s="50">
        <f t="shared" si="183"/>
        <v>1328.25</v>
      </c>
      <c r="K5974" s="106"/>
      <c r="L5974" s="114"/>
      <c r="M5974" s="114">
        <f>tblAquisições[[#This Row],[VALOR UNITARIO COMPRADO]]*tblAquisições[[#This Row],[QUANTIDADE COMPRADA]]</f>
        <v>0</v>
      </c>
      <c r="N5974" s="110">
        <f>K5974-tblAquisições[[#This Row],[QUANTIDADE PLANEJADA]]</f>
        <v>-25</v>
      </c>
      <c r="O5974" s="106" t="str">
        <f t="shared" si="184"/>
        <v>Faltando Comprar</v>
      </c>
    </row>
    <row r="5975" spans="1:15" ht="45">
      <c r="A5975" s="46" t="s">
        <v>3259</v>
      </c>
      <c r="B5975" s="46" t="s">
        <v>3267</v>
      </c>
      <c r="C5975" s="17" t="s">
        <v>19</v>
      </c>
      <c r="D5975" s="47" t="s">
        <v>3406</v>
      </c>
      <c r="E5975" s="48">
        <v>25</v>
      </c>
      <c r="F5975" s="47" t="s">
        <v>56</v>
      </c>
      <c r="G5975" s="47" t="s">
        <v>39</v>
      </c>
      <c r="H5975" s="51"/>
      <c r="I5975" s="49">
        <v>48.55</v>
      </c>
      <c r="J5975" s="50">
        <f t="shared" si="183"/>
        <v>1213.75</v>
      </c>
      <c r="K5975" s="106"/>
      <c r="L5975" s="114"/>
      <c r="M5975" s="114">
        <f>tblAquisições[[#This Row],[VALOR UNITARIO COMPRADO]]*tblAquisições[[#This Row],[QUANTIDADE COMPRADA]]</f>
        <v>0</v>
      </c>
      <c r="N5975" s="110">
        <f>K5975-tblAquisições[[#This Row],[QUANTIDADE PLANEJADA]]</f>
        <v>-25</v>
      </c>
      <c r="O5975" s="106" t="str">
        <f t="shared" si="184"/>
        <v>Faltando Comprar</v>
      </c>
    </row>
    <row r="5976" spans="1:15" ht="60">
      <c r="A5976" s="46" t="s">
        <v>3259</v>
      </c>
      <c r="B5976" s="46" t="s">
        <v>3259</v>
      </c>
      <c r="C5976" s="17" t="s">
        <v>19</v>
      </c>
      <c r="D5976" s="47" t="s">
        <v>3031</v>
      </c>
      <c r="E5976" s="48">
        <v>2</v>
      </c>
      <c r="F5976" s="47" t="s">
        <v>191</v>
      </c>
      <c r="G5976" s="47" t="s">
        <v>39</v>
      </c>
      <c r="H5976" s="48" t="s">
        <v>23</v>
      </c>
      <c r="I5976" s="49">
        <v>55.04</v>
      </c>
      <c r="J5976" s="50">
        <f t="shared" si="183"/>
        <v>110.08</v>
      </c>
      <c r="K5976" s="106"/>
      <c r="L5976" s="114"/>
      <c r="M5976" s="114">
        <f>tblAquisições[[#This Row],[VALOR UNITARIO COMPRADO]]*tblAquisições[[#This Row],[QUANTIDADE COMPRADA]]</f>
        <v>0</v>
      </c>
      <c r="N5976" s="110">
        <f>K5976-tblAquisições[[#This Row],[QUANTIDADE PLANEJADA]]</f>
        <v>-2</v>
      </c>
      <c r="O5976" s="106" t="str">
        <f t="shared" si="184"/>
        <v>Faltando Comprar</v>
      </c>
    </row>
    <row r="5977" spans="1:15" ht="60">
      <c r="A5977" s="46" t="s">
        <v>3259</v>
      </c>
      <c r="B5977" s="46" t="s">
        <v>3263</v>
      </c>
      <c r="C5977" s="17" t="s">
        <v>19</v>
      </c>
      <c r="D5977" s="47" t="s">
        <v>3031</v>
      </c>
      <c r="E5977" s="48">
        <v>50</v>
      </c>
      <c r="F5977" s="47" t="s">
        <v>191</v>
      </c>
      <c r="G5977" s="47" t="s">
        <v>39</v>
      </c>
      <c r="H5977" s="51"/>
      <c r="I5977" s="49">
        <v>55.04</v>
      </c>
      <c r="J5977" s="50">
        <f t="shared" si="183"/>
        <v>2752</v>
      </c>
      <c r="K5977" s="106"/>
      <c r="L5977" s="114"/>
      <c r="M5977" s="114">
        <f>tblAquisições[[#This Row],[VALOR UNITARIO COMPRADO]]*tblAquisições[[#This Row],[QUANTIDADE COMPRADA]]</f>
        <v>0</v>
      </c>
      <c r="N5977" s="110">
        <f>K5977-tblAquisições[[#This Row],[QUANTIDADE PLANEJADA]]</f>
        <v>-50</v>
      </c>
      <c r="O5977" s="106" t="str">
        <f t="shared" si="184"/>
        <v>Faltando Comprar</v>
      </c>
    </row>
    <row r="5978" spans="1:15" ht="60">
      <c r="A5978" s="46" t="s">
        <v>3259</v>
      </c>
      <c r="B5978" s="46" t="s">
        <v>3259</v>
      </c>
      <c r="C5978" s="17" t="s">
        <v>19</v>
      </c>
      <c r="D5978" s="47" t="s">
        <v>3407</v>
      </c>
      <c r="E5978" s="48">
        <v>6</v>
      </c>
      <c r="F5978" s="47" t="s">
        <v>191</v>
      </c>
      <c r="G5978" s="47" t="s">
        <v>39</v>
      </c>
      <c r="H5978" s="48" t="s">
        <v>23</v>
      </c>
      <c r="I5978" s="49">
        <v>11.61</v>
      </c>
      <c r="J5978" s="50">
        <f t="shared" si="183"/>
        <v>69.66</v>
      </c>
      <c r="K5978" s="106"/>
      <c r="L5978" s="114"/>
      <c r="M5978" s="114">
        <f>tblAquisições[[#This Row],[VALOR UNITARIO COMPRADO]]*tblAquisições[[#This Row],[QUANTIDADE COMPRADA]]</f>
        <v>0</v>
      </c>
      <c r="N5978" s="110">
        <f>K5978-tblAquisições[[#This Row],[QUANTIDADE PLANEJADA]]</f>
        <v>-6</v>
      </c>
      <c r="O5978" s="106" t="str">
        <f t="shared" si="184"/>
        <v>Faltando Comprar</v>
      </c>
    </row>
    <row r="5979" spans="1:15" ht="60">
      <c r="A5979" s="46" t="s">
        <v>3259</v>
      </c>
      <c r="B5979" s="46" t="s">
        <v>3263</v>
      </c>
      <c r="C5979" s="17" t="s">
        <v>19</v>
      </c>
      <c r="D5979" s="47" t="s">
        <v>3407</v>
      </c>
      <c r="E5979" s="48">
        <v>15</v>
      </c>
      <c r="F5979" s="47" t="s">
        <v>191</v>
      </c>
      <c r="G5979" s="47" t="s">
        <v>39</v>
      </c>
      <c r="H5979" s="51"/>
      <c r="I5979" s="49">
        <v>11.61</v>
      </c>
      <c r="J5979" s="50">
        <f t="shared" si="183"/>
        <v>174.14999999999998</v>
      </c>
      <c r="K5979" s="106"/>
      <c r="L5979" s="114"/>
      <c r="M5979" s="114">
        <f>tblAquisições[[#This Row],[VALOR UNITARIO COMPRADO]]*tblAquisições[[#This Row],[QUANTIDADE COMPRADA]]</f>
        <v>0</v>
      </c>
      <c r="N5979" s="110">
        <f>K5979-tblAquisições[[#This Row],[QUANTIDADE PLANEJADA]]</f>
        <v>-15</v>
      </c>
      <c r="O5979" s="106" t="str">
        <f t="shared" si="184"/>
        <v>Faltando Comprar</v>
      </c>
    </row>
    <row r="5980" spans="1:15" ht="60">
      <c r="A5980" s="46" t="s">
        <v>3259</v>
      </c>
      <c r="B5980" s="46" t="s">
        <v>3259</v>
      </c>
      <c r="C5980" s="17" t="s">
        <v>19</v>
      </c>
      <c r="D5980" s="47" t="s">
        <v>2833</v>
      </c>
      <c r="E5980" s="48">
        <v>5</v>
      </c>
      <c r="F5980" s="47" t="s">
        <v>2802</v>
      </c>
      <c r="G5980" s="47" t="s">
        <v>775</v>
      </c>
      <c r="H5980" s="48" t="s">
        <v>23</v>
      </c>
      <c r="I5980" s="49">
        <v>4622.63</v>
      </c>
      <c r="J5980" s="50">
        <f t="shared" si="183"/>
        <v>23113.15</v>
      </c>
      <c r="K5980" s="106"/>
      <c r="L5980" s="114"/>
      <c r="M5980" s="114">
        <f>tblAquisições[[#This Row],[VALOR UNITARIO COMPRADO]]*tblAquisições[[#This Row],[QUANTIDADE COMPRADA]]</f>
        <v>0</v>
      </c>
      <c r="N5980" s="110">
        <f>K5980-tblAquisições[[#This Row],[QUANTIDADE PLANEJADA]]</f>
        <v>-5</v>
      </c>
      <c r="O5980" s="106" t="str">
        <f t="shared" si="184"/>
        <v>Faltando Comprar</v>
      </c>
    </row>
    <row r="5981" spans="1:15" ht="60">
      <c r="A5981" s="46" t="s">
        <v>3259</v>
      </c>
      <c r="B5981" s="46" t="s">
        <v>3263</v>
      </c>
      <c r="C5981" s="17" t="s">
        <v>19</v>
      </c>
      <c r="D5981" s="47" t="s">
        <v>2833</v>
      </c>
      <c r="E5981" s="48">
        <v>30</v>
      </c>
      <c r="F5981" s="47" t="s">
        <v>2802</v>
      </c>
      <c r="G5981" s="47" t="s">
        <v>775</v>
      </c>
      <c r="H5981" s="51"/>
      <c r="I5981" s="49">
        <v>4622.63</v>
      </c>
      <c r="J5981" s="50">
        <f t="shared" si="183"/>
        <v>138678.9</v>
      </c>
      <c r="K5981" s="106"/>
      <c r="L5981" s="114"/>
      <c r="M5981" s="114">
        <f>tblAquisições[[#This Row],[VALOR UNITARIO COMPRADO]]*tblAquisições[[#This Row],[QUANTIDADE COMPRADA]]</f>
        <v>0</v>
      </c>
      <c r="N5981" s="110">
        <f>K5981-tblAquisições[[#This Row],[QUANTIDADE PLANEJADA]]</f>
        <v>-30</v>
      </c>
      <c r="O5981" s="106" t="str">
        <f t="shared" si="184"/>
        <v>Faltando Comprar</v>
      </c>
    </row>
    <row r="5982" spans="1:15" ht="60">
      <c r="A5982" s="46" t="s">
        <v>3259</v>
      </c>
      <c r="B5982" s="46" t="s">
        <v>3267</v>
      </c>
      <c r="C5982" s="17" t="s">
        <v>19</v>
      </c>
      <c r="D5982" s="47" t="s">
        <v>2833</v>
      </c>
      <c r="E5982" s="48">
        <v>25</v>
      </c>
      <c r="F5982" s="47" t="s">
        <v>2802</v>
      </c>
      <c r="G5982" s="47" t="s">
        <v>775</v>
      </c>
      <c r="H5982" s="51"/>
      <c r="I5982" s="49">
        <v>4622.63</v>
      </c>
      <c r="J5982" s="50">
        <f t="shared" si="183"/>
        <v>115565.75</v>
      </c>
      <c r="K5982" s="106"/>
      <c r="L5982" s="114"/>
      <c r="M5982" s="114">
        <f>tblAquisições[[#This Row],[VALOR UNITARIO COMPRADO]]*tblAquisições[[#This Row],[QUANTIDADE COMPRADA]]</f>
        <v>0</v>
      </c>
      <c r="N5982" s="110">
        <f>K5982-tblAquisições[[#This Row],[QUANTIDADE PLANEJADA]]</f>
        <v>-25</v>
      </c>
      <c r="O5982" s="106" t="str">
        <f t="shared" si="184"/>
        <v>Faltando Comprar</v>
      </c>
    </row>
    <row r="5983" spans="1:15" ht="45">
      <c r="A5983" s="46" t="s">
        <v>3259</v>
      </c>
      <c r="B5983" s="46" t="s">
        <v>3259</v>
      </c>
      <c r="C5983" s="17" t="s">
        <v>19</v>
      </c>
      <c r="D5983" s="47" t="s">
        <v>3408</v>
      </c>
      <c r="E5983" s="48">
        <v>5</v>
      </c>
      <c r="F5983" s="47" t="s">
        <v>147</v>
      </c>
      <c r="G5983" s="47" t="s">
        <v>39</v>
      </c>
      <c r="H5983" s="48" t="s">
        <v>23</v>
      </c>
      <c r="I5983" s="49">
        <v>109.65</v>
      </c>
      <c r="J5983" s="50">
        <f t="shared" si="183"/>
        <v>548.25</v>
      </c>
      <c r="K5983" s="106"/>
      <c r="L5983" s="114"/>
      <c r="M5983" s="114">
        <f>tblAquisições[[#This Row],[VALOR UNITARIO COMPRADO]]*tblAquisições[[#This Row],[QUANTIDADE COMPRADA]]</f>
        <v>0</v>
      </c>
      <c r="N5983" s="110">
        <f>K5983-tblAquisições[[#This Row],[QUANTIDADE PLANEJADA]]</f>
        <v>-5</v>
      </c>
      <c r="O5983" s="106" t="str">
        <f t="shared" si="184"/>
        <v>Faltando Comprar</v>
      </c>
    </row>
    <row r="5984" spans="1:15" ht="45">
      <c r="A5984" s="46" t="s">
        <v>3259</v>
      </c>
      <c r="B5984" s="46" t="s">
        <v>3263</v>
      </c>
      <c r="C5984" s="17" t="s">
        <v>19</v>
      </c>
      <c r="D5984" s="47" t="s">
        <v>3408</v>
      </c>
      <c r="E5984" s="48">
        <v>25</v>
      </c>
      <c r="F5984" s="47" t="s">
        <v>147</v>
      </c>
      <c r="G5984" s="47" t="s">
        <v>39</v>
      </c>
      <c r="H5984" s="51"/>
      <c r="I5984" s="49">
        <v>109.65</v>
      </c>
      <c r="J5984" s="50">
        <f t="shared" si="183"/>
        <v>2741.25</v>
      </c>
      <c r="K5984" s="106"/>
      <c r="L5984" s="114"/>
      <c r="M5984" s="114">
        <f>tblAquisições[[#This Row],[VALOR UNITARIO COMPRADO]]*tblAquisições[[#This Row],[QUANTIDADE COMPRADA]]</f>
        <v>0</v>
      </c>
      <c r="N5984" s="110">
        <f>K5984-tblAquisições[[#This Row],[QUANTIDADE PLANEJADA]]</f>
        <v>-25</v>
      </c>
      <c r="O5984" s="106" t="str">
        <f t="shared" si="184"/>
        <v>Faltando Comprar</v>
      </c>
    </row>
    <row r="5985" spans="1:15" ht="45">
      <c r="A5985" s="46" t="s">
        <v>3259</v>
      </c>
      <c r="B5985" s="46" t="s">
        <v>3267</v>
      </c>
      <c r="C5985" s="17" t="s">
        <v>19</v>
      </c>
      <c r="D5985" s="47" t="s">
        <v>3409</v>
      </c>
      <c r="E5985" s="48">
        <v>25</v>
      </c>
      <c r="F5985" s="47" t="s">
        <v>56</v>
      </c>
      <c r="G5985" s="47" t="s">
        <v>39</v>
      </c>
      <c r="H5985" s="51"/>
      <c r="I5985" s="49">
        <v>231.33</v>
      </c>
      <c r="J5985" s="50">
        <f t="shared" si="183"/>
        <v>5783.25</v>
      </c>
      <c r="K5985" s="106"/>
      <c r="L5985" s="114"/>
      <c r="M5985" s="114">
        <f>tblAquisições[[#This Row],[VALOR UNITARIO COMPRADO]]*tblAquisições[[#This Row],[QUANTIDADE COMPRADA]]</f>
        <v>0</v>
      </c>
      <c r="N5985" s="110">
        <f>K5985-tblAquisições[[#This Row],[QUANTIDADE PLANEJADA]]</f>
        <v>-25</v>
      </c>
      <c r="O5985" s="106" t="str">
        <f t="shared" si="184"/>
        <v>Faltando Comprar</v>
      </c>
    </row>
    <row r="5986" spans="1:15" ht="45">
      <c r="A5986" s="46" t="s">
        <v>3259</v>
      </c>
      <c r="B5986" s="46" t="s">
        <v>3267</v>
      </c>
      <c r="C5986" s="17" t="s">
        <v>19</v>
      </c>
      <c r="D5986" s="47" t="s">
        <v>2838</v>
      </c>
      <c r="E5986" s="48">
        <v>25</v>
      </c>
      <c r="F5986" s="47" t="s">
        <v>56</v>
      </c>
      <c r="G5986" s="47" t="s">
        <v>39</v>
      </c>
      <c r="H5986" s="51"/>
      <c r="I5986" s="49">
        <v>304.67</v>
      </c>
      <c r="J5986" s="50">
        <f t="shared" si="183"/>
        <v>7616.75</v>
      </c>
      <c r="K5986" s="106"/>
      <c r="L5986" s="114"/>
      <c r="M5986" s="114">
        <f>tblAquisições[[#This Row],[VALOR UNITARIO COMPRADO]]*tblAquisições[[#This Row],[QUANTIDADE COMPRADA]]</f>
        <v>0</v>
      </c>
      <c r="N5986" s="110">
        <f>K5986-tblAquisições[[#This Row],[QUANTIDADE PLANEJADA]]</f>
        <v>-25</v>
      </c>
      <c r="O5986" s="106" t="str">
        <f t="shared" si="184"/>
        <v>Faltando Comprar</v>
      </c>
    </row>
    <row r="5987" spans="1:15" ht="45">
      <c r="A5987" s="46" t="s">
        <v>3259</v>
      </c>
      <c r="B5987" s="46" t="s">
        <v>3259</v>
      </c>
      <c r="C5987" s="17" t="s">
        <v>19</v>
      </c>
      <c r="D5987" s="47" t="s">
        <v>3410</v>
      </c>
      <c r="E5987" s="48">
        <v>5</v>
      </c>
      <c r="F5987" s="47" t="s">
        <v>82</v>
      </c>
      <c r="G5987" s="47" t="s">
        <v>39</v>
      </c>
      <c r="H5987" s="48" t="s">
        <v>23</v>
      </c>
      <c r="I5987" s="49">
        <v>21.71</v>
      </c>
      <c r="J5987" s="50">
        <f t="shared" si="183"/>
        <v>108.55000000000001</v>
      </c>
      <c r="K5987" s="106"/>
      <c r="L5987" s="114"/>
      <c r="M5987" s="114">
        <f>tblAquisições[[#This Row],[VALOR UNITARIO COMPRADO]]*tblAquisições[[#This Row],[QUANTIDADE COMPRADA]]</f>
        <v>0</v>
      </c>
      <c r="N5987" s="110">
        <f>K5987-tblAquisições[[#This Row],[QUANTIDADE PLANEJADA]]</f>
        <v>-5</v>
      </c>
      <c r="O5987" s="106" t="str">
        <f t="shared" si="184"/>
        <v>Faltando Comprar</v>
      </c>
    </row>
    <row r="5988" spans="1:15" ht="45">
      <c r="A5988" s="46" t="s">
        <v>3259</v>
      </c>
      <c r="B5988" s="46" t="s">
        <v>3263</v>
      </c>
      <c r="C5988" s="17" t="s">
        <v>19</v>
      </c>
      <c r="D5988" s="47" t="s">
        <v>3410</v>
      </c>
      <c r="E5988" s="48">
        <v>12</v>
      </c>
      <c r="F5988" s="47" t="s">
        <v>82</v>
      </c>
      <c r="G5988" s="47" t="s">
        <v>39</v>
      </c>
      <c r="H5988" s="51"/>
      <c r="I5988" s="49">
        <v>21.71</v>
      </c>
      <c r="J5988" s="50">
        <f t="shared" si="183"/>
        <v>260.52</v>
      </c>
      <c r="K5988" s="106"/>
      <c r="L5988" s="114"/>
      <c r="M5988" s="114">
        <f>tblAquisições[[#This Row],[VALOR UNITARIO COMPRADO]]*tblAquisições[[#This Row],[QUANTIDADE COMPRADA]]</f>
        <v>0</v>
      </c>
      <c r="N5988" s="110">
        <f>K5988-tblAquisições[[#This Row],[QUANTIDADE PLANEJADA]]</f>
        <v>-12</v>
      </c>
      <c r="O5988" s="106" t="str">
        <f t="shared" si="184"/>
        <v>Faltando Comprar</v>
      </c>
    </row>
    <row r="5989" spans="1:15" ht="75">
      <c r="A5989" s="46" t="s">
        <v>3259</v>
      </c>
      <c r="B5989" s="46" t="s">
        <v>3259</v>
      </c>
      <c r="C5989" s="17" t="s">
        <v>19</v>
      </c>
      <c r="D5989" s="47" t="s">
        <v>3035</v>
      </c>
      <c r="E5989" s="48">
        <v>3</v>
      </c>
      <c r="F5989" s="47" t="s">
        <v>2742</v>
      </c>
      <c r="G5989" s="47" t="s">
        <v>39</v>
      </c>
      <c r="H5989" s="48" t="s">
        <v>23</v>
      </c>
      <c r="I5989" s="49">
        <v>73.569999999999993</v>
      </c>
      <c r="J5989" s="50">
        <f t="shared" si="183"/>
        <v>220.70999999999998</v>
      </c>
      <c r="K5989" s="106"/>
      <c r="L5989" s="114"/>
      <c r="M5989" s="114">
        <f>tblAquisições[[#This Row],[VALOR UNITARIO COMPRADO]]*tblAquisições[[#This Row],[QUANTIDADE COMPRADA]]</f>
        <v>0</v>
      </c>
      <c r="N5989" s="110">
        <f>K5989-tblAquisições[[#This Row],[QUANTIDADE PLANEJADA]]</f>
        <v>-3</v>
      </c>
      <c r="O5989" s="106" t="str">
        <f t="shared" si="184"/>
        <v>Faltando Comprar</v>
      </c>
    </row>
    <row r="5990" spans="1:15" ht="75">
      <c r="A5990" s="46" t="s">
        <v>3259</v>
      </c>
      <c r="B5990" s="46" t="s">
        <v>3263</v>
      </c>
      <c r="C5990" s="17" t="s">
        <v>19</v>
      </c>
      <c r="D5990" s="47" t="s">
        <v>3035</v>
      </c>
      <c r="E5990" s="48">
        <v>20</v>
      </c>
      <c r="F5990" s="47" t="s">
        <v>2742</v>
      </c>
      <c r="G5990" s="47" t="s">
        <v>39</v>
      </c>
      <c r="H5990" s="51"/>
      <c r="I5990" s="49">
        <v>73.569999999999993</v>
      </c>
      <c r="J5990" s="50">
        <f t="shared" si="183"/>
        <v>1471.3999999999999</v>
      </c>
      <c r="K5990" s="106"/>
      <c r="L5990" s="114"/>
      <c r="M5990" s="114">
        <f>tblAquisições[[#This Row],[VALOR UNITARIO COMPRADO]]*tblAquisições[[#This Row],[QUANTIDADE COMPRADA]]</f>
        <v>0</v>
      </c>
      <c r="N5990" s="110">
        <f>K5990-tblAquisições[[#This Row],[QUANTIDADE PLANEJADA]]</f>
        <v>-20</v>
      </c>
      <c r="O5990" s="106" t="str">
        <f t="shared" si="184"/>
        <v>Faltando Comprar</v>
      </c>
    </row>
    <row r="5991" spans="1:15" ht="60">
      <c r="A5991" s="46" t="s">
        <v>3259</v>
      </c>
      <c r="B5991" s="46" t="s">
        <v>3259</v>
      </c>
      <c r="C5991" s="17" t="s">
        <v>19</v>
      </c>
      <c r="D5991" s="47" t="s">
        <v>3037</v>
      </c>
      <c r="E5991" s="48">
        <v>5</v>
      </c>
      <c r="F5991" s="47" t="s">
        <v>96</v>
      </c>
      <c r="G5991" s="47" t="s">
        <v>39</v>
      </c>
      <c r="H5991" s="48" t="s">
        <v>23</v>
      </c>
      <c r="I5991" s="49">
        <v>37.33</v>
      </c>
      <c r="J5991" s="50">
        <f t="shared" si="183"/>
        <v>186.64999999999998</v>
      </c>
      <c r="K5991" s="106"/>
      <c r="L5991" s="114"/>
      <c r="M5991" s="114">
        <f>tblAquisições[[#This Row],[VALOR UNITARIO COMPRADO]]*tblAquisições[[#This Row],[QUANTIDADE COMPRADA]]</f>
        <v>0</v>
      </c>
      <c r="N5991" s="110">
        <f>K5991-tblAquisições[[#This Row],[QUANTIDADE PLANEJADA]]</f>
        <v>-5</v>
      </c>
      <c r="O5991" s="106" t="str">
        <f t="shared" si="184"/>
        <v>Faltando Comprar</v>
      </c>
    </row>
    <row r="5992" spans="1:15" ht="60">
      <c r="A5992" s="46" t="s">
        <v>3259</v>
      </c>
      <c r="B5992" s="46" t="s">
        <v>3263</v>
      </c>
      <c r="C5992" s="17" t="s">
        <v>19</v>
      </c>
      <c r="D5992" s="47" t="s">
        <v>3037</v>
      </c>
      <c r="E5992" s="48">
        <v>5</v>
      </c>
      <c r="F5992" s="47" t="s">
        <v>96</v>
      </c>
      <c r="G5992" s="47" t="s">
        <v>39</v>
      </c>
      <c r="H5992" s="51"/>
      <c r="I5992" s="49">
        <v>37.33</v>
      </c>
      <c r="J5992" s="50">
        <f t="shared" si="183"/>
        <v>186.64999999999998</v>
      </c>
      <c r="K5992" s="106"/>
      <c r="L5992" s="114"/>
      <c r="M5992" s="114">
        <f>tblAquisições[[#This Row],[VALOR UNITARIO COMPRADO]]*tblAquisições[[#This Row],[QUANTIDADE COMPRADA]]</f>
        <v>0</v>
      </c>
      <c r="N5992" s="110">
        <f>K5992-tblAquisições[[#This Row],[QUANTIDADE PLANEJADA]]</f>
        <v>-5</v>
      </c>
      <c r="O5992" s="106" t="str">
        <f t="shared" si="184"/>
        <v>Faltando Comprar</v>
      </c>
    </row>
    <row r="5993" spans="1:15" ht="60">
      <c r="A5993" s="46" t="s">
        <v>3259</v>
      </c>
      <c r="B5993" s="46" t="s">
        <v>3267</v>
      </c>
      <c r="C5993" s="17" t="s">
        <v>19</v>
      </c>
      <c r="D5993" s="47" t="s">
        <v>3411</v>
      </c>
      <c r="E5993" s="48">
        <v>25</v>
      </c>
      <c r="F5993" s="47" t="s">
        <v>2802</v>
      </c>
      <c r="G5993" s="47" t="s">
        <v>775</v>
      </c>
      <c r="H5993" s="51"/>
      <c r="I5993" s="49">
        <v>306.35000000000002</v>
      </c>
      <c r="J5993" s="50">
        <f t="shared" si="183"/>
        <v>7658.7500000000009</v>
      </c>
      <c r="K5993" s="106"/>
      <c r="L5993" s="114"/>
      <c r="M5993" s="114">
        <f>tblAquisições[[#This Row],[VALOR UNITARIO COMPRADO]]*tblAquisições[[#This Row],[QUANTIDADE COMPRADA]]</f>
        <v>0</v>
      </c>
      <c r="N5993" s="110">
        <f>K5993-tblAquisições[[#This Row],[QUANTIDADE PLANEJADA]]</f>
        <v>-25</v>
      </c>
      <c r="O5993" s="106" t="str">
        <f t="shared" si="184"/>
        <v>Faltando Comprar</v>
      </c>
    </row>
    <row r="5994" spans="1:15" ht="120">
      <c r="A5994" s="46" t="s">
        <v>3259</v>
      </c>
      <c r="B5994" s="46" t="s">
        <v>3260</v>
      </c>
      <c r="C5994" s="17" t="s">
        <v>19</v>
      </c>
      <c r="D5994" s="47" t="s">
        <v>3039</v>
      </c>
      <c r="E5994" s="48">
        <v>5</v>
      </c>
      <c r="F5994" s="47" t="s">
        <v>1468</v>
      </c>
      <c r="G5994" s="47" t="s">
        <v>775</v>
      </c>
      <c r="H5994" s="48" t="s">
        <v>23</v>
      </c>
      <c r="I5994" s="49">
        <v>3500</v>
      </c>
      <c r="J5994" s="50">
        <f t="shared" si="183"/>
        <v>17500</v>
      </c>
      <c r="K5994" s="106"/>
      <c r="L5994" s="114"/>
      <c r="M5994" s="114">
        <f>tblAquisições[[#This Row],[VALOR UNITARIO COMPRADO]]*tblAquisições[[#This Row],[QUANTIDADE COMPRADA]]</f>
        <v>0</v>
      </c>
      <c r="N5994" s="110">
        <f>K5994-tblAquisições[[#This Row],[QUANTIDADE PLANEJADA]]</f>
        <v>-5</v>
      </c>
      <c r="O5994" s="106" t="str">
        <f t="shared" si="184"/>
        <v>Faltando Comprar</v>
      </c>
    </row>
    <row r="5995" spans="1:15" ht="120">
      <c r="A5995" s="46" t="s">
        <v>3259</v>
      </c>
      <c r="B5995" s="46" t="s">
        <v>3267</v>
      </c>
      <c r="C5995" s="17" t="s">
        <v>19</v>
      </c>
      <c r="D5995" s="47" t="s">
        <v>3039</v>
      </c>
      <c r="E5995" s="48">
        <v>15</v>
      </c>
      <c r="F5995" s="47" t="s">
        <v>1468</v>
      </c>
      <c r="G5995" s="47" t="s">
        <v>775</v>
      </c>
      <c r="H5995" s="48" t="s">
        <v>23</v>
      </c>
      <c r="I5995" s="49">
        <v>3500</v>
      </c>
      <c r="J5995" s="50">
        <f t="shared" si="183"/>
        <v>52500</v>
      </c>
      <c r="K5995" s="106"/>
      <c r="L5995" s="114"/>
      <c r="M5995" s="114">
        <f>tblAquisições[[#This Row],[VALOR UNITARIO COMPRADO]]*tblAquisições[[#This Row],[QUANTIDADE COMPRADA]]</f>
        <v>0</v>
      </c>
      <c r="N5995" s="110">
        <f>K5995-tblAquisições[[#This Row],[QUANTIDADE PLANEJADA]]</f>
        <v>-15</v>
      </c>
      <c r="O5995" s="106" t="str">
        <f t="shared" si="184"/>
        <v>Faltando Comprar</v>
      </c>
    </row>
    <row r="5996" spans="1:15" ht="120">
      <c r="A5996" s="46" t="s">
        <v>3259</v>
      </c>
      <c r="B5996" s="46" t="s">
        <v>3267</v>
      </c>
      <c r="C5996" s="17" t="s">
        <v>19</v>
      </c>
      <c r="D5996" s="47" t="s">
        <v>3040</v>
      </c>
      <c r="E5996" s="48">
        <v>5</v>
      </c>
      <c r="F5996" s="47" t="s">
        <v>1468</v>
      </c>
      <c r="G5996" s="47" t="s">
        <v>775</v>
      </c>
      <c r="H5996" s="48" t="s">
        <v>23</v>
      </c>
      <c r="I5996" s="49">
        <v>430</v>
      </c>
      <c r="J5996" s="50">
        <f t="shared" si="183"/>
        <v>2150</v>
      </c>
      <c r="K5996" s="106"/>
      <c r="L5996" s="114"/>
      <c r="M5996" s="114">
        <f>tblAquisições[[#This Row],[VALOR UNITARIO COMPRADO]]*tblAquisições[[#This Row],[QUANTIDADE COMPRADA]]</f>
        <v>0</v>
      </c>
      <c r="N5996" s="110">
        <f>K5996-tblAquisições[[#This Row],[QUANTIDADE PLANEJADA]]</f>
        <v>-5</v>
      </c>
      <c r="O5996" s="106" t="str">
        <f t="shared" si="184"/>
        <v>Faltando Comprar</v>
      </c>
    </row>
    <row r="5997" spans="1:15" ht="120">
      <c r="A5997" s="46" t="s">
        <v>3259</v>
      </c>
      <c r="B5997" s="46" t="s">
        <v>3267</v>
      </c>
      <c r="C5997" s="17" t="s">
        <v>19</v>
      </c>
      <c r="D5997" s="47" t="s">
        <v>3412</v>
      </c>
      <c r="E5997" s="48">
        <v>15</v>
      </c>
      <c r="F5997" s="47" t="s">
        <v>1468</v>
      </c>
      <c r="G5997" s="47" t="s">
        <v>775</v>
      </c>
      <c r="H5997" s="48" t="s">
        <v>23</v>
      </c>
      <c r="I5997" s="49">
        <v>2300</v>
      </c>
      <c r="J5997" s="50">
        <f t="shared" si="183"/>
        <v>34500</v>
      </c>
      <c r="K5997" s="106"/>
      <c r="L5997" s="114"/>
      <c r="M5997" s="114">
        <f>tblAquisições[[#This Row],[VALOR UNITARIO COMPRADO]]*tblAquisições[[#This Row],[QUANTIDADE COMPRADA]]</f>
        <v>0</v>
      </c>
      <c r="N5997" s="110">
        <f>K5997-tblAquisições[[#This Row],[QUANTIDADE PLANEJADA]]</f>
        <v>-15</v>
      </c>
      <c r="O5997" s="106" t="str">
        <f t="shared" si="184"/>
        <v>Faltando Comprar</v>
      </c>
    </row>
    <row r="5998" spans="1:15" ht="60">
      <c r="A5998" s="46" t="s">
        <v>3259</v>
      </c>
      <c r="B5998" s="46" t="s">
        <v>3259</v>
      </c>
      <c r="C5998" s="17" t="s">
        <v>19</v>
      </c>
      <c r="D5998" s="47" t="s">
        <v>3413</v>
      </c>
      <c r="E5998" s="48">
        <v>5</v>
      </c>
      <c r="F5998" s="47" t="s">
        <v>2802</v>
      </c>
      <c r="G5998" s="47" t="s">
        <v>775</v>
      </c>
      <c r="H5998" s="48" t="s">
        <v>23</v>
      </c>
      <c r="I5998" s="49">
        <v>95.37</v>
      </c>
      <c r="J5998" s="50">
        <f t="shared" si="183"/>
        <v>476.85</v>
      </c>
      <c r="K5998" s="106"/>
      <c r="L5998" s="114"/>
      <c r="M5998" s="114">
        <f>tblAquisições[[#This Row],[VALOR UNITARIO COMPRADO]]*tblAquisições[[#This Row],[QUANTIDADE COMPRADA]]</f>
        <v>0</v>
      </c>
      <c r="N5998" s="110">
        <f>K5998-tblAquisições[[#This Row],[QUANTIDADE PLANEJADA]]</f>
        <v>-5</v>
      </c>
      <c r="O5998" s="106" t="str">
        <f t="shared" si="184"/>
        <v>Faltando Comprar</v>
      </c>
    </row>
    <row r="5999" spans="1:15" ht="60">
      <c r="A5999" s="46" t="s">
        <v>3259</v>
      </c>
      <c r="B5999" s="46" t="s">
        <v>3263</v>
      </c>
      <c r="C5999" s="17" t="s">
        <v>19</v>
      </c>
      <c r="D5999" s="47" t="s">
        <v>3413</v>
      </c>
      <c r="E5999" s="48">
        <v>50</v>
      </c>
      <c r="F5999" s="47" t="s">
        <v>2802</v>
      </c>
      <c r="G5999" s="47" t="s">
        <v>775</v>
      </c>
      <c r="H5999" s="51"/>
      <c r="I5999" s="49">
        <v>95.37</v>
      </c>
      <c r="J5999" s="50">
        <f t="shared" si="183"/>
        <v>4768.5</v>
      </c>
      <c r="K5999" s="106"/>
      <c r="L5999" s="114"/>
      <c r="M5999" s="114">
        <f>tblAquisições[[#This Row],[VALOR UNITARIO COMPRADO]]*tblAquisições[[#This Row],[QUANTIDADE COMPRADA]]</f>
        <v>0</v>
      </c>
      <c r="N5999" s="110">
        <f>K5999-tblAquisições[[#This Row],[QUANTIDADE PLANEJADA]]</f>
        <v>-50</v>
      </c>
      <c r="O5999" s="106" t="str">
        <f t="shared" si="184"/>
        <v>Faltando Comprar</v>
      </c>
    </row>
    <row r="6000" spans="1:15" ht="60">
      <c r="A6000" s="46" t="s">
        <v>3259</v>
      </c>
      <c r="B6000" s="46" t="s">
        <v>3259</v>
      </c>
      <c r="C6000" s="17" t="s">
        <v>19</v>
      </c>
      <c r="D6000" s="47" t="s">
        <v>3414</v>
      </c>
      <c r="E6000" s="48">
        <v>5</v>
      </c>
      <c r="F6000" s="47" t="s">
        <v>2802</v>
      </c>
      <c r="G6000" s="47" t="s">
        <v>775</v>
      </c>
      <c r="H6000" s="48" t="s">
        <v>23</v>
      </c>
      <c r="I6000" s="49">
        <v>46.18</v>
      </c>
      <c r="J6000" s="50">
        <f t="shared" si="183"/>
        <v>230.9</v>
      </c>
      <c r="K6000" s="106"/>
      <c r="L6000" s="114"/>
      <c r="M6000" s="114">
        <f>tblAquisições[[#This Row],[VALOR UNITARIO COMPRADO]]*tblAquisições[[#This Row],[QUANTIDADE COMPRADA]]</f>
        <v>0</v>
      </c>
      <c r="N6000" s="110">
        <f>K6000-tblAquisições[[#This Row],[QUANTIDADE PLANEJADA]]</f>
        <v>-5</v>
      </c>
      <c r="O6000" s="106" t="str">
        <f t="shared" si="184"/>
        <v>Faltando Comprar</v>
      </c>
    </row>
    <row r="6001" spans="1:15" ht="60">
      <c r="A6001" s="46" t="s">
        <v>3259</v>
      </c>
      <c r="B6001" s="46" t="s">
        <v>3263</v>
      </c>
      <c r="C6001" s="17" t="s">
        <v>19</v>
      </c>
      <c r="D6001" s="47" t="s">
        <v>3414</v>
      </c>
      <c r="E6001" s="48">
        <v>50</v>
      </c>
      <c r="F6001" s="47" t="s">
        <v>2802</v>
      </c>
      <c r="G6001" s="47" t="s">
        <v>775</v>
      </c>
      <c r="H6001" s="51"/>
      <c r="I6001" s="49">
        <v>46.18</v>
      </c>
      <c r="J6001" s="50">
        <f t="shared" si="183"/>
        <v>2309</v>
      </c>
      <c r="K6001" s="106"/>
      <c r="L6001" s="114"/>
      <c r="M6001" s="114">
        <f>tblAquisições[[#This Row],[VALOR UNITARIO COMPRADO]]*tblAquisições[[#This Row],[QUANTIDADE COMPRADA]]</f>
        <v>0</v>
      </c>
      <c r="N6001" s="110">
        <f>K6001-tblAquisições[[#This Row],[QUANTIDADE PLANEJADA]]</f>
        <v>-50</v>
      </c>
      <c r="O6001" s="106" t="str">
        <f t="shared" si="184"/>
        <v>Faltando Comprar</v>
      </c>
    </row>
    <row r="6002" spans="1:15" ht="60">
      <c r="A6002" s="46" t="s">
        <v>3259</v>
      </c>
      <c r="B6002" s="46" t="s">
        <v>3267</v>
      </c>
      <c r="C6002" s="17" t="s">
        <v>19</v>
      </c>
      <c r="D6002" s="47" t="s">
        <v>3414</v>
      </c>
      <c r="E6002" s="48">
        <v>25</v>
      </c>
      <c r="F6002" s="47" t="s">
        <v>2802</v>
      </c>
      <c r="G6002" s="47" t="s">
        <v>775</v>
      </c>
      <c r="H6002" s="51"/>
      <c r="I6002" s="49">
        <v>46.18</v>
      </c>
      <c r="J6002" s="50">
        <f t="shared" si="183"/>
        <v>1154.5</v>
      </c>
      <c r="K6002" s="106"/>
      <c r="L6002" s="114"/>
      <c r="M6002" s="114">
        <f>tblAquisições[[#This Row],[VALOR UNITARIO COMPRADO]]*tblAquisições[[#This Row],[QUANTIDADE COMPRADA]]</f>
        <v>0</v>
      </c>
      <c r="N6002" s="110">
        <f>K6002-tblAquisições[[#This Row],[QUANTIDADE PLANEJADA]]</f>
        <v>-25</v>
      </c>
      <c r="O6002" s="106" t="str">
        <f t="shared" si="184"/>
        <v>Faltando Comprar</v>
      </c>
    </row>
    <row r="6003" spans="1:15" ht="45">
      <c r="A6003" s="46" t="s">
        <v>3259</v>
      </c>
      <c r="B6003" s="46" t="s">
        <v>3267</v>
      </c>
      <c r="C6003" s="17" t="s">
        <v>19</v>
      </c>
      <c r="D6003" s="47" t="s">
        <v>3415</v>
      </c>
      <c r="E6003" s="48">
        <v>20</v>
      </c>
      <c r="F6003" s="47" t="s">
        <v>56</v>
      </c>
      <c r="G6003" s="47" t="s">
        <v>39</v>
      </c>
      <c r="H6003" s="51"/>
      <c r="I6003" s="49">
        <v>8.4700000000000006</v>
      </c>
      <c r="J6003" s="50">
        <f t="shared" ref="J6003:J6066" si="185">E6003*I6003</f>
        <v>169.4</v>
      </c>
      <c r="K6003" s="106"/>
      <c r="L6003" s="114"/>
      <c r="M6003" s="114">
        <f>tblAquisições[[#This Row],[VALOR UNITARIO COMPRADO]]*tblAquisições[[#This Row],[QUANTIDADE COMPRADA]]</f>
        <v>0</v>
      </c>
      <c r="N6003" s="110">
        <f>K6003-tblAquisições[[#This Row],[QUANTIDADE PLANEJADA]]</f>
        <v>-20</v>
      </c>
      <c r="O6003" s="106" t="str">
        <f t="shared" si="184"/>
        <v>Faltando Comprar</v>
      </c>
    </row>
    <row r="6004" spans="1:15" ht="60">
      <c r="A6004" s="46" t="s">
        <v>3259</v>
      </c>
      <c r="B6004" s="46" t="s">
        <v>3259</v>
      </c>
      <c r="C6004" s="17" t="s">
        <v>19</v>
      </c>
      <c r="D6004" s="47" t="s">
        <v>3416</v>
      </c>
      <c r="E6004" s="48">
        <v>4</v>
      </c>
      <c r="F6004" s="47" t="s">
        <v>191</v>
      </c>
      <c r="G6004" s="47" t="s">
        <v>39</v>
      </c>
      <c r="H6004" s="48" t="s">
        <v>23</v>
      </c>
      <c r="I6004" s="49">
        <v>58.5</v>
      </c>
      <c r="J6004" s="50">
        <f t="shared" si="185"/>
        <v>234</v>
      </c>
      <c r="K6004" s="106"/>
      <c r="L6004" s="114"/>
      <c r="M6004" s="114">
        <f>tblAquisições[[#This Row],[VALOR UNITARIO COMPRADO]]*tblAquisições[[#This Row],[QUANTIDADE COMPRADA]]</f>
        <v>0</v>
      </c>
      <c r="N6004" s="110">
        <f>K6004-tblAquisições[[#This Row],[QUANTIDADE PLANEJADA]]</f>
        <v>-4</v>
      </c>
      <c r="O6004" s="106" t="str">
        <f t="shared" si="184"/>
        <v>Faltando Comprar</v>
      </c>
    </row>
    <row r="6005" spans="1:15" ht="60">
      <c r="A6005" s="46" t="s">
        <v>3259</v>
      </c>
      <c r="B6005" s="46" t="s">
        <v>3263</v>
      </c>
      <c r="C6005" s="17" t="s">
        <v>19</v>
      </c>
      <c r="D6005" s="47" t="s">
        <v>3416</v>
      </c>
      <c r="E6005" s="48">
        <v>5</v>
      </c>
      <c r="F6005" s="47" t="s">
        <v>191</v>
      </c>
      <c r="G6005" s="47" t="s">
        <v>39</v>
      </c>
      <c r="H6005" s="51"/>
      <c r="I6005" s="49">
        <v>58.5</v>
      </c>
      <c r="J6005" s="50">
        <f t="shared" si="185"/>
        <v>292.5</v>
      </c>
      <c r="K6005" s="106"/>
      <c r="L6005" s="114"/>
      <c r="M6005" s="114">
        <f>tblAquisições[[#This Row],[VALOR UNITARIO COMPRADO]]*tblAquisições[[#This Row],[QUANTIDADE COMPRADA]]</f>
        <v>0</v>
      </c>
      <c r="N6005" s="110">
        <f>K6005-tblAquisições[[#This Row],[QUANTIDADE PLANEJADA]]</f>
        <v>-5</v>
      </c>
      <c r="O6005" s="106" t="str">
        <f t="shared" si="184"/>
        <v>Faltando Comprar</v>
      </c>
    </row>
    <row r="6006" spans="1:15" ht="90">
      <c r="A6006" s="46" t="s">
        <v>3259</v>
      </c>
      <c r="B6006" s="46" t="s">
        <v>3267</v>
      </c>
      <c r="C6006" s="17" t="s">
        <v>19</v>
      </c>
      <c r="D6006" s="47" t="s">
        <v>3417</v>
      </c>
      <c r="E6006" s="48">
        <v>25</v>
      </c>
      <c r="F6006" s="47" t="s">
        <v>2856</v>
      </c>
      <c r="G6006" s="47" t="s">
        <v>39</v>
      </c>
      <c r="H6006" s="51"/>
      <c r="I6006" s="49">
        <v>195.79</v>
      </c>
      <c r="J6006" s="50">
        <f t="shared" si="185"/>
        <v>4894.75</v>
      </c>
      <c r="K6006" s="106"/>
      <c r="L6006" s="114"/>
      <c r="M6006" s="114">
        <f>tblAquisições[[#This Row],[VALOR UNITARIO COMPRADO]]*tblAquisições[[#This Row],[QUANTIDADE COMPRADA]]</f>
        <v>0</v>
      </c>
      <c r="N6006" s="110">
        <f>K6006-tblAquisições[[#This Row],[QUANTIDADE PLANEJADA]]</f>
        <v>-25</v>
      </c>
      <c r="O6006" s="106" t="str">
        <f t="shared" si="184"/>
        <v>Faltando Comprar</v>
      </c>
    </row>
    <row r="6007" spans="1:15" ht="60">
      <c r="A6007" s="46" t="s">
        <v>3259</v>
      </c>
      <c r="B6007" s="46" t="s">
        <v>3259</v>
      </c>
      <c r="C6007" s="17" t="s">
        <v>19</v>
      </c>
      <c r="D6007" s="47" t="s">
        <v>3418</v>
      </c>
      <c r="E6007" s="48">
        <v>3</v>
      </c>
      <c r="F6007" s="47" t="s">
        <v>96</v>
      </c>
      <c r="G6007" s="47" t="s">
        <v>39</v>
      </c>
      <c r="H6007" s="48" t="s">
        <v>23</v>
      </c>
      <c r="I6007" s="49">
        <v>4.93</v>
      </c>
      <c r="J6007" s="50">
        <f t="shared" si="185"/>
        <v>14.79</v>
      </c>
      <c r="K6007" s="106"/>
      <c r="L6007" s="114"/>
      <c r="M6007" s="114">
        <f>tblAquisições[[#This Row],[VALOR UNITARIO COMPRADO]]*tblAquisições[[#This Row],[QUANTIDADE COMPRADA]]</f>
        <v>0</v>
      </c>
      <c r="N6007" s="110">
        <f>K6007-tblAquisições[[#This Row],[QUANTIDADE PLANEJADA]]</f>
        <v>-3</v>
      </c>
      <c r="O6007" s="106" t="str">
        <f t="shared" si="184"/>
        <v>Faltando Comprar</v>
      </c>
    </row>
    <row r="6008" spans="1:15" ht="60">
      <c r="A6008" s="46" t="s">
        <v>3259</v>
      </c>
      <c r="B6008" s="46" t="s">
        <v>3259</v>
      </c>
      <c r="C6008" s="17" t="s">
        <v>19</v>
      </c>
      <c r="D6008" s="47" t="s">
        <v>3419</v>
      </c>
      <c r="E6008" s="48">
        <v>20</v>
      </c>
      <c r="F6008" s="47" t="s">
        <v>191</v>
      </c>
      <c r="G6008" s="47" t="s">
        <v>39</v>
      </c>
      <c r="H6008" s="48" t="s">
        <v>23</v>
      </c>
      <c r="I6008" s="49">
        <v>14.58</v>
      </c>
      <c r="J6008" s="50">
        <f t="shared" si="185"/>
        <v>291.60000000000002</v>
      </c>
      <c r="K6008" s="106"/>
      <c r="L6008" s="114"/>
      <c r="M6008" s="114">
        <f>tblAquisições[[#This Row],[VALOR UNITARIO COMPRADO]]*tblAquisições[[#This Row],[QUANTIDADE COMPRADA]]</f>
        <v>0</v>
      </c>
      <c r="N6008" s="110">
        <f>K6008-tblAquisições[[#This Row],[QUANTIDADE PLANEJADA]]</f>
        <v>-20</v>
      </c>
      <c r="O6008" s="106" t="str">
        <f t="shared" si="184"/>
        <v>Faltando Comprar</v>
      </c>
    </row>
    <row r="6009" spans="1:15" ht="60">
      <c r="A6009" s="46" t="s">
        <v>3259</v>
      </c>
      <c r="B6009" s="46" t="s">
        <v>3263</v>
      </c>
      <c r="C6009" s="17" t="s">
        <v>19</v>
      </c>
      <c r="D6009" s="47" t="s">
        <v>3419</v>
      </c>
      <c r="E6009" s="48">
        <v>50</v>
      </c>
      <c r="F6009" s="47" t="s">
        <v>191</v>
      </c>
      <c r="G6009" s="47" t="s">
        <v>39</v>
      </c>
      <c r="H6009" s="51"/>
      <c r="I6009" s="49">
        <v>14.58</v>
      </c>
      <c r="J6009" s="50">
        <f t="shared" si="185"/>
        <v>729</v>
      </c>
      <c r="K6009" s="106"/>
      <c r="L6009" s="114"/>
      <c r="M6009" s="114">
        <f>tblAquisições[[#This Row],[VALOR UNITARIO COMPRADO]]*tblAquisições[[#This Row],[QUANTIDADE COMPRADA]]</f>
        <v>0</v>
      </c>
      <c r="N6009" s="110">
        <f>K6009-tblAquisições[[#This Row],[QUANTIDADE PLANEJADA]]</f>
        <v>-50</v>
      </c>
      <c r="O6009" s="106" t="str">
        <f t="shared" si="184"/>
        <v>Faltando Comprar</v>
      </c>
    </row>
    <row r="6010" spans="1:15" ht="45">
      <c r="A6010" s="46" t="s">
        <v>3259</v>
      </c>
      <c r="B6010" s="46" t="s">
        <v>3267</v>
      </c>
      <c r="C6010" s="17" t="s">
        <v>19</v>
      </c>
      <c r="D6010" s="47" t="s">
        <v>3420</v>
      </c>
      <c r="E6010" s="48">
        <v>25</v>
      </c>
      <c r="F6010" s="47" t="s">
        <v>56</v>
      </c>
      <c r="G6010" s="47" t="s">
        <v>39</v>
      </c>
      <c r="H6010" s="51"/>
      <c r="I6010" s="49">
        <v>14.37</v>
      </c>
      <c r="J6010" s="50">
        <f t="shared" si="185"/>
        <v>359.25</v>
      </c>
      <c r="K6010" s="106"/>
      <c r="L6010" s="114"/>
      <c r="M6010" s="114">
        <f>tblAquisições[[#This Row],[VALOR UNITARIO COMPRADO]]*tblAquisições[[#This Row],[QUANTIDADE COMPRADA]]</f>
        <v>0</v>
      </c>
      <c r="N6010" s="110">
        <f>K6010-tblAquisições[[#This Row],[QUANTIDADE PLANEJADA]]</f>
        <v>-25</v>
      </c>
      <c r="O6010" s="106" t="str">
        <f t="shared" si="184"/>
        <v>Faltando Comprar</v>
      </c>
    </row>
    <row r="6011" spans="1:15" ht="60">
      <c r="A6011" s="46" t="s">
        <v>3259</v>
      </c>
      <c r="B6011" s="46" t="s">
        <v>3259</v>
      </c>
      <c r="C6011" s="17" t="s">
        <v>19</v>
      </c>
      <c r="D6011" s="47" t="s">
        <v>3421</v>
      </c>
      <c r="E6011" s="48">
        <v>6</v>
      </c>
      <c r="F6011" s="47" t="s">
        <v>191</v>
      </c>
      <c r="G6011" s="47" t="s">
        <v>39</v>
      </c>
      <c r="H6011" s="48" t="s">
        <v>23</v>
      </c>
      <c r="I6011" s="49">
        <v>59.9</v>
      </c>
      <c r="J6011" s="50">
        <f t="shared" si="185"/>
        <v>359.4</v>
      </c>
      <c r="K6011" s="106"/>
      <c r="L6011" s="114"/>
      <c r="M6011" s="114">
        <f>tblAquisições[[#This Row],[VALOR UNITARIO COMPRADO]]*tblAquisições[[#This Row],[QUANTIDADE COMPRADA]]</f>
        <v>0</v>
      </c>
      <c r="N6011" s="110">
        <f>K6011-tblAquisições[[#This Row],[QUANTIDADE PLANEJADA]]</f>
        <v>-6</v>
      </c>
      <c r="O6011" s="106" t="str">
        <f t="shared" si="184"/>
        <v>Faltando Comprar</v>
      </c>
    </row>
    <row r="6012" spans="1:15" ht="60">
      <c r="A6012" s="46" t="s">
        <v>3259</v>
      </c>
      <c r="B6012" s="46" t="s">
        <v>3263</v>
      </c>
      <c r="C6012" s="17" t="s">
        <v>19</v>
      </c>
      <c r="D6012" s="47" t="s">
        <v>3421</v>
      </c>
      <c r="E6012" s="48">
        <v>5</v>
      </c>
      <c r="F6012" s="47" t="s">
        <v>191</v>
      </c>
      <c r="G6012" s="47" t="s">
        <v>39</v>
      </c>
      <c r="H6012" s="51"/>
      <c r="I6012" s="49">
        <v>59.9</v>
      </c>
      <c r="J6012" s="50">
        <f t="shared" si="185"/>
        <v>299.5</v>
      </c>
      <c r="K6012" s="106"/>
      <c r="L6012" s="114"/>
      <c r="M6012" s="114">
        <f>tblAquisições[[#This Row],[VALOR UNITARIO COMPRADO]]*tblAquisições[[#This Row],[QUANTIDADE COMPRADA]]</f>
        <v>0</v>
      </c>
      <c r="N6012" s="110">
        <f>K6012-tblAquisições[[#This Row],[QUANTIDADE PLANEJADA]]</f>
        <v>-5</v>
      </c>
      <c r="O6012" s="106" t="str">
        <f t="shared" si="184"/>
        <v>Faltando Comprar</v>
      </c>
    </row>
    <row r="6013" spans="1:15" ht="45">
      <c r="A6013" s="46" t="s">
        <v>3259</v>
      </c>
      <c r="B6013" s="46" t="s">
        <v>3267</v>
      </c>
      <c r="C6013" s="17" t="s">
        <v>19</v>
      </c>
      <c r="D6013" s="47" t="s">
        <v>3422</v>
      </c>
      <c r="E6013" s="48">
        <v>25</v>
      </c>
      <c r="F6013" s="47" t="s">
        <v>56</v>
      </c>
      <c r="G6013" s="47" t="s">
        <v>39</v>
      </c>
      <c r="H6013" s="51"/>
      <c r="I6013" s="49">
        <v>336.3</v>
      </c>
      <c r="J6013" s="50">
        <f t="shared" si="185"/>
        <v>8407.5</v>
      </c>
      <c r="K6013" s="106"/>
      <c r="L6013" s="114"/>
      <c r="M6013" s="114">
        <f>tblAquisições[[#This Row],[VALOR UNITARIO COMPRADO]]*tblAquisições[[#This Row],[QUANTIDADE COMPRADA]]</f>
        <v>0</v>
      </c>
      <c r="N6013" s="110">
        <f>K6013-tblAquisições[[#This Row],[QUANTIDADE PLANEJADA]]</f>
        <v>-25</v>
      </c>
      <c r="O6013" s="106" t="str">
        <f t="shared" si="184"/>
        <v>Faltando Comprar</v>
      </c>
    </row>
    <row r="6014" spans="1:15" ht="45">
      <c r="A6014" s="46" t="s">
        <v>3259</v>
      </c>
      <c r="B6014" s="46" t="s">
        <v>3267</v>
      </c>
      <c r="C6014" s="17" t="s">
        <v>19</v>
      </c>
      <c r="D6014" s="47" t="s">
        <v>3423</v>
      </c>
      <c r="E6014" s="48">
        <v>25</v>
      </c>
      <c r="F6014" s="47" t="s">
        <v>56</v>
      </c>
      <c r="G6014" s="47" t="s">
        <v>39</v>
      </c>
      <c r="H6014" s="51"/>
      <c r="I6014" s="49">
        <v>2245.66</v>
      </c>
      <c r="J6014" s="50">
        <f t="shared" si="185"/>
        <v>56141.5</v>
      </c>
      <c r="K6014" s="106"/>
      <c r="L6014" s="114"/>
      <c r="M6014" s="114">
        <f>tblAquisições[[#This Row],[VALOR UNITARIO COMPRADO]]*tblAquisições[[#This Row],[QUANTIDADE COMPRADA]]</f>
        <v>0</v>
      </c>
      <c r="N6014" s="110">
        <f>K6014-tblAquisições[[#This Row],[QUANTIDADE PLANEJADA]]</f>
        <v>-25</v>
      </c>
      <c r="O6014" s="106" t="str">
        <f t="shared" si="184"/>
        <v>Faltando Comprar</v>
      </c>
    </row>
    <row r="6015" spans="1:15" ht="45">
      <c r="A6015" s="46" t="s">
        <v>3259</v>
      </c>
      <c r="B6015" s="46" t="s">
        <v>3267</v>
      </c>
      <c r="C6015" s="17" t="s">
        <v>19</v>
      </c>
      <c r="D6015" s="47" t="s">
        <v>3045</v>
      </c>
      <c r="E6015" s="48">
        <v>25</v>
      </c>
      <c r="F6015" s="47" t="s">
        <v>56</v>
      </c>
      <c r="G6015" s="47" t="s">
        <v>39</v>
      </c>
      <c r="H6015" s="51"/>
      <c r="I6015" s="49">
        <v>151.33000000000001</v>
      </c>
      <c r="J6015" s="50">
        <f t="shared" si="185"/>
        <v>3783.2500000000005</v>
      </c>
      <c r="K6015" s="106"/>
      <c r="L6015" s="114"/>
      <c r="M6015" s="114">
        <f>tblAquisições[[#This Row],[VALOR UNITARIO COMPRADO]]*tblAquisições[[#This Row],[QUANTIDADE COMPRADA]]</f>
        <v>0</v>
      </c>
      <c r="N6015" s="110">
        <f>K6015-tblAquisições[[#This Row],[QUANTIDADE PLANEJADA]]</f>
        <v>-25</v>
      </c>
      <c r="O6015" s="106" t="str">
        <f t="shared" si="184"/>
        <v>Faltando Comprar</v>
      </c>
    </row>
    <row r="6016" spans="1:15" ht="45">
      <c r="A6016" s="46" t="s">
        <v>3259</v>
      </c>
      <c r="B6016" s="46" t="s">
        <v>3260</v>
      </c>
      <c r="C6016" s="17" t="s">
        <v>19</v>
      </c>
      <c r="D6016" s="47" t="s">
        <v>2529</v>
      </c>
      <c r="E6016" s="48">
        <v>100</v>
      </c>
      <c r="F6016" s="47" t="s">
        <v>38</v>
      </c>
      <c r="G6016" s="47" t="s">
        <v>39</v>
      </c>
      <c r="H6016" s="48" t="s">
        <v>23</v>
      </c>
      <c r="I6016" s="49">
        <v>1.4</v>
      </c>
      <c r="J6016" s="50">
        <f t="shared" si="185"/>
        <v>140</v>
      </c>
      <c r="K6016" s="106"/>
      <c r="L6016" s="114"/>
      <c r="M6016" s="114">
        <f>tblAquisições[[#This Row],[VALOR UNITARIO COMPRADO]]*tblAquisições[[#This Row],[QUANTIDADE COMPRADA]]</f>
        <v>0</v>
      </c>
      <c r="N6016" s="110">
        <f>K6016-tblAquisições[[#This Row],[QUANTIDADE PLANEJADA]]</f>
        <v>-100</v>
      </c>
      <c r="O6016" s="106" t="str">
        <f t="shared" si="184"/>
        <v>Faltando Comprar</v>
      </c>
    </row>
    <row r="6017" spans="1:15" ht="60">
      <c r="A6017" s="46" t="s">
        <v>3259</v>
      </c>
      <c r="B6017" s="46" t="s">
        <v>3267</v>
      </c>
      <c r="C6017" s="17" t="s">
        <v>19</v>
      </c>
      <c r="D6017" s="47" t="s">
        <v>3424</v>
      </c>
      <c r="E6017" s="48">
        <v>25</v>
      </c>
      <c r="F6017" s="47" t="s">
        <v>2678</v>
      </c>
      <c r="G6017" s="47" t="s">
        <v>775</v>
      </c>
      <c r="H6017" s="51"/>
      <c r="I6017" s="49">
        <v>3076.17</v>
      </c>
      <c r="J6017" s="50">
        <f t="shared" si="185"/>
        <v>76904.25</v>
      </c>
      <c r="K6017" s="106"/>
      <c r="L6017" s="114"/>
      <c r="M6017" s="114">
        <f>tblAquisições[[#This Row],[VALOR UNITARIO COMPRADO]]*tblAquisições[[#This Row],[QUANTIDADE COMPRADA]]</f>
        <v>0</v>
      </c>
      <c r="N6017" s="110">
        <f>K6017-tblAquisições[[#This Row],[QUANTIDADE PLANEJADA]]</f>
        <v>-25</v>
      </c>
      <c r="O6017" s="106" t="str">
        <f t="shared" si="184"/>
        <v>Faltando Comprar</v>
      </c>
    </row>
    <row r="6018" spans="1:15" ht="60">
      <c r="A6018" s="46" t="s">
        <v>3259</v>
      </c>
      <c r="B6018" s="46" t="s">
        <v>3267</v>
      </c>
      <c r="C6018" s="17" t="s">
        <v>19</v>
      </c>
      <c r="D6018" s="47" t="s">
        <v>2851</v>
      </c>
      <c r="E6018" s="48">
        <v>25</v>
      </c>
      <c r="F6018" s="47" t="s">
        <v>2678</v>
      </c>
      <c r="G6018" s="47" t="s">
        <v>775</v>
      </c>
      <c r="H6018" s="51"/>
      <c r="I6018" s="49">
        <v>3876.33</v>
      </c>
      <c r="J6018" s="50">
        <f t="shared" si="185"/>
        <v>96908.25</v>
      </c>
      <c r="K6018" s="106"/>
      <c r="L6018" s="114"/>
      <c r="M6018" s="114">
        <f>tblAquisições[[#This Row],[VALOR UNITARIO COMPRADO]]*tblAquisições[[#This Row],[QUANTIDADE COMPRADA]]</f>
        <v>0</v>
      </c>
      <c r="N6018" s="110">
        <f>K6018-tblAquisições[[#This Row],[QUANTIDADE PLANEJADA]]</f>
        <v>-25</v>
      </c>
      <c r="O6018" s="106" t="str">
        <f t="shared" ref="O6018:O6069" si="186">IF(K6018=E6018,"OK",IF(K6018&lt;E6018,"Faltando Comprar","Excedente"))</f>
        <v>Faltando Comprar</v>
      </c>
    </row>
    <row r="6019" spans="1:15" ht="75">
      <c r="A6019" s="46" t="s">
        <v>3259</v>
      </c>
      <c r="B6019" s="46" t="s">
        <v>3259</v>
      </c>
      <c r="C6019" s="17" t="s">
        <v>19</v>
      </c>
      <c r="D6019" s="47" t="s">
        <v>3425</v>
      </c>
      <c r="E6019" s="48">
        <v>6</v>
      </c>
      <c r="F6019" s="47" t="s">
        <v>3019</v>
      </c>
      <c r="G6019" s="47" t="s">
        <v>39</v>
      </c>
      <c r="H6019" s="48" t="s">
        <v>23</v>
      </c>
      <c r="I6019" s="49">
        <v>88.6</v>
      </c>
      <c r="J6019" s="50">
        <f t="shared" si="185"/>
        <v>531.59999999999991</v>
      </c>
      <c r="K6019" s="106"/>
      <c r="L6019" s="114"/>
      <c r="M6019" s="114">
        <f>tblAquisições[[#This Row],[VALOR UNITARIO COMPRADO]]*tblAquisições[[#This Row],[QUANTIDADE COMPRADA]]</f>
        <v>0</v>
      </c>
      <c r="N6019" s="110">
        <f>K6019-tblAquisições[[#This Row],[QUANTIDADE PLANEJADA]]</f>
        <v>-6</v>
      </c>
      <c r="O6019" s="106" t="str">
        <f t="shared" si="186"/>
        <v>Faltando Comprar</v>
      </c>
    </row>
    <row r="6020" spans="1:15" ht="75">
      <c r="A6020" s="46" t="s">
        <v>3259</v>
      </c>
      <c r="B6020" s="46" t="s">
        <v>3263</v>
      </c>
      <c r="C6020" s="17" t="s">
        <v>19</v>
      </c>
      <c r="D6020" s="47" t="s">
        <v>3425</v>
      </c>
      <c r="E6020" s="48">
        <v>5</v>
      </c>
      <c r="F6020" s="47" t="s">
        <v>3019</v>
      </c>
      <c r="G6020" s="47" t="s">
        <v>39</v>
      </c>
      <c r="H6020" s="51"/>
      <c r="I6020" s="49">
        <v>88.6</v>
      </c>
      <c r="J6020" s="50">
        <f t="shared" si="185"/>
        <v>443</v>
      </c>
      <c r="K6020" s="106"/>
      <c r="L6020" s="114"/>
      <c r="M6020" s="114">
        <f>tblAquisições[[#This Row],[VALOR UNITARIO COMPRADO]]*tblAquisições[[#This Row],[QUANTIDADE COMPRADA]]</f>
        <v>0</v>
      </c>
      <c r="N6020" s="110">
        <f>K6020-tblAquisições[[#This Row],[QUANTIDADE PLANEJADA]]</f>
        <v>-5</v>
      </c>
      <c r="O6020" s="106" t="str">
        <f t="shared" si="186"/>
        <v>Faltando Comprar</v>
      </c>
    </row>
    <row r="6021" spans="1:15" ht="60">
      <c r="A6021" s="46" t="s">
        <v>3259</v>
      </c>
      <c r="B6021" s="46" t="s">
        <v>3267</v>
      </c>
      <c r="C6021" s="17" t="s">
        <v>19</v>
      </c>
      <c r="D6021" s="47" t="s">
        <v>2853</v>
      </c>
      <c r="E6021" s="48">
        <v>25</v>
      </c>
      <c r="F6021" s="47" t="s">
        <v>2678</v>
      </c>
      <c r="G6021" s="47" t="s">
        <v>775</v>
      </c>
      <c r="H6021" s="51"/>
      <c r="I6021" s="49">
        <v>462.47</v>
      </c>
      <c r="J6021" s="50">
        <f t="shared" si="185"/>
        <v>11561.75</v>
      </c>
      <c r="K6021" s="106"/>
      <c r="L6021" s="114"/>
      <c r="M6021" s="114">
        <f>tblAquisições[[#This Row],[VALOR UNITARIO COMPRADO]]*tblAquisições[[#This Row],[QUANTIDADE COMPRADA]]</f>
        <v>0</v>
      </c>
      <c r="N6021" s="110">
        <f>K6021-tblAquisições[[#This Row],[QUANTIDADE PLANEJADA]]</f>
        <v>-25</v>
      </c>
      <c r="O6021" s="106" t="str">
        <f t="shared" si="186"/>
        <v>Faltando Comprar</v>
      </c>
    </row>
    <row r="6022" spans="1:15" ht="60">
      <c r="A6022" s="46" t="s">
        <v>3259</v>
      </c>
      <c r="B6022" s="46" t="s">
        <v>3259</v>
      </c>
      <c r="C6022" s="17" t="s">
        <v>19</v>
      </c>
      <c r="D6022" s="47" t="s">
        <v>2552</v>
      </c>
      <c r="E6022" s="48">
        <v>2</v>
      </c>
      <c r="F6022" s="47" t="s">
        <v>191</v>
      </c>
      <c r="G6022" s="47" t="s">
        <v>39</v>
      </c>
      <c r="H6022" s="48" t="s">
        <v>23</v>
      </c>
      <c r="I6022" s="49">
        <v>26.6</v>
      </c>
      <c r="J6022" s="50">
        <f t="shared" si="185"/>
        <v>53.2</v>
      </c>
      <c r="K6022" s="106"/>
      <c r="L6022" s="114"/>
      <c r="M6022" s="114">
        <f>tblAquisições[[#This Row],[VALOR UNITARIO COMPRADO]]*tblAquisições[[#This Row],[QUANTIDADE COMPRADA]]</f>
        <v>0</v>
      </c>
      <c r="N6022" s="110">
        <f>K6022-tblAquisições[[#This Row],[QUANTIDADE PLANEJADA]]</f>
        <v>-2</v>
      </c>
      <c r="O6022" s="106" t="str">
        <f t="shared" si="186"/>
        <v>Faltando Comprar</v>
      </c>
    </row>
    <row r="6023" spans="1:15" ht="45">
      <c r="A6023" s="46" t="s">
        <v>3259</v>
      </c>
      <c r="B6023" s="46" t="s">
        <v>3259</v>
      </c>
      <c r="C6023" s="17" t="s">
        <v>19</v>
      </c>
      <c r="D6023" s="47" t="s">
        <v>3426</v>
      </c>
      <c r="E6023" s="48">
        <v>1</v>
      </c>
      <c r="F6023" s="47" t="s">
        <v>38</v>
      </c>
      <c r="G6023" s="47" t="s">
        <v>39</v>
      </c>
      <c r="H6023" s="48" t="s">
        <v>23</v>
      </c>
      <c r="I6023" s="49">
        <v>86.47</v>
      </c>
      <c r="J6023" s="50">
        <f t="shared" si="185"/>
        <v>86.47</v>
      </c>
      <c r="K6023" s="106"/>
      <c r="L6023" s="114"/>
      <c r="M6023" s="114">
        <f>tblAquisições[[#This Row],[VALOR UNITARIO COMPRADO]]*tblAquisições[[#This Row],[QUANTIDADE COMPRADA]]</f>
        <v>0</v>
      </c>
      <c r="N6023" s="110">
        <f>K6023-tblAquisições[[#This Row],[QUANTIDADE PLANEJADA]]</f>
        <v>-1</v>
      </c>
      <c r="O6023" s="106" t="str">
        <f t="shared" si="186"/>
        <v>Faltando Comprar</v>
      </c>
    </row>
    <row r="6024" spans="1:15" ht="45">
      <c r="A6024" s="46" t="s">
        <v>3259</v>
      </c>
      <c r="B6024" s="46" t="s">
        <v>3263</v>
      </c>
      <c r="C6024" s="17" t="s">
        <v>19</v>
      </c>
      <c r="D6024" s="47" t="s">
        <v>3426</v>
      </c>
      <c r="E6024" s="48">
        <v>5</v>
      </c>
      <c r="F6024" s="47" t="s">
        <v>38</v>
      </c>
      <c r="G6024" s="47" t="s">
        <v>39</v>
      </c>
      <c r="H6024" s="51"/>
      <c r="I6024" s="49">
        <v>86.47</v>
      </c>
      <c r="J6024" s="50">
        <f t="shared" si="185"/>
        <v>432.35</v>
      </c>
      <c r="K6024" s="106"/>
      <c r="L6024" s="114"/>
      <c r="M6024" s="114">
        <f>tblAquisições[[#This Row],[VALOR UNITARIO COMPRADO]]*tblAquisições[[#This Row],[QUANTIDADE COMPRADA]]</f>
        <v>0</v>
      </c>
      <c r="N6024" s="110">
        <f>K6024-tblAquisições[[#This Row],[QUANTIDADE PLANEJADA]]</f>
        <v>-5</v>
      </c>
      <c r="O6024" s="106" t="str">
        <f t="shared" si="186"/>
        <v>Faltando Comprar</v>
      </c>
    </row>
    <row r="6025" spans="1:15" ht="75">
      <c r="A6025" s="46" t="s">
        <v>3259</v>
      </c>
      <c r="B6025" s="46" t="s">
        <v>3259</v>
      </c>
      <c r="C6025" s="17" t="s">
        <v>19</v>
      </c>
      <c r="D6025" s="47" t="s">
        <v>3427</v>
      </c>
      <c r="E6025" s="48">
        <v>10</v>
      </c>
      <c r="F6025" s="47" t="s">
        <v>2742</v>
      </c>
      <c r="G6025" s="47" t="s">
        <v>39</v>
      </c>
      <c r="H6025" s="48" t="s">
        <v>23</v>
      </c>
      <c r="I6025" s="49">
        <v>36.26</v>
      </c>
      <c r="J6025" s="50">
        <f t="shared" si="185"/>
        <v>362.59999999999997</v>
      </c>
      <c r="K6025" s="106"/>
      <c r="L6025" s="114"/>
      <c r="M6025" s="114">
        <f>tblAquisições[[#This Row],[VALOR UNITARIO COMPRADO]]*tblAquisições[[#This Row],[QUANTIDADE COMPRADA]]</f>
        <v>0</v>
      </c>
      <c r="N6025" s="110">
        <f>K6025-tblAquisições[[#This Row],[QUANTIDADE PLANEJADA]]</f>
        <v>-10</v>
      </c>
      <c r="O6025" s="106" t="str">
        <f t="shared" si="186"/>
        <v>Faltando Comprar</v>
      </c>
    </row>
    <row r="6026" spans="1:15" ht="75">
      <c r="A6026" s="46" t="s">
        <v>3259</v>
      </c>
      <c r="B6026" s="46" t="s">
        <v>3263</v>
      </c>
      <c r="C6026" s="17" t="s">
        <v>19</v>
      </c>
      <c r="D6026" s="47" t="s">
        <v>3427</v>
      </c>
      <c r="E6026" s="48">
        <v>10</v>
      </c>
      <c r="F6026" s="47" t="s">
        <v>2742</v>
      </c>
      <c r="G6026" s="47" t="s">
        <v>39</v>
      </c>
      <c r="H6026" s="51"/>
      <c r="I6026" s="49">
        <v>36.26</v>
      </c>
      <c r="J6026" s="50">
        <f t="shared" si="185"/>
        <v>362.59999999999997</v>
      </c>
      <c r="K6026" s="106"/>
      <c r="L6026" s="114"/>
      <c r="M6026" s="114">
        <f>tblAquisições[[#This Row],[VALOR UNITARIO COMPRADO]]*tblAquisições[[#This Row],[QUANTIDADE COMPRADA]]</f>
        <v>0</v>
      </c>
      <c r="N6026" s="110">
        <f>K6026-tblAquisições[[#This Row],[QUANTIDADE PLANEJADA]]</f>
        <v>-10</v>
      </c>
      <c r="O6026" s="106" t="str">
        <f t="shared" si="186"/>
        <v>Faltando Comprar</v>
      </c>
    </row>
    <row r="6027" spans="1:15" ht="45">
      <c r="A6027" s="46" t="s">
        <v>3259</v>
      </c>
      <c r="B6027" s="46" t="s">
        <v>3259</v>
      </c>
      <c r="C6027" s="17" t="s">
        <v>19</v>
      </c>
      <c r="D6027" s="47" t="s">
        <v>2857</v>
      </c>
      <c r="E6027" s="48">
        <v>10</v>
      </c>
      <c r="F6027" s="47" t="s">
        <v>82</v>
      </c>
      <c r="G6027" s="47" t="s">
        <v>39</v>
      </c>
      <c r="H6027" s="48" t="s">
        <v>23</v>
      </c>
      <c r="I6027" s="49">
        <v>12.19</v>
      </c>
      <c r="J6027" s="50">
        <f t="shared" si="185"/>
        <v>121.89999999999999</v>
      </c>
      <c r="K6027" s="106"/>
      <c r="L6027" s="114"/>
      <c r="M6027" s="114">
        <f>tblAquisições[[#This Row],[VALOR UNITARIO COMPRADO]]*tblAquisições[[#This Row],[QUANTIDADE COMPRADA]]</f>
        <v>0</v>
      </c>
      <c r="N6027" s="110">
        <f>K6027-tblAquisições[[#This Row],[QUANTIDADE PLANEJADA]]</f>
        <v>-10</v>
      </c>
      <c r="O6027" s="106" t="str">
        <f t="shared" si="186"/>
        <v>Faltando Comprar</v>
      </c>
    </row>
    <row r="6028" spans="1:15" ht="45">
      <c r="A6028" s="46" t="s">
        <v>3259</v>
      </c>
      <c r="B6028" s="46" t="s">
        <v>3263</v>
      </c>
      <c r="C6028" s="17" t="s">
        <v>19</v>
      </c>
      <c r="D6028" s="47" t="s">
        <v>2857</v>
      </c>
      <c r="E6028" s="48">
        <v>6</v>
      </c>
      <c r="F6028" s="47" t="s">
        <v>82</v>
      </c>
      <c r="G6028" s="47" t="s">
        <v>39</v>
      </c>
      <c r="H6028" s="51"/>
      <c r="I6028" s="49">
        <v>12.19</v>
      </c>
      <c r="J6028" s="50">
        <f t="shared" si="185"/>
        <v>73.14</v>
      </c>
      <c r="K6028" s="106"/>
      <c r="L6028" s="114"/>
      <c r="M6028" s="114">
        <f>tblAquisições[[#This Row],[VALOR UNITARIO COMPRADO]]*tblAquisições[[#This Row],[QUANTIDADE COMPRADA]]</f>
        <v>0</v>
      </c>
      <c r="N6028" s="110">
        <f>K6028-tblAquisições[[#This Row],[QUANTIDADE PLANEJADA]]</f>
        <v>-6</v>
      </c>
      <c r="O6028" s="106" t="str">
        <f t="shared" si="186"/>
        <v>Faltando Comprar</v>
      </c>
    </row>
    <row r="6029" spans="1:15" ht="60">
      <c r="A6029" s="46" t="s">
        <v>3259</v>
      </c>
      <c r="B6029" s="46" t="s">
        <v>3259</v>
      </c>
      <c r="C6029" s="17" t="s">
        <v>19</v>
      </c>
      <c r="D6029" s="47" t="s">
        <v>3428</v>
      </c>
      <c r="E6029" s="48">
        <v>4</v>
      </c>
      <c r="F6029" s="47" t="s">
        <v>191</v>
      </c>
      <c r="G6029" s="47" t="s">
        <v>39</v>
      </c>
      <c r="H6029" s="48" t="s">
        <v>23</v>
      </c>
      <c r="I6029" s="49">
        <v>51.07</v>
      </c>
      <c r="J6029" s="50">
        <f t="shared" si="185"/>
        <v>204.28</v>
      </c>
      <c r="K6029" s="106"/>
      <c r="L6029" s="114"/>
      <c r="M6029" s="114">
        <f>tblAquisições[[#This Row],[VALOR UNITARIO COMPRADO]]*tblAquisições[[#This Row],[QUANTIDADE COMPRADA]]</f>
        <v>0</v>
      </c>
      <c r="N6029" s="110">
        <f>K6029-tblAquisições[[#This Row],[QUANTIDADE PLANEJADA]]</f>
        <v>-4</v>
      </c>
      <c r="O6029" s="106" t="str">
        <f t="shared" si="186"/>
        <v>Faltando Comprar</v>
      </c>
    </row>
    <row r="6030" spans="1:15" ht="60">
      <c r="A6030" s="46" t="s">
        <v>3259</v>
      </c>
      <c r="B6030" s="46" t="s">
        <v>3259</v>
      </c>
      <c r="C6030" s="17" t="s">
        <v>19</v>
      </c>
      <c r="D6030" s="47" t="s">
        <v>3429</v>
      </c>
      <c r="E6030" s="48">
        <v>2</v>
      </c>
      <c r="F6030" s="47" t="s">
        <v>191</v>
      </c>
      <c r="G6030" s="47" t="s">
        <v>39</v>
      </c>
      <c r="H6030" s="48" t="s">
        <v>23</v>
      </c>
      <c r="I6030" s="49">
        <v>43.89</v>
      </c>
      <c r="J6030" s="50">
        <f t="shared" si="185"/>
        <v>87.78</v>
      </c>
      <c r="K6030" s="106"/>
      <c r="L6030" s="114"/>
      <c r="M6030" s="114">
        <f>tblAquisições[[#This Row],[VALOR UNITARIO COMPRADO]]*tblAquisições[[#This Row],[QUANTIDADE COMPRADA]]</f>
        <v>0</v>
      </c>
      <c r="N6030" s="110">
        <f>K6030-tblAquisições[[#This Row],[QUANTIDADE PLANEJADA]]</f>
        <v>-2</v>
      </c>
      <c r="O6030" s="106" t="str">
        <f t="shared" si="186"/>
        <v>Faltando Comprar</v>
      </c>
    </row>
    <row r="6031" spans="1:15" ht="60">
      <c r="A6031" s="46" t="s">
        <v>3259</v>
      </c>
      <c r="B6031" s="46" t="s">
        <v>3263</v>
      </c>
      <c r="C6031" s="17" t="s">
        <v>19</v>
      </c>
      <c r="D6031" s="47" t="s">
        <v>3429</v>
      </c>
      <c r="E6031" s="48">
        <v>25</v>
      </c>
      <c r="F6031" s="47" t="s">
        <v>191</v>
      </c>
      <c r="G6031" s="47" t="s">
        <v>39</v>
      </c>
      <c r="H6031" s="51"/>
      <c r="I6031" s="49">
        <v>43.89</v>
      </c>
      <c r="J6031" s="50">
        <f t="shared" si="185"/>
        <v>1097.25</v>
      </c>
      <c r="K6031" s="106"/>
      <c r="L6031" s="114"/>
      <c r="M6031" s="114">
        <f>tblAquisições[[#This Row],[VALOR UNITARIO COMPRADO]]*tblAquisições[[#This Row],[QUANTIDADE COMPRADA]]</f>
        <v>0</v>
      </c>
      <c r="N6031" s="110">
        <f>K6031-tblAquisições[[#This Row],[QUANTIDADE PLANEJADA]]</f>
        <v>-25</v>
      </c>
      <c r="O6031" s="106" t="str">
        <f t="shared" si="186"/>
        <v>Faltando Comprar</v>
      </c>
    </row>
    <row r="6032" spans="1:15" ht="45">
      <c r="A6032" s="46" t="s">
        <v>3259</v>
      </c>
      <c r="B6032" s="46" t="s">
        <v>3267</v>
      </c>
      <c r="C6032" s="17" t="s">
        <v>19</v>
      </c>
      <c r="D6032" s="47" t="s">
        <v>2858</v>
      </c>
      <c r="E6032" s="48">
        <v>25</v>
      </c>
      <c r="F6032" s="47" t="s">
        <v>56</v>
      </c>
      <c r="G6032" s="47" t="s">
        <v>39</v>
      </c>
      <c r="H6032" s="51"/>
      <c r="I6032" s="49">
        <v>30.28</v>
      </c>
      <c r="J6032" s="50">
        <f t="shared" si="185"/>
        <v>757</v>
      </c>
      <c r="K6032" s="106"/>
      <c r="L6032" s="114"/>
      <c r="M6032" s="114">
        <f>tblAquisições[[#This Row],[VALOR UNITARIO COMPRADO]]*tblAquisições[[#This Row],[QUANTIDADE COMPRADA]]</f>
        <v>0</v>
      </c>
      <c r="N6032" s="110">
        <f>K6032-tblAquisições[[#This Row],[QUANTIDADE PLANEJADA]]</f>
        <v>-25</v>
      </c>
      <c r="O6032" s="106" t="str">
        <f t="shared" si="186"/>
        <v>Faltando Comprar</v>
      </c>
    </row>
    <row r="6033" spans="1:15" ht="60">
      <c r="A6033" s="46" t="s">
        <v>3259</v>
      </c>
      <c r="B6033" s="46" t="s">
        <v>3259</v>
      </c>
      <c r="C6033" s="17" t="s">
        <v>19</v>
      </c>
      <c r="D6033" s="47" t="s">
        <v>3430</v>
      </c>
      <c r="E6033" s="48">
        <v>5</v>
      </c>
      <c r="F6033" s="47" t="s">
        <v>2678</v>
      </c>
      <c r="G6033" s="47" t="s">
        <v>775</v>
      </c>
      <c r="H6033" s="48" t="s">
        <v>23</v>
      </c>
      <c r="I6033" s="49">
        <v>749.7</v>
      </c>
      <c r="J6033" s="50">
        <f t="shared" si="185"/>
        <v>3748.5</v>
      </c>
      <c r="K6033" s="106"/>
      <c r="L6033" s="114"/>
      <c r="M6033" s="114">
        <f>tblAquisições[[#This Row],[VALOR UNITARIO COMPRADO]]*tblAquisições[[#This Row],[QUANTIDADE COMPRADA]]</f>
        <v>0</v>
      </c>
      <c r="N6033" s="110">
        <f>K6033-tblAquisições[[#This Row],[QUANTIDADE PLANEJADA]]</f>
        <v>-5</v>
      </c>
      <c r="O6033" s="106" t="str">
        <f t="shared" si="186"/>
        <v>Faltando Comprar</v>
      </c>
    </row>
    <row r="6034" spans="1:15" ht="60">
      <c r="A6034" s="46" t="s">
        <v>3259</v>
      </c>
      <c r="B6034" s="46" t="s">
        <v>3263</v>
      </c>
      <c r="C6034" s="17" t="s">
        <v>19</v>
      </c>
      <c r="D6034" s="47" t="s">
        <v>3430</v>
      </c>
      <c r="E6034" s="48">
        <v>5</v>
      </c>
      <c r="F6034" s="47" t="s">
        <v>2678</v>
      </c>
      <c r="G6034" s="47" t="s">
        <v>775</v>
      </c>
      <c r="H6034" s="51"/>
      <c r="I6034" s="49">
        <v>749.7</v>
      </c>
      <c r="J6034" s="50">
        <f t="shared" si="185"/>
        <v>3748.5</v>
      </c>
      <c r="K6034" s="106"/>
      <c r="L6034" s="114"/>
      <c r="M6034" s="114">
        <f>tblAquisições[[#This Row],[VALOR UNITARIO COMPRADO]]*tblAquisições[[#This Row],[QUANTIDADE COMPRADA]]</f>
        <v>0</v>
      </c>
      <c r="N6034" s="110">
        <f>K6034-tblAquisições[[#This Row],[QUANTIDADE PLANEJADA]]</f>
        <v>-5</v>
      </c>
      <c r="O6034" s="106" t="str">
        <f t="shared" si="186"/>
        <v>Faltando Comprar</v>
      </c>
    </row>
    <row r="6035" spans="1:15" ht="60">
      <c r="A6035" s="46" t="s">
        <v>3259</v>
      </c>
      <c r="B6035" s="46" t="s">
        <v>3259</v>
      </c>
      <c r="C6035" s="17" t="s">
        <v>19</v>
      </c>
      <c r="D6035" s="47" t="s">
        <v>3431</v>
      </c>
      <c r="E6035" s="48">
        <v>12</v>
      </c>
      <c r="F6035" s="47" t="s">
        <v>191</v>
      </c>
      <c r="G6035" s="47" t="s">
        <v>39</v>
      </c>
      <c r="H6035" s="48" t="s">
        <v>65</v>
      </c>
      <c r="I6035" s="49">
        <v>15.6</v>
      </c>
      <c r="J6035" s="50">
        <f t="shared" si="185"/>
        <v>187.2</v>
      </c>
      <c r="K6035" s="106"/>
      <c r="L6035" s="114"/>
      <c r="M6035" s="114">
        <f>tblAquisições[[#This Row],[VALOR UNITARIO COMPRADO]]*tblAquisições[[#This Row],[QUANTIDADE COMPRADA]]</f>
        <v>0</v>
      </c>
      <c r="N6035" s="110">
        <f>K6035-tblAquisições[[#This Row],[QUANTIDADE PLANEJADA]]</f>
        <v>-12</v>
      </c>
      <c r="O6035" s="106" t="str">
        <f t="shared" si="186"/>
        <v>Faltando Comprar</v>
      </c>
    </row>
    <row r="6036" spans="1:15" ht="60">
      <c r="A6036" s="46" t="s">
        <v>3259</v>
      </c>
      <c r="B6036" s="46" t="s">
        <v>3259</v>
      </c>
      <c r="C6036" s="17" t="s">
        <v>19</v>
      </c>
      <c r="D6036" s="47" t="s">
        <v>2860</v>
      </c>
      <c r="E6036" s="48">
        <v>10</v>
      </c>
      <c r="F6036" s="47" t="s">
        <v>96</v>
      </c>
      <c r="G6036" s="47" t="s">
        <v>39</v>
      </c>
      <c r="H6036" s="48" t="s">
        <v>65</v>
      </c>
      <c r="I6036" s="52">
        <v>7.7</v>
      </c>
      <c r="J6036" s="50">
        <f t="shared" si="185"/>
        <v>77</v>
      </c>
      <c r="K6036" s="106"/>
      <c r="L6036" s="114"/>
      <c r="M6036" s="114">
        <f>tblAquisições[[#This Row],[VALOR UNITARIO COMPRADO]]*tblAquisições[[#This Row],[QUANTIDADE COMPRADA]]</f>
        <v>0</v>
      </c>
      <c r="N6036" s="110">
        <f>K6036-tblAquisições[[#This Row],[QUANTIDADE PLANEJADA]]</f>
        <v>-10</v>
      </c>
      <c r="O6036" s="106" t="str">
        <f t="shared" si="186"/>
        <v>Faltando Comprar</v>
      </c>
    </row>
    <row r="6037" spans="1:15" ht="60">
      <c r="A6037" s="46" t="s">
        <v>3259</v>
      </c>
      <c r="B6037" s="46" t="s">
        <v>3263</v>
      </c>
      <c r="C6037" s="17" t="s">
        <v>19</v>
      </c>
      <c r="D6037" s="47" t="s">
        <v>2860</v>
      </c>
      <c r="E6037" s="48">
        <v>10</v>
      </c>
      <c r="F6037" s="47" t="s">
        <v>96</v>
      </c>
      <c r="G6037" s="47" t="s">
        <v>39</v>
      </c>
      <c r="H6037" s="51"/>
      <c r="I6037" s="49">
        <v>23.59</v>
      </c>
      <c r="J6037" s="50">
        <f t="shared" si="185"/>
        <v>235.9</v>
      </c>
      <c r="K6037" s="106"/>
      <c r="L6037" s="114"/>
      <c r="M6037" s="114">
        <f>tblAquisições[[#This Row],[VALOR UNITARIO COMPRADO]]*tblAquisições[[#This Row],[QUANTIDADE COMPRADA]]</f>
        <v>0</v>
      </c>
      <c r="N6037" s="110">
        <f>K6037-tblAquisições[[#This Row],[QUANTIDADE PLANEJADA]]</f>
        <v>-10</v>
      </c>
      <c r="O6037" s="106" t="str">
        <f t="shared" si="186"/>
        <v>Faltando Comprar</v>
      </c>
    </row>
    <row r="6038" spans="1:15" ht="60">
      <c r="A6038" s="46" t="s">
        <v>3259</v>
      </c>
      <c r="B6038" s="46" t="s">
        <v>3259</v>
      </c>
      <c r="C6038" s="17" t="s">
        <v>19</v>
      </c>
      <c r="D6038" s="47" t="s">
        <v>2861</v>
      </c>
      <c r="E6038" s="48">
        <v>10</v>
      </c>
      <c r="F6038" s="47" t="s">
        <v>96</v>
      </c>
      <c r="G6038" s="47" t="s">
        <v>39</v>
      </c>
      <c r="H6038" s="48" t="s">
        <v>65</v>
      </c>
      <c r="I6038" s="52">
        <v>4.03</v>
      </c>
      <c r="J6038" s="50">
        <f t="shared" si="185"/>
        <v>40.300000000000004</v>
      </c>
      <c r="K6038" s="106"/>
      <c r="L6038" s="114"/>
      <c r="M6038" s="114">
        <f>tblAquisições[[#This Row],[VALOR UNITARIO COMPRADO]]*tblAquisições[[#This Row],[QUANTIDADE COMPRADA]]</f>
        <v>0</v>
      </c>
      <c r="N6038" s="110">
        <f>K6038-tblAquisições[[#This Row],[QUANTIDADE PLANEJADA]]</f>
        <v>-10</v>
      </c>
      <c r="O6038" s="106" t="str">
        <f t="shared" si="186"/>
        <v>Faltando Comprar</v>
      </c>
    </row>
    <row r="6039" spans="1:15" ht="60">
      <c r="A6039" s="46" t="s">
        <v>3259</v>
      </c>
      <c r="B6039" s="46" t="s">
        <v>3263</v>
      </c>
      <c r="C6039" s="17" t="s">
        <v>19</v>
      </c>
      <c r="D6039" s="47" t="s">
        <v>2861</v>
      </c>
      <c r="E6039" s="48">
        <v>10</v>
      </c>
      <c r="F6039" s="47" t="s">
        <v>96</v>
      </c>
      <c r="G6039" s="47" t="s">
        <v>39</v>
      </c>
      <c r="H6039" s="51"/>
      <c r="I6039" s="49">
        <v>3.47</v>
      </c>
      <c r="J6039" s="50">
        <f t="shared" si="185"/>
        <v>34.700000000000003</v>
      </c>
      <c r="K6039" s="106"/>
      <c r="L6039" s="114"/>
      <c r="M6039" s="114">
        <f>tblAquisições[[#This Row],[VALOR UNITARIO COMPRADO]]*tblAquisições[[#This Row],[QUANTIDADE COMPRADA]]</f>
        <v>0</v>
      </c>
      <c r="N6039" s="110">
        <f>K6039-tblAquisições[[#This Row],[QUANTIDADE PLANEJADA]]</f>
        <v>-10</v>
      </c>
      <c r="O6039" s="106" t="str">
        <f t="shared" si="186"/>
        <v>Faltando Comprar</v>
      </c>
    </row>
    <row r="6040" spans="1:15" ht="60">
      <c r="A6040" s="46" t="s">
        <v>3259</v>
      </c>
      <c r="B6040" s="46" t="s">
        <v>3259</v>
      </c>
      <c r="C6040" s="17" t="s">
        <v>19</v>
      </c>
      <c r="D6040" s="47" t="s">
        <v>2862</v>
      </c>
      <c r="E6040" s="48">
        <v>10</v>
      </c>
      <c r="F6040" s="47" t="s">
        <v>96</v>
      </c>
      <c r="G6040" s="47" t="s">
        <v>39</v>
      </c>
      <c r="H6040" s="48" t="s">
        <v>65</v>
      </c>
      <c r="I6040" s="52">
        <v>6.97</v>
      </c>
      <c r="J6040" s="50">
        <f t="shared" si="185"/>
        <v>69.7</v>
      </c>
      <c r="K6040" s="106"/>
      <c r="L6040" s="114"/>
      <c r="M6040" s="114">
        <f>tblAquisições[[#This Row],[VALOR UNITARIO COMPRADO]]*tblAquisições[[#This Row],[QUANTIDADE COMPRADA]]</f>
        <v>0</v>
      </c>
      <c r="N6040" s="110">
        <f>K6040-tblAquisições[[#This Row],[QUANTIDADE PLANEJADA]]</f>
        <v>-10</v>
      </c>
      <c r="O6040" s="106" t="str">
        <f t="shared" si="186"/>
        <v>Faltando Comprar</v>
      </c>
    </row>
    <row r="6041" spans="1:15" ht="60">
      <c r="A6041" s="46" t="s">
        <v>3259</v>
      </c>
      <c r="B6041" s="46" t="s">
        <v>3263</v>
      </c>
      <c r="C6041" s="17" t="s">
        <v>19</v>
      </c>
      <c r="D6041" s="47" t="s">
        <v>2862</v>
      </c>
      <c r="E6041" s="48">
        <v>10</v>
      </c>
      <c r="F6041" s="47" t="s">
        <v>96</v>
      </c>
      <c r="G6041" s="47" t="s">
        <v>39</v>
      </c>
      <c r="H6041" s="51"/>
      <c r="I6041" s="49">
        <v>20.78</v>
      </c>
      <c r="J6041" s="50">
        <f t="shared" si="185"/>
        <v>207.8</v>
      </c>
      <c r="K6041" s="106"/>
      <c r="L6041" s="114"/>
      <c r="M6041" s="114">
        <f>tblAquisições[[#This Row],[VALOR UNITARIO COMPRADO]]*tblAquisições[[#This Row],[QUANTIDADE COMPRADA]]</f>
        <v>0</v>
      </c>
      <c r="N6041" s="110">
        <f>K6041-tblAquisições[[#This Row],[QUANTIDADE PLANEJADA]]</f>
        <v>-10</v>
      </c>
      <c r="O6041" s="106" t="str">
        <f t="shared" si="186"/>
        <v>Faltando Comprar</v>
      </c>
    </row>
    <row r="6042" spans="1:15" ht="60">
      <c r="A6042" s="46" t="s">
        <v>3259</v>
      </c>
      <c r="B6042" s="46" t="s">
        <v>3259</v>
      </c>
      <c r="C6042" s="17" t="s">
        <v>19</v>
      </c>
      <c r="D6042" s="47" t="s">
        <v>3057</v>
      </c>
      <c r="E6042" s="48">
        <v>24</v>
      </c>
      <c r="F6042" s="47" t="s">
        <v>191</v>
      </c>
      <c r="G6042" s="47" t="s">
        <v>39</v>
      </c>
      <c r="H6042" s="48" t="s">
        <v>23</v>
      </c>
      <c r="I6042" s="49">
        <v>20.14</v>
      </c>
      <c r="J6042" s="50">
        <f t="shared" si="185"/>
        <v>483.36</v>
      </c>
      <c r="K6042" s="106"/>
      <c r="L6042" s="114"/>
      <c r="M6042" s="114">
        <f>tblAquisições[[#This Row],[VALOR UNITARIO COMPRADO]]*tblAquisições[[#This Row],[QUANTIDADE COMPRADA]]</f>
        <v>0</v>
      </c>
      <c r="N6042" s="110">
        <f>K6042-tblAquisições[[#This Row],[QUANTIDADE PLANEJADA]]</f>
        <v>-24</v>
      </c>
      <c r="O6042" s="106" t="str">
        <f t="shared" si="186"/>
        <v>Faltando Comprar</v>
      </c>
    </row>
    <row r="6043" spans="1:15" ht="60">
      <c r="A6043" s="46" t="s">
        <v>3259</v>
      </c>
      <c r="B6043" s="46" t="s">
        <v>3263</v>
      </c>
      <c r="C6043" s="17" t="s">
        <v>19</v>
      </c>
      <c r="D6043" s="47" t="s">
        <v>3057</v>
      </c>
      <c r="E6043" s="48">
        <v>50</v>
      </c>
      <c r="F6043" s="47" t="s">
        <v>191</v>
      </c>
      <c r="G6043" s="47" t="s">
        <v>39</v>
      </c>
      <c r="H6043" s="51"/>
      <c r="I6043" s="49">
        <v>20.14</v>
      </c>
      <c r="J6043" s="50">
        <f t="shared" si="185"/>
        <v>1007</v>
      </c>
      <c r="K6043" s="106"/>
      <c r="L6043" s="114"/>
      <c r="M6043" s="114">
        <f>tblAquisições[[#This Row],[VALOR UNITARIO COMPRADO]]*tblAquisições[[#This Row],[QUANTIDADE COMPRADA]]</f>
        <v>0</v>
      </c>
      <c r="N6043" s="110">
        <f>K6043-tblAquisições[[#This Row],[QUANTIDADE PLANEJADA]]</f>
        <v>-50</v>
      </c>
      <c r="O6043" s="106" t="str">
        <f t="shared" si="186"/>
        <v>Faltando Comprar</v>
      </c>
    </row>
    <row r="6044" spans="1:15" ht="60">
      <c r="A6044" s="46" t="s">
        <v>3259</v>
      </c>
      <c r="B6044" s="46" t="s">
        <v>3259</v>
      </c>
      <c r="C6044" s="17" t="s">
        <v>19</v>
      </c>
      <c r="D6044" s="47" t="s">
        <v>3432</v>
      </c>
      <c r="E6044" s="48">
        <v>4</v>
      </c>
      <c r="F6044" s="47" t="s">
        <v>96</v>
      </c>
      <c r="G6044" s="47" t="s">
        <v>39</v>
      </c>
      <c r="H6044" s="48" t="s">
        <v>23</v>
      </c>
      <c r="I6044" s="49">
        <v>52.25</v>
      </c>
      <c r="J6044" s="50">
        <f t="shared" si="185"/>
        <v>209</v>
      </c>
      <c r="K6044" s="106"/>
      <c r="L6044" s="114"/>
      <c r="M6044" s="114">
        <f>tblAquisições[[#This Row],[VALOR UNITARIO COMPRADO]]*tblAquisições[[#This Row],[QUANTIDADE COMPRADA]]</f>
        <v>0</v>
      </c>
      <c r="N6044" s="110">
        <f>K6044-tblAquisições[[#This Row],[QUANTIDADE PLANEJADA]]</f>
        <v>-4</v>
      </c>
      <c r="O6044" s="106" t="str">
        <f t="shared" si="186"/>
        <v>Faltando Comprar</v>
      </c>
    </row>
    <row r="6045" spans="1:15" ht="60">
      <c r="A6045" s="46" t="s">
        <v>3259</v>
      </c>
      <c r="B6045" s="46" t="s">
        <v>3263</v>
      </c>
      <c r="C6045" s="17" t="s">
        <v>19</v>
      </c>
      <c r="D6045" s="54" t="s">
        <v>3432</v>
      </c>
      <c r="E6045" s="55">
        <v>10</v>
      </c>
      <c r="F6045" s="54" t="s">
        <v>96</v>
      </c>
      <c r="G6045" s="54" t="s">
        <v>39</v>
      </c>
      <c r="H6045" s="56"/>
      <c r="I6045" s="49">
        <v>52.25</v>
      </c>
      <c r="J6045" s="50">
        <f t="shared" si="185"/>
        <v>522.5</v>
      </c>
      <c r="K6045" s="106"/>
      <c r="L6045" s="114"/>
      <c r="M6045" s="114">
        <f>tblAquisições[[#This Row],[VALOR UNITARIO COMPRADO]]*tblAquisições[[#This Row],[QUANTIDADE COMPRADA]]</f>
        <v>0</v>
      </c>
      <c r="N6045" s="110">
        <f>K6045-tblAquisições[[#This Row],[QUANTIDADE PLANEJADA]]</f>
        <v>-10</v>
      </c>
      <c r="O6045" s="106" t="str">
        <f t="shared" si="186"/>
        <v>Faltando Comprar</v>
      </c>
    </row>
    <row r="6046" spans="1:15" ht="45">
      <c r="A6046" s="46" t="s">
        <v>3259</v>
      </c>
      <c r="B6046" s="46" t="s">
        <v>3259</v>
      </c>
      <c r="C6046" s="17" t="s">
        <v>19</v>
      </c>
      <c r="D6046" s="47" t="s">
        <v>3163</v>
      </c>
      <c r="E6046" s="48">
        <v>7</v>
      </c>
      <c r="F6046" s="47" t="s">
        <v>56</v>
      </c>
      <c r="G6046" s="47" t="s">
        <v>39</v>
      </c>
      <c r="H6046" s="48" t="s">
        <v>23</v>
      </c>
      <c r="I6046" s="49">
        <v>68.09</v>
      </c>
      <c r="J6046" s="50">
        <f t="shared" si="185"/>
        <v>476.63</v>
      </c>
      <c r="K6046" s="106"/>
      <c r="L6046" s="114"/>
      <c r="M6046" s="114">
        <f>tblAquisições[[#This Row],[VALOR UNITARIO COMPRADO]]*tblAquisições[[#This Row],[QUANTIDADE COMPRADA]]</f>
        <v>0</v>
      </c>
      <c r="N6046" s="110">
        <f>K6046-tblAquisições[[#This Row],[QUANTIDADE PLANEJADA]]</f>
        <v>-7</v>
      </c>
      <c r="O6046" s="106" t="str">
        <f t="shared" si="186"/>
        <v>Faltando Comprar</v>
      </c>
    </row>
    <row r="6047" spans="1:15" ht="45">
      <c r="A6047" s="46" t="s">
        <v>3259</v>
      </c>
      <c r="B6047" s="46" t="s">
        <v>3263</v>
      </c>
      <c r="C6047" s="17" t="s">
        <v>19</v>
      </c>
      <c r="D6047" s="47" t="s">
        <v>3163</v>
      </c>
      <c r="E6047" s="48">
        <v>5</v>
      </c>
      <c r="F6047" s="47" t="s">
        <v>56</v>
      </c>
      <c r="G6047" s="47" t="s">
        <v>39</v>
      </c>
      <c r="H6047" s="51"/>
      <c r="I6047" s="49">
        <v>68.09</v>
      </c>
      <c r="J6047" s="50">
        <f t="shared" si="185"/>
        <v>340.45000000000005</v>
      </c>
      <c r="K6047" s="106"/>
      <c r="L6047" s="114"/>
      <c r="M6047" s="114">
        <f>tblAquisições[[#This Row],[VALOR UNITARIO COMPRADO]]*tblAquisições[[#This Row],[QUANTIDADE COMPRADA]]</f>
        <v>0</v>
      </c>
      <c r="N6047" s="110">
        <f>K6047-tblAquisições[[#This Row],[QUANTIDADE PLANEJADA]]</f>
        <v>-5</v>
      </c>
      <c r="O6047" s="106" t="str">
        <f t="shared" si="186"/>
        <v>Faltando Comprar</v>
      </c>
    </row>
    <row r="6048" spans="1:15" ht="45">
      <c r="A6048" s="46" t="s">
        <v>3259</v>
      </c>
      <c r="B6048" s="46" t="s">
        <v>3267</v>
      </c>
      <c r="C6048" s="17" t="s">
        <v>19</v>
      </c>
      <c r="D6048" s="47" t="s">
        <v>3433</v>
      </c>
      <c r="E6048" s="48">
        <v>25</v>
      </c>
      <c r="F6048" s="47" t="s">
        <v>56</v>
      </c>
      <c r="G6048" s="47" t="s">
        <v>39</v>
      </c>
      <c r="H6048" s="51"/>
      <c r="I6048" s="49">
        <v>286.67</v>
      </c>
      <c r="J6048" s="50">
        <f t="shared" si="185"/>
        <v>7166.75</v>
      </c>
      <c r="K6048" s="106"/>
      <c r="L6048" s="114"/>
      <c r="M6048" s="114">
        <f>tblAquisições[[#This Row],[VALOR UNITARIO COMPRADO]]*tblAquisições[[#This Row],[QUANTIDADE COMPRADA]]</f>
        <v>0</v>
      </c>
      <c r="N6048" s="110">
        <f>K6048-tblAquisições[[#This Row],[QUANTIDADE PLANEJADA]]</f>
        <v>-25</v>
      </c>
      <c r="O6048" s="106" t="str">
        <f t="shared" si="186"/>
        <v>Faltando Comprar</v>
      </c>
    </row>
    <row r="6049" spans="1:15" ht="45">
      <c r="A6049" s="46" t="s">
        <v>3259</v>
      </c>
      <c r="B6049" s="46" t="s">
        <v>3267</v>
      </c>
      <c r="C6049" s="17" t="s">
        <v>19</v>
      </c>
      <c r="D6049" s="47" t="s">
        <v>3434</v>
      </c>
      <c r="E6049" s="48">
        <v>25</v>
      </c>
      <c r="F6049" s="47" t="s">
        <v>56</v>
      </c>
      <c r="G6049" s="47" t="s">
        <v>39</v>
      </c>
      <c r="H6049" s="51"/>
      <c r="I6049" s="49">
        <v>102.22</v>
      </c>
      <c r="J6049" s="50">
        <f t="shared" si="185"/>
        <v>2555.5</v>
      </c>
      <c r="K6049" s="106"/>
      <c r="L6049" s="114"/>
      <c r="M6049" s="114">
        <f>tblAquisições[[#This Row],[VALOR UNITARIO COMPRADO]]*tblAquisições[[#This Row],[QUANTIDADE COMPRADA]]</f>
        <v>0</v>
      </c>
      <c r="N6049" s="110">
        <f>K6049-tblAquisições[[#This Row],[QUANTIDADE PLANEJADA]]</f>
        <v>-25</v>
      </c>
      <c r="O6049" s="106" t="str">
        <f t="shared" si="186"/>
        <v>Faltando Comprar</v>
      </c>
    </row>
    <row r="6050" spans="1:15" ht="60">
      <c r="A6050" s="46" t="s">
        <v>3259</v>
      </c>
      <c r="B6050" s="46" t="s">
        <v>3259</v>
      </c>
      <c r="C6050" s="17" t="s">
        <v>19</v>
      </c>
      <c r="D6050" s="47" t="s">
        <v>3062</v>
      </c>
      <c r="E6050" s="48">
        <v>3</v>
      </c>
      <c r="F6050" s="47" t="s">
        <v>2678</v>
      </c>
      <c r="G6050" s="47" t="s">
        <v>775</v>
      </c>
      <c r="H6050" s="48" t="s">
        <v>23</v>
      </c>
      <c r="I6050" s="49">
        <v>3124.03</v>
      </c>
      <c r="J6050" s="50">
        <f t="shared" si="185"/>
        <v>9372.09</v>
      </c>
      <c r="K6050" s="106"/>
      <c r="L6050" s="114"/>
      <c r="M6050" s="114">
        <f>tblAquisições[[#This Row],[VALOR UNITARIO COMPRADO]]*tblAquisições[[#This Row],[QUANTIDADE COMPRADA]]</f>
        <v>0</v>
      </c>
      <c r="N6050" s="110">
        <f>K6050-tblAquisições[[#This Row],[QUANTIDADE PLANEJADA]]</f>
        <v>-3</v>
      </c>
      <c r="O6050" s="106" t="str">
        <f t="shared" si="186"/>
        <v>Faltando Comprar</v>
      </c>
    </row>
    <row r="6051" spans="1:15" ht="60">
      <c r="A6051" s="46" t="s">
        <v>3259</v>
      </c>
      <c r="B6051" s="46" t="s">
        <v>3263</v>
      </c>
      <c r="C6051" s="17" t="s">
        <v>19</v>
      </c>
      <c r="D6051" s="47" t="s">
        <v>3062</v>
      </c>
      <c r="E6051" s="48">
        <v>5</v>
      </c>
      <c r="F6051" s="47" t="s">
        <v>2678</v>
      </c>
      <c r="G6051" s="47" t="s">
        <v>775</v>
      </c>
      <c r="H6051" s="51"/>
      <c r="I6051" s="49">
        <v>3124.03</v>
      </c>
      <c r="J6051" s="50">
        <f t="shared" si="185"/>
        <v>15620.150000000001</v>
      </c>
      <c r="K6051" s="106"/>
      <c r="L6051" s="114"/>
      <c r="M6051" s="114">
        <f>tblAquisições[[#This Row],[VALOR UNITARIO COMPRADO]]*tblAquisições[[#This Row],[QUANTIDADE COMPRADA]]</f>
        <v>0</v>
      </c>
      <c r="N6051" s="110">
        <f>K6051-tblAquisições[[#This Row],[QUANTIDADE PLANEJADA]]</f>
        <v>-5</v>
      </c>
      <c r="O6051" s="106" t="str">
        <f t="shared" si="186"/>
        <v>Faltando Comprar</v>
      </c>
    </row>
    <row r="6052" spans="1:15" ht="60">
      <c r="A6052" s="46" t="s">
        <v>3259</v>
      </c>
      <c r="B6052" s="46" t="s">
        <v>3259</v>
      </c>
      <c r="C6052" s="17" t="s">
        <v>19</v>
      </c>
      <c r="D6052" s="47" t="s">
        <v>3435</v>
      </c>
      <c r="E6052" s="48">
        <v>12</v>
      </c>
      <c r="F6052" s="47" t="s">
        <v>191</v>
      </c>
      <c r="G6052" s="47" t="s">
        <v>39</v>
      </c>
      <c r="H6052" s="48" t="s">
        <v>23</v>
      </c>
      <c r="I6052" s="49">
        <v>3.3</v>
      </c>
      <c r="J6052" s="50">
        <f t="shared" si="185"/>
        <v>39.599999999999994</v>
      </c>
      <c r="K6052" s="106"/>
      <c r="L6052" s="114"/>
      <c r="M6052" s="114">
        <f>tblAquisições[[#This Row],[VALOR UNITARIO COMPRADO]]*tblAquisições[[#This Row],[QUANTIDADE COMPRADA]]</f>
        <v>0</v>
      </c>
      <c r="N6052" s="110">
        <f>K6052-tblAquisições[[#This Row],[QUANTIDADE PLANEJADA]]</f>
        <v>-12</v>
      </c>
      <c r="O6052" s="106" t="str">
        <f t="shared" si="186"/>
        <v>Faltando Comprar</v>
      </c>
    </row>
    <row r="6053" spans="1:15" ht="60">
      <c r="A6053" s="46" t="s">
        <v>3259</v>
      </c>
      <c r="B6053" s="46" t="s">
        <v>3263</v>
      </c>
      <c r="C6053" s="17" t="s">
        <v>19</v>
      </c>
      <c r="D6053" s="47" t="s">
        <v>3435</v>
      </c>
      <c r="E6053" s="48">
        <v>250</v>
      </c>
      <c r="F6053" s="47" t="s">
        <v>191</v>
      </c>
      <c r="G6053" s="47" t="s">
        <v>39</v>
      </c>
      <c r="H6053" s="51"/>
      <c r="I6053" s="49">
        <v>3.3</v>
      </c>
      <c r="J6053" s="50">
        <f t="shared" si="185"/>
        <v>825</v>
      </c>
      <c r="K6053" s="106"/>
      <c r="L6053" s="114"/>
      <c r="M6053" s="114">
        <f>tblAquisições[[#This Row],[VALOR UNITARIO COMPRADO]]*tblAquisições[[#This Row],[QUANTIDADE COMPRADA]]</f>
        <v>0</v>
      </c>
      <c r="N6053" s="110">
        <f>K6053-tblAquisições[[#This Row],[QUANTIDADE PLANEJADA]]</f>
        <v>-250</v>
      </c>
      <c r="O6053" s="106" t="str">
        <f t="shared" si="186"/>
        <v>Faltando Comprar</v>
      </c>
    </row>
    <row r="6054" spans="1:15" ht="60">
      <c r="A6054" s="46" t="s">
        <v>3259</v>
      </c>
      <c r="B6054" s="46" t="s">
        <v>3260</v>
      </c>
      <c r="C6054" s="17" t="s">
        <v>19</v>
      </c>
      <c r="D6054" s="47" t="s">
        <v>3436</v>
      </c>
      <c r="E6054" s="48">
        <v>1</v>
      </c>
      <c r="F6054" s="47" t="s">
        <v>191</v>
      </c>
      <c r="G6054" s="47" t="s">
        <v>39</v>
      </c>
      <c r="H6054" s="48" t="s">
        <v>65</v>
      </c>
      <c r="I6054" s="52">
        <v>107.87</v>
      </c>
      <c r="J6054" s="50">
        <f t="shared" si="185"/>
        <v>107.87</v>
      </c>
      <c r="K6054" s="106"/>
      <c r="L6054" s="114"/>
      <c r="M6054" s="114">
        <f>tblAquisições[[#This Row],[VALOR UNITARIO COMPRADO]]*tblAquisições[[#This Row],[QUANTIDADE COMPRADA]]</f>
        <v>0</v>
      </c>
      <c r="N6054" s="110">
        <f>K6054-tblAquisições[[#This Row],[QUANTIDADE PLANEJADA]]</f>
        <v>-1</v>
      </c>
      <c r="O6054" s="106" t="str">
        <f t="shared" si="186"/>
        <v>Faltando Comprar</v>
      </c>
    </row>
    <row r="6055" spans="1:15" ht="45">
      <c r="A6055" s="46" t="s">
        <v>3259</v>
      </c>
      <c r="B6055" s="46" t="s">
        <v>3267</v>
      </c>
      <c r="C6055" s="17" t="s">
        <v>19</v>
      </c>
      <c r="D6055" s="47" t="s">
        <v>3437</v>
      </c>
      <c r="E6055" s="48">
        <v>25</v>
      </c>
      <c r="F6055" s="47" t="s">
        <v>56</v>
      </c>
      <c r="G6055" s="47" t="s">
        <v>39</v>
      </c>
      <c r="H6055" s="51"/>
      <c r="I6055" s="49">
        <v>647.4</v>
      </c>
      <c r="J6055" s="50">
        <f t="shared" si="185"/>
        <v>16185</v>
      </c>
      <c r="K6055" s="106"/>
      <c r="L6055" s="114"/>
      <c r="M6055" s="114">
        <f>tblAquisições[[#This Row],[VALOR UNITARIO COMPRADO]]*tblAquisições[[#This Row],[QUANTIDADE COMPRADA]]</f>
        <v>0</v>
      </c>
      <c r="N6055" s="110">
        <f>K6055-tblAquisições[[#This Row],[QUANTIDADE PLANEJADA]]</f>
        <v>-25</v>
      </c>
      <c r="O6055" s="106" t="str">
        <f t="shared" si="186"/>
        <v>Faltando Comprar</v>
      </c>
    </row>
    <row r="6056" spans="1:15" ht="60">
      <c r="A6056" s="46" t="s">
        <v>3259</v>
      </c>
      <c r="B6056" s="46" t="s">
        <v>3267</v>
      </c>
      <c r="C6056" s="17" t="s">
        <v>19</v>
      </c>
      <c r="D6056" s="47" t="s">
        <v>3438</v>
      </c>
      <c r="E6056" s="48">
        <v>5</v>
      </c>
      <c r="F6056" s="47" t="s">
        <v>2802</v>
      </c>
      <c r="G6056" s="47" t="s">
        <v>775</v>
      </c>
      <c r="H6056" s="48" t="s">
        <v>23</v>
      </c>
      <c r="I6056" s="49">
        <v>210</v>
      </c>
      <c r="J6056" s="50">
        <f t="shared" si="185"/>
        <v>1050</v>
      </c>
      <c r="K6056" s="106"/>
      <c r="L6056" s="114"/>
      <c r="M6056" s="114">
        <f>tblAquisições[[#This Row],[VALOR UNITARIO COMPRADO]]*tblAquisições[[#This Row],[QUANTIDADE COMPRADA]]</f>
        <v>0</v>
      </c>
      <c r="N6056" s="110">
        <f>K6056-tblAquisições[[#This Row],[QUANTIDADE PLANEJADA]]</f>
        <v>-5</v>
      </c>
      <c r="O6056" s="106" t="str">
        <f t="shared" si="186"/>
        <v>Faltando Comprar</v>
      </c>
    </row>
    <row r="6057" spans="1:15" ht="60">
      <c r="A6057" s="46" t="s">
        <v>3259</v>
      </c>
      <c r="B6057" s="46" t="s">
        <v>3267</v>
      </c>
      <c r="C6057" s="17" t="s">
        <v>19</v>
      </c>
      <c r="D6057" s="47" t="s">
        <v>3166</v>
      </c>
      <c r="E6057" s="48">
        <v>25</v>
      </c>
      <c r="F6057" s="47" t="s">
        <v>2802</v>
      </c>
      <c r="G6057" s="47" t="s">
        <v>775</v>
      </c>
      <c r="H6057" s="51"/>
      <c r="I6057" s="49">
        <v>266.52</v>
      </c>
      <c r="J6057" s="50">
        <f t="shared" si="185"/>
        <v>6663</v>
      </c>
      <c r="K6057" s="106"/>
      <c r="L6057" s="114"/>
      <c r="M6057" s="114">
        <f>tblAquisições[[#This Row],[VALOR UNITARIO COMPRADO]]*tblAquisições[[#This Row],[QUANTIDADE COMPRADA]]</f>
        <v>0</v>
      </c>
      <c r="N6057" s="110">
        <f>K6057-tblAquisições[[#This Row],[QUANTIDADE PLANEJADA]]</f>
        <v>-25</v>
      </c>
      <c r="O6057" s="106" t="str">
        <f t="shared" si="186"/>
        <v>Faltando Comprar</v>
      </c>
    </row>
    <row r="6058" spans="1:15" ht="45">
      <c r="A6058" s="46" t="s">
        <v>3259</v>
      </c>
      <c r="B6058" s="46" t="s">
        <v>3259</v>
      </c>
      <c r="C6058" s="17" t="s">
        <v>19</v>
      </c>
      <c r="D6058" s="47" t="s">
        <v>2869</v>
      </c>
      <c r="E6058" s="48">
        <v>2</v>
      </c>
      <c r="F6058" s="47" t="s">
        <v>147</v>
      </c>
      <c r="G6058" s="47" t="s">
        <v>39</v>
      </c>
      <c r="H6058" s="48" t="s">
        <v>23</v>
      </c>
      <c r="I6058" s="49">
        <v>166.4</v>
      </c>
      <c r="J6058" s="50">
        <f t="shared" si="185"/>
        <v>332.8</v>
      </c>
      <c r="K6058" s="106"/>
      <c r="L6058" s="114"/>
      <c r="M6058" s="114">
        <f>tblAquisições[[#This Row],[VALOR UNITARIO COMPRADO]]*tblAquisições[[#This Row],[QUANTIDADE COMPRADA]]</f>
        <v>0</v>
      </c>
      <c r="N6058" s="110">
        <f>K6058-tblAquisições[[#This Row],[QUANTIDADE PLANEJADA]]</f>
        <v>-2</v>
      </c>
      <c r="O6058" s="106" t="str">
        <f t="shared" si="186"/>
        <v>Faltando Comprar</v>
      </c>
    </row>
    <row r="6059" spans="1:15" ht="45">
      <c r="A6059" s="46" t="s">
        <v>3259</v>
      </c>
      <c r="B6059" s="46" t="s">
        <v>3263</v>
      </c>
      <c r="C6059" s="17" t="s">
        <v>19</v>
      </c>
      <c r="D6059" s="47" t="s">
        <v>2869</v>
      </c>
      <c r="E6059" s="48">
        <v>5</v>
      </c>
      <c r="F6059" s="47" t="s">
        <v>147</v>
      </c>
      <c r="G6059" s="47" t="s">
        <v>39</v>
      </c>
      <c r="H6059" s="51"/>
      <c r="I6059" s="49">
        <v>166.4</v>
      </c>
      <c r="J6059" s="50">
        <f t="shared" si="185"/>
        <v>832</v>
      </c>
      <c r="K6059" s="106"/>
      <c r="L6059" s="114"/>
      <c r="M6059" s="114">
        <f>tblAquisições[[#This Row],[VALOR UNITARIO COMPRADO]]*tblAquisições[[#This Row],[QUANTIDADE COMPRADA]]</f>
        <v>0</v>
      </c>
      <c r="N6059" s="110">
        <f>K6059-tblAquisições[[#This Row],[QUANTIDADE PLANEJADA]]</f>
        <v>-5</v>
      </c>
      <c r="O6059" s="106" t="str">
        <f t="shared" si="186"/>
        <v>Faltando Comprar</v>
      </c>
    </row>
    <row r="6060" spans="1:15" ht="45">
      <c r="A6060" s="46" t="s">
        <v>3259</v>
      </c>
      <c r="B6060" s="46" t="s">
        <v>3259</v>
      </c>
      <c r="C6060" s="17" t="s">
        <v>19</v>
      </c>
      <c r="D6060" s="47" t="s">
        <v>3167</v>
      </c>
      <c r="E6060" s="48">
        <v>5</v>
      </c>
      <c r="F6060" s="47" t="s">
        <v>56</v>
      </c>
      <c r="G6060" s="47" t="s">
        <v>39</v>
      </c>
      <c r="H6060" s="48" t="s">
        <v>23</v>
      </c>
      <c r="I6060" s="49">
        <v>178.09</v>
      </c>
      <c r="J6060" s="50">
        <f t="shared" si="185"/>
        <v>890.45</v>
      </c>
      <c r="K6060" s="106"/>
      <c r="L6060" s="114"/>
      <c r="M6060" s="114">
        <f>tblAquisições[[#This Row],[VALOR UNITARIO COMPRADO]]*tblAquisições[[#This Row],[QUANTIDADE COMPRADA]]</f>
        <v>0</v>
      </c>
      <c r="N6060" s="110">
        <f>K6060-tblAquisições[[#This Row],[QUANTIDADE PLANEJADA]]</f>
        <v>-5</v>
      </c>
      <c r="O6060" s="106" t="str">
        <f t="shared" si="186"/>
        <v>Faltando Comprar</v>
      </c>
    </row>
    <row r="6061" spans="1:15" ht="45">
      <c r="A6061" s="46" t="s">
        <v>3259</v>
      </c>
      <c r="B6061" s="46" t="s">
        <v>3263</v>
      </c>
      <c r="C6061" s="17" t="s">
        <v>19</v>
      </c>
      <c r="D6061" s="47" t="s">
        <v>3167</v>
      </c>
      <c r="E6061" s="48">
        <v>5</v>
      </c>
      <c r="F6061" s="47" t="s">
        <v>56</v>
      </c>
      <c r="G6061" s="47" t="s">
        <v>39</v>
      </c>
      <c r="H6061" s="51"/>
      <c r="I6061" s="49">
        <v>178.09</v>
      </c>
      <c r="J6061" s="50">
        <f t="shared" si="185"/>
        <v>890.45</v>
      </c>
      <c r="K6061" s="106"/>
      <c r="L6061" s="114"/>
      <c r="M6061" s="114">
        <f>tblAquisições[[#This Row],[VALOR UNITARIO COMPRADO]]*tblAquisições[[#This Row],[QUANTIDADE COMPRADA]]</f>
        <v>0</v>
      </c>
      <c r="N6061" s="110">
        <f>K6061-tblAquisições[[#This Row],[QUANTIDADE PLANEJADA]]</f>
        <v>-5</v>
      </c>
      <c r="O6061" s="106" t="str">
        <f t="shared" si="186"/>
        <v>Faltando Comprar</v>
      </c>
    </row>
    <row r="6062" spans="1:15" ht="45">
      <c r="A6062" s="46" t="s">
        <v>3259</v>
      </c>
      <c r="B6062" s="46" t="s">
        <v>3259</v>
      </c>
      <c r="C6062" s="17" t="s">
        <v>19</v>
      </c>
      <c r="D6062" s="47" t="s">
        <v>3439</v>
      </c>
      <c r="E6062" s="48">
        <v>30</v>
      </c>
      <c r="F6062" s="47" t="s">
        <v>147</v>
      </c>
      <c r="G6062" s="47" t="s">
        <v>39</v>
      </c>
      <c r="H6062" s="48" t="s">
        <v>83</v>
      </c>
      <c r="I6062" s="49">
        <v>175.23</v>
      </c>
      <c r="J6062" s="50">
        <f t="shared" si="185"/>
        <v>5256.9</v>
      </c>
      <c r="K6062" s="106"/>
      <c r="L6062" s="114"/>
      <c r="M6062" s="114">
        <f>tblAquisições[[#This Row],[VALOR UNITARIO COMPRADO]]*tblAquisições[[#This Row],[QUANTIDADE COMPRADA]]</f>
        <v>0</v>
      </c>
      <c r="N6062" s="110">
        <f>K6062-tblAquisições[[#This Row],[QUANTIDADE PLANEJADA]]</f>
        <v>-30</v>
      </c>
      <c r="O6062" s="106" t="str">
        <f t="shared" si="186"/>
        <v>Faltando Comprar</v>
      </c>
    </row>
    <row r="6063" spans="1:15" ht="45">
      <c r="A6063" s="46" t="s">
        <v>3259</v>
      </c>
      <c r="B6063" s="46" t="s">
        <v>3263</v>
      </c>
      <c r="C6063" s="17" t="s">
        <v>19</v>
      </c>
      <c r="D6063" s="47" t="s">
        <v>3439</v>
      </c>
      <c r="E6063" s="48">
        <v>1000</v>
      </c>
      <c r="F6063" s="47" t="s">
        <v>147</v>
      </c>
      <c r="G6063" s="47" t="s">
        <v>39</v>
      </c>
      <c r="H6063" s="51"/>
      <c r="I6063" s="49">
        <v>175.23</v>
      </c>
      <c r="J6063" s="50">
        <f t="shared" si="185"/>
        <v>175230</v>
      </c>
      <c r="K6063" s="106"/>
      <c r="L6063" s="114"/>
      <c r="M6063" s="114">
        <f>tblAquisições[[#This Row],[VALOR UNITARIO COMPRADO]]*tblAquisições[[#This Row],[QUANTIDADE COMPRADA]]</f>
        <v>0</v>
      </c>
      <c r="N6063" s="110">
        <f>K6063-tblAquisições[[#This Row],[QUANTIDADE PLANEJADA]]</f>
        <v>-1000</v>
      </c>
      <c r="O6063" s="106" t="str">
        <f t="shared" si="186"/>
        <v>Faltando Comprar</v>
      </c>
    </row>
    <row r="6064" spans="1:15" ht="45">
      <c r="A6064" s="46" t="s">
        <v>3259</v>
      </c>
      <c r="B6064" s="46" t="s">
        <v>3267</v>
      </c>
      <c r="C6064" s="17" t="s">
        <v>19</v>
      </c>
      <c r="D6064" s="47" t="s">
        <v>3440</v>
      </c>
      <c r="E6064" s="48">
        <v>25</v>
      </c>
      <c r="F6064" s="47" t="s">
        <v>56</v>
      </c>
      <c r="G6064" s="47" t="s">
        <v>39</v>
      </c>
      <c r="H6064" s="51"/>
      <c r="I6064" s="49">
        <v>173.5</v>
      </c>
      <c r="J6064" s="50">
        <f t="shared" si="185"/>
        <v>4337.5</v>
      </c>
      <c r="K6064" s="106"/>
      <c r="L6064" s="114"/>
      <c r="M6064" s="114">
        <f>tblAquisições[[#This Row],[VALOR UNITARIO COMPRADO]]*tblAquisições[[#This Row],[QUANTIDADE COMPRADA]]</f>
        <v>0</v>
      </c>
      <c r="N6064" s="110">
        <f>K6064-tblAquisições[[#This Row],[QUANTIDADE PLANEJADA]]</f>
        <v>-25</v>
      </c>
      <c r="O6064" s="106" t="str">
        <f t="shared" si="186"/>
        <v>Faltando Comprar</v>
      </c>
    </row>
    <row r="6065" spans="1:15" ht="375">
      <c r="A6065" s="46" t="s">
        <v>3259</v>
      </c>
      <c r="B6065" s="46" t="s">
        <v>3259</v>
      </c>
      <c r="C6065" s="17" t="s">
        <v>19</v>
      </c>
      <c r="D6065" s="47" t="s">
        <v>2873</v>
      </c>
      <c r="E6065" s="48">
        <v>5</v>
      </c>
      <c r="F6065" s="47" t="s">
        <v>2802</v>
      </c>
      <c r="G6065" s="47" t="s">
        <v>775</v>
      </c>
      <c r="H6065" s="48" t="s">
        <v>23</v>
      </c>
      <c r="I6065" s="49">
        <v>7799</v>
      </c>
      <c r="J6065" s="50">
        <f t="shared" si="185"/>
        <v>38995</v>
      </c>
      <c r="K6065" s="106"/>
      <c r="L6065" s="114"/>
      <c r="M6065" s="114">
        <f>tblAquisições[[#This Row],[VALOR UNITARIO COMPRADO]]*tblAquisições[[#This Row],[QUANTIDADE COMPRADA]]</f>
        <v>0</v>
      </c>
      <c r="N6065" s="110">
        <f>K6065-tblAquisições[[#This Row],[QUANTIDADE PLANEJADA]]</f>
        <v>-5</v>
      </c>
      <c r="O6065" s="106" t="str">
        <f t="shared" si="186"/>
        <v>Faltando Comprar</v>
      </c>
    </row>
    <row r="6066" spans="1:15" ht="60">
      <c r="A6066" s="46" t="s">
        <v>3259</v>
      </c>
      <c r="B6066" s="46" t="s">
        <v>3260</v>
      </c>
      <c r="C6066" s="17" t="s">
        <v>19</v>
      </c>
      <c r="D6066" s="47" t="s">
        <v>3441</v>
      </c>
      <c r="E6066" s="48">
        <v>5</v>
      </c>
      <c r="F6066" s="47" t="s">
        <v>96</v>
      </c>
      <c r="G6066" s="47" t="s">
        <v>3185</v>
      </c>
      <c r="H6066" s="48" t="s">
        <v>23</v>
      </c>
      <c r="I6066" s="49">
        <v>25</v>
      </c>
      <c r="J6066" s="50">
        <f t="shared" si="185"/>
        <v>125</v>
      </c>
      <c r="K6066" s="106"/>
      <c r="L6066" s="114"/>
      <c r="M6066" s="114">
        <f>tblAquisições[[#This Row],[VALOR UNITARIO COMPRADO]]*tblAquisições[[#This Row],[QUANTIDADE COMPRADA]]</f>
        <v>0</v>
      </c>
      <c r="N6066" s="110">
        <f>K6066-tblAquisições[[#This Row],[QUANTIDADE PLANEJADA]]</f>
        <v>-5</v>
      </c>
      <c r="O6066" s="106" t="str">
        <f t="shared" si="186"/>
        <v>Faltando Comprar</v>
      </c>
    </row>
    <row r="6067" spans="1:15" ht="60">
      <c r="A6067" s="46" t="s">
        <v>3259</v>
      </c>
      <c r="B6067" s="46" t="s">
        <v>3260</v>
      </c>
      <c r="C6067" s="17" t="s">
        <v>19</v>
      </c>
      <c r="D6067" s="47" t="s">
        <v>3442</v>
      </c>
      <c r="E6067" s="57">
        <v>10000</v>
      </c>
      <c r="F6067" s="47" t="s">
        <v>3443</v>
      </c>
      <c r="G6067" s="47" t="s">
        <v>3444</v>
      </c>
      <c r="H6067" s="48" t="s">
        <v>23</v>
      </c>
      <c r="I6067" s="49">
        <v>147.33000000000001</v>
      </c>
      <c r="J6067" s="50">
        <f t="shared" ref="J6067:J6069" si="187">E6067*I6067</f>
        <v>1473300.0000000002</v>
      </c>
      <c r="K6067" s="106"/>
      <c r="L6067" s="114"/>
      <c r="M6067" s="114">
        <f>tblAquisições[[#This Row],[VALOR UNITARIO COMPRADO]]*tblAquisições[[#This Row],[QUANTIDADE COMPRADA]]</f>
        <v>0</v>
      </c>
      <c r="N6067" s="110">
        <f>K6067-tblAquisições[[#This Row],[QUANTIDADE PLANEJADA]]</f>
        <v>-10000</v>
      </c>
      <c r="O6067" s="106" t="str">
        <f t="shared" si="186"/>
        <v>Faltando Comprar</v>
      </c>
    </row>
    <row r="6068" spans="1:15" ht="60">
      <c r="A6068" s="46" t="s">
        <v>3259</v>
      </c>
      <c r="B6068" s="46" t="s">
        <v>3260</v>
      </c>
      <c r="C6068" s="17" t="s">
        <v>19</v>
      </c>
      <c r="D6068" s="47" t="s">
        <v>3445</v>
      </c>
      <c r="E6068" s="48">
        <v>1</v>
      </c>
      <c r="F6068" s="47" t="s">
        <v>96</v>
      </c>
      <c r="G6068" s="47" t="s">
        <v>3185</v>
      </c>
      <c r="H6068" s="48" t="s">
        <v>23</v>
      </c>
      <c r="I6068" s="49">
        <v>760.1</v>
      </c>
      <c r="J6068" s="50">
        <f t="shared" si="187"/>
        <v>760.1</v>
      </c>
      <c r="K6068" s="106"/>
      <c r="L6068" s="114"/>
      <c r="M6068" s="114">
        <f>tblAquisições[[#This Row],[VALOR UNITARIO COMPRADO]]*tblAquisições[[#This Row],[QUANTIDADE COMPRADA]]</f>
        <v>0</v>
      </c>
      <c r="N6068" s="110">
        <f>K6068-tblAquisições[[#This Row],[QUANTIDADE PLANEJADA]]</f>
        <v>-1</v>
      </c>
      <c r="O6068" s="106" t="str">
        <f t="shared" si="186"/>
        <v>Faltando Comprar</v>
      </c>
    </row>
    <row r="6069" spans="1:15" ht="60">
      <c r="A6069" s="53" t="s">
        <v>3259</v>
      </c>
      <c r="B6069" s="53" t="s">
        <v>3267</v>
      </c>
      <c r="C6069" s="17" t="s">
        <v>19</v>
      </c>
      <c r="D6069" s="54" t="s">
        <v>2677</v>
      </c>
      <c r="E6069" s="55">
        <v>15</v>
      </c>
      <c r="F6069" s="54" t="s">
        <v>2678</v>
      </c>
      <c r="G6069" s="54" t="s">
        <v>775</v>
      </c>
      <c r="H6069" s="56"/>
      <c r="I6069" s="58">
        <v>261.95999999999998</v>
      </c>
      <c r="J6069" s="59">
        <f t="shared" si="187"/>
        <v>3929.3999999999996</v>
      </c>
      <c r="K6069" s="108"/>
      <c r="L6069" s="115"/>
      <c r="M6069" s="115">
        <f>tblAquisições[[#This Row],[VALOR UNITARIO COMPRADO]]*tblAquisições[[#This Row],[QUANTIDADE COMPRADA]]</f>
        <v>0</v>
      </c>
      <c r="N6069" s="111">
        <f>K6069-tblAquisições[[#This Row],[QUANTIDADE PLANEJADA]]</f>
        <v>-15</v>
      </c>
      <c r="O6069" s="108" t="str">
        <f t="shared" si="186"/>
        <v>Faltando Comprar</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1"/>
  <sheetViews>
    <sheetView topLeftCell="D1" workbookViewId="0">
      <pane ySplit="1" topLeftCell="A2" activePane="bottomLeft" state="frozen"/>
      <selection pane="bottomLeft" activeCell="L3" sqref="L3"/>
    </sheetView>
  </sheetViews>
  <sheetFormatPr defaultColWidth="20.7109375" defaultRowHeight="50.1" customHeight="1"/>
  <cols>
    <col min="1" max="1" width="17.5703125" customWidth="1"/>
    <col min="2" max="2" width="22.7109375" customWidth="1"/>
    <col min="4" max="4" width="21.42578125" customWidth="1"/>
  </cols>
  <sheetData>
    <row r="1" spans="1:12" ht="64.5" customHeight="1">
      <c r="A1" s="190" t="s">
        <v>8</v>
      </c>
      <c r="B1" s="60" t="s">
        <v>3446</v>
      </c>
      <c r="C1" s="60" t="s">
        <v>3447</v>
      </c>
      <c r="D1" s="60" t="s">
        <v>3448</v>
      </c>
      <c r="E1" s="60" t="s">
        <v>3449</v>
      </c>
      <c r="F1" s="60" t="s">
        <v>3450</v>
      </c>
      <c r="G1" s="61" t="s">
        <v>3451</v>
      </c>
      <c r="H1" s="62" t="s">
        <v>3452</v>
      </c>
      <c r="I1" s="265" t="s">
        <v>4386</v>
      </c>
      <c r="J1" s="265" t="s">
        <v>4387</v>
      </c>
      <c r="K1" s="265" t="s">
        <v>4388</v>
      </c>
      <c r="L1" s="265" t="s">
        <v>4389</v>
      </c>
    </row>
    <row r="2" spans="1:12" ht="50.1" customHeight="1">
      <c r="A2" t="s">
        <v>17</v>
      </c>
      <c r="B2" s="63" t="s">
        <v>3636</v>
      </c>
      <c r="C2" s="63" t="s">
        <v>3453</v>
      </c>
      <c r="D2" s="64">
        <v>46023</v>
      </c>
      <c r="E2" s="65">
        <v>2000000</v>
      </c>
      <c r="F2" s="66">
        <v>2000000</v>
      </c>
      <c r="G2" s="67" t="s">
        <v>3455</v>
      </c>
      <c r="H2" s="63" t="s">
        <v>3456</v>
      </c>
    </row>
    <row r="3" spans="1:12" ht="50.1" customHeight="1">
      <c r="A3" t="s">
        <v>17</v>
      </c>
      <c r="B3" s="63" t="s">
        <v>3636</v>
      </c>
      <c r="C3" s="63" t="s">
        <v>3457</v>
      </c>
      <c r="D3" s="64">
        <v>46023</v>
      </c>
      <c r="E3" s="65">
        <v>3500000</v>
      </c>
      <c r="F3" s="66">
        <v>3500000</v>
      </c>
      <c r="G3" s="67" t="s">
        <v>3458</v>
      </c>
      <c r="H3" s="63" t="s">
        <v>3459</v>
      </c>
    </row>
    <row r="4" spans="1:12" ht="50.1" customHeight="1">
      <c r="A4" t="s">
        <v>17</v>
      </c>
      <c r="B4" s="63" t="s">
        <v>3636</v>
      </c>
      <c r="C4" s="63" t="s">
        <v>3460</v>
      </c>
      <c r="D4" s="64">
        <v>46143</v>
      </c>
      <c r="E4" s="65">
        <v>3360000</v>
      </c>
      <c r="F4" s="66">
        <v>2240000</v>
      </c>
      <c r="G4" s="67" t="s">
        <v>3461</v>
      </c>
      <c r="H4" s="63" t="s">
        <v>3459</v>
      </c>
    </row>
    <row r="5" spans="1:12" ht="50.1" customHeight="1">
      <c r="A5" t="s">
        <v>17</v>
      </c>
      <c r="B5" s="63" t="s">
        <v>3636</v>
      </c>
      <c r="C5" s="63" t="s">
        <v>3462</v>
      </c>
      <c r="D5" s="64">
        <v>46023</v>
      </c>
      <c r="E5" s="65">
        <v>3116400</v>
      </c>
      <c r="F5" s="66">
        <v>3116400</v>
      </c>
      <c r="G5" s="67" t="s">
        <v>3463</v>
      </c>
      <c r="H5" s="63" t="s">
        <v>3459</v>
      </c>
    </row>
    <row r="6" spans="1:12" ht="50.1" customHeight="1">
      <c r="A6" t="s">
        <v>17</v>
      </c>
      <c r="B6" s="63" t="s">
        <v>3636</v>
      </c>
      <c r="C6" s="63" t="s">
        <v>3464</v>
      </c>
      <c r="D6" s="64">
        <v>46023</v>
      </c>
      <c r="E6" s="65">
        <v>3116400</v>
      </c>
      <c r="F6" s="66">
        <v>3116400</v>
      </c>
      <c r="G6" s="67" t="s">
        <v>3465</v>
      </c>
      <c r="H6" s="63" t="s">
        <v>3459</v>
      </c>
    </row>
    <row r="7" spans="1:12" ht="50.1" customHeight="1">
      <c r="A7" t="s">
        <v>17</v>
      </c>
      <c r="B7" s="63" t="s">
        <v>3636</v>
      </c>
      <c r="C7" s="63" t="s">
        <v>3466</v>
      </c>
      <c r="D7" s="64">
        <v>46023</v>
      </c>
      <c r="E7" s="65">
        <v>3000000</v>
      </c>
      <c r="F7" s="66">
        <v>3000000</v>
      </c>
      <c r="G7" s="67" t="s">
        <v>3455</v>
      </c>
      <c r="H7" s="63" t="s">
        <v>3456</v>
      </c>
    </row>
    <row r="8" spans="1:12" ht="50.1" customHeight="1">
      <c r="A8" t="s">
        <v>17</v>
      </c>
      <c r="B8" s="63" t="s">
        <v>3636</v>
      </c>
      <c r="C8" s="68" t="s">
        <v>3467</v>
      </c>
      <c r="D8" s="64">
        <v>45919</v>
      </c>
      <c r="E8" s="66">
        <v>3087479.1</v>
      </c>
      <c r="F8" s="66">
        <v>3087479.1</v>
      </c>
      <c r="G8" s="67" t="s">
        <v>3468</v>
      </c>
      <c r="H8" s="63" t="s">
        <v>3469</v>
      </c>
    </row>
    <row r="9" spans="1:12" ht="50.1" customHeight="1">
      <c r="A9" t="s">
        <v>17</v>
      </c>
      <c r="B9" s="63" t="s">
        <v>3636</v>
      </c>
      <c r="C9" s="68" t="s">
        <v>3470</v>
      </c>
      <c r="D9" s="64">
        <v>45923</v>
      </c>
      <c r="E9" s="66">
        <v>1527328.57</v>
      </c>
      <c r="F9" s="66">
        <v>1527328.57</v>
      </c>
      <c r="G9" s="67" t="s">
        <v>3471</v>
      </c>
      <c r="H9" s="63" t="s">
        <v>3472</v>
      </c>
    </row>
    <row r="10" spans="1:12" ht="50.1" customHeight="1">
      <c r="A10" t="s">
        <v>17</v>
      </c>
      <c r="B10" s="63" t="s">
        <v>3636</v>
      </c>
      <c r="C10" s="68" t="s">
        <v>3473</v>
      </c>
      <c r="D10" s="64">
        <v>45936</v>
      </c>
      <c r="E10" s="66">
        <v>10959917.699999999</v>
      </c>
      <c r="F10" s="66">
        <v>10959917.699999999</v>
      </c>
      <c r="G10" s="67" t="s">
        <v>3474</v>
      </c>
      <c r="H10" s="63" t="s">
        <v>3475</v>
      </c>
    </row>
    <row r="11" spans="1:12" ht="50.1" customHeight="1">
      <c r="A11" t="s">
        <v>17</v>
      </c>
      <c r="B11" s="63" t="s">
        <v>3636</v>
      </c>
      <c r="C11" s="68" t="s">
        <v>3476</v>
      </c>
      <c r="D11" s="64">
        <v>45937</v>
      </c>
      <c r="E11" s="66">
        <v>6449046.5700000003</v>
      </c>
      <c r="F11" s="66">
        <v>6449046.5700000003</v>
      </c>
      <c r="G11" s="67" t="s">
        <v>3477</v>
      </c>
      <c r="H11" s="63" t="s">
        <v>3459</v>
      </c>
    </row>
    <row r="12" spans="1:12" ht="50.1" customHeight="1">
      <c r="A12" t="s">
        <v>17</v>
      </c>
      <c r="B12" s="63" t="s">
        <v>3636</v>
      </c>
      <c r="C12" s="68" t="s">
        <v>3478</v>
      </c>
      <c r="D12" s="64">
        <v>45937</v>
      </c>
      <c r="E12" s="66">
        <v>8909628.4900000002</v>
      </c>
      <c r="F12" s="66">
        <v>8909628.4900000002</v>
      </c>
      <c r="G12" s="67" t="s">
        <v>3458</v>
      </c>
      <c r="H12" s="63" t="s">
        <v>3459</v>
      </c>
    </row>
    <row r="13" spans="1:12" ht="50.1" customHeight="1">
      <c r="A13" t="s">
        <v>17</v>
      </c>
      <c r="B13" s="63" t="s">
        <v>3636</v>
      </c>
      <c r="C13" s="68" t="s">
        <v>3479</v>
      </c>
      <c r="D13" s="64">
        <v>45937</v>
      </c>
      <c r="E13" s="66">
        <v>2443137.9300000002</v>
      </c>
      <c r="F13" s="66">
        <v>2443137.9300000002</v>
      </c>
      <c r="G13" s="67" t="s">
        <v>3480</v>
      </c>
      <c r="H13" s="63" t="s">
        <v>3459</v>
      </c>
    </row>
    <row r="14" spans="1:12" ht="50.1" customHeight="1">
      <c r="A14" t="s">
        <v>17</v>
      </c>
      <c r="B14" s="63" t="s">
        <v>3636</v>
      </c>
      <c r="C14" s="68" t="s">
        <v>3481</v>
      </c>
      <c r="D14" s="64">
        <v>45945</v>
      </c>
      <c r="E14" s="66" t="s">
        <v>3482</v>
      </c>
      <c r="F14" s="66" t="s">
        <v>3482</v>
      </c>
      <c r="G14" s="67" t="s">
        <v>3461</v>
      </c>
      <c r="H14" s="63" t="s">
        <v>3459</v>
      </c>
    </row>
    <row r="15" spans="1:12" ht="50.1" customHeight="1">
      <c r="A15" t="s">
        <v>17</v>
      </c>
      <c r="B15" s="63" t="s">
        <v>3636</v>
      </c>
      <c r="C15" s="68" t="s">
        <v>3483</v>
      </c>
      <c r="D15" s="64">
        <v>45945</v>
      </c>
      <c r="E15" s="66">
        <v>2597000</v>
      </c>
      <c r="F15" s="66">
        <v>2597000</v>
      </c>
      <c r="G15" s="67" t="s">
        <v>3463</v>
      </c>
      <c r="H15" s="63" t="s">
        <v>3459</v>
      </c>
    </row>
    <row r="16" spans="1:12" ht="50.1" customHeight="1">
      <c r="A16" t="s">
        <v>17</v>
      </c>
      <c r="B16" s="63" t="s">
        <v>3636</v>
      </c>
      <c r="C16" s="68" t="s">
        <v>3484</v>
      </c>
      <c r="D16" s="64">
        <v>45945</v>
      </c>
      <c r="E16" s="66">
        <v>2550000</v>
      </c>
      <c r="F16" s="66">
        <v>2550000</v>
      </c>
      <c r="G16" s="67" t="s">
        <v>3485</v>
      </c>
      <c r="H16" s="63" t="s">
        <v>3456</v>
      </c>
    </row>
    <row r="17" spans="1:8" ht="50.1" customHeight="1">
      <c r="A17" t="s">
        <v>17</v>
      </c>
      <c r="B17" s="63" t="s">
        <v>3636</v>
      </c>
      <c r="C17" s="68" t="s">
        <v>3486</v>
      </c>
      <c r="D17" s="64">
        <v>45945</v>
      </c>
      <c r="E17" s="66">
        <v>1890000</v>
      </c>
      <c r="F17" s="66">
        <v>1890000</v>
      </c>
      <c r="G17" s="67" t="s">
        <v>3455</v>
      </c>
      <c r="H17" s="63" t="s">
        <v>3456</v>
      </c>
    </row>
    <row r="18" spans="1:8" ht="50.1" customHeight="1">
      <c r="A18" t="s">
        <v>17</v>
      </c>
      <c r="B18" s="63" t="s">
        <v>3636</v>
      </c>
      <c r="C18" s="68" t="s">
        <v>3487</v>
      </c>
      <c r="D18" s="64">
        <v>45945</v>
      </c>
      <c r="E18" s="66">
        <v>3599064</v>
      </c>
      <c r="F18" s="66">
        <v>3599064</v>
      </c>
      <c r="G18" s="67" t="s">
        <v>3488</v>
      </c>
      <c r="H18" s="63" t="s">
        <v>3489</v>
      </c>
    </row>
    <row r="19" spans="1:8" ht="50.1" customHeight="1">
      <c r="A19" t="s">
        <v>17</v>
      </c>
      <c r="B19" s="63" t="s">
        <v>3636</v>
      </c>
      <c r="C19" s="68" t="s">
        <v>3490</v>
      </c>
      <c r="D19" s="64">
        <v>45955</v>
      </c>
      <c r="E19" s="66">
        <v>756418.18</v>
      </c>
      <c r="F19" s="66">
        <v>756418.18</v>
      </c>
      <c r="G19" s="67" t="s">
        <v>3491</v>
      </c>
      <c r="H19" s="63" t="s">
        <v>3492</v>
      </c>
    </row>
    <row r="20" spans="1:8" ht="50.1" customHeight="1">
      <c r="A20" t="s">
        <v>17</v>
      </c>
      <c r="B20" s="63" t="s">
        <v>3636</v>
      </c>
      <c r="C20" s="68" t="s">
        <v>3493</v>
      </c>
      <c r="D20" s="64">
        <v>45959</v>
      </c>
      <c r="E20" s="66">
        <v>2899365.45</v>
      </c>
      <c r="F20" s="66">
        <v>2899365.45</v>
      </c>
      <c r="G20" s="67" t="s">
        <v>3494</v>
      </c>
      <c r="H20" s="63" t="s">
        <v>3495</v>
      </c>
    </row>
    <row r="21" spans="1:8" ht="50.1" customHeight="1">
      <c r="A21" t="s">
        <v>17</v>
      </c>
      <c r="B21" s="63" t="s">
        <v>3636</v>
      </c>
      <c r="C21" s="68" t="s">
        <v>3496</v>
      </c>
      <c r="D21" s="64">
        <v>45969</v>
      </c>
      <c r="E21" s="66">
        <v>1050800</v>
      </c>
      <c r="F21" s="66">
        <v>1050800</v>
      </c>
      <c r="G21" s="67" t="s">
        <v>3497</v>
      </c>
      <c r="H21" s="63" t="s">
        <v>3498</v>
      </c>
    </row>
    <row r="22" spans="1:8" ht="50.1" customHeight="1">
      <c r="A22" t="s">
        <v>17</v>
      </c>
      <c r="B22" s="63" t="s">
        <v>3636</v>
      </c>
      <c r="C22" s="68" t="s">
        <v>3499</v>
      </c>
      <c r="D22" s="64">
        <v>45969</v>
      </c>
      <c r="E22" s="66">
        <v>2779954.36</v>
      </c>
      <c r="F22" s="66">
        <v>2779954.36</v>
      </c>
      <c r="G22" s="67" t="s">
        <v>3465</v>
      </c>
      <c r="H22" s="63" t="s">
        <v>3459</v>
      </c>
    </row>
    <row r="23" spans="1:8" ht="50.1" customHeight="1">
      <c r="A23" t="s">
        <v>17</v>
      </c>
      <c r="B23" s="63" t="s">
        <v>3636</v>
      </c>
      <c r="C23" s="68" t="s">
        <v>3500</v>
      </c>
      <c r="D23" s="64">
        <v>45981</v>
      </c>
      <c r="E23" s="66">
        <v>81614.12</v>
      </c>
      <c r="F23" s="66">
        <v>81614.12</v>
      </c>
      <c r="G23" s="67" t="s">
        <v>3501</v>
      </c>
      <c r="H23" s="63" t="s">
        <v>3502</v>
      </c>
    </row>
    <row r="24" spans="1:8" ht="50.1" customHeight="1">
      <c r="A24" t="s">
        <v>17</v>
      </c>
      <c r="B24" s="63" t="s">
        <v>3636</v>
      </c>
      <c r="C24" s="68" t="s">
        <v>3503</v>
      </c>
      <c r="D24" s="64">
        <v>46009</v>
      </c>
      <c r="E24" s="66">
        <v>4500500.5</v>
      </c>
      <c r="F24" s="66">
        <v>4500500.5</v>
      </c>
      <c r="G24" s="67" t="s">
        <v>3504</v>
      </c>
      <c r="H24" s="63" t="s">
        <v>3505</v>
      </c>
    </row>
    <row r="25" spans="1:8" ht="50.1" customHeight="1">
      <c r="A25" t="s">
        <v>17</v>
      </c>
      <c r="B25" s="63" t="s">
        <v>3636</v>
      </c>
      <c r="C25" s="68" t="s">
        <v>3506</v>
      </c>
      <c r="D25" s="64">
        <v>46009</v>
      </c>
      <c r="E25" s="66">
        <v>3730000</v>
      </c>
      <c r="F25" s="66">
        <v>3730000</v>
      </c>
      <c r="G25" s="67" t="s">
        <v>3507</v>
      </c>
      <c r="H25" s="63" t="s">
        <v>3505</v>
      </c>
    </row>
    <row r="26" spans="1:8" ht="50.1" customHeight="1">
      <c r="A26" t="s">
        <v>17</v>
      </c>
      <c r="B26" s="63" t="s">
        <v>3636</v>
      </c>
      <c r="C26" s="68" t="s">
        <v>3508</v>
      </c>
      <c r="D26" s="64">
        <v>46009</v>
      </c>
      <c r="E26" s="66">
        <v>3407500</v>
      </c>
      <c r="F26" s="66">
        <v>3407500</v>
      </c>
      <c r="G26" s="67" t="s">
        <v>3509</v>
      </c>
      <c r="H26" s="63" t="s">
        <v>3505</v>
      </c>
    </row>
    <row r="27" spans="1:8" ht="50.1" customHeight="1">
      <c r="A27" t="s">
        <v>17</v>
      </c>
      <c r="B27" s="63" t="s">
        <v>3636</v>
      </c>
      <c r="C27" s="68" t="s">
        <v>3510</v>
      </c>
      <c r="D27" s="64">
        <v>46009</v>
      </c>
      <c r="E27" s="66">
        <v>9445250.5</v>
      </c>
      <c r="F27" s="66">
        <v>9445250.5</v>
      </c>
      <c r="G27" s="67" t="s">
        <v>3511</v>
      </c>
      <c r="H27" s="63" t="s">
        <v>3505</v>
      </c>
    </row>
    <row r="28" spans="1:8" ht="50.1" customHeight="1">
      <c r="A28" t="s">
        <v>17</v>
      </c>
      <c r="B28" s="63" t="s">
        <v>3636</v>
      </c>
      <c r="C28" s="68" t="s">
        <v>3512</v>
      </c>
      <c r="D28" s="64">
        <v>46009</v>
      </c>
      <c r="E28" s="66">
        <v>3928450.5</v>
      </c>
      <c r="F28" s="66">
        <v>3928450.5</v>
      </c>
      <c r="G28" s="67" t="s">
        <v>3513</v>
      </c>
      <c r="H28" s="63" t="s">
        <v>3505</v>
      </c>
    </row>
    <row r="29" spans="1:8" ht="50.1" customHeight="1">
      <c r="A29" t="s">
        <v>17</v>
      </c>
      <c r="B29" s="63" t="s">
        <v>3636</v>
      </c>
      <c r="C29" s="68" t="s">
        <v>3514</v>
      </c>
      <c r="D29" s="64">
        <v>46021</v>
      </c>
      <c r="E29" s="66">
        <v>3457882.78</v>
      </c>
      <c r="F29" s="66">
        <v>3457882.78</v>
      </c>
      <c r="G29" s="67" t="s">
        <v>3515</v>
      </c>
      <c r="H29" s="63" t="s">
        <v>3516</v>
      </c>
    </row>
    <row r="30" spans="1:8" ht="50.1" customHeight="1">
      <c r="A30" t="s">
        <v>17</v>
      </c>
      <c r="B30" s="63" t="s">
        <v>3636</v>
      </c>
      <c r="C30" s="68" t="s">
        <v>3517</v>
      </c>
      <c r="D30" s="64">
        <v>46066</v>
      </c>
      <c r="E30" s="66">
        <v>3002752.69</v>
      </c>
      <c r="F30" s="66">
        <v>3002752.69</v>
      </c>
      <c r="G30" s="67" t="s">
        <v>3518</v>
      </c>
      <c r="H30" s="63" t="s">
        <v>3519</v>
      </c>
    </row>
    <row r="31" spans="1:8" ht="50.1" customHeight="1">
      <c r="A31" t="s">
        <v>17</v>
      </c>
      <c r="B31" s="63" t="s">
        <v>3636</v>
      </c>
      <c r="C31" s="68" t="s">
        <v>3520</v>
      </c>
      <c r="D31" s="64">
        <v>46087</v>
      </c>
      <c r="E31" s="66">
        <v>9091970</v>
      </c>
      <c r="F31" s="66">
        <v>9091970</v>
      </c>
      <c r="G31" s="67" t="s">
        <v>3521</v>
      </c>
      <c r="H31" s="63" t="s">
        <v>3522</v>
      </c>
    </row>
    <row r="32" spans="1:8" ht="50.1" customHeight="1">
      <c r="A32" t="s">
        <v>17</v>
      </c>
      <c r="B32" s="63" t="s">
        <v>3636</v>
      </c>
      <c r="C32" s="68" t="s">
        <v>3523</v>
      </c>
      <c r="D32" s="64">
        <v>46101</v>
      </c>
      <c r="E32" s="66">
        <v>1020000</v>
      </c>
      <c r="F32" s="66">
        <v>1020000</v>
      </c>
      <c r="G32" s="67" t="s">
        <v>3524</v>
      </c>
      <c r="H32" s="63" t="s">
        <v>3525</v>
      </c>
    </row>
    <row r="33" spans="1:8" ht="50.1" customHeight="1">
      <c r="A33" t="s">
        <v>17</v>
      </c>
      <c r="B33" s="63" t="s">
        <v>3636</v>
      </c>
      <c r="C33" s="68" t="s">
        <v>3526</v>
      </c>
      <c r="D33" s="64">
        <v>46101</v>
      </c>
      <c r="E33" s="66">
        <v>1000000</v>
      </c>
      <c r="F33" s="66">
        <v>1000000</v>
      </c>
      <c r="G33" s="67" t="s">
        <v>3527</v>
      </c>
      <c r="H33" s="63" t="s">
        <v>3525</v>
      </c>
    </row>
    <row r="34" spans="1:8" ht="50.1" customHeight="1">
      <c r="A34" t="s">
        <v>17</v>
      </c>
      <c r="B34" s="63" t="s">
        <v>3636</v>
      </c>
      <c r="C34" s="68" t="s">
        <v>3528</v>
      </c>
      <c r="D34" s="64">
        <v>46101</v>
      </c>
      <c r="E34" s="66">
        <v>955000</v>
      </c>
      <c r="F34" s="66">
        <v>955000</v>
      </c>
      <c r="G34" s="67" t="s">
        <v>3529</v>
      </c>
      <c r="H34" s="63" t="s">
        <v>3525</v>
      </c>
    </row>
    <row r="35" spans="1:8" ht="50.1" customHeight="1">
      <c r="A35" t="s">
        <v>17</v>
      </c>
      <c r="B35" s="63" t="s">
        <v>3636</v>
      </c>
      <c r="C35" s="68" t="s">
        <v>3530</v>
      </c>
      <c r="D35" s="64">
        <v>46121</v>
      </c>
      <c r="E35" s="66">
        <v>631739.76</v>
      </c>
      <c r="F35" s="66">
        <v>631739.76</v>
      </c>
      <c r="G35" s="67" t="s">
        <v>3531</v>
      </c>
      <c r="H35" s="63" t="s">
        <v>3532</v>
      </c>
    </row>
    <row r="36" spans="1:8" ht="50.1" customHeight="1">
      <c r="A36" t="s">
        <v>17</v>
      </c>
      <c r="B36" s="63" t="s">
        <v>3636</v>
      </c>
      <c r="C36" s="68" t="s">
        <v>3533</v>
      </c>
      <c r="D36" s="64">
        <v>46125</v>
      </c>
      <c r="E36" s="66">
        <v>3265952.68</v>
      </c>
      <c r="F36" s="66">
        <v>3265952.68</v>
      </c>
      <c r="G36" s="67" t="s">
        <v>3534</v>
      </c>
      <c r="H36" s="63" t="s">
        <v>3535</v>
      </c>
    </row>
    <row r="37" spans="1:8" ht="50.1" customHeight="1">
      <c r="A37" t="s">
        <v>17</v>
      </c>
      <c r="B37" s="63" t="s">
        <v>3636</v>
      </c>
      <c r="C37" s="68" t="s">
        <v>3536</v>
      </c>
      <c r="D37" s="64">
        <v>46130</v>
      </c>
      <c r="E37" s="66">
        <v>3938893.84</v>
      </c>
      <c r="F37" s="66">
        <v>3938893.84</v>
      </c>
      <c r="G37" s="67" t="s">
        <v>3537</v>
      </c>
      <c r="H37" s="63" t="s">
        <v>3538</v>
      </c>
    </row>
    <row r="38" spans="1:8" ht="50.1" customHeight="1">
      <c r="A38" t="s">
        <v>17</v>
      </c>
      <c r="B38" s="63" t="s">
        <v>3636</v>
      </c>
      <c r="C38" s="68" t="s">
        <v>3539</v>
      </c>
      <c r="D38" s="64">
        <v>46160</v>
      </c>
      <c r="E38" s="66">
        <v>7582221.96</v>
      </c>
      <c r="F38" s="66">
        <v>7582221.96</v>
      </c>
      <c r="G38" s="67" t="s">
        <v>3540</v>
      </c>
      <c r="H38" s="63" t="s">
        <v>3541</v>
      </c>
    </row>
    <row r="39" spans="1:8" ht="50.1" customHeight="1">
      <c r="A39" t="s">
        <v>17</v>
      </c>
      <c r="B39" s="63" t="s">
        <v>3636</v>
      </c>
      <c r="C39" s="68" t="s">
        <v>3542</v>
      </c>
      <c r="D39" s="64">
        <v>46184</v>
      </c>
      <c r="E39" s="66">
        <v>15028153.6</v>
      </c>
      <c r="F39" s="66">
        <v>15028153.6</v>
      </c>
      <c r="G39" s="67" t="s">
        <v>3543</v>
      </c>
      <c r="H39" s="63" t="s">
        <v>3489</v>
      </c>
    </row>
    <row r="40" spans="1:8" ht="50.1" customHeight="1">
      <c r="A40" t="s">
        <v>17</v>
      </c>
      <c r="B40" s="63" t="s">
        <v>3636</v>
      </c>
      <c r="C40" s="68" t="s">
        <v>3544</v>
      </c>
      <c r="D40" s="64">
        <v>46217</v>
      </c>
      <c r="E40" s="66">
        <v>2869803.14</v>
      </c>
      <c r="F40" s="66">
        <v>2869803.14</v>
      </c>
      <c r="G40" s="67" t="s">
        <v>3545</v>
      </c>
      <c r="H40" s="63" t="s">
        <v>3475</v>
      </c>
    </row>
    <row r="41" spans="1:8" ht="50.1" customHeight="1">
      <c r="A41" t="s">
        <v>17</v>
      </c>
      <c r="B41" s="63" t="s">
        <v>3636</v>
      </c>
      <c r="C41" s="68" t="s">
        <v>3546</v>
      </c>
      <c r="D41" s="64">
        <v>46221</v>
      </c>
      <c r="E41" s="66">
        <v>4044811.29</v>
      </c>
      <c r="F41" s="66">
        <v>4044811.29</v>
      </c>
      <c r="G41" s="67" t="s">
        <v>3547</v>
      </c>
      <c r="H41" s="63" t="s">
        <v>3475</v>
      </c>
    </row>
    <row r="42" spans="1:8" ht="50.1" customHeight="1">
      <c r="A42" t="s">
        <v>17</v>
      </c>
      <c r="B42" s="63" t="s">
        <v>3636</v>
      </c>
      <c r="C42" s="68" t="s">
        <v>3548</v>
      </c>
      <c r="D42" s="64">
        <v>46221</v>
      </c>
      <c r="E42" s="66">
        <v>1498135.68</v>
      </c>
      <c r="F42" s="66">
        <v>1498135.68</v>
      </c>
      <c r="G42" s="67" t="s">
        <v>3549</v>
      </c>
      <c r="H42" s="63" t="s">
        <v>3538</v>
      </c>
    </row>
    <row r="43" spans="1:8" ht="50.1" customHeight="1">
      <c r="A43" t="s">
        <v>17</v>
      </c>
      <c r="B43" s="63" t="s">
        <v>3636</v>
      </c>
      <c r="C43" s="68" t="s">
        <v>3550</v>
      </c>
      <c r="D43" s="64">
        <v>46222</v>
      </c>
      <c r="E43" s="66">
        <v>2852189.95</v>
      </c>
      <c r="F43" s="66">
        <v>2852189.95</v>
      </c>
      <c r="G43" s="67" t="s">
        <v>3551</v>
      </c>
      <c r="H43" s="63" t="s">
        <v>3475</v>
      </c>
    </row>
    <row r="44" spans="1:8" ht="50.1" customHeight="1">
      <c r="A44" t="s">
        <v>17</v>
      </c>
      <c r="B44" s="63" t="s">
        <v>3636</v>
      </c>
      <c r="C44" s="68" t="s">
        <v>3552</v>
      </c>
      <c r="D44" s="64">
        <v>46222</v>
      </c>
      <c r="E44" s="66">
        <v>919376.16</v>
      </c>
      <c r="F44" s="66">
        <v>919376.16</v>
      </c>
      <c r="G44" s="67" t="s">
        <v>3553</v>
      </c>
      <c r="H44" s="63" t="s">
        <v>3554</v>
      </c>
    </row>
    <row r="45" spans="1:8" ht="50.1" customHeight="1">
      <c r="A45" t="s">
        <v>17</v>
      </c>
      <c r="B45" s="63" t="s">
        <v>3636</v>
      </c>
      <c r="C45" s="68" t="s">
        <v>3555</v>
      </c>
      <c r="D45" s="64">
        <v>46223</v>
      </c>
      <c r="E45" s="66">
        <v>2214437.7999999998</v>
      </c>
      <c r="F45" s="66">
        <v>2214437.7999999998</v>
      </c>
      <c r="G45" s="67" t="s">
        <v>3556</v>
      </c>
      <c r="H45" s="63" t="s">
        <v>3554</v>
      </c>
    </row>
    <row r="46" spans="1:8" ht="50.1" customHeight="1">
      <c r="A46" t="s">
        <v>17</v>
      </c>
      <c r="B46" s="63" t="s">
        <v>3636</v>
      </c>
      <c r="C46" s="68" t="s">
        <v>3557</v>
      </c>
      <c r="D46" s="64">
        <v>46229</v>
      </c>
      <c r="E46" s="66">
        <v>2206781.94</v>
      </c>
      <c r="F46" s="66">
        <v>2206781.94</v>
      </c>
      <c r="G46" s="67" t="s">
        <v>3558</v>
      </c>
      <c r="H46" s="63" t="s">
        <v>3559</v>
      </c>
    </row>
    <row r="47" spans="1:8" ht="50.1" customHeight="1">
      <c r="A47" t="s">
        <v>17</v>
      </c>
      <c r="B47" s="63" t="s">
        <v>3636</v>
      </c>
      <c r="C47" s="68" t="s">
        <v>3560</v>
      </c>
      <c r="D47" s="64">
        <v>46229</v>
      </c>
      <c r="E47" s="66">
        <v>2612243.9700000002</v>
      </c>
      <c r="F47" s="66">
        <v>2612243.9700000002</v>
      </c>
      <c r="G47" s="67" t="s">
        <v>3561</v>
      </c>
      <c r="H47" s="63" t="s">
        <v>3559</v>
      </c>
    </row>
    <row r="48" spans="1:8" ht="50.1" customHeight="1">
      <c r="A48" t="s">
        <v>17</v>
      </c>
      <c r="B48" s="63" t="s">
        <v>3636</v>
      </c>
      <c r="C48" s="68" t="s">
        <v>3562</v>
      </c>
      <c r="D48" s="64">
        <v>46229</v>
      </c>
      <c r="E48" s="66">
        <v>2521577.4500000002</v>
      </c>
      <c r="F48" s="66">
        <v>2521577.4500000002</v>
      </c>
      <c r="G48" s="67" t="s">
        <v>3563</v>
      </c>
      <c r="H48" s="63" t="s">
        <v>3559</v>
      </c>
    </row>
    <row r="49" spans="1:8" ht="50.1" customHeight="1">
      <c r="A49" t="s">
        <v>17</v>
      </c>
      <c r="B49" s="63" t="s">
        <v>3636</v>
      </c>
      <c r="C49" s="68" t="s">
        <v>3564</v>
      </c>
      <c r="D49" s="64">
        <v>46237</v>
      </c>
      <c r="E49" s="66">
        <v>3226786.68</v>
      </c>
      <c r="F49" s="66">
        <v>3226786.68</v>
      </c>
      <c r="G49" s="67" t="s">
        <v>3565</v>
      </c>
      <c r="H49" s="63" t="s">
        <v>3559</v>
      </c>
    </row>
    <row r="50" spans="1:8" ht="50.1" customHeight="1">
      <c r="A50" t="s">
        <v>17</v>
      </c>
      <c r="B50" s="63" t="s">
        <v>3636</v>
      </c>
      <c r="C50" s="68" t="s">
        <v>3566</v>
      </c>
      <c r="D50" s="64">
        <v>46238</v>
      </c>
      <c r="E50" s="66">
        <v>3475424.21</v>
      </c>
      <c r="F50" s="66">
        <v>3475424.21</v>
      </c>
      <c r="G50" s="67" t="s">
        <v>3567</v>
      </c>
      <c r="H50" s="63" t="s">
        <v>3559</v>
      </c>
    </row>
    <row r="51" spans="1:8" ht="50.1" customHeight="1">
      <c r="A51" t="s">
        <v>2710</v>
      </c>
      <c r="B51" s="63" t="s">
        <v>3636</v>
      </c>
      <c r="C51" s="71" t="s">
        <v>3608</v>
      </c>
      <c r="D51" s="72">
        <v>45987</v>
      </c>
      <c r="E51" s="73">
        <v>6441653</v>
      </c>
      <c r="F51" s="73">
        <v>6441653</v>
      </c>
      <c r="G51" s="74" t="s">
        <v>3568</v>
      </c>
      <c r="H51" s="74" t="s">
        <v>3569</v>
      </c>
    </row>
    <row r="52" spans="1:8" ht="50.1" customHeight="1">
      <c r="A52" t="s">
        <v>2710</v>
      </c>
      <c r="B52" s="63" t="s">
        <v>3636</v>
      </c>
      <c r="C52" s="71" t="s">
        <v>3609</v>
      </c>
      <c r="D52" s="72">
        <v>45997</v>
      </c>
      <c r="E52" s="73">
        <v>1597400.39</v>
      </c>
      <c r="F52" s="73">
        <v>1597400.39</v>
      </c>
      <c r="G52" s="74" t="s">
        <v>3570</v>
      </c>
      <c r="H52" s="74" t="s">
        <v>3571</v>
      </c>
    </row>
    <row r="53" spans="1:8" ht="50.1" customHeight="1">
      <c r="A53" t="s">
        <v>2710</v>
      </c>
      <c r="B53" s="63" t="s">
        <v>3636</v>
      </c>
      <c r="C53" s="71" t="s">
        <v>3610</v>
      </c>
      <c r="D53" s="72">
        <v>45999</v>
      </c>
      <c r="E53" s="73">
        <v>386395.29</v>
      </c>
      <c r="F53" s="73">
        <v>386395.29</v>
      </c>
      <c r="G53" s="74" t="s">
        <v>3572</v>
      </c>
      <c r="H53" s="74" t="s">
        <v>3573</v>
      </c>
    </row>
    <row r="54" spans="1:8" ht="50.1" customHeight="1">
      <c r="A54" t="s">
        <v>2710</v>
      </c>
      <c r="B54" s="63" t="s">
        <v>3636</v>
      </c>
      <c r="C54" s="71" t="s">
        <v>3611</v>
      </c>
      <c r="D54" s="72">
        <v>46010</v>
      </c>
      <c r="E54" s="73">
        <v>255675.42</v>
      </c>
      <c r="F54" s="73">
        <v>255675.42</v>
      </c>
      <c r="G54" s="74" t="s">
        <v>3574</v>
      </c>
      <c r="H54" s="74" t="s">
        <v>3575</v>
      </c>
    </row>
    <row r="55" spans="1:8" ht="50.1" customHeight="1">
      <c r="A55" t="s">
        <v>2710</v>
      </c>
      <c r="B55" s="63" t="s">
        <v>3636</v>
      </c>
      <c r="C55" s="71" t="s">
        <v>3612</v>
      </c>
      <c r="D55" s="72">
        <v>46044</v>
      </c>
      <c r="E55" s="73">
        <v>592882.14</v>
      </c>
      <c r="F55" s="73">
        <v>592882.14</v>
      </c>
      <c r="G55" s="74" t="s">
        <v>3576</v>
      </c>
      <c r="H55" s="74" t="s">
        <v>3577</v>
      </c>
    </row>
    <row r="56" spans="1:8" ht="50.1" customHeight="1">
      <c r="A56" t="s">
        <v>2710</v>
      </c>
      <c r="B56" s="63" t="s">
        <v>3636</v>
      </c>
      <c r="C56" s="71" t="s">
        <v>3613</v>
      </c>
      <c r="D56" s="72">
        <v>46046</v>
      </c>
      <c r="E56" s="73">
        <v>386516.3</v>
      </c>
      <c r="F56" s="73">
        <v>386516.3</v>
      </c>
      <c r="G56" s="74" t="s">
        <v>3578</v>
      </c>
      <c r="H56" s="74" t="s">
        <v>3573</v>
      </c>
    </row>
    <row r="57" spans="1:8" ht="50.1" customHeight="1">
      <c r="A57" t="s">
        <v>2710</v>
      </c>
      <c r="B57" s="63" t="s">
        <v>3636</v>
      </c>
      <c r="C57" s="71" t="s">
        <v>3614</v>
      </c>
      <c r="D57" s="72">
        <v>46049</v>
      </c>
      <c r="E57" s="73">
        <v>1040487.03</v>
      </c>
      <c r="F57" s="73">
        <v>1040487.03</v>
      </c>
      <c r="G57" s="74" t="s">
        <v>3579</v>
      </c>
      <c r="H57" s="74" t="s">
        <v>3472</v>
      </c>
    </row>
    <row r="58" spans="1:8" ht="50.1" customHeight="1">
      <c r="A58" t="s">
        <v>2710</v>
      </c>
      <c r="B58" s="63" t="s">
        <v>3636</v>
      </c>
      <c r="C58" s="71" t="s">
        <v>3615</v>
      </c>
      <c r="D58" s="72">
        <v>46071</v>
      </c>
      <c r="E58" s="73">
        <v>635535.74</v>
      </c>
      <c r="F58" s="73">
        <v>635535.74</v>
      </c>
      <c r="G58" s="74" t="s">
        <v>3580</v>
      </c>
      <c r="H58" s="74" t="s">
        <v>3571</v>
      </c>
    </row>
    <row r="59" spans="1:8" ht="50.1" customHeight="1">
      <c r="A59" t="s">
        <v>2710</v>
      </c>
      <c r="B59" s="63" t="s">
        <v>3636</v>
      </c>
      <c r="C59" s="71" t="s">
        <v>3616</v>
      </c>
      <c r="D59" s="72">
        <v>46073</v>
      </c>
      <c r="E59" s="73">
        <v>20625708.079999998</v>
      </c>
      <c r="F59" s="73">
        <v>20625708.079999998</v>
      </c>
      <c r="G59" s="74" t="s">
        <v>3581</v>
      </c>
      <c r="H59" s="74" t="s">
        <v>3582</v>
      </c>
    </row>
    <row r="60" spans="1:8" ht="50.1" customHeight="1">
      <c r="A60" t="s">
        <v>2710</v>
      </c>
      <c r="B60" s="63" t="s">
        <v>3636</v>
      </c>
      <c r="C60" s="71" t="s">
        <v>3617</v>
      </c>
      <c r="D60" s="72">
        <v>46097</v>
      </c>
      <c r="E60" s="73">
        <v>633343.27</v>
      </c>
      <c r="F60" s="73">
        <v>633343.27</v>
      </c>
      <c r="G60" s="74" t="s">
        <v>3583</v>
      </c>
      <c r="H60" s="74" t="s">
        <v>3577</v>
      </c>
    </row>
    <row r="61" spans="1:8" ht="50.1" customHeight="1">
      <c r="A61" t="s">
        <v>2710</v>
      </c>
      <c r="B61" s="63" t="s">
        <v>3636</v>
      </c>
      <c r="C61" s="71" t="s">
        <v>3618</v>
      </c>
      <c r="D61" s="72">
        <v>46097</v>
      </c>
      <c r="E61" s="73">
        <v>522811.64</v>
      </c>
      <c r="F61" s="73">
        <v>522811.64</v>
      </c>
      <c r="G61" s="74" t="s">
        <v>3584</v>
      </c>
      <c r="H61" s="74" t="s">
        <v>3571</v>
      </c>
    </row>
    <row r="62" spans="1:8" ht="50.1" customHeight="1">
      <c r="A62" t="s">
        <v>2710</v>
      </c>
      <c r="B62" s="63" t="s">
        <v>3636</v>
      </c>
      <c r="C62" s="71" t="s">
        <v>3619</v>
      </c>
      <c r="D62" s="72">
        <v>46100</v>
      </c>
      <c r="E62" s="73">
        <v>1241882.77</v>
      </c>
      <c r="F62" s="73">
        <v>1241882.77</v>
      </c>
      <c r="G62" s="74" t="s">
        <v>3585</v>
      </c>
      <c r="H62" s="74" t="s">
        <v>3577</v>
      </c>
    </row>
    <row r="63" spans="1:8" ht="50.1" customHeight="1">
      <c r="A63" t="s">
        <v>2710</v>
      </c>
      <c r="B63" s="63" t="s">
        <v>3636</v>
      </c>
      <c r="C63" s="71" t="s">
        <v>3620</v>
      </c>
      <c r="D63" s="72">
        <v>46103</v>
      </c>
      <c r="E63" s="73">
        <v>21198718.219999999</v>
      </c>
      <c r="F63" s="73">
        <v>21198718.219999999</v>
      </c>
      <c r="G63" s="74" t="s">
        <v>3586</v>
      </c>
      <c r="H63" s="74" t="s">
        <v>3587</v>
      </c>
    </row>
    <row r="64" spans="1:8" ht="50.1" customHeight="1">
      <c r="A64" t="s">
        <v>2710</v>
      </c>
      <c r="B64" s="63" t="s">
        <v>3636</v>
      </c>
      <c r="C64" s="71" t="s">
        <v>3621</v>
      </c>
      <c r="D64" s="72">
        <v>46105</v>
      </c>
      <c r="E64" s="73">
        <v>94141.05</v>
      </c>
      <c r="F64" s="73">
        <v>94141.05</v>
      </c>
      <c r="G64" s="74" t="s">
        <v>3588</v>
      </c>
      <c r="H64" s="74" t="s">
        <v>3589</v>
      </c>
    </row>
    <row r="65" spans="1:8" ht="50.1" customHeight="1">
      <c r="A65" t="s">
        <v>2710</v>
      </c>
      <c r="B65" s="63" t="s">
        <v>3636</v>
      </c>
      <c r="C65" s="71" t="s">
        <v>3622</v>
      </c>
      <c r="D65" s="72">
        <v>46136</v>
      </c>
      <c r="E65" s="73">
        <v>614155.52000000002</v>
      </c>
      <c r="F65" s="73">
        <v>614155.52000000002</v>
      </c>
      <c r="G65" s="74" t="s">
        <v>3590</v>
      </c>
      <c r="H65" s="74" t="s">
        <v>3535</v>
      </c>
    </row>
    <row r="66" spans="1:8" ht="50.1" customHeight="1">
      <c r="A66" t="s">
        <v>2710</v>
      </c>
      <c r="B66" s="63" t="s">
        <v>3636</v>
      </c>
      <c r="C66" s="71" t="s">
        <v>3623</v>
      </c>
      <c r="D66" s="72">
        <v>46136</v>
      </c>
      <c r="E66" s="73">
        <v>520763.07</v>
      </c>
      <c r="F66" s="73">
        <v>520763.07</v>
      </c>
      <c r="G66" s="74" t="s">
        <v>3591</v>
      </c>
      <c r="H66" s="74" t="s">
        <v>3577</v>
      </c>
    </row>
    <row r="67" spans="1:8" ht="50.1" customHeight="1">
      <c r="A67" t="s">
        <v>2710</v>
      </c>
      <c r="B67" s="63" t="s">
        <v>3636</v>
      </c>
      <c r="C67" s="71" t="s">
        <v>3624</v>
      </c>
      <c r="D67" s="72">
        <v>46142</v>
      </c>
      <c r="E67" s="73">
        <v>1531183.69</v>
      </c>
      <c r="F67" s="73">
        <v>1531183.69</v>
      </c>
      <c r="G67" s="74" t="s">
        <v>3592</v>
      </c>
      <c r="H67" s="74" t="s">
        <v>3571</v>
      </c>
    </row>
    <row r="68" spans="1:8" ht="50.1" customHeight="1">
      <c r="A68" t="s">
        <v>2710</v>
      </c>
      <c r="B68" s="63" t="s">
        <v>3636</v>
      </c>
      <c r="C68" s="71" t="s">
        <v>3625</v>
      </c>
      <c r="D68" s="72">
        <v>46142</v>
      </c>
      <c r="E68" s="73">
        <v>726025.7</v>
      </c>
      <c r="F68" s="73">
        <v>726025.7</v>
      </c>
      <c r="G68" s="74" t="s">
        <v>3593</v>
      </c>
      <c r="H68" s="74" t="s">
        <v>3577</v>
      </c>
    </row>
    <row r="69" spans="1:8" ht="50.1" customHeight="1">
      <c r="A69" t="s">
        <v>2710</v>
      </c>
      <c r="B69" s="63" t="s">
        <v>3636</v>
      </c>
      <c r="C69" s="71" t="s">
        <v>3626</v>
      </c>
      <c r="D69" s="72">
        <v>46154</v>
      </c>
      <c r="E69" s="73">
        <v>3854404.86</v>
      </c>
      <c r="F69" s="73">
        <v>3854404.86</v>
      </c>
      <c r="G69" s="74" t="s">
        <v>3594</v>
      </c>
      <c r="H69" s="74" t="s">
        <v>3535</v>
      </c>
    </row>
    <row r="70" spans="1:8" ht="50.1" customHeight="1">
      <c r="A70" t="s">
        <v>2710</v>
      </c>
      <c r="B70" s="63" t="s">
        <v>3636</v>
      </c>
      <c r="C70" s="71" t="s">
        <v>3627</v>
      </c>
      <c r="D70" s="72">
        <v>46155</v>
      </c>
      <c r="E70" s="73">
        <v>1412815.48</v>
      </c>
      <c r="F70" s="73">
        <v>1412815.48</v>
      </c>
      <c r="G70" s="74" t="s">
        <v>3595</v>
      </c>
      <c r="H70" s="74" t="s">
        <v>3596</v>
      </c>
    </row>
    <row r="71" spans="1:8" ht="50.1" customHeight="1">
      <c r="A71" t="s">
        <v>2710</v>
      </c>
      <c r="B71" s="63" t="s">
        <v>3636</v>
      </c>
      <c r="C71" s="71" t="s">
        <v>3628</v>
      </c>
      <c r="D71" s="72">
        <v>46159</v>
      </c>
      <c r="E71" s="73">
        <v>262376.62</v>
      </c>
      <c r="F71" s="73">
        <v>262376.62</v>
      </c>
      <c r="G71" s="74" t="s">
        <v>3597</v>
      </c>
      <c r="H71" s="74" t="s">
        <v>3596</v>
      </c>
    </row>
    <row r="72" spans="1:8" ht="50.1" customHeight="1">
      <c r="A72" t="s">
        <v>2710</v>
      </c>
      <c r="B72" s="63" t="s">
        <v>3636</v>
      </c>
      <c r="C72" s="71" t="s">
        <v>3629</v>
      </c>
      <c r="D72" s="72">
        <v>46160</v>
      </c>
      <c r="E72" s="73">
        <v>3040776.78</v>
      </c>
      <c r="F72" s="73">
        <v>3040776.78</v>
      </c>
      <c r="G72" s="74" t="s">
        <v>3598</v>
      </c>
      <c r="H72" s="74" t="s">
        <v>3599</v>
      </c>
    </row>
    <row r="73" spans="1:8" ht="50.1" customHeight="1">
      <c r="A73" t="s">
        <v>2710</v>
      </c>
      <c r="B73" s="63" t="s">
        <v>3636</v>
      </c>
      <c r="C73" s="71" t="s">
        <v>3630</v>
      </c>
      <c r="D73" s="72">
        <v>46183</v>
      </c>
      <c r="E73" s="73">
        <v>3599.9</v>
      </c>
      <c r="F73" s="73">
        <v>3599.9</v>
      </c>
      <c r="G73" s="74" t="s">
        <v>3600</v>
      </c>
      <c r="H73" s="74" t="s">
        <v>3601</v>
      </c>
    </row>
    <row r="74" spans="1:8" ht="50.1" customHeight="1">
      <c r="A74" t="s">
        <v>2710</v>
      </c>
      <c r="B74" s="63" t="s">
        <v>3636</v>
      </c>
      <c r="C74" s="71" t="s">
        <v>3631</v>
      </c>
      <c r="D74" s="72">
        <v>46205</v>
      </c>
      <c r="E74" s="73">
        <v>1176915.9099999999</v>
      </c>
      <c r="F74" s="73">
        <v>1176915.9099999999</v>
      </c>
      <c r="G74" s="74" t="s">
        <v>3602</v>
      </c>
      <c r="H74" s="74" t="s">
        <v>3571</v>
      </c>
    </row>
    <row r="75" spans="1:8" ht="50.1" customHeight="1">
      <c r="A75" t="s">
        <v>2710</v>
      </c>
      <c r="B75" s="63" t="s">
        <v>3636</v>
      </c>
      <c r="C75" s="71" t="s">
        <v>3632</v>
      </c>
      <c r="D75" s="72">
        <v>46221</v>
      </c>
      <c r="E75" s="73">
        <v>1538218.15</v>
      </c>
      <c r="F75" s="73">
        <v>1538218.15</v>
      </c>
      <c r="G75" s="74" t="s">
        <v>3603</v>
      </c>
      <c r="H75" s="74" t="s">
        <v>3571</v>
      </c>
    </row>
    <row r="76" spans="1:8" ht="50.1" customHeight="1">
      <c r="A76" t="s">
        <v>2710</v>
      </c>
      <c r="B76" s="63" t="s">
        <v>3636</v>
      </c>
      <c r="C76" s="71" t="s">
        <v>3633</v>
      </c>
      <c r="D76" s="72">
        <v>46318</v>
      </c>
      <c r="E76" s="73">
        <v>4579944</v>
      </c>
      <c r="F76" s="73">
        <v>4579944</v>
      </c>
      <c r="G76" s="74" t="s">
        <v>3604</v>
      </c>
      <c r="H76" s="74" t="s">
        <v>3605</v>
      </c>
    </row>
    <row r="77" spans="1:8" ht="50.1" customHeight="1">
      <c r="A77" t="s">
        <v>2710</v>
      </c>
      <c r="B77" s="63" t="s">
        <v>3636</v>
      </c>
      <c r="C77" s="71" t="s">
        <v>3634</v>
      </c>
      <c r="D77" s="72">
        <v>46318</v>
      </c>
      <c r="E77" s="73">
        <v>2191805.14</v>
      </c>
      <c r="F77" s="73">
        <v>2191805.14</v>
      </c>
      <c r="G77" s="74" t="s">
        <v>3606</v>
      </c>
      <c r="H77" s="74" t="s">
        <v>3605</v>
      </c>
    </row>
    <row r="78" spans="1:8" ht="50.1" customHeight="1">
      <c r="A78" t="s">
        <v>2710</v>
      </c>
      <c r="B78" s="63" t="s">
        <v>3636</v>
      </c>
      <c r="C78" s="71" t="s">
        <v>3635</v>
      </c>
      <c r="D78" s="72">
        <v>46447</v>
      </c>
      <c r="E78" s="73">
        <v>26001075</v>
      </c>
      <c r="F78" s="73">
        <v>26001075</v>
      </c>
      <c r="G78" s="74" t="s">
        <v>3607</v>
      </c>
      <c r="H78" s="74" t="s">
        <v>3582</v>
      </c>
    </row>
    <row r="79" spans="1:8" ht="50.1" customHeight="1">
      <c r="A79" t="s">
        <v>2900</v>
      </c>
      <c r="B79" s="63" t="s">
        <v>3636</v>
      </c>
      <c r="C79" s="75" t="s">
        <v>3645</v>
      </c>
      <c r="D79" s="76">
        <v>46378</v>
      </c>
      <c r="E79" s="77">
        <v>309098.40999999997</v>
      </c>
      <c r="F79" s="77">
        <v>309098.40999999997</v>
      </c>
      <c r="G79" s="78" t="s">
        <v>3637</v>
      </c>
      <c r="H79" s="78" t="s">
        <v>3638</v>
      </c>
    </row>
    <row r="80" spans="1:8" ht="50.1" customHeight="1">
      <c r="A80" t="s">
        <v>2900</v>
      </c>
      <c r="B80" s="63" t="s">
        <v>3636</v>
      </c>
      <c r="C80" s="75" t="s">
        <v>3646</v>
      </c>
      <c r="D80" s="76">
        <v>46043</v>
      </c>
      <c r="E80" s="77">
        <v>531600</v>
      </c>
      <c r="F80" s="77">
        <v>531600</v>
      </c>
      <c r="G80" s="78" t="s">
        <v>3639</v>
      </c>
      <c r="H80" s="78" t="s">
        <v>3640</v>
      </c>
    </row>
    <row r="81" spans="1:14" ht="50.1" customHeight="1">
      <c r="A81" t="s">
        <v>2900</v>
      </c>
      <c r="B81" s="63" t="s">
        <v>3636</v>
      </c>
      <c r="C81" s="71" t="s">
        <v>3647</v>
      </c>
      <c r="D81" s="76">
        <v>46077</v>
      </c>
      <c r="E81" s="77">
        <v>240000</v>
      </c>
      <c r="F81" s="77">
        <v>240000</v>
      </c>
      <c r="G81" s="78" t="s">
        <v>3641</v>
      </c>
      <c r="H81" s="78" t="s">
        <v>3642</v>
      </c>
    </row>
    <row r="82" spans="1:14" ht="50.1" customHeight="1">
      <c r="A82" s="69" t="s">
        <v>2900</v>
      </c>
      <c r="B82" s="87" t="s">
        <v>3636</v>
      </c>
      <c r="C82" s="88" t="s">
        <v>3648</v>
      </c>
      <c r="D82" s="89">
        <v>46319</v>
      </c>
      <c r="E82" s="90">
        <v>75000</v>
      </c>
      <c r="F82" s="90">
        <v>75000</v>
      </c>
      <c r="G82" s="70" t="s">
        <v>3643</v>
      </c>
      <c r="H82" s="70" t="s">
        <v>3644</v>
      </c>
      <c r="I82" s="69"/>
      <c r="J82" s="69"/>
      <c r="K82" s="69"/>
      <c r="L82" s="69"/>
    </row>
    <row r="83" spans="1:14" ht="50.1" customHeight="1">
      <c r="A83" t="s">
        <v>3077</v>
      </c>
      <c r="B83" s="63" t="s">
        <v>3636</v>
      </c>
      <c r="C83" s="81" t="s">
        <v>3724</v>
      </c>
      <c r="E83" s="85">
        <v>202500</v>
      </c>
      <c r="G83" s="83" t="s">
        <v>3800</v>
      </c>
      <c r="H83" s="79" t="s">
        <v>3649</v>
      </c>
    </row>
    <row r="84" spans="1:14" ht="50.1" customHeight="1">
      <c r="A84" t="s">
        <v>3077</v>
      </c>
      <c r="B84" s="63" t="s">
        <v>3636</v>
      </c>
      <c r="C84" s="82" t="s">
        <v>3725</v>
      </c>
      <c r="E84" s="86">
        <v>9514.15</v>
      </c>
      <c r="G84" s="84" t="s">
        <v>3801</v>
      </c>
      <c r="H84" s="80" t="s">
        <v>3650</v>
      </c>
      <c r="N84" t="s">
        <v>3879</v>
      </c>
    </row>
    <row r="85" spans="1:14" ht="50.1" customHeight="1">
      <c r="A85" t="s">
        <v>3077</v>
      </c>
      <c r="B85" s="63" t="s">
        <v>3636</v>
      </c>
      <c r="C85" s="81" t="s">
        <v>3726</v>
      </c>
      <c r="E85" s="85">
        <v>294791</v>
      </c>
      <c r="G85" s="83" t="s">
        <v>3802</v>
      </c>
      <c r="H85" s="79" t="s">
        <v>3651</v>
      </c>
    </row>
    <row r="86" spans="1:14" ht="50.1" customHeight="1">
      <c r="A86" t="s">
        <v>3077</v>
      </c>
      <c r="B86" s="63" t="s">
        <v>3636</v>
      </c>
      <c r="C86" s="82" t="s">
        <v>3727</v>
      </c>
      <c r="E86" s="86">
        <v>26401.439999999999</v>
      </c>
      <c r="G86" s="84" t="s">
        <v>3803</v>
      </c>
      <c r="H86" s="80" t="s">
        <v>3652</v>
      </c>
    </row>
    <row r="87" spans="1:14" ht="50.1" customHeight="1">
      <c r="A87" t="s">
        <v>3077</v>
      </c>
      <c r="B87" s="63" t="s">
        <v>3636</v>
      </c>
      <c r="C87" s="81" t="s">
        <v>3728</v>
      </c>
      <c r="E87" s="85">
        <v>49800</v>
      </c>
      <c r="G87" s="83" t="s">
        <v>3804</v>
      </c>
      <c r="H87" s="79" t="s">
        <v>3653</v>
      </c>
    </row>
    <row r="88" spans="1:14" ht="50.1" customHeight="1">
      <c r="A88" t="s">
        <v>3077</v>
      </c>
      <c r="B88" s="63" t="s">
        <v>3636</v>
      </c>
      <c r="C88" s="82" t="s">
        <v>3729</v>
      </c>
      <c r="E88" s="86">
        <v>0</v>
      </c>
      <c r="G88" s="84" t="s">
        <v>3805</v>
      </c>
      <c r="H88" s="80" t="s">
        <v>3654</v>
      </c>
    </row>
    <row r="89" spans="1:14" ht="50.1" customHeight="1">
      <c r="A89" t="s">
        <v>3077</v>
      </c>
      <c r="B89" s="63" t="s">
        <v>3636</v>
      </c>
      <c r="C89" s="81" t="s">
        <v>3730</v>
      </c>
      <c r="E89" s="85">
        <v>5228.55</v>
      </c>
      <c r="G89" s="83" t="s">
        <v>3806</v>
      </c>
      <c r="H89" s="79" t="s">
        <v>3655</v>
      </c>
    </row>
    <row r="90" spans="1:14" ht="50.1" customHeight="1">
      <c r="A90" t="s">
        <v>3077</v>
      </c>
      <c r="B90" s="63" t="s">
        <v>3636</v>
      </c>
      <c r="C90" s="82" t="s">
        <v>3731</v>
      </c>
      <c r="E90" s="86">
        <v>52571.97</v>
      </c>
      <c r="G90" s="84" t="s">
        <v>3807</v>
      </c>
      <c r="H90" s="80" t="s">
        <v>3656</v>
      </c>
    </row>
    <row r="91" spans="1:14" ht="50.1" customHeight="1">
      <c r="A91" t="s">
        <v>3077</v>
      </c>
      <c r="B91" s="63" t="s">
        <v>3636</v>
      </c>
      <c r="C91" s="81" t="s">
        <v>3732</v>
      </c>
      <c r="E91" s="85">
        <v>14083.52</v>
      </c>
      <c r="G91" s="83" t="s">
        <v>3808</v>
      </c>
      <c r="H91" s="79" t="s">
        <v>3657</v>
      </c>
    </row>
    <row r="92" spans="1:14" ht="50.1" customHeight="1">
      <c r="A92" t="s">
        <v>3077</v>
      </c>
      <c r="B92" s="63" t="s">
        <v>3636</v>
      </c>
      <c r="C92" s="82" t="s">
        <v>3733</v>
      </c>
      <c r="E92" s="86">
        <v>3680996.17</v>
      </c>
      <c r="G92" s="84" t="s">
        <v>3809</v>
      </c>
      <c r="H92" s="80" t="s">
        <v>3658</v>
      </c>
    </row>
    <row r="93" spans="1:14" ht="50.1" customHeight="1">
      <c r="A93" t="s">
        <v>3077</v>
      </c>
      <c r="B93" s="63" t="s">
        <v>3636</v>
      </c>
      <c r="C93" s="81" t="s">
        <v>3734</v>
      </c>
      <c r="E93" s="85">
        <v>42339.98</v>
      </c>
      <c r="G93" s="83" t="s">
        <v>3810</v>
      </c>
      <c r="H93" s="79" t="s">
        <v>3659</v>
      </c>
    </row>
    <row r="94" spans="1:14" ht="50.1" customHeight="1">
      <c r="A94" t="s">
        <v>3077</v>
      </c>
      <c r="B94" s="63" t="s">
        <v>3636</v>
      </c>
      <c r="C94" s="82" t="s">
        <v>3729</v>
      </c>
      <c r="E94" s="86">
        <v>480000</v>
      </c>
      <c r="G94" s="84" t="s">
        <v>3811</v>
      </c>
      <c r="H94" s="80" t="s">
        <v>3660</v>
      </c>
    </row>
    <row r="95" spans="1:14" ht="50.1" customHeight="1">
      <c r="A95" t="s">
        <v>3077</v>
      </c>
      <c r="B95" s="63" t="s">
        <v>3636</v>
      </c>
      <c r="C95" s="81" t="s">
        <v>3735</v>
      </c>
      <c r="E95" s="85">
        <v>11039.79</v>
      </c>
      <c r="G95" s="83" t="s">
        <v>3812</v>
      </c>
      <c r="H95" s="79" t="s">
        <v>3661</v>
      </c>
    </row>
    <row r="96" spans="1:14" ht="50.1" customHeight="1">
      <c r="A96" t="s">
        <v>3077</v>
      </c>
      <c r="B96" s="63" t="s">
        <v>3636</v>
      </c>
      <c r="C96" s="82" t="s">
        <v>3736</v>
      </c>
      <c r="E96" s="86">
        <v>46380</v>
      </c>
      <c r="G96" s="84" t="s">
        <v>3813</v>
      </c>
      <c r="H96" s="80" t="s">
        <v>3662</v>
      </c>
    </row>
    <row r="97" spans="1:8" ht="50.1" customHeight="1">
      <c r="A97" t="s">
        <v>3077</v>
      </c>
      <c r="B97" s="63" t="s">
        <v>3636</v>
      </c>
      <c r="C97" s="81" t="s">
        <v>3737</v>
      </c>
      <c r="E97" s="85">
        <v>20899765.920000002</v>
      </c>
      <c r="G97" s="83" t="s">
        <v>3814</v>
      </c>
      <c r="H97" s="79" t="s">
        <v>3663</v>
      </c>
    </row>
    <row r="98" spans="1:8" ht="50.1" customHeight="1">
      <c r="A98" t="s">
        <v>3077</v>
      </c>
      <c r="B98" s="63" t="s">
        <v>3636</v>
      </c>
      <c r="C98" s="82" t="s">
        <v>3738</v>
      </c>
      <c r="E98" s="86">
        <v>1420661.88</v>
      </c>
      <c r="G98" s="84" t="s">
        <v>3815</v>
      </c>
      <c r="H98" s="80" t="s">
        <v>3664</v>
      </c>
    </row>
    <row r="99" spans="1:8" ht="50.1" customHeight="1">
      <c r="A99" t="s">
        <v>3077</v>
      </c>
      <c r="B99" s="63" t="s">
        <v>3636</v>
      </c>
      <c r="C99" s="81" t="s">
        <v>3739</v>
      </c>
      <c r="E99" s="85">
        <v>668777.85</v>
      </c>
      <c r="G99" s="83" t="s">
        <v>3816</v>
      </c>
      <c r="H99" s="79" t="s">
        <v>3665</v>
      </c>
    </row>
    <row r="100" spans="1:8" ht="50.1" customHeight="1">
      <c r="A100" t="s">
        <v>3077</v>
      </c>
      <c r="B100" s="63" t="s">
        <v>3636</v>
      </c>
      <c r="C100" s="82" t="s">
        <v>3740</v>
      </c>
      <c r="E100" s="86">
        <v>48825</v>
      </c>
      <c r="G100" s="84" t="s">
        <v>3817</v>
      </c>
      <c r="H100" s="80" t="s">
        <v>3666</v>
      </c>
    </row>
    <row r="101" spans="1:8" ht="50.1" customHeight="1">
      <c r="A101" t="s">
        <v>3077</v>
      </c>
      <c r="B101" s="63" t="s">
        <v>3636</v>
      </c>
      <c r="C101" s="81" t="s">
        <v>3741</v>
      </c>
      <c r="E101" s="85">
        <v>374332.1</v>
      </c>
      <c r="G101" s="83" t="s">
        <v>3818</v>
      </c>
      <c r="H101" s="79" t="s">
        <v>3667</v>
      </c>
    </row>
    <row r="102" spans="1:8" ht="50.1" customHeight="1">
      <c r="A102" t="s">
        <v>3077</v>
      </c>
      <c r="B102" s="63" t="s">
        <v>3636</v>
      </c>
      <c r="C102" s="82" t="s">
        <v>3648</v>
      </c>
      <c r="E102" s="86">
        <v>75000</v>
      </c>
      <c r="G102" s="84" t="s">
        <v>3643</v>
      </c>
      <c r="H102" s="80" t="s">
        <v>3644</v>
      </c>
    </row>
    <row r="103" spans="1:8" ht="50.1" customHeight="1">
      <c r="A103" t="s">
        <v>3077</v>
      </c>
      <c r="B103" s="63" t="s">
        <v>3636</v>
      </c>
      <c r="C103" s="81" t="s">
        <v>3742</v>
      </c>
      <c r="E103" s="85">
        <v>13200</v>
      </c>
      <c r="G103" s="83" t="s">
        <v>3819</v>
      </c>
      <c r="H103" s="79" t="s">
        <v>3668</v>
      </c>
    </row>
    <row r="104" spans="1:8" ht="50.1" customHeight="1">
      <c r="A104" t="s">
        <v>3077</v>
      </c>
      <c r="B104" s="63" t="s">
        <v>3636</v>
      </c>
      <c r="C104" s="82" t="s">
        <v>3743</v>
      </c>
      <c r="E104" s="86">
        <v>155889.01999999999</v>
      </c>
      <c r="G104" s="84" t="s">
        <v>3820</v>
      </c>
      <c r="H104" s="80" t="s">
        <v>3669</v>
      </c>
    </row>
    <row r="105" spans="1:8" ht="50.1" customHeight="1">
      <c r="A105" t="s">
        <v>3077</v>
      </c>
      <c r="B105" s="63" t="s">
        <v>3636</v>
      </c>
      <c r="C105" s="81" t="s">
        <v>3744</v>
      </c>
      <c r="E105" s="85">
        <v>89592.54</v>
      </c>
      <c r="G105" s="83" t="s">
        <v>3821</v>
      </c>
      <c r="H105" s="79" t="s">
        <v>3670</v>
      </c>
    </row>
    <row r="106" spans="1:8" ht="50.1" customHeight="1">
      <c r="A106" t="s">
        <v>3077</v>
      </c>
      <c r="B106" s="63" t="s">
        <v>3636</v>
      </c>
      <c r="C106" s="82" t="s">
        <v>3745</v>
      </c>
      <c r="E106" s="86">
        <v>14640</v>
      </c>
      <c r="G106" s="84" t="s">
        <v>3822</v>
      </c>
      <c r="H106" s="80" t="s">
        <v>3671</v>
      </c>
    </row>
    <row r="107" spans="1:8" ht="50.1" customHeight="1">
      <c r="A107" t="s">
        <v>3077</v>
      </c>
      <c r="B107" s="63" t="s">
        <v>3636</v>
      </c>
      <c r="C107" s="81" t="s">
        <v>3746</v>
      </c>
      <c r="E107" s="85">
        <v>50000</v>
      </c>
      <c r="G107" s="83" t="s">
        <v>3823</v>
      </c>
      <c r="H107" s="79" t="s">
        <v>3672</v>
      </c>
    </row>
    <row r="108" spans="1:8" ht="50.1" customHeight="1">
      <c r="A108" t="s">
        <v>3077</v>
      </c>
      <c r="B108" s="63" t="s">
        <v>3636</v>
      </c>
      <c r="C108" s="82" t="s">
        <v>3747</v>
      </c>
      <c r="E108" s="86">
        <v>53757.21</v>
      </c>
      <c r="G108" s="84" t="s">
        <v>3824</v>
      </c>
      <c r="H108" s="80" t="s">
        <v>3673</v>
      </c>
    </row>
    <row r="109" spans="1:8" ht="50.1" customHeight="1">
      <c r="A109" t="s">
        <v>3077</v>
      </c>
      <c r="B109" s="63" t="s">
        <v>3636</v>
      </c>
      <c r="C109" s="81" t="s">
        <v>3748</v>
      </c>
      <c r="E109" s="85">
        <v>4508.8599999999997</v>
      </c>
      <c r="G109" s="83" t="s">
        <v>3825</v>
      </c>
      <c r="H109" s="79" t="s">
        <v>3674</v>
      </c>
    </row>
    <row r="110" spans="1:8" ht="50.1" customHeight="1">
      <c r="A110" t="s">
        <v>3077</v>
      </c>
      <c r="B110" s="63" t="s">
        <v>3636</v>
      </c>
      <c r="C110" s="82" t="s">
        <v>3749</v>
      </c>
      <c r="E110" s="86">
        <v>245046.6</v>
      </c>
      <c r="G110" s="84" t="s">
        <v>3826</v>
      </c>
      <c r="H110" s="80" t="s">
        <v>3675</v>
      </c>
    </row>
    <row r="111" spans="1:8" ht="50.1" customHeight="1">
      <c r="A111" t="s">
        <v>3077</v>
      </c>
      <c r="B111" s="63" t="s">
        <v>3636</v>
      </c>
      <c r="C111" s="81" t="s">
        <v>3750</v>
      </c>
      <c r="E111" s="85">
        <v>274645.17</v>
      </c>
      <c r="G111" s="83" t="s">
        <v>3827</v>
      </c>
      <c r="H111" s="79" t="s">
        <v>3676</v>
      </c>
    </row>
    <row r="112" spans="1:8" ht="50.1" customHeight="1">
      <c r="A112" t="s">
        <v>3077</v>
      </c>
      <c r="B112" s="63" t="s">
        <v>3636</v>
      </c>
      <c r="C112" s="82" t="s">
        <v>3751</v>
      </c>
      <c r="E112" s="86">
        <v>9981.61</v>
      </c>
      <c r="G112" s="84" t="s">
        <v>3828</v>
      </c>
      <c r="H112" s="80" t="s">
        <v>3677</v>
      </c>
    </row>
    <row r="113" spans="1:8" ht="50.1" customHeight="1">
      <c r="A113" t="s">
        <v>3077</v>
      </c>
      <c r="B113" s="63" t="s">
        <v>3636</v>
      </c>
      <c r="C113" s="81" t="s">
        <v>3752</v>
      </c>
      <c r="E113" s="85">
        <v>21375</v>
      </c>
      <c r="G113" s="83" t="s">
        <v>3829</v>
      </c>
      <c r="H113" s="79" t="s">
        <v>3678</v>
      </c>
    </row>
    <row r="114" spans="1:8" ht="50.1" customHeight="1">
      <c r="A114" t="s">
        <v>3077</v>
      </c>
      <c r="B114" s="63" t="s">
        <v>3636</v>
      </c>
      <c r="C114" s="82" t="s">
        <v>3753</v>
      </c>
      <c r="E114" s="86">
        <v>47000</v>
      </c>
      <c r="G114" s="84" t="s">
        <v>3830</v>
      </c>
      <c r="H114" s="80" t="s">
        <v>3679</v>
      </c>
    </row>
    <row r="115" spans="1:8" ht="50.1" customHeight="1">
      <c r="A115" t="s">
        <v>3077</v>
      </c>
      <c r="B115" s="63" t="s">
        <v>3636</v>
      </c>
      <c r="C115" s="81" t="s">
        <v>3754</v>
      </c>
      <c r="E115" s="85">
        <v>268681.75</v>
      </c>
      <c r="G115" s="83" t="s">
        <v>3831</v>
      </c>
      <c r="H115" s="79" t="s">
        <v>3680</v>
      </c>
    </row>
    <row r="116" spans="1:8" ht="50.1" customHeight="1">
      <c r="A116" t="s">
        <v>3077</v>
      </c>
      <c r="B116" s="63" t="s">
        <v>3636</v>
      </c>
      <c r="C116" s="82" t="s">
        <v>3755</v>
      </c>
      <c r="E116" s="86">
        <v>37019851.390000001</v>
      </c>
      <c r="G116" s="84" t="s">
        <v>3832</v>
      </c>
      <c r="H116" s="80" t="s">
        <v>3681</v>
      </c>
    </row>
    <row r="117" spans="1:8" ht="50.1" customHeight="1">
      <c r="A117" t="s">
        <v>3077</v>
      </c>
      <c r="B117" s="63" t="s">
        <v>3636</v>
      </c>
      <c r="C117" s="81" t="s">
        <v>3756</v>
      </c>
      <c r="E117" s="85">
        <v>97901.16</v>
      </c>
      <c r="G117" s="83" t="s">
        <v>3833</v>
      </c>
      <c r="H117" s="79" t="s">
        <v>3682</v>
      </c>
    </row>
    <row r="118" spans="1:8" ht="50.1" customHeight="1">
      <c r="A118" t="s">
        <v>3077</v>
      </c>
      <c r="B118" s="63" t="s">
        <v>3636</v>
      </c>
      <c r="C118" s="82" t="s">
        <v>3757</v>
      </c>
      <c r="E118" s="86">
        <v>864000</v>
      </c>
      <c r="G118" s="84" t="s">
        <v>3834</v>
      </c>
      <c r="H118" s="80" t="s">
        <v>3683</v>
      </c>
    </row>
    <row r="119" spans="1:8" ht="50.1" customHeight="1">
      <c r="A119" t="s">
        <v>3077</v>
      </c>
      <c r="B119" s="63" t="s">
        <v>3636</v>
      </c>
      <c r="C119" s="81" t="s">
        <v>3756</v>
      </c>
      <c r="E119" s="85">
        <v>97901.16</v>
      </c>
      <c r="G119" s="83" t="s">
        <v>3833</v>
      </c>
      <c r="H119" s="79" t="s">
        <v>3684</v>
      </c>
    </row>
    <row r="120" spans="1:8" ht="50.1" customHeight="1">
      <c r="A120" t="s">
        <v>3077</v>
      </c>
      <c r="B120" s="63" t="s">
        <v>3636</v>
      </c>
      <c r="C120" s="82" t="s">
        <v>3758</v>
      </c>
      <c r="E120" s="86">
        <v>1343496</v>
      </c>
      <c r="G120" s="84" t="s">
        <v>3835</v>
      </c>
      <c r="H120" s="80" t="s">
        <v>3685</v>
      </c>
    </row>
    <row r="121" spans="1:8" ht="50.1" customHeight="1">
      <c r="A121" t="s">
        <v>3077</v>
      </c>
      <c r="B121" s="63" t="s">
        <v>3636</v>
      </c>
      <c r="C121" s="81" t="s">
        <v>3759</v>
      </c>
      <c r="E121" s="85">
        <v>0</v>
      </c>
      <c r="G121" s="83" t="s">
        <v>3836</v>
      </c>
      <c r="H121" s="79" t="s">
        <v>3686</v>
      </c>
    </row>
    <row r="122" spans="1:8" ht="50.1" customHeight="1">
      <c r="A122" t="s">
        <v>3077</v>
      </c>
      <c r="B122" s="63" t="s">
        <v>3636</v>
      </c>
      <c r="C122" s="82" t="s">
        <v>3760</v>
      </c>
      <c r="E122" s="86">
        <v>1643564</v>
      </c>
      <c r="G122" s="84" t="s">
        <v>3837</v>
      </c>
      <c r="H122" s="80" t="s">
        <v>3687</v>
      </c>
    </row>
    <row r="123" spans="1:8" ht="50.1" customHeight="1">
      <c r="A123" t="s">
        <v>3077</v>
      </c>
      <c r="B123" s="63" t="s">
        <v>3636</v>
      </c>
      <c r="C123" s="81" t="s">
        <v>3761</v>
      </c>
      <c r="E123" s="85">
        <v>112126.72</v>
      </c>
      <c r="G123" s="83" t="s">
        <v>3838</v>
      </c>
      <c r="H123" s="79" t="s">
        <v>3688</v>
      </c>
    </row>
    <row r="124" spans="1:8" ht="50.1" customHeight="1">
      <c r="A124" t="s">
        <v>3077</v>
      </c>
      <c r="B124" s="63" t="s">
        <v>3636</v>
      </c>
      <c r="C124" s="82" t="s">
        <v>3762</v>
      </c>
      <c r="E124" s="86">
        <v>0</v>
      </c>
      <c r="G124" s="84" t="s">
        <v>3839</v>
      </c>
      <c r="H124" s="80" t="s">
        <v>3689</v>
      </c>
    </row>
    <row r="125" spans="1:8" ht="50.1" customHeight="1">
      <c r="A125" t="s">
        <v>3077</v>
      </c>
      <c r="B125" s="63" t="s">
        <v>3636</v>
      </c>
      <c r="C125" s="81" t="s">
        <v>3763</v>
      </c>
      <c r="E125" s="85">
        <v>11110.92</v>
      </c>
      <c r="G125" s="83" t="s">
        <v>3840</v>
      </c>
      <c r="H125" s="79" t="s">
        <v>3690</v>
      </c>
    </row>
    <row r="126" spans="1:8" ht="50.1" customHeight="1">
      <c r="A126" t="s">
        <v>3077</v>
      </c>
      <c r="B126" s="63" t="s">
        <v>3636</v>
      </c>
      <c r="C126" s="82" t="s">
        <v>3764</v>
      </c>
      <c r="E126" s="86">
        <v>11110.92</v>
      </c>
      <c r="G126" s="84" t="s">
        <v>3841</v>
      </c>
      <c r="H126" s="80" t="s">
        <v>3691</v>
      </c>
    </row>
    <row r="127" spans="1:8" ht="50.1" customHeight="1">
      <c r="A127" t="s">
        <v>3077</v>
      </c>
      <c r="B127" s="63" t="s">
        <v>3636</v>
      </c>
      <c r="C127" s="81" t="s">
        <v>3765</v>
      </c>
      <c r="E127" s="85">
        <v>14504.42</v>
      </c>
      <c r="G127" s="83" t="s">
        <v>3842</v>
      </c>
      <c r="H127" s="79" t="s">
        <v>3692</v>
      </c>
    </row>
    <row r="128" spans="1:8" ht="50.1" customHeight="1">
      <c r="A128" t="s">
        <v>3077</v>
      </c>
      <c r="B128" s="63" t="s">
        <v>3636</v>
      </c>
      <c r="C128" s="82" t="s">
        <v>3766</v>
      </c>
      <c r="E128" s="86">
        <v>9947.0400000000009</v>
      </c>
      <c r="G128" s="84" t="s">
        <v>3843</v>
      </c>
      <c r="H128" s="80" t="s">
        <v>3693</v>
      </c>
    </row>
    <row r="129" spans="1:8" ht="50.1" customHeight="1">
      <c r="A129" t="s">
        <v>3077</v>
      </c>
      <c r="B129" s="63" t="s">
        <v>3636</v>
      </c>
      <c r="C129" s="81" t="s">
        <v>3767</v>
      </c>
      <c r="E129" s="85">
        <v>17407.2</v>
      </c>
      <c r="G129" s="83" t="s">
        <v>3844</v>
      </c>
      <c r="H129" s="79" t="s">
        <v>3694</v>
      </c>
    </row>
    <row r="130" spans="1:8" ht="50.1" customHeight="1">
      <c r="A130" t="s">
        <v>3077</v>
      </c>
      <c r="B130" s="63" t="s">
        <v>3636</v>
      </c>
      <c r="C130" s="82" t="s">
        <v>3768</v>
      </c>
      <c r="E130" s="86">
        <v>1346047.85</v>
      </c>
      <c r="G130" s="84" t="s">
        <v>3845</v>
      </c>
      <c r="H130" s="80" t="s">
        <v>3695</v>
      </c>
    </row>
    <row r="131" spans="1:8" ht="50.1" customHeight="1">
      <c r="A131" t="s">
        <v>3077</v>
      </c>
      <c r="B131" s="63" t="s">
        <v>3636</v>
      </c>
      <c r="C131" s="81" t="s">
        <v>3769</v>
      </c>
      <c r="E131" s="85">
        <v>3822897.1</v>
      </c>
      <c r="G131" s="83" t="s">
        <v>3846</v>
      </c>
      <c r="H131" s="79" t="s">
        <v>3696</v>
      </c>
    </row>
    <row r="132" spans="1:8" ht="50.1" customHeight="1">
      <c r="A132" t="s">
        <v>3077</v>
      </c>
      <c r="B132" s="63" t="s">
        <v>3636</v>
      </c>
      <c r="C132" s="82" t="s">
        <v>3770</v>
      </c>
      <c r="E132" s="86">
        <v>5946189</v>
      </c>
      <c r="G132" s="84" t="s">
        <v>3847</v>
      </c>
      <c r="H132" s="80" t="s">
        <v>3685</v>
      </c>
    </row>
    <row r="133" spans="1:8" ht="50.1" customHeight="1">
      <c r="A133" t="s">
        <v>3077</v>
      </c>
      <c r="B133" s="63" t="s">
        <v>3636</v>
      </c>
      <c r="C133" s="81" t="s">
        <v>3771</v>
      </c>
      <c r="E133" s="85">
        <v>207320</v>
      </c>
      <c r="G133" s="83" t="s">
        <v>3848</v>
      </c>
      <c r="H133" s="79" t="s">
        <v>3697</v>
      </c>
    </row>
    <row r="134" spans="1:8" ht="50.1" customHeight="1">
      <c r="A134" t="s">
        <v>3077</v>
      </c>
      <c r="B134" s="63" t="s">
        <v>3636</v>
      </c>
      <c r="C134" s="82" t="s">
        <v>3772</v>
      </c>
      <c r="E134" s="86">
        <v>109780</v>
      </c>
      <c r="G134" s="84" t="s">
        <v>3849</v>
      </c>
      <c r="H134" s="80" t="s">
        <v>3698</v>
      </c>
    </row>
    <row r="135" spans="1:8" ht="50.1" customHeight="1">
      <c r="A135" t="s">
        <v>3077</v>
      </c>
      <c r="B135" s="63" t="s">
        <v>3636</v>
      </c>
      <c r="C135" s="81" t="s">
        <v>3773</v>
      </c>
      <c r="E135" s="85">
        <v>261000</v>
      </c>
      <c r="G135" s="83" t="s">
        <v>3850</v>
      </c>
      <c r="H135" s="79" t="s">
        <v>3699</v>
      </c>
    </row>
    <row r="136" spans="1:8" ht="50.1" customHeight="1">
      <c r="A136" t="s">
        <v>3077</v>
      </c>
      <c r="B136" s="63" t="s">
        <v>3636</v>
      </c>
      <c r="C136" s="82" t="s">
        <v>3774</v>
      </c>
      <c r="E136" s="86">
        <v>17204.88</v>
      </c>
      <c r="G136" s="84" t="s">
        <v>3851</v>
      </c>
      <c r="H136" s="80" t="s">
        <v>3700</v>
      </c>
    </row>
    <row r="137" spans="1:8" ht="50.1" customHeight="1">
      <c r="A137" t="s">
        <v>3077</v>
      </c>
      <c r="B137" s="63" t="s">
        <v>3636</v>
      </c>
      <c r="C137" s="81" t="s">
        <v>3775</v>
      </c>
      <c r="E137" s="85">
        <v>252747</v>
      </c>
      <c r="G137" s="83" t="s">
        <v>3852</v>
      </c>
      <c r="H137" s="79" t="s">
        <v>3701</v>
      </c>
    </row>
    <row r="138" spans="1:8" ht="50.1" customHeight="1">
      <c r="A138" t="s">
        <v>3077</v>
      </c>
      <c r="B138" s="63" t="s">
        <v>3636</v>
      </c>
      <c r="C138" s="82" t="s">
        <v>3776</v>
      </c>
      <c r="E138" s="86">
        <v>10642.8</v>
      </c>
      <c r="G138" s="84" t="s">
        <v>3853</v>
      </c>
      <c r="H138" s="80" t="s">
        <v>3702</v>
      </c>
    </row>
    <row r="139" spans="1:8" ht="50.1" customHeight="1">
      <c r="A139" t="s">
        <v>3077</v>
      </c>
      <c r="B139" s="63" t="s">
        <v>3636</v>
      </c>
      <c r="C139" s="81" t="s">
        <v>3777</v>
      </c>
      <c r="E139" s="85">
        <v>28000</v>
      </c>
      <c r="G139" s="83" t="s">
        <v>3854</v>
      </c>
      <c r="H139" s="79" t="s">
        <v>3703</v>
      </c>
    </row>
    <row r="140" spans="1:8" ht="50.1" customHeight="1">
      <c r="A140" t="s">
        <v>3077</v>
      </c>
      <c r="B140" s="63" t="s">
        <v>3636</v>
      </c>
      <c r="C140" s="82" t="s">
        <v>3778</v>
      </c>
      <c r="E140" s="86">
        <v>48000</v>
      </c>
      <c r="G140" s="84" t="s">
        <v>3855</v>
      </c>
      <c r="H140" s="80" t="s">
        <v>3704</v>
      </c>
    </row>
    <row r="141" spans="1:8" ht="50.1" customHeight="1">
      <c r="A141" t="s">
        <v>3077</v>
      </c>
      <c r="B141" s="63" t="s">
        <v>3636</v>
      </c>
      <c r="C141" s="81" t="s">
        <v>3779</v>
      </c>
      <c r="E141" s="85">
        <v>20160</v>
      </c>
      <c r="G141" s="83" t="s">
        <v>3856</v>
      </c>
      <c r="H141" s="79" t="s">
        <v>3705</v>
      </c>
    </row>
    <row r="142" spans="1:8" ht="50.1" customHeight="1">
      <c r="A142" t="s">
        <v>3077</v>
      </c>
      <c r="B142" s="63" t="s">
        <v>3636</v>
      </c>
      <c r="C142" s="82" t="s">
        <v>3780</v>
      </c>
      <c r="E142" s="86">
        <v>15600</v>
      </c>
      <c r="G142" s="84" t="s">
        <v>3857</v>
      </c>
      <c r="H142" s="80" t="s">
        <v>3706</v>
      </c>
    </row>
    <row r="143" spans="1:8" ht="50.1" customHeight="1">
      <c r="A143" t="s">
        <v>3077</v>
      </c>
      <c r="B143" s="63" t="s">
        <v>3636</v>
      </c>
      <c r="C143" s="81" t="s">
        <v>3781</v>
      </c>
      <c r="E143" s="85">
        <v>24000</v>
      </c>
      <c r="G143" s="83" t="s">
        <v>3858</v>
      </c>
      <c r="H143" s="79" t="s">
        <v>3707</v>
      </c>
    </row>
    <row r="144" spans="1:8" ht="50.1" customHeight="1">
      <c r="A144" t="s">
        <v>3077</v>
      </c>
      <c r="B144" s="63" t="s">
        <v>3636</v>
      </c>
      <c r="C144" s="82" t="s">
        <v>3782</v>
      </c>
      <c r="E144" s="86">
        <v>12500.9</v>
      </c>
      <c r="G144" s="84" t="s">
        <v>3859</v>
      </c>
      <c r="H144" s="80" t="s">
        <v>3708</v>
      </c>
    </row>
    <row r="145" spans="1:8" ht="50.1" customHeight="1">
      <c r="A145" t="s">
        <v>3077</v>
      </c>
      <c r="B145" s="63" t="s">
        <v>3636</v>
      </c>
      <c r="C145" s="81" t="s">
        <v>3783</v>
      </c>
      <c r="E145" s="85">
        <v>31321.200000000001</v>
      </c>
      <c r="G145" s="83" t="s">
        <v>3860</v>
      </c>
      <c r="H145" s="79" t="s">
        <v>3709</v>
      </c>
    </row>
    <row r="146" spans="1:8" ht="50.1" customHeight="1">
      <c r="A146" t="s">
        <v>3077</v>
      </c>
      <c r="B146" s="63" t="s">
        <v>3636</v>
      </c>
      <c r="C146" s="82" t="s">
        <v>3784</v>
      </c>
      <c r="E146" s="86">
        <v>17852.400000000001</v>
      </c>
      <c r="G146" s="84" t="s">
        <v>3861</v>
      </c>
      <c r="H146" s="80" t="s">
        <v>3710</v>
      </c>
    </row>
    <row r="147" spans="1:8" ht="50.1" customHeight="1">
      <c r="A147" t="s">
        <v>3077</v>
      </c>
      <c r="B147" s="63" t="s">
        <v>3636</v>
      </c>
      <c r="C147" s="81" t="s">
        <v>3785</v>
      </c>
      <c r="E147" s="85" t="s">
        <v>3877</v>
      </c>
      <c r="G147" s="83" t="s">
        <v>3862</v>
      </c>
      <c r="H147" s="79" t="s">
        <v>3711</v>
      </c>
    </row>
    <row r="148" spans="1:8" ht="50.1" customHeight="1">
      <c r="A148" t="s">
        <v>3077</v>
      </c>
      <c r="B148" s="63" t="s">
        <v>3636</v>
      </c>
      <c r="C148" s="82" t="s">
        <v>3786</v>
      </c>
      <c r="E148" s="86">
        <v>49655</v>
      </c>
      <c r="G148" s="84" t="s">
        <v>3863</v>
      </c>
      <c r="H148" s="80" t="s">
        <v>3712</v>
      </c>
    </row>
    <row r="149" spans="1:8" ht="50.1" customHeight="1">
      <c r="A149" t="s">
        <v>3077</v>
      </c>
      <c r="B149" s="63" t="s">
        <v>3636</v>
      </c>
      <c r="C149" s="81" t="s">
        <v>3787</v>
      </c>
      <c r="E149" s="85">
        <v>54474</v>
      </c>
      <c r="G149" s="83" t="s">
        <v>3864</v>
      </c>
      <c r="H149" s="79" t="s">
        <v>3713</v>
      </c>
    </row>
    <row r="150" spans="1:8" ht="50.1" customHeight="1">
      <c r="A150" t="s">
        <v>3077</v>
      </c>
      <c r="B150" s="63" t="s">
        <v>3636</v>
      </c>
      <c r="C150" s="82" t="s">
        <v>3788</v>
      </c>
      <c r="E150" s="86">
        <v>52202.99</v>
      </c>
      <c r="G150" s="84" t="s">
        <v>3865</v>
      </c>
      <c r="H150" s="80" t="s">
        <v>3714</v>
      </c>
    </row>
    <row r="151" spans="1:8" ht="50.1" customHeight="1">
      <c r="A151" t="s">
        <v>3077</v>
      </c>
      <c r="B151" s="63" t="s">
        <v>3636</v>
      </c>
      <c r="C151" s="81" t="s">
        <v>3789</v>
      </c>
      <c r="E151" s="85" t="s">
        <v>3878</v>
      </c>
      <c r="G151" s="83" t="s">
        <v>3866</v>
      </c>
      <c r="H151" s="79" t="s">
        <v>3715</v>
      </c>
    </row>
    <row r="152" spans="1:8" ht="50.1" customHeight="1">
      <c r="A152" t="s">
        <v>3077</v>
      </c>
      <c r="B152" s="63" t="s">
        <v>3636</v>
      </c>
      <c r="C152" s="82" t="s">
        <v>3790</v>
      </c>
      <c r="E152" s="86">
        <v>58320</v>
      </c>
      <c r="G152" s="84" t="s">
        <v>3867</v>
      </c>
      <c r="H152" s="80" t="s">
        <v>3716</v>
      </c>
    </row>
    <row r="153" spans="1:8" ht="50.1" customHeight="1">
      <c r="A153" t="s">
        <v>3077</v>
      </c>
      <c r="B153" s="63" t="s">
        <v>3636</v>
      </c>
      <c r="C153" s="81" t="s">
        <v>3791</v>
      </c>
      <c r="E153" s="85">
        <v>521418.72</v>
      </c>
      <c r="G153" s="83" t="s">
        <v>3868</v>
      </c>
      <c r="H153" s="79" t="s">
        <v>3717</v>
      </c>
    </row>
    <row r="154" spans="1:8" ht="50.1" customHeight="1">
      <c r="A154" t="s">
        <v>3077</v>
      </c>
      <c r="B154" s="63" t="s">
        <v>3636</v>
      </c>
      <c r="C154" s="82" t="s">
        <v>3792</v>
      </c>
      <c r="E154" s="86">
        <v>4176999.96</v>
      </c>
      <c r="G154" s="84" t="s">
        <v>3869</v>
      </c>
      <c r="H154" s="80" t="s">
        <v>3718</v>
      </c>
    </row>
    <row r="155" spans="1:8" ht="50.1" customHeight="1">
      <c r="A155" t="s">
        <v>3077</v>
      </c>
      <c r="B155" s="63" t="s">
        <v>3636</v>
      </c>
      <c r="C155" s="81" t="s">
        <v>3793</v>
      </c>
      <c r="E155" s="85">
        <v>134445.85999999999</v>
      </c>
      <c r="G155" s="83" t="s">
        <v>3870</v>
      </c>
      <c r="H155" s="79" t="s">
        <v>3719</v>
      </c>
    </row>
    <row r="156" spans="1:8" ht="50.1" customHeight="1">
      <c r="A156" t="s">
        <v>3077</v>
      </c>
      <c r="B156" s="63" t="s">
        <v>3636</v>
      </c>
      <c r="C156" s="82" t="s">
        <v>3794</v>
      </c>
      <c r="E156" s="86" t="s">
        <v>3877</v>
      </c>
      <c r="G156" s="84" t="s">
        <v>3871</v>
      </c>
      <c r="H156" s="80" t="s">
        <v>3720</v>
      </c>
    </row>
    <row r="157" spans="1:8" ht="50.1" customHeight="1">
      <c r="A157" t="s">
        <v>3077</v>
      </c>
      <c r="B157" s="63" t="s">
        <v>3636</v>
      </c>
      <c r="C157" s="81" t="s">
        <v>3795</v>
      </c>
      <c r="E157" s="85">
        <v>691799.9</v>
      </c>
      <c r="G157" s="83" t="s">
        <v>3872</v>
      </c>
      <c r="H157" s="79" t="s">
        <v>3721</v>
      </c>
    </row>
    <row r="158" spans="1:8" ht="50.1" customHeight="1">
      <c r="A158" t="s">
        <v>3077</v>
      </c>
      <c r="B158" s="63" t="s">
        <v>3636</v>
      </c>
      <c r="C158" s="82" t="s">
        <v>3796</v>
      </c>
      <c r="E158" s="86">
        <v>300000</v>
      </c>
      <c r="G158" s="84" t="s">
        <v>3873</v>
      </c>
      <c r="H158" s="80" t="s">
        <v>3685</v>
      </c>
    </row>
    <row r="159" spans="1:8" ht="50.1" customHeight="1">
      <c r="A159" t="s">
        <v>3077</v>
      </c>
      <c r="B159" s="63" t="s">
        <v>3636</v>
      </c>
      <c r="C159" s="81" t="s">
        <v>3797</v>
      </c>
      <c r="E159" s="85">
        <v>23040</v>
      </c>
      <c r="G159" s="83" t="s">
        <v>3874</v>
      </c>
      <c r="H159" s="79" t="s">
        <v>3722</v>
      </c>
    </row>
    <row r="160" spans="1:8" ht="50.1" customHeight="1">
      <c r="A160" t="s">
        <v>3077</v>
      </c>
      <c r="B160" s="63" t="s">
        <v>3636</v>
      </c>
      <c r="C160" s="82" t="s">
        <v>3798</v>
      </c>
      <c r="E160" s="86">
        <v>23040</v>
      </c>
      <c r="G160" s="84" t="s">
        <v>3875</v>
      </c>
      <c r="H160" s="80" t="s">
        <v>3723</v>
      </c>
    </row>
    <row r="161" spans="1:8" ht="50.1" customHeight="1">
      <c r="A161" t="s">
        <v>3077</v>
      </c>
      <c r="B161" s="63" t="s">
        <v>3636</v>
      </c>
      <c r="C161" s="81" t="s">
        <v>3799</v>
      </c>
      <c r="E161" s="85">
        <v>385800</v>
      </c>
      <c r="G161" s="83" t="s">
        <v>3876</v>
      </c>
      <c r="H161" s="79" t="s">
        <v>3701</v>
      </c>
    </row>
  </sheetData>
  <autoFilter ref="A1:L1"/>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81"/>
  <sheetViews>
    <sheetView topLeftCell="E1" workbookViewId="0">
      <pane ySplit="1" topLeftCell="A2" activePane="bottomLeft" state="frozen"/>
      <selection pane="bottomLeft" sqref="A1:I1"/>
    </sheetView>
  </sheetViews>
  <sheetFormatPr defaultColWidth="50.7109375" defaultRowHeight="50.1" customHeight="1"/>
  <cols>
    <col min="1" max="1" width="15" style="124" customWidth="1"/>
    <col min="2" max="2" width="22.140625" style="124" customWidth="1"/>
    <col min="3" max="3" width="18.7109375" style="124" customWidth="1"/>
    <col min="4" max="4" width="32.42578125" style="124" customWidth="1"/>
    <col min="5" max="5" width="35.5703125" style="124" customWidth="1"/>
    <col min="6" max="6" width="38.85546875" style="124" customWidth="1"/>
    <col min="7" max="7" width="18.140625" style="124" customWidth="1"/>
    <col min="8" max="8" width="23.42578125" style="124" customWidth="1"/>
    <col min="9" max="16384" width="50.7109375" style="124"/>
  </cols>
  <sheetData>
    <row r="1" spans="1:21" ht="50.1" customHeight="1">
      <c r="A1" s="153" t="s">
        <v>8</v>
      </c>
      <c r="B1" s="128" t="s">
        <v>3446</v>
      </c>
      <c r="C1" s="128" t="s">
        <v>3892</v>
      </c>
      <c r="D1" s="128" t="s">
        <v>3447</v>
      </c>
      <c r="E1" s="128" t="s">
        <v>3893</v>
      </c>
      <c r="F1" s="128" t="s">
        <v>3448</v>
      </c>
      <c r="G1" s="128" t="s">
        <v>3449</v>
      </c>
      <c r="H1" s="128" t="s">
        <v>3450</v>
      </c>
      <c r="I1" s="129" t="s">
        <v>3451</v>
      </c>
    </row>
    <row r="2" spans="1:21" s="126" customFormat="1" ht="50.1" customHeight="1">
      <c r="A2" s="126" t="s">
        <v>17</v>
      </c>
      <c r="B2" s="63" t="s">
        <v>4115</v>
      </c>
      <c r="C2" s="63" t="s">
        <v>3894</v>
      </c>
      <c r="D2" s="63" t="s">
        <v>3895</v>
      </c>
      <c r="E2" s="63" t="s">
        <v>3896</v>
      </c>
      <c r="F2" s="64">
        <v>46023</v>
      </c>
      <c r="G2" s="65">
        <v>1000000</v>
      </c>
      <c r="H2" s="66">
        <v>1000000</v>
      </c>
      <c r="I2" s="67" t="s">
        <v>3897</v>
      </c>
    </row>
    <row r="3" spans="1:21" s="126" customFormat="1" ht="50.1" customHeight="1">
      <c r="A3" s="126" t="s">
        <v>17</v>
      </c>
      <c r="B3" s="63" t="s">
        <v>4115</v>
      </c>
      <c r="C3" s="63" t="s">
        <v>41</v>
      </c>
      <c r="D3" s="63" t="s">
        <v>3898</v>
      </c>
      <c r="E3" s="63" t="s">
        <v>3899</v>
      </c>
      <c r="F3" s="64">
        <v>46023</v>
      </c>
      <c r="G3" s="65">
        <v>1500000</v>
      </c>
      <c r="H3" s="66">
        <v>1500000</v>
      </c>
      <c r="I3" s="67" t="s">
        <v>3897</v>
      </c>
    </row>
    <row r="4" spans="1:21" s="126" customFormat="1" ht="50.1" customHeight="1">
      <c r="A4" s="126" t="s">
        <v>17</v>
      </c>
      <c r="B4" s="63" t="s">
        <v>4115</v>
      </c>
      <c r="C4" s="63" t="s">
        <v>3900</v>
      </c>
      <c r="D4" s="63" t="s">
        <v>3901</v>
      </c>
      <c r="E4" s="130" t="s">
        <v>3902</v>
      </c>
      <c r="F4" s="64">
        <v>46023</v>
      </c>
      <c r="G4" s="65">
        <v>7000000</v>
      </c>
      <c r="H4" s="66">
        <v>7000000</v>
      </c>
      <c r="I4" s="67" t="s">
        <v>3897</v>
      </c>
    </row>
    <row r="5" spans="1:21" s="126" customFormat="1" ht="50.1" customHeight="1">
      <c r="A5" s="126" t="s">
        <v>17</v>
      </c>
      <c r="B5" s="63" t="s">
        <v>4115</v>
      </c>
      <c r="C5" s="63" t="s">
        <v>3900</v>
      </c>
      <c r="D5" s="63" t="s">
        <v>3903</v>
      </c>
      <c r="E5" s="130" t="s">
        <v>3902</v>
      </c>
      <c r="F5" s="64">
        <v>46023</v>
      </c>
      <c r="G5" s="65">
        <v>500000</v>
      </c>
      <c r="H5" s="66">
        <v>500000</v>
      </c>
      <c r="I5" s="67" t="s">
        <v>3897</v>
      </c>
      <c r="J5" s="127" t="s">
        <v>3882</v>
      </c>
      <c r="K5" s="127"/>
      <c r="L5" s="125"/>
      <c r="M5" s="125"/>
      <c r="N5" s="125"/>
      <c r="O5" s="125"/>
      <c r="P5" s="125"/>
      <c r="Q5" s="125"/>
      <c r="R5" s="125"/>
      <c r="S5" s="125"/>
      <c r="T5" s="125"/>
      <c r="U5" s="125"/>
    </row>
    <row r="6" spans="1:21" s="126" customFormat="1" ht="50.1" customHeight="1">
      <c r="A6" s="126" t="s">
        <v>17</v>
      </c>
      <c r="B6" s="63" t="s">
        <v>4115</v>
      </c>
      <c r="C6" s="63" t="s">
        <v>3900</v>
      </c>
      <c r="D6" s="63" t="s">
        <v>3904</v>
      </c>
      <c r="E6" s="130" t="s">
        <v>3902</v>
      </c>
      <c r="F6" s="64">
        <v>46023</v>
      </c>
      <c r="G6" s="65">
        <v>12000000</v>
      </c>
      <c r="H6" s="66">
        <v>12000000</v>
      </c>
      <c r="I6" s="67" t="s">
        <v>3897</v>
      </c>
      <c r="J6" s="127" t="s">
        <v>3883</v>
      </c>
      <c r="K6" s="127"/>
      <c r="L6" s="125"/>
      <c r="M6" s="125"/>
      <c r="N6" s="125"/>
      <c r="O6" s="125"/>
      <c r="P6" s="125"/>
      <c r="Q6" s="125"/>
      <c r="R6" s="125"/>
      <c r="S6" s="125"/>
      <c r="T6" s="125"/>
      <c r="U6" s="125"/>
    </row>
    <row r="7" spans="1:21" s="126" customFormat="1" ht="50.1" customHeight="1">
      <c r="A7" s="126" t="s">
        <v>17</v>
      </c>
      <c r="B7" s="63" t="s">
        <v>4115</v>
      </c>
      <c r="C7" s="63" t="s">
        <v>3900</v>
      </c>
      <c r="D7" s="63" t="s">
        <v>3905</v>
      </c>
      <c r="E7" s="130" t="s">
        <v>3902</v>
      </c>
      <c r="F7" s="64">
        <v>46023</v>
      </c>
      <c r="G7" s="65">
        <v>1500000</v>
      </c>
      <c r="H7" s="66">
        <v>1500000</v>
      </c>
      <c r="I7" s="67" t="s">
        <v>3897</v>
      </c>
      <c r="J7" s="127" t="s">
        <v>3454</v>
      </c>
      <c r="K7" s="127"/>
      <c r="L7" s="125"/>
      <c r="M7" s="125"/>
      <c r="N7" s="125"/>
      <c r="O7" s="125"/>
      <c r="P7" s="125"/>
      <c r="Q7" s="125"/>
      <c r="R7" s="125"/>
      <c r="S7" s="125"/>
      <c r="T7" s="125"/>
      <c r="U7" s="125"/>
    </row>
    <row r="8" spans="1:21" s="126" customFormat="1" ht="50.1" customHeight="1">
      <c r="A8" s="126" t="s">
        <v>17</v>
      </c>
      <c r="B8" s="63" t="s">
        <v>4115</v>
      </c>
      <c r="C8" s="63" t="s">
        <v>3900</v>
      </c>
      <c r="D8" s="63" t="s">
        <v>3906</v>
      </c>
      <c r="E8" s="130" t="s">
        <v>3902</v>
      </c>
      <c r="F8" s="64">
        <v>46023</v>
      </c>
      <c r="G8" s="65">
        <v>150000</v>
      </c>
      <c r="H8" s="66">
        <v>150000</v>
      </c>
      <c r="I8" s="67" t="s">
        <v>3897</v>
      </c>
      <c r="J8" s="127"/>
      <c r="K8" s="127"/>
      <c r="L8" s="125"/>
      <c r="M8" s="125"/>
      <c r="N8" s="125"/>
      <c r="O8" s="125"/>
      <c r="P8" s="125"/>
      <c r="Q8" s="125"/>
      <c r="R8" s="125"/>
      <c r="S8" s="125"/>
      <c r="T8" s="125"/>
      <c r="U8" s="125"/>
    </row>
    <row r="9" spans="1:21" s="126" customFormat="1" ht="50.1" customHeight="1">
      <c r="A9" s="126" t="s">
        <v>17</v>
      </c>
      <c r="B9" s="63" t="s">
        <v>4115</v>
      </c>
      <c r="C9" s="63" t="s">
        <v>3900</v>
      </c>
      <c r="D9" s="63" t="s">
        <v>3907</v>
      </c>
      <c r="E9" s="130" t="s">
        <v>3902</v>
      </c>
      <c r="F9" s="64">
        <v>46023</v>
      </c>
      <c r="G9" s="65">
        <v>1500000</v>
      </c>
      <c r="H9" s="66">
        <v>1500000</v>
      </c>
      <c r="I9" s="67" t="s">
        <v>3897</v>
      </c>
      <c r="J9" s="127"/>
      <c r="K9" s="127"/>
      <c r="L9" s="125"/>
      <c r="M9" s="125"/>
      <c r="N9" s="125"/>
      <c r="O9" s="125"/>
      <c r="P9" s="125"/>
      <c r="Q9" s="125"/>
      <c r="R9" s="125"/>
      <c r="S9" s="125"/>
      <c r="T9" s="125"/>
      <c r="U9" s="125"/>
    </row>
    <row r="10" spans="1:21" s="126" customFormat="1" ht="50.1" customHeight="1">
      <c r="A10" s="126" t="s">
        <v>17</v>
      </c>
      <c r="B10" s="63" t="s">
        <v>4115</v>
      </c>
      <c r="C10" s="63" t="s">
        <v>3900</v>
      </c>
      <c r="D10" s="63" t="s">
        <v>3908</v>
      </c>
      <c r="E10" s="130" t="s">
        <v>3902</v>
      </c>
      <c r="F10" s="64">
        <v>46023</v>
      </c>
      <c r="G10" s="65">
        <v>500000</v>
      </c>
      <c r="H10" s="66">
        <v>500000</v>
      </c>
      <c r="I10" s="67" t="s">
        <v>3897</v>
      </c>
      <c r="J10" s="127"/>
      <c r="K10" s="127"/>
      <c r="L10" s="125"/>
      <c r="M10" s="125"/>
      <c r="N10" s="125"/>
      <c r="O10" s="125"/>
      <c r="P10" s="125"/>
      <c r="Q10" s="125"/>
      <c r="R10" s="125"/>
      <c r="S10" s="125"/>
      <c r="T10" s="125"/>
      <c r="U10" s="125"/>
    </row>
    <row r="11" spans="1:21" s="126" customFormat="1" ht="50.1" customHeight="1">
      <c r="A11" s="126" t="s">
        <v>17</v>
      </c>
      <c r="B11" s="63" t="s">
        <v>4115</v>
      </c>
      <c r="C11" s="63" t="s">
        <v>3900</v>
      </c>
      <c r="D11" s="63" t="s">
        <v>3909</v>
      </c>
      <c r="E11" s="130" t="s">
        <v>3902</v>
      </c>
      <c r="F11" s="64">
        <v>46023</v>
      </c>
      <c r="G11" s="65">
        <v>4000000</v>
      </c>
      <c r="H11" s="66">
        <v>4000000</v>
      </c>
      <c r="I11" s="67" t="s">
        <v>3897</v>
      </c>
      <c r="J11" s="127"/>
      <c r="K11" s="127"/>
      <c r="L11" s="125"/>
      <c r="M11" s="125"/>
      <c r="N11" s="125"/>
      <c r="O11" s="125"/>
      <c r="P11" s="125"/>
      <c r="Q11" s="125"/>
      <c r="R11" s="125"/>
      <c r="S11" s="125"/>
      <c r="T11" s="125"/>
      <c r="U11" s="125"/>
    </row>
    <row r="12" spans="1:21" s="126" customFormat="1" ht="50.1" customHeight="1">
      <c r="A12" s="126" t="s">
        <v>17</v>
      </c>
      <c r="B12" s="63" t="s">
        <v>4115</v>
      </c>
      <c r="C12" s="63" t="s">
        <v>3900</v>
      </c>
      <c r="D12" s="63" t="s">
        <v>3910</v>
      </c>
      <c r="E12" s="130" t="s">
        <v>3902</v>
      </c>
      <c r="F12" s="64">
        <v>46023</v>
      </c>
      <c r="G12" s="65">
        <v>3000000</v>
      </c>
      <c r="H12" s="66">
        <v>3000000</v>
      </c>
      <c r="I12" s="67" t="s">
        <v>3897</v>
      </c>
      <c r="J12" s="127"/>
      <c r="K12" s="127"/>
      <c r="L12" s="125"/>
      <c r="M12" s="125"/>
      <c r="N12" s="125"/>
      <c r="O12" s="125"/>
      <c r="P12" s="125"/>
      <c r="Q12" s="125"/>
      <c r="R12" s="125"/>
      <c r="S12" s="125"/>
      <c r="T12" s="125"/>
      <c r="U12" s="125"/>
    </row>
    <row r="13" spans="1:21" s="126" customFormat="1" ht="50.1" customHeight="1">
      <c r="A13" s="126" t="s">
        <v>17</v>
      </c>
      <c r="B13" s="63" t="s">
        <v>4115</v>
      </c>
      <c r="C13" s="63" t="s">
        <v>3900</v>
      </c>
      <c r="D13" s="63" t="s">
        <v>3911</v>
      </c>
      <c r="E13" s="130" t="s">
        <v>3902</v>
      </c>
      <c r="F13" s="64">
        <v>46023</v>
      </c>
      <c r="G13" s="65">
        <v>2000000</v>
      </c>
      <c r="H13" s="66">
        <v>2000000</v>
      </c>
      <c r="I13" s="67" t="s">
        <v>3897</v>
      </c>
      <c r="J13" s="127"/>
      <c r="K13" s="127"/>
      <c r="L13" s="125"/>
      <c r="M13" s="125"/>
      <c r="N13" s="125"/>
      <c r="O13" s="125"/>
      <c r="P13" s="125"/>
      <c r="Q13" s="125"/>
      <c r="R13" s="125"/>
      <c r="S13" s="125"/>
      <c r="T13" s="125"/>
      <c r="U13" s="125"/>
    </row>
    <row r="14" spans="1:21" s="126" customFormat="1" ht="50.1" customHeight="1">
      <c r="A14" s="126" t="s">
        <v>17</v>
      </c>
      <c r="B14" s="63" t="s">
        <v>4115</v>
      </c>
      <c r="C14" s="63" t="s">
        <v>3912</v>
      </c>
      <c r="D14" s="63" t="s">
        <v>3913</v>
      </c>
      <c r="E14" s="63" t="s">
        <v>3914</v>
      </c>
      <c r="F14" s="64">
        <v>46113</v>
      </c>
      <c r="G14" s="65">
        <v>1797762.81</v>
      </c>
      <c r="H14" s="66">
        <v>1348322.1074999999</v>
      </c>
      <c r="I14" s="67" t="s">
        <v>3897</v>
      </c>
      <c r="J14" s="127"/>
      <c r="K14" s="127"/>
      <c r="L14" s="125"/>
      <c r="M14" s="125"/>
      <c r="N14" s="125"/>
      <c r="O14" s="125"/>
      <c r="P14" s="125"/>
      <c r="Q14" s="125"/>
      <c r="R14" s="125"/>
      <c r="S14" s="125"/>
      <c r="T14" s="125"/>
      <c r="U14" s="125"/>
    </row>
    <row r="15" spans="1:21" s="126" customFormat="1" ht="50.1" customHeight="1">
      <c r="A15" s="126" t="s">
        <v>17</v>
      </c>
      <c r="B15" s="63" t="s">
        <v>4115</v>
      </c>
      <c r="C15" s="63" t="s">
        <v>3915</v>
      </c>
      <c r="D15" s="63" t="s">
        <v>3916</v>
      </c>
      <c r="E15" s="63" t="s">
        <v>3917</v>
      </c>
      <c r="F15" s="64">
        <v>46113</v>
      </c>
      <c r="G15" s="65">
        <v>1797762.81</v>
      </c>
      <c r="H15" s="66">
        <v>1348322.1074999999</v>
      </c>
      <c r="I15" s="67" t="s">
        <v>3897</v>
      </c>
      <c r="J15" s="125"/>
      <c r="K15" s="125"/>
      <c r="L15" s="125"/>
      <c r="M15" s="125"/>
      <c r="N15" s="125"/>
      <c r="O15" s="125"/>
      <c r="P15" s="125"/>
      <c r="Q15" s="125"/>
      <c r="R15" s="125"/>
      <c r="S15" s="125"/>
      <c r="T15" s="125"/>
      <c r="U15" s="125"/>
    </row>
    <row r="16" spans="1:21" s="126" customFormat="1" ht="50.1" customHeight="1">
      <c r="A16" s="126" t="s">
        <v>17</v>
      </c>
      <c r="B16" s="63" t="s">
        <v>4115</v>
      </c>
      <c r="C16" s="63" t="s">
        <v>3918</v>
      </c>
      <c r="D16" s="63" t="s">
        <v>3919</v>
      </c>
      <c r="E16" s="63" t="s">
        <v>3917</v>
      </c>
      <c r="F16" s="64">
        <v>46023</v>
      </c>
      <c r="G16" s="65">
        <v>1797762.81</v>
      </c>
      <c r="H16" s="66">
        <v>1797762.81</v>
      </c>
      <c r="I16" s="67" t="s">
        <v>3897</v>
      </c>
      <c r="J16" s="125"/>
      <c r="K16" s="125"/>
      <c r="L16" s="125"/>
      <c r="M16" s="125"/>
      <c r="N16" s="125"/>
      <c r="O16" s="125"/>
      <c r="P16" s="125"/>
      <c r="Q16" s="125"/>
      <c r="R16" s="125"/>
      <c r="S16" s="125"/>
      <c r="T16" s="125"/>
      <c r="U16" s="125"/>
    </row>
    <row r="17" spans="1:21" s="126" customFormat="1" ht="50.1" customHeight="1">
      <c r="A17" s="126" t="s">
        <v>17</v>
      </c>
      <c r="B17" s="63" t="s">
        <v>4115</v>
      </c>
      <c r="C17" s="63" t="s">
        <v>3920</v>
      </c>
      <c r="D17" s="63" t="s">
        <v>3921</v>
      </c>
      <c r="E17" s="63" t="s">
        <v>3917</v>
      </c>
      <c r="F17" s="64">
        <v>46023</v>
      </c>
      <c r="G17" s="65">
        <v>1797762.81</v>
      </c>
      <c r="H17" s="66">
        <v>1797762.81</v>
      </c>
      <c r="I17" s="67" t="s">
        <v>3897</v>
      </c>
      <c r="J17" s="125"/>
      <c r="K17" s="125"/>
      <c r="L17" s="125"/>
      <c r="M17" s="125"/>
      <c r="N17" s="125"/>
      <c r="O17" s="125"/>
      <c r="P17" s="125"/>
      <c r="Q17" s="125"/>
      <c r="R17" s="125"/>
      <c r="S17" s="125"/>
      <c r="T17" s="125"/>
      <c r="U17" s="125"/>
    </row>
    <row r="18" spans="1:21" s="126" customFormat="1" ht="50.1" customHeight="1">
      <c r="A18" s="126" t="s">
        <v>17</v>
      </c>
      <c r="B18" s="63" t="s">
        <v>4115</v>
      </c>
      <c r="C18" s="63" t="s">
        <v>3922</v>
      </c>
      <c r="D18" s="63" t="s">
        <v>3923</v>
      </c>
      <c r="E18" s="63" t="s">
        <v>3924</v>
      </c>
      <c r="F18" s="64">
        <v>46023</v>
      </c>
      <c r="G18" s="65">
        <v>1348322.11</v>
      </c>
      <c r="H18" s="66">
        <v>1348322.11</v>
      </c>
      <c r="I18" s="67" t="s">
        <v>3897</v>
      </c>
      <c r="J18" s="125"/>
      <c r="K18" s="125"/>
      <c r="L18" s="125"/>
      <c r="M18" s="125"/>
      <c r="N18" s="125"/>
      <c r="O18" s="125"/>
      <c r="P18" s="125"/>
      <c r="Q18" s="125"/>
      <c r="R18" s="125"/>
      <c r="S18" s="125"/>
      <c r="T18" s="125"/>
      <c r="U18" s="125"/>
    </row>
    <row r="19" spans="1:21" s="126" customFormat="1" ht="50.1" customHeight="1">
      <c r="A19" s="126" t="s">
        <v>17</v>
      </c>
      <c r="B19" s="63" t="s">
        <v>4115</v>
      </c>
      <c r="C19" s="63" t="s">
        <v>3925</v>
      </c>
      <c r="D19" s="63" t="s">
        <v>3926</v>
      </c>
      <c r="E19" s="130" t="s">
        <v>3927</v>
      </c>
      <c r="F19" s="64">
        <v>46023</v>
      </c>
      <c r="G19" s="65">
        <v>500000</v>
      </c>
      <c r="H19" s="66">
        <v>500000</v>
      </c>
      <c r="I19" s="67" t="s">
        <v>3897</v>
      </c>
      <c r="J19" s="125"/>
      <c r="K19" s="125"/>
      <c r="L19" s="125"/>
      <c r="M19" s="125"/>
      <c r="N19" s="125"/>
      <c r="O19" s="125"/>
      <c r="P19" s="125"/>
      <c r="Q19" s="125"/>
      <c r="R19" s="125"/>
      <c r="S19" s="125"/>
      <c r="T19" s="125"/>
      <c r="U19" s="125"/>
    </row>
    <row r="20" spans="1:21" s="126" customFormat="1" ht="50.1" customHeight="1">
      <c r="A20" s="126" t="s">
        <v>17</v>
      </c>
      <c r="B20" s="63" t="s">
        <v>4115</v>
      </c>
      <c r="C20" s="63" t="s">
        <v>3925</v>
      </c>
      <c r="D20" s="63" t="s">
        <v>3928</v>
      </c>
      <c r="E20" s="130" t="s">
        <v>3929</v>
      </c>
      <c r="F20" s="64">
        <v>46023</v>
      </c>
      <c r="G20" s="65">
        <v>200000</v>
      </c>
      <c r="H20" s="66">
        <v>200000</v>
      </c>
      <c r="I20" s="67" t="s">
        <v>3897</v>
      </c>
      <c r="J20" s="125"/>
      <c r="K20" s="125"/>
      <c r="L20" s="125"/>
      <c r="M20" s="125"/>
      <c r="N20" s="125"/>
      <c r="O20" s="125"/>
      <c r="P20" s="125"/>
      <c r="Q20" s="125"/>
      <c r="R20" s="125"/>
      <c r="S20" s="125"/>
      <c r="T20" s="125"/>
      <c r="U20" s="125"/>
    </row>
    <row r="21" spans="1:21" s="126" customFormat="1" ht="50.1" customHeight="1">
      <c r="A21" s="126" t="s">
        <v>17</v>
      </c>
      <c r="B21" s="63" t="s">
        <v>4115</v>
      </c>
      <c r="C21" s="63" t="s">
        <v>3925</v>
      </c>
      <c r="D21" s="63" t="s">
        <v>3930</v>
      </c>
      <c r="E21" s="130" t="s">
        <v>3931</v>
      </c>
      <c r="F21" s="64">
        <v>46023</v>
      </c>
      <c r="G21" s="65">
        <v>100000</v>
      </c>
      <c r="H21" s="131">
        <v>100000</v>
      </c>
      <c r="I21" s="67" t="s">
        <v>3897</v>
      </c>
      <c r="J21" s="125"/>
      <c r="K21" s="125"/>
      <c r="L21" s="125"/>
      <c r="M21" s="125"/>
      <c r="N21" s="125"/>
      <c r="O21" s="125"/>
      <c r="P21" s="125"/>
      <c r="Q21" s="125"/>
      <c r="R21" s="125"/>
      <c r="S21" s="125"/>
      <c r="T21" s="125"/>
      <c r="U21" s="125"/>
    </row>
    <row r="22" spans="1:21" s="126" customFormat="1" ht="50.1" customHeight="1">
      <c r="A22" s="126" t="s">
        <v>17</v>
      </c>
      <c r="B22" s="63" t="s">
        <v>4115</v>
      </c>
      <c r="C22" s="63" t="s">
        <v>3925</v>
      </c>
      <c r="D22" s="63" t="s">
        <v>3932</v>
      </c>
      <c r="E22" s="130" t="s">
        <v>3933</v>
      </c>
      <c r="F22" s="64">
        <v>46023</v>
      </c>
      <c r="G22" s="65">
        <v>100000</v>
      </c>
      <c r="H22" s="131">
        <v>100000</v>
      </c>
      <c r="I22" s="67" t="s">
        <v>3897</v>
      </c>
    </row>
    <row r="23" spans="1:21" s="126" customFormat="1" ht="50.1" customHeight="1">
      <c r="A23" s="126" t="s">
        <v>17</v>
      </c>
      <c r="B23" s="63" t="s">
        <v>4115</v>
      </c>
      <c r="C23" s="63" t="s">
        <v>3925</v>
      </c>
      <c r="D23" s="63" t="s">
        <v>3934</v>
      </c>
      <c r="E23" s="130" t="s">
        <v>3935</v>
      </c>
      <c r="F23" s="64">
        <v>46023</v>
      </c>
      <c r="G23" s="65">
        <v>100000</v>
      </c>
      <c r="H23" s="131">
        <v>100000</v>
      </c>
      <c r="I23" s="67" t="s">
        <v>3897</v>
      </c>
    </row>
    <row r="24" spans="1:21" s="126" customFormat="1" ht="50.1" customHeight="1">
      <c r="A24" s="126" t="s">
        <v>17</v>
      </c>
      <c r="B24" s="63" t="s">
        <v>4115</v>
      </c>
      <c r="C24" s="63" t="s">
        <v>3925</v>
      </c>
      <c r="D24" s="63" t="s">
        <v>3936</v>
      </c>
      <c r="E24" s="130" t="s">
        <v>3937</v>
      </c>
      <c r="F24" s="64">
        <v>46023</v>
      </c>
      <c r="G24" s="65">
        <v>100000</v>
      </c>
      <c r="H24" s="131">
        <v>100000</v>
      </c>
      <c r="I24" s="67" t="s">
        <v>3897</v>
      </c>
    </row>
    <row r="25" spans="1:21" s="126" customFormat="1" ht="50.1" customHeight="1">
      <c r="A25" s="126" t="s">
        <v>17</v>
      </c>
      <c r="B25" s="63" t="s">
        <v>4115</v>
      </c>
      <c r="C25" s="63" t="s">
        <v>3925</v>
      </c>
      <c r="D25" s="63" t="s">
        <v>3938</v>
      </c>
      <c r="E25" s="130" t="s">
        <v>3939</v>
      </c>
      <c r="F25" s="64">
        <v>46023</v>
      </c>
      <c r="G25" s="65">
        <v>80000</v>
      </c>
      <c r="H25" s="131">
        <v>80000</v>
      </c>
      <c r="I25" s="67" t="s">
        <v>3897</v>
      </c>
    </row>
    <row r="26" spans="1:21" s="126" customFormat="1" ht="50.1" customHeight="1">
      <c r="A26" s="126" t="s">
        <v>17</v>
      </c>
      <c r="B26" s="63" t="s">
        <v>4115</v>
      </c>
      <c r="C26" s="63" t="s">
        <v>3925</v>
      </c>
      <c r="D26" s="63" t="s">
        <v>3940</v>
      </c>
      <c r="E26" s="130" t="s">
        <v>3941</v>
      </c>
      <c r="F26" s="64">
        <v>46023</v>
      </c>
      <c r="G26" s="65">
        <v>1000000</v>
      </c>
      <c r="H26" s="66">
        <v>1000000</v>
      </c>
      <c r="I26" s="67" t="s">
        <v>3897</v>
      </c>
    </row>
    <row r="27" spans="1:21" s="126" customFormat="1" ht="50.1" customHeight="1">
      <c r="A27" s="126" t="s">
        <v>17</v>
      </c>
      <c r="B27" s="63" t="s">
        <v>4115</v>
      </c>
      <c r="C27" s="63" t="s">
        <v>3925</v>
      </c>
      <c r="D27" s="63" t="s">
        <v>3942</v>
      </c>
      <c r="E27" s="130" t="s">
        <v>3943</v>
      </c>
      <c r="F27" s="64">
        <v>46023</v>
      </c>
      <c r="G27" s="65">
        <v>120000</v>
      </c>
      <c r="H27" s="66">
        <v>120000</v>
      </c>
      <c r="I27" s="67" t="s">
        <v>3897</v>
      </c>
    </row>
    <row r="28" spans="1:21" s="126" customFormat="1" ht="50.1" customHeight="1">
      <c r="A28" s="126" t="s">
        <v>17</v>
      </c>
      <c r="B28" s="63" t="s">
        <v>4115</v>
      </c>
      <c r="C28" s="63" t="s">
        <v>3925</v>
      </c>
      <c r="D28" s="63" t="s">
        <v>3944</v>
      </c>
      <c r="E28" s="130" t="s">
        <v>3945</v>
      </c>
      <c r="F28" s="64">
        <v>46024</v>
      </c>
      <c r="G28" s="65">
        <v>100000</v>
      </c>
      <c r="H28" s="66">
        <v>100000</v>
      </c>
      <c r="I28" s="67" t="s">
        <v>3897</v>
      </c>
    </row>
    <row r="29" spans="1:21" s="126" customFormat="1" ht="50.1" customHeight="1">
      <c r="A29" s="126" t="s">
        <v>17</v>
      </c>
      <c r="B29" s="63" t="s">
        <v>4115</v>
      </c>
      <c r="C29" s="63" t="s">
        <v>31</v>
      </c>
      <c r="D29" s="63" t="s">
        <v>3453</v>
      </c>
      <c r="E29" s="63" t="s">
        <v>3946</v>
      </c>
      <c r="F29" s="64">
        <v>46023</v>
      </c>
      <c r="G29" s="65">
        <v>2000000</v>
      </c>
      <c r="H29" s="66">
        <v>2000000</v>
      </c>
      <c r="I29" s="67" t="s">
        <v>3897</v>
      </c>
    </row>
    <row r="30" spans="1:21" ht="50.1" customHeight="1">
      <c r="A30" s="126" t="s">
        <v>17</v>
      </c>
      <c r="B30" s="63" t="s">
        <v>4115</v>
      </c>
      <c r="C30" s="63" t="s">
        <v>31</v>
      </c>
      <c r="D30" s="63" t="s">
        <v>3947</v>
      </c>
      <c r="E30" s="63" t="s">
        <v>3948</v>
      </c>
      <c r="F30" s="64">
        <v>46023</v>
      </c>
      <c r="G30" s="65">
        <v>2850000</v>
      </c>
      <c r="H30" s="66">
        <v>2850000</v>
      </c>
      <c r="I30" s="67" t="s">
        <v>3897</v>
      </c>
    </row>
    <row r="31" spans="1:21" ht="50.1" customHeight="1">
      <c r="A31" s="126" t="s">
        <v>17</v>
      </c>
      <c r="B31" s="63" t="s">
        <v>4115</v>
      </c>
      <c r="C31" s="63" t="s">
        <v>3949</v>
      </c>
      <c r="D31" s="63" t="s">
        <v>3895</v>
      </c>
      <c r="E31" s="63" t="s">
        <v>3950</v>
      </c>
      <c r="F31" s="64">
        <v>46023</v>
      </c>
      <c r="G31" s="65">
        <v>800000</v>
      </c>
      <c r="H31" s="66">
        <v>800000</v>
      </c>
      <c r="I31" s="67" t="s">
        <v>3897</v>
      </c>
    </row>
    <row r="32" spans="1:21" ht="50.1" customHeight="1">
      <c r="A32" s="126" t="s">
        <v>17</v>
      </c>
      <c r="B32" s="63" t="s">
        <v>4115</v>
      </c>
      <c r="C32" s="63" t="s">
        <v>31</v>
      </c>
      <c r="D32" s="63" t="s">
        <v>3898</v>
      </c>
      <c r="E32" s="63" t="s">
        <v>3951</v>
      </c>
      <c r="F32" s="64">
        <v>46023</v>
      </c>
      <c r="G32" s="65">
        <v>1400000</v>
      </c>
      <c r="H32" s="66">
        <v>1400000</v>
      </c>
      <c r="I32" s="67" t="s">
        <v>3897</v>
      </c>
    </row>
    <row r="33" spans="1:9" ht="50.1" customHeight="1">
      <c r="A33" s="126" t="s">
        <v>17</v>
      </c>
      <c r="B33" s="63" t="s">
        <v>4115</v>
      </c>
      <c r="C33" s="63" t="s">
        <v>31</v>
      </c>
      <c r="D33" s="63" t="s">
        <v>3952</v>
      </c>
      <c r="E33" s="63" t="s">
        <v>3953</v>
      </c>
      <c r="F33" s="64">
        <v>46023</v>
      </c>
      <c r="G33" s="65">
        <v>800000</v>
      </c>
      <c r="H33" s="66">
        <v>800000</v>
      </c>
      <c r="I33" s="67" t="s">
        <v>3897</v>
      </c>
    </row>
    <row r="34" spans="1:9" ht="50.1" customHeight="1">
      <c r="A34" s="126" t="s">
        <v>17</v>
      </c>
      <c r="B34" s="63" t="s">
        <v>4115</v>
      </c>
      <c r="C34" s="63" t="s">
        <v>31</v>
      </c>
      <c r="D34" s="63" t="s">
        <v>3954</v>
      </c>
      <c r="E34" s="63" t="s">
        <v>3955</v>
      </c>
      <c r="F34" s="64">
        <v>46023</v>
      </c>
      <c r="G34" s="65">
        <v>360000</v>
      </c>
      <c r="H34" s="66">
        <v>360000</v>
      </c>
      <c r="I34" s="67" t="s">
        <v>3897</v>
      </c>
    </row>
    <row r="35" spans="1:9" ht="50.1" customHeight="1">
      <c r="A35" s="126" t="s">
        <v>17</v>
      </c>
      <c r="B35" s="63" t="s">
        <v>4115</v>
      </c>
      <c r="C35" s="68" t="s">
        <v>26</v>
      </c>
      <c r="D35" s="68" t="s">
        <v>3453</v>
      </c>
      <c r="E35" s="68" t="s">
        <v>3956</v>
      </c>
      <c r="F35" s="132">
        <v>46023</v>
      </c>
      <c r="G35" s="133">
        <v>4200000</v>
      </c>
      <c r="H35" s="134">
        <v>4200000</v>
      </c>
      <c r="I35" s="67" t="s">
        <v>3897</v>
      </c>
    </row>
    <row r="36" spans="1:9" ht="50.1" customHeight="1">
      <c r="A36" s="126" t="s">
        <v>17</v>
      </c>
      <c r="B36" s="63" t="s">
        <v>4115</v>
      </c>
      <c r="C36" s="68" t="s">
        <v>26</v>
      </c>
      <c r="D36" s="68" t="s">
        <v>3957</v>
      </c>
      <c r="E36" s="68" t="s">
        <v>3958</v>
      </c>
      <c r="F36" s="132">
        <v>46023</v>
      </c>
      <c r="G36" s="133">
        <v>3000000</v>
      </c>
      <c r="H36" s="134">
        <v>3000000</v>
      </c>
      <c r="I36" s="67" t="s">
        <v>3897</v>
      </c>
    </row>
    <row r="37" spans="1:9" ht="50.1" customHeight="1">
      <c r="A37" s="126" t="s">
        <v>17</v>
      </c>
      <c r="B37" s="63" t="s">
        <v>4115</v>
      </c>
      <c r="C37" s="68" t="s">
        <v>26</v>
      </c>
      <c r="D37" s="68" t="s">
        <v>3959</v>
      </c>
      <c r="E37" s="68" t="s">
        <v>3960</v>
      </c>
      <c r="F37" s="132">
        <v>46023</v>
      </c>
      <c r="G37" s="133">
        <v>1000000</v>
      </c>
      <c r="H37" s="134">
        <v>1000000</v>
      </c>
      <c r="I37" s="67" t="s">
        <v>3897</v>
      </c>
    </row>
    <row r="38" spans="1:9" ht="50.1" customHeight="1">
      <c r="A38" s="126" t="s">
        <v>17</v>
      </c>
      <c r="B38" s="63" t="s">
        <v>4115</v>
      </c>
      <c r="C38" s="68" t="s">
        <v>26</v>
      </c>
      <c r="D38" s="68" t="s">
        <v>3961</v>
      </c>
      <c r="E38" s="68" t="s">
        <v>3962</v>
      </c>
      <c r="F38" s="132">
        <v>46023</v>
      </c>
      <c r="G38" s="133">
        <v>2500000</v>
      </c>
      <c r="H38" s="134">
        <v>2500000</v>
      </c>
      <c r="I38" s="67" t="s">
        <v>3897</v>
      </c>
    </row>
    <row r="39" spans="1:9" ht="50.1" customHeight="1">
      <c r="A39" s="126" t="s">
        <v>17</v>
      </c>
      <c r="B39" s="63" t="s">
        <v>4115</v>
      </c>
      <c r="C39" s="68" t="s">
        <v>26</v>
      </c>
      <c r="D39" s="68" t="s">
        <v>3963</v>
      </c>
      <c r="E39" s="68" t="s">
        <v>3964</v>
      </c>
      <c r="F39" s="132">
        <v>46023</v>
      </c>
      <c r="G39" s="133">
        <v>2000000</v>
      </c>
      <c r="H39" s="134">
        <v>2000000</v>
      </c>
      <c r="I39" s="67" t="s">
        <v>3897</v>
      </c>
    </row>
    <row r="40" spans="1:9" ht="50.1" customHeight="1">
      <c r="A40" s="126" t="s">
        <v>17</v>
      </c>
      <c r="B40" s="63" t="s">
        <v>4115</v>
      </c>
      <c r="C40" s="68" t="s">
        <v>26</v>
      </c>
      <c r="D40" s="68" t="s">
        <v>3965</v>
      </c>
      <c r="E40" s="68" t="s">
        <v>3966</v>
      </c>
      <c r="F40" s="132">
        <v>46023</v>
      </c>
      <c r="G40" s="133">
        <v>900000</v>
      </c>
      <c r="H40" s="134">
        <v>900000</v>
      </c>
      <c r="I40" s="67" t="s">
        <v>3897</v>
      </c>
    </row>
    <row r="41" spans="1:9" ht="50.1" customHeight="1">
      <c r="A41" s="126" t="s">
        <v>17</v>
      </c>
      <c r="B41" s="63" t="s">
        <v>4115</v>
      </c>
      <c r="C41" s="68" t="s">
        <v>26</v>
      </c>
      <c r="D41" s="68" t="s">
        <v>3967</v>
      </c>
      <c r="E41" s="68" t="s">
        <v>3968</v>
      </c>
      <c r="F41" s="132">
        <v>46023</v>
      </c>
      <c r="G41" s="133">
        <v>150000</v>
      </c>
      <c r="H41" s="134">
        <v>150000</v>
      </c>
      <c r="I41" s="67" t="s">
        <v>3897</v>
      </c>
    </row>
    <row r="42" spans="1:9" ht="50.1" customHeight="1">
      <c r="A42" s="126" t="s">
        <v>17</v>
      </c>
      <c r="B42" s="63" t="s">
        <v>4115</v>
      </c>
      <c r="C42" s="68" t="s">
        <v>26</v>
      </c>
      <c r="D42" s="68" t="s">
        <v>3969</v>
      </c>
      <c r="E42" s="68" t="s">
        <v>3970</v>
      </c>
      <c r="F42" s="132">
        <v>46023</v>
      </c>
      <c r="G42" s="133">
        <v>400000</v>
      </c>
      <c r="H42" s="134">
        <v>400000</v>
      </c>
      <c r="I42" s="67" t="s">
        <v>3897</v>
      </c>
    </row>
    <row r="43" spans="1:9" ht="50.1" customHeight="1">
      <c r="A43" s="126" t="s">
        <v>17</v>
      </c>
      <c r="B43" s="63" t="s">
        <v>4115</v>
      </c>
      <c r="C43" s="68" t="s">
        <v>26</v>
      </c>
      <c r="D43" s="68" t="s">
        <v>3971</v>
      </c>
      <c r="E43" s="68" t="s">
        <v>3972</v>
      </c>
      <c r="F43" s="132">
        <v>46023</v>
      </c>
      <c r="G43" s="133">
        <v>1348322.11</v>
      </c>
      <c r="H43" s="134">
        <v>1348322.11</v>
      </c>
      <c r="I43" s="67" t="s">
        <v>3897</v>
      </c>
    </row>
    <row r="44" spans="1:9" ht="50.1" customHeight="1">
      <c r="A44" s="126" t="s">
        <v>17</v>
      </c>
      <c r="B44" s="63" t="s">
        <v>4115</v>
      </c>
      <c r="C44" s="63" t="s">
        <v>959</v>
      </c>
      <c r="D44" s="135" t="s">
        <v>3973</v>
      </c>
      <c r="E44" s="63" t="s">
        <v>3974</v>
      </c>
      <c r="F44" s="64">
        <v>46023</v>
      </c>
      <c r="G44" s="65">
        <v>2500000</v>
      </c>
      <c r="H44" s="131">
        <v>2500000</v>
      </c>
      <c r="I44" s="67" t="s">
        <v>3897</v>
      </c>
    </row>
    <row r="45" spans="1:9" ht="50.1" customHeight="1">
      <c r="A45" s="126" t="s">
        <v>17</v>
      </c>
      <c r="B45" s="63" t="s">
        <v>4115</v>
      </c>
      <c r="C45" s="63" t="s">
        <v>959</v>
      </c>
      <c r="D45" s="136" t="s">
        <v>3975</v>
      </c>
      <c r="E45" s="63" t="s">
        <v>3976</v>
      </c>
      <c r="F45" s="64">
        <v>46023</v>
      </c>
      <c r="G45" s="65">
        <v>850000</v>
      </c>
      <c r="H45" s="131">
        <v>850000</v>
      </c>
      <c r="I45" s="67" t="s">
        <v>3897</v>
      </c>
    </row>
    <row r="46" spans="1:9" ht="50.1" customHeight="1">
      <c r="A46" s="126" t="s">
        <v>17</v>
      </c>
      <c r="B46" s="63" t="s">
        <v>4115</v>
      </c>
      <c r="C46" s="63" t="s">
        <v>959</v>
      </c>
      <c r="D46" s="137" t="s">
        <v>3977</v>
      </c>
      <c r="E46" s="63" t="s">
        <v>3978</v>
      </c>
      <c r="F46" s="64">
        <v>46023</v>
      </c>
      <c r="G46" s="65">
        <v>6000000</v>
      </c>
      <c r="H46" s="131">
        <v>6000000</v>
      </c>
      <c r="I46" s="67" t="s">
        <v>3897</v>
      </c>
    </row>
    <row r="47" spans="1:9" ht="50.1" customHeight="1">
      <c r="A47" s="126" t="s">
        <v>17</v>
      </c>
      <c r="B47" s="63" t="s">
        <v>4115</v>
      </c>
      <c r="C47" s="63" t="s">
        <v>959</v>
      </c>
      <c r="D47" s="138" t="s">
        <v>3979</v>
      </c>
      <c r="E47" s="63" t="s">
        <v>3980</v>
      </c>
      <c r="F47" s="64">
        <v>46023</v>
      </c>
      <c r="G47" s="65">
        <v>900000</v>
      </c>
      <c r="H47" s="131">
        <v>900000</v>
      </c>
      <c r="I47" s="67" t="s">
        <v>3897</v>
      </c>
    </row>
    <row r="48" spans="1:9" ht="50.1" customHeight="1">
      <c r="A48" s="126" t="s">
        <v>17</v>
      </c>
      <c r="B48" s="63" t="s">
        <v>4115</v>
      </c>
      <c r="C48" s="63" t="s">
        <v>959</v>
      </c>
      <c r="D48" s="136" t="s">
        <v>3981</v>
      </c>
      <c r="E48" s="63" t="s">
        <v>3982</v>
      </c>
      <c r="F48" s="64">
        <v>46023</v>
      </c>
      <c r="G48" s="65">
        <v>2500000</v>
      </c>
      <c r="H48" s="131">
        <v>2500000</v>
      </c>
      <c r="I48" s="67" t="s">
        <v>3897</v>
      </c>
    </row>
    <row r="49" spans="1:9" ht="50.1" customHeight="1">
      <c r="A49" s="126" t="s">
        <v>17</v>
      </c>
      <c r="B49" s="63" t="s">
        <v>4115</v>
      </c>
      <c r="C49" s="63" t="s">
        <v>959</v>
      </c>
      <c r="D49" s="63" t="s">
        <v>3983</v>
      </c>
      <c r="E49" s="63" t="s">
        <v>3984</v>
      </c>
      <c r="F49" s="64">
        <v>46023</v>
      </c>
      <c r="G49" s="65">
        <v>8000000</v>
      </c>
      <c r="H49" s="131">
        <v>8000000</v>
      </c>
      <c r="I49" s="67" t="s">
        <v>3897</v>
      </c>
    </row>
    <row r="50" spans="1:9" ht="50.1" customHeight="1">
      <c r="A50" s="126" t="s">
        <v>17</v>
      </c>
      <c r="B50" s="63" t="s">
        <v>4115</v>
      </c>
      <c r="C50" s="63" t="s">
        <v>18</v>
      </c>
      <c r="D50" s="63" t="s">
        <v>3985</v>
      </c>
      <c r="E50" s="63" t="s">
        <v>3986</v>
      </c>
      <c r="F50" s="64">
        <v>46023</v>
      </c>
      <c r="G50" s="65">
        <v>2400000</v>
      </c>
      <c r="H50" s="66">
        <v>2400000</v>
      </c>
      <c r="I50" s="67" t="s">
        <v>3897</v>
      </c>
    </row>
    <row r="51" spans="1:9" ht="50.1" customHeight="1">
      <c r="A51" s="126" t="s">
        <v>17</v>
      </c>
      <c r="B51" s="63" t="s">
        <v>4115</v>
      </c>
      <c r="C51" s="63" t="s">
        <v>18</v>
      </c>
      <c r="D51" s="63" t="s">
        <v>3987</v>
      </c>
      <c r="E51" s="63" t="s">
        <v>3988</v>
      </c>
      <c r="F51" s="64">
        <v>46023</v>
      </c>
      <c r="G51" s="65">
        <v>4000000</v>
      </c>
      <c r="H51" s="66">
        <v>4000000</v>
      </c>
      <c r="I51" s="67" t="s">
        <v>3897</v>
      </c>
    </row>
    <row r="52" spans="1:9" ht="50.1" customHeight="1">
      <c r="A52" s="126" t="s">
        <v>17</v>
      </c>
      <c r="B52" s="63" t="s">
        <v>4115</v>
      </c>
      <c r="C52" s="63" t="s">
        <v>18</v>
      </c>
      <c r="D52" s="63" t="s">
        <v>3989</v>
      </c>
      <c r="E52" s="63" t="s">
        <v>3990</v>
      </c>
      <c r="F52" s="64">
        <v>46023</v>
      </c>
      <c r="G52" s="65">
        <v>450000</v>
      </c>
      <c r="H52" s="66">
        <v>450000</v>
      </c>
      <c r="I52" s="67" t="s">
        <v>3897</v>
      </c>
    </row>
    <row r="53" spans="1:9" ht="50.1" customHeight="1">
      <c r="A53" s="126" t="s">
        <v>17</v>
      </c>
      <c r="B53" s="63" t="s">
        <v>4115</v>
      </c>
      <c r="C53" s="63" t="s">
        <v>18</v>
      </c>
      <c r="D53" s="63" t="s">
        <v>3991</v>
      </c>
      <c r="E53" s="63" t="s">
        <v>3992</v>
      </c>
      <c r="F53" s="64">
        <v>46174</v>
      </c>
      <c r="G53" s="65">
        <v>500000</v>
      </c>
      <c r="H53" s="66">
        <v>291666.66666666663</v>
      </c>
      <c r="I53" s="67" t="s">
        <v>3897</v>
      </c>
    </row>
    <row r="54" spans="1:9" ht="50.1" customHeight="1">
      <c r="A54" s="126" t="s">
        <v>17</v>
      </c>
      <c r="B54" s="63" t="s">
        <v>4115</v>
      </c>
      <c r="C54" s="63" t="s">
        <v>18</v>
      </c>
      <c r="D54" s="63" t="s">
        <v>3993</v>
      </c>
      <c r="E54" s="63" t="s">
        <v>3994</v>
      </c>
      <c r="F54" s="64">
        <v>46174</v>
      </c>
      <c r="G54" s="65">
        <v>200000</v>
      </c>
      <c r="H54" s="66">
        <v>116666.66666666667</v>
      </c>
      <c r="I54" s="67" t="s">
        <v>3897</v>
      </c>
    </row>
    <row r="55" spans="1:9" ht="50.1" customHeight="1">
      <c r="A55" s="126" t="s">
        <v>17</v>
      </c>
      <c r="B55" s="63" t="s">
        <v>4115</v>
      </c>
      <c r="C55" s="63" t="s">
        <v>18</v>
      </c>
      <c r="D55" s="63" t="s">
        <v>3995</v>
      </c>
      <c r="E55" s="63" t="s">
        <v>3996</v>
      </c>
      <c r="F55" s="64">
        <v>46023</v>
      </c>
      <c r="G55" s="65">
        <v>500000</v>
      </c>
      <c r="H55" s="66">
        <v>500000</v>
      </c>
      <c r="I55" s="67" t="s">
        <v>3897</v>
      </c>
    </row>
    <row r="56" spans="1:9" ht="50.1" customHeight="1">
      <c r="A56" s="126" t="s">
        <v>17</v>
      </c>
      <c r="B56" s="63" t="s">
        <v>4115</v>
      </c>
      <c r="C56" s="63" t="s">
        <v>18</v>
      </c>
      <c r="D56" s="63" t="s">
        <v>3997</v>
      </c>
      <c r="E56" s="63" t="s">
        <v>3998</v>
      </c>
      <c r="F56" s="64">
        <v>46235</v>
      </c>
      <c r="G56" s="65">
        <v>400000</v>
      </c>
      <c r="H56" s="66">
        <v>166666.66666666669</v>
      </c>
      <c r="I56" s="67" t="s">
        <v>3897</v>
      </c>
    </row>
    <row r="57" spans="1:9" ht="50.1" customHeight="1">
      <c r="A57" s="126" t="s">
        <v>17</v>
      </c>
      <c r="B57" s="63" t="s">
        <v>4115</v>
      </c>
      <c r="C57" s="63" t="s">
        <v>18</v>
      </c>
      <c r="D57" s="63" t="s">
        <v>3999</v>
      </c>
      <c r="E57" s="63" t="s">
        <v>4000</v>
      </c>
      <c r="F57" s="64">
        <v>46235</v>
      </c>
      <c r="G57" s="65">
        <v>12000</v>
      </c>
      <c r="H57" s="66">
        <v>5000</v>
      </c>
      <c r="I57" s="67" t="s">
        <v>3897</v>
      </c>
    </row>
    <row r="58" spans="1:9" ht="50.1" customHeight="1">
      <c r="A58" s="126" t="s">
        <v>17</v>
      </c>
      <c r="B58" s="63" t="s">
        <v>4115</v>
      </c>
      <c r="C58" s="63" t="s">
        <v>18</v>
      </c>
      <c r="D58" s="63" t="s">
        <v>4001</v>
      </c>
      <c r="E58" s="63" t="s">
        <v>4002</v>
      </c>
      <c r="F58" s="64">
        <v>46296</v>
      </c>
      <c r="G58" s="65">
        <v>6449046.5700000003</v>
      </c>
      <c r="H58" s="66">
        <v>1612261.6425000001</v>
      </c>
      <c r="I58" s="67" t="s">
        <v>3897</v>
      </c>
    </row>
    <row r="59" spans="1:9" ht="50.1" customHeight="1">
      <c r="A59" s="126" t="s">
        <v>17</v>
      </c>
      <c r="B59" s="63" t="s">
        <v>4115</v>
      </c>
      <c r="C59" s="63" t="s">
        <v>18</v>
      </c>
      <c r="D59" s="63" t="s">
        <v>4003</v>
      </c>
      <c r="E59" s="63" t="s">
        <v>4004</v>
      </c>
      <c r="F59" s="64">
        <v>46143</v>
      </c>
      <c r="G59" s="65">
        <v>9840</v>
      </c>
      <c r="H59" s="66">
        <v>6560</v>
      </c>
      <c r="I59" s="67" t="s">
        <v>3897</v>
      </c>
    </row>
    <row r="60" spans="1:9" ht="50.1" customHeight="1">
      <c r="A60" s="126" t="s">
        <v>17</v>
      </c>
      <c r="B60" s="63" t="s">
        <v>4115</v>
      </c>
      <c r="C60" s="63" t="s">
        <v>18</v>
      </c>
      <c r="D60" s="63" t="s">
        <v>4005</v>
      </c>
      <c r="E60" s="63" t="s">
        <v>4004</v>
      </c>
      <c r="F60" s="64">
        <v>46204</v>
      </c>
      <c r="G60" s="65">
        <v>11760</v>
      </c>
      <c r="H60" s="66">
        <v>5880</v>
      </c>
      <c r="I60" s="67" t="s">
        <v>3897</v>
      </c>
    </row>
    <row r="61" spans="1:9" ht="50.1" customHeight="1">
      <c r="A61" s="126" t="s">
        <v>17</v>
      </c>
      <c r="B61" s="63" t="s">
        <v>4115</v>
      </c>
      <c r="C61" s="63" t="s">
        <v>18</v>
      </c>
      <c r="D61" s="63" t="s">
        <v>4006</v>
      </c>
      <c r="E61" s="63" t="s">
        <v>4004</v>
      </c>
      <c r="F61" s="64">
        <v>46174</v>
      </c>
      <c r="G61" s="65">
        <v>16200</v>
      </c>
      <c r="H61" s="66">
        <v>9450</v>
      </c>
      <c r="I61" s="67" t="s">
        <v>3897</v>
      </c>
    </row>
    <row r="62" spans="1:9" ht="50.1" customHeight="1">
      <c r="A62" s="126" t="s">
        <v>17</v>
      </c>
      <c r="B62" s="63" t="s">
        <v>4115</v>
      </c>
      <c r="C62" s="63" t="s">
        <v>18</v>
      </c>
      <c r="D62" s="63" t="s">
        <v>4007</v>
      </c>
      <c r="E62" s="63" t="s">
        <v>4008</v>
      </c>
      <c r="F62" s="64">
        <v>46023</v>
      </c>
      <c r="G62" s="65">
        <v>1200000</v>
      </c>
      <c r="H62" s="66">
        <v>1200000</v>
      </c>
      <c r="I62" s="67" t="s">
        <v>3897</v>
      </c>
    </row>
    <row r="63" spans="1:9" ht="50.1" customHeight="1">
      <c r="A63" s="126" t="s">
        <v>17</v>
      </c>
      <c r="B63" s="63" t="s">
        <v>4115</v>
      </c>
      <c r="C63" s="63" t="s">
        <v>18</v>
      </c>
      <c r="D63" s="63" t="s">
        <v>4009</v>
      </c>
      <c r="E63" s="63" t="s">
        <v>4004</v>
      </c>
      <c r="F63" s="64">
        <v>46082</v>
      </c>
      <c r="G63" s="65">
        <v>1000000</v>
      </c>
      <c r="H63" s="66">
        <v>833333.33333333326</v>
      </c>
      <c r="I63" s="67" t="s">
        <v>3897</v>
      </c>
    </row>
    <row r="64" spans="1:9" ht="50.1" customHeight="1">
      <c r="A64" s="126" t="s">
        <v>17</v>
      </c>
      <c r="B64" s="63" t="s">
        <v>4115</v>
      </c>
      <c r="C64" s="63" t="s">
        <v>18</v>
      </c>
      <c r="D64" s="63" t="s">
        <v>4010</v>
      </c>
      <c r="E64" s="63" t="s">
        <v>4004</v>
      </c>
      <c r="F64" s="64">
        <v>46357</v>
      </c>
      <c r="G64" s="65">
        <v>3928450.5</v>
      </c>
      <c r="H64" s="66">
        <v>327370.875</v>
      </c>
      <c r="I64" s="67" t="s">
        <v>3897</v>
      </c>
    </row>
    <row r="65" spans="1:9" ht="50.1" customHeight="1">
      <c r="A65" s="126" t="s">
        <v>17</v>
      </c>
      <c r="B65" s="63" t="s">
        <v>4115</v>
      </c>
      <c r="C65" s="63" t="s">
        <v>4011</v>
      </c>
      <c r="D65" s="63" t="s">
        <v>4012</v>
      </c>
      <c r="E65" s="63" t="s">
        <v>3902</v>
      </c>
      <c r="F65" s="64">
        <v>46023</v>
      </c>
      <c r="G65" s="65">
        <v>3500000</v>
      </c>
      <c r="H65" s="66">
        <v>3500000</v>
      </c>
      <c r="I65" s="67" t="s">
        <v>3897</v>
      </c>
    </row>
    <row r="66" spans="1:9" ht="50.1" customHeight="1">
      <c r="A66" s="126" t="s">
        <v>17</v>
      </c>
      <c r="B66" s="63" t="s">
        <v>4115</v>
      </c>
      <c r="C66" s="63" t="s">
        <v>4013</v>
      </c>
      <c r="D66" s="63" t="s">
        <v>4014</v>
      </c>
      <c r="E66" s="63" t="s">
        <v>3902</v>
      </c>
      <c r="F66" s="64">
        <v>46023</v>
      </c>
      <c r="G66" s="65">
        <v>3500000</v>
      </c>
      <c r="H66" s="66">
        <v>3500000</v>
      </c>
      <c r="I66" s="67" t="s">
        <v>3897</v>
      </c>
    </row>
    <row r="67" spans="1:9" ht="50.1" customHeight="1">
      <c r="A67" s="126" t="s">
        <v>17</v>
      </c>
      <c r="B67" s="63" t="s">
        <v>4115</v>
      </c>
      <c r="C67" s="63" t="s">
        <v>4015</v>
      </c>
      <c r="D67" s="63" t="s">
        <v>4016</v>
      </c>
      <c r="E67" s="63" t="s">
        <v>3896</v>
      </c>
      <c r="F67" s="64">
        <v>46023</v>
      </c>
      <c r="G67" s="65">
        <v>1000000</v>
      </c>
      <c r="H67" s="66">
        <v>1000000</v>
      </c>
      <c r="I67" s="67" t="s">
        <v>3897</v>
      </c>
    </row>
    <row r="68" spans="1:9" ht="50.1" customHeight="1">
      <c r="A68" s="126" t="s">
        <v>17</v>
      </c>
      <c r="B68" s="63" t="s">
        <v>4115</v>
      </c>
      <c r="C68" s="63" t="s">
        <v>4017</v>
      </c>
      <c r="D68" s="63" t="s">
        <v>4018</v>
      </c>
      <c r="E68" s="63" t="s">
        <v>3899</v>
      </c>
      <c r="F68" s="64">
        <v>46023</v>
      </c>
      <c r="G68" s="65">
        <v>1500000</v>
      </c>
      <c r="H68" s="66">
        <v>1500000</v>
      </c>
      <c r="I68" s="67" t="s">
        <v>3897</v>
      </c>
    </row>
    <row r="69" spans="1:9" ht="50.1" customHeight="1">
      <c r="A69" s="126" t="s">
        <v>17</v>
      </c>
      <c r="B69" s="63" t="s">
        <v>4115</v>
      </c>
      <c r="C69" s="63" t="s">
        <v>4019</v>
      </c>
      <c r="D69" s="63" t="s">
        <v>4020</v>
      </c>
      <c r="E69" s="63" t="s">
        <v>3902</v>
      </c>
      <c r="F69" s="64">
        <v>46023</v>
      </c>
      <c r="G69" s="65">
        <v>4000000</v>
      </c>
      <c r="H69" s="66">
        <v>4000000</v>
      </c>
      <c r="I69" s="67" t="s">
        <v>3897</v>
      </c>
    </row>
    <row r="70" spans="1:9" ht="50.1" customHeight="1">
      <c r="A70" s="126" t="s">
        <v>17</v>
      </c>
      <c r="B70" s="63" t="s">
        <v>4115</v>
      </c>
      <c r="C70" s="63" t="s">
        <v>4015</v>
      </c>
      <c r="D70" s="63" t="s">
        <v>3965</v>
      </c>
      <c r="E70" s="63" t="s">
        <v>4021</v>
      </c>
      <c r="F70" s="64">
        <v>46023</v>
      </c>
      <c r="G70" s="65">
        <v>100000</v>
      </c>
      <c r="H70" s="66">
        <v>100000</v>
      </c>
      <c r="I70" s="67" t="s">
        <v>3897</v>
      </c>
    </row>
    <row r="71" spans="1:9" ht="50.1" customHeight="1">
      <c r="A71" s="126" t="s">
        <v>17</v>
      </c>
      <c r="B71" s="63" t="s">
        <v>4115</v>
      </c>
      <c r="C71" s="63" t="s">
        <v>4015</v>
      </c>
      <c r="D71" s="63" t="s">
        <v>4022</v>
      </c>
      <c r="E71" s="63" t="s">
        <v>4023</v>
      </c>
      <c r="F71" s="64">
        <v>46023</v>
      </c>
      <c r="G71" s="65">
        <v>15000</v>
      </c>
      <c r="H71" s="66">
        <v>15000</v>
      </c>
      <c r="I71" s="67" t="s">
        <v>3897</v>
      </c>
    </row>
    <row r="72" spans="1:9" ht="50.1" customHeight="1">
      <c r="A72" s="126" t="s">
        <v>17</v>
      </c>
      <c r="B72" s="63" t="s">
        <v>4115</v>
      </c>
      <c r="C72" s="63" t="s">
        <v>4015</v>
      </c>
      <c r="D72" s="63" t="s">
        <v>4024</v>
      </c>
      <c r="E72" s="63" t="s">
        <v>4025</v>
      </c>
      <c r="F72" s="64">
        <v>46023</v>
      </c>
      <c r="G72" s="65">
        <v>19000</v>
      </c>
      <c r="H72" s="66">
        <v>19000</v>
      </c>
      <c r="I72" s="67" t="s">
        <v>3897</v>
      </c>
    </row>
    <row r="73" spans="1:9" ht="50.1" customHeight="1">
      <c r="A73" s="126" t="s">
        <v>17</v>
      </c>
      <c r="B73" s="63" t="s">
        <v>4115</v>
      </c>
      <c r="C73" s="63" t="s">
        <v>4015</v>
      </c>
      <c r="D73" s="63" t="s">
        <v>4026</v>
      </c>
      <c r="E73" s="63" t="s">
        <v>4027</v>
      </c>
      <c r="F73" s="64">
        <v>46054</v>
      </c>
      <c r="G73" s="65">
        <v>2000000</v>
      </c>
      <c r="H73" s="66">
        <v>1833333.3333333333</v>
      </c>
      <c r="I73" s="67" t="s">
        <v>3897</v>
      </c>
    </row>
    <row r="74" spans="1:9" ht="50.1" customHeight="1">
      <c r="A74" s="126" t="s">
        <v>17</v>
      </c>
      <c r="B74" s="63" t="s">
        <v>4115</v>
      </c>
      <c r="C74" s="63" t="s">
        <v>4015</v>
      </c>
      <c r="D74" s="63" t="s">
        <v>4028</v>
      </c>
      <c r="E74" s="63" t="s">
        <v>4029</v>
      </c>
      <c r="F74" s="64">
        <v>46023</v>
      </c>
      <c r="G74" s="65">
        <v>2000000</v>
      </c>
      <c r="H74" s="66">
        <v>2000000</v>
      </c>
      <c r="I74" s="67" t="s">
        <v>3897</v>
      </c>
    </row>
    <row r="75" spans="1:9" ht="50.1" customHeight="1">
      <c r="A75" s="126" t="s">
        <v>17</v>
      </c>
      <c r="B75" s="63" t="s">
        <v>4115</v>
      </c>
      <c r="C75" s="63" t="s">
        <v>27</v>
      </c>
      <c r="D75" s="63" t="s">
        <v>3453</v>
      </c>
      <c r="E75" s="63" t="s">
        <v>4030</v>
      </c>
      <c r="F75" s="64">
        <v>46023</v>
      </c>
      <c r="G75" s="65">
        <v>4000000</v>
      </c>
      <c r="H75" s="66">
        <v>4000000</v>
      </c>
      <c r="I75" s="67" t="s">
        <v>3897</v>
      </c>
    </row>
    <row r="76" spans="1:9" ht="50.1" customHeight="1">
      <c r="A76" s="126" t="s">
        <v>17</v>
      </c>
      <c r="B76" s="63" t="s">
        <v>4115</v>
      </c>
      <c r="C76" s="63" t="s">
        <v>27</v>
      </c>
      <c r="D76" s="63" t="s">
        <v>3457</v>
      </c>
      <c r="E76" s="63" t="s">
        <v>4030</v>
      </c>
      <c r="F76" s="64">
        <v>46023</v>
      </c>
      <c r="G76" s="65">
        <v>9000000</v>
      </c>
      <c r="H76" s="66">
        <v>9000000</v>
      </c>
      <c r="I76" s="67" t="s">
        <v>3897</v>
      </c>
    </row>
    <row r="77" spans="1:9" ht="50.1" customHeight="1">
      <c r="A77" s="126" t="s">
        <v>17</v>
      </c>
      <c r="B77" s="63" t="s">
        <v>4115</v>
      </c>
      <c r="C77" s="63" t="s">
        <v>27</v>
      </c>
      <c r="D77" s="63" t="s">
        <v>4031</v>
      </c>
      <c r="E77" s="63" t="s">
        <v>4032</v>
      </c>
      <c r="F77" s="64">
        <v>46023</v>
      </c>
      <c r="G77" s="65">
        <v>1000000</v>
      </c>
      <c r="H77" s="66">
        <v>1000000</v>
      </c>
      <c r="I77" s="67" t="s">
        <v>3897</v>
      </c>
    </row>
    <row r="78" spans="1:9" ht="50.1" customHeight="1">
      <c r="A78" s="126" t="s">
        <v>17</v>
      </c>
      <c r="B78" s="63" t="s">
        <v>4115</v>
      </c>
      <c r="C78" s="63" t="s">
        <v>27</v>
      </c>
      <c r="D78" s="63" t="s">
        <v>4033</v>
      </c>
      <c r="E78" s="63" t="s">
        <v>4034</v>
      </c>
      <c r="F78" s="64">
        <v>46023</v>
      </c>
      <c r="G78" s="65">
        <v>200000</v>
      </c>
      <c r="H78" s="66">
        <v>200000</v>
      </c>
      <c r="I78" s="67" t="s">
        <v>3897</v>
      </c>
    </row>
    <row r="79" spans="1:9" ht="50.1" customHeight="1">
      <c r="A79" s="126" t="s">
        <v>17</v>
      </c>
      <c r="B79" s="63" t="s">
        <v>4115</v>
      </c>
      <c r="C79" s="63" t="s">
        <v>27</v>
      </c>
      <c r="D79" s="63" t="s">
        <v>4035</v>
      </c>
      <c r="E79" s="63" t="s">
        <v>4036</v>
      </c>
      <c r="F79" s="64">
        <v>46023</v>
      </c>
      <c r="G79" s="65">
        <v>6000000</v>
      </c>
      <c r="H79" s="66">
        <v>6000000</v>
      </c>
      <c r="I79" s="67" t="s">
        <v>3897</v>
      </c>
    </row>
    <row r="80" spans="1:9" ht="50.1" customHeight="1">
      <c r="A80" s="126" t="s">
        <v>17</v>
      </c>
      <c r="B80" s="63" t="s">
        <v>4115</v>
      </c>
      <c r="C80" s="63" t="s">
        <v>27</v>
      </c>
      <c r="D80" s="63" t="s">
        <v>4037</v>
      </c>
      <c r="E80" s="63" t="s">
        <v>4038</v>
      </c>
      <c r="F80" s="64">
        <v>46023</v>
      </c>
      <c r="G80" s="65">
        <v>3000000</v>
      </c>
      <c r="H80" s="66">
        <v>3000000</v>
      </c>
      <c r="I80" s="67" t="s">
        <v>3897</v>
      </c>
    </row>
    <row r="81" spans="1:9" ht="50.1" customHeight="1">
      <c r="A81" s="126" t="s">
        <v>17</v>
      </c>
      <c r="B81" s="63" t="s">
        <v>4115</v>
      </c>
      <c r="C81" s="63" t="s">
        <v>27</v>
      </c>
      <c r="D81" s="63" t="s">
        <v>4039</v>
      </c>
      <c r="E81" s="63" t="s">
        <v>4040</v>
      </c>
      <c r="F81" s="64">
        <v>46023</v>
      </c>
      <c r="G81" s="65">
        <v>1000000</v>
      </c>
      <c r="H81" s="66">
        <v>1000000</v>
      </c>
      <c r="I81" s="67" t="s">
        <v>3897</v>
      </c>
    </row>
    <row r="82" spans="1:9" ht="50.1" customHeight="1">
      <c r="A82" s="126" t="s">
        <v>17</v>
      </c>
      <c r="B82" s="63" t="s">
        <v>4115</v>
      </c>
      <c r="C82" s="63" t="s">
        <v>27</v>
      </c>
      <c r="D82" s="63" t="s">
        <v>4041</v>
      </c>
      <c r="E82" s="63" t="s">
        <v>4042</v>
      </c>
      <c r="F82" s="64">
        <v>46023</v>
      </c>
      <c r="G82" s="65">
        <v>2000000</v>
      </c>
      <c r="H82" s="66">
        <v>2000000</v>
      </c>
      <c r="I82" s="67" t="s">
        <v>3897</v>
      </c>
    </row>
    <row r="83" spans="1:9" ht="50.1" customHeight="1">
      <c r="A83" s="126" t="s">
        <v>17</v>
      </c>
      <c r="B83" s="63" t="s">
        <v>4115</v>
      </c>
      <c r="C83" s="63" t="s">
        <v>27</v>
      </c>
      <c r="D83" s="63" t="s">
        <v>4043</v>
      </c>
      <c r="E83" s="63" t="s">
        <v>4044</v>
      </c>
      <c r="F83" s="64">
        <v>46023</v>
      </c>
      <c r="G83" s="65">
        <v>20000</v>
      </c>
      <c r="H83" s="66">
        <v>20000</v>
      </c>
      <c r="I83" s="67" t="s">
        <v>3897</v>
      </c>
    </row>
    <row r="84" spans="1:9" ht="50.1" customHeight="1">
      <c r="A84" s="126" t="s">
        <v>17</v>
      </c>
      <c r="B84" s="63" t="s">
        <v>4115</v>
      </c>
      <c r="C84" s="63" t="s">
        <v>25</v>
      </c>
      <c r="D84" s="63" t="s">
        <v>3453</v>
      </c>
      <c r="E84" s="63" t="s">
        <v>4045</v>
      </c>
      <c r="F84" s="64">
        <v>46023</v>
      </c>
      <c r="G84" s="65">
        <v>4200000</v>
      </c>
      <c r="H84" s="66">
        <v>4200000</v>
      </c>
      <c r="I84" s="67" t="s">
        <v>3897</v>
      </c>
    </row>
    <row r="85" spans="1:9" ht="50.1" customHeight="1">
      <c r="A85" s="126" t="s">
        <v>17</v>
      </c>
      <c r="B85" s="63" t="s">
        <v>4115</v>
      </c>
      <c r="C85" s="63" t="s">
        <v>25</v>
      </c>
      <c r="D85" s="63" t="s">
        <v>3457</v>
      </c>
      <c r="E85" s="63" t="s">
        <v>4046</v>
      </c>
      <c r="F85" s="64">
        <v>46023</v>
      </c>
      <c r="G85" s="65">
        <v>9000000</v>
      </c>
      <c r="H85" s="66">
        <v>9000000</v>
      </c>
      <c r="I85" s="67" t="s">
        <v>3897</v>
      </c>
    </row>
    <row r="86" spans="1:9" ht="50.1" customHeight="1">
      <c r="A86" s="126" t="s">
        <v>17</v>
      </c>
      <c r="B86" s="63" t="s">
        <v>4115</v>
      </c>
      <c r="C86" s="63" t="s">
        <v>25</v>
      </c>
      <c r="D86" s="63" t="s">
        <v>4007</v>
      </c>
      <c r="E86" s="63" t="s">
        <v>4047</v>
      </c>
      <c r="F86" s="64">
        <v>46023</v>
      </c>
      <c r="G86" s="65">
        <v>1200000</v>
      </c>
      <c r="H86" s="66">
        <v>1200000</v>
      </c>
      <c r="I86" s="67" t="s">
        <v>3897</v>
      </c>
    </row>
    <row r="87" spans="1:9" ht="50.1" customHeight="1">
      <c r="A87" s="126" t="s">
        <v>17</v>
      </c>
      <c r="B87" s="63" t="s">
        <v>4115</v>
      </c>
      <c r="C87" s="63" t="s">
        <v>25</v>
      </c>
      <c r="D87" s="63" t="s">
        <v>3957</v>
      </c>
      <c r="E87" s="63" t="s">
        <v>4048</v>
      </c>
      <c r="F87" s="64">
        <v>46023</v>
      </c>
      <c r="G87" s="65">
        <v>3000000</v>
      </c>
      <c r="H87" s="66">
        <v>3000000</v>
      </c>
      <c r="I87" s="67" t="s">
        <v>3897</v>
      </c>
    </row>
    <row r="88" spans="1:9" ht="50.1" customHeight="1">
      <c r="A88" s="126" t="s">
        <v>17</v>
      </c>
      <c r="B88" s="63" t="s">
        <v>4115</v>
      </c>
      <c r="C88" s="63" t="s">
        <v>25</v>
      </c>
      <c r="D88" s="63" t="s">
        <v>3895</v>
      </c>
      <c r="E88" s="63" t="s">
        <v>4049</v>
      </c>
      <c r="F88" s="64">
        <v>46023</v>
      </c>
      <c r="G88" s="65">
        <v>1000000</v>
      </c>
      <c r="H88" s="66">
        <v>1000000</v>
      </c>
      <c r="I88" s="67" t="s">
        <v>3897</v>
      </c>
    </row>
    <row r="89" spans="1:9" ht="50.1" customHeight="1">
      <c r="A89" s="126" t="s">
        <v>17</v>
      </c>
      <c r="B89" s="63" t="s">
        <v>4115</v>
      </c>
      <c r="C89" s="63" t="s">
        <v>25</v>
      </c>
      <c r="D89" s="63" t="s">
        <v>3961</v>
      </c>
      <c r="E89" s="63" t="s">
        <v>4050</v>
      </c>
      <c r="F89" s="64">
        <v>46023</v>
      </c>
      <c r="G89" s="65">
        <v>2500000</v>
      </c>
      <c r="H89" s="66">
        <v>2500000</v>
      </c>
      <c r="I89" s="67" t="s">
        <v>3897</v>
      </c>
    </row>
    <row r="90" spans="1:9" ht="50.1" customHeight="1">
      <c r="A90" s="126" t="s">
        <v>17</v>
      </c>
      <c r="B90" s="63" t="s">
        <v>4115</v>
      </c>
      <c r="C90" s="63" t="s">
        <v>25</v>
      </c>
      <c r="D90" s="63" t="s">
        <v>3947</v>
      </c>
      <c r="E90" s="63" t="s">
        <v>4051</v>
      </c>
      <c r="F90" s="64">
        <v>46023</v>
      </c>
      <c r="G90" s="65">
        <v>2000000</v>
      </c>
      <c r="H90" s="66">
        <v>2000000</v>
      </c>
      <c r="I90" s="67" t="s">
        <v>3897</v>
      </c>
    </row>
    <row r="91" spans="1:9" ht="50.1" customHeight="1">
      <c r="A91" s="126" t="s">
        <v>17</v>
      </c>
      <c r="B91" s="63" t="s">
        <v>4115</v>
      </c>
      <c r="C91" s="63" t="s">
        <v>25</v>
      </c>
      <c r="D91" s="63" t="s">
        <v>3965</v>
      </c>
      <c r="E91" s="63" t="s">
        <v>4052</v>
      </c>
      <c r="F91" s="64">
        <v>46023</v>
      </c>
      <c r="G91" s="65">
        <v>900000</v>
      </c>
      <c r="H91" s="66">
        <v>900000</v>
      </c>
      <c r="I91" s="67" t="s">
        <v>3897</v>
      </c>
    </row>
    <row r="92" spans="1:9" ht="50.1" customHeight="1">
      <c r="A92" s="126" t="s">
        <v>17</v>
      </c>
      <c r="B92" s="63" t="s">
        <v>4115</v>
      </c>
      <c r="C92" s="63" t="s">
        <v>25</v>
      </c>
      <c r="D92" s="63" t="s">
        <v>3967</v>
      </c>
      <c r="E92" s="63" t="s">
        <v>4053</v>
      </c>
      <c r="F92" s="64">
        <v>46023</v>
      </c>
      <c r="G92" s="65">
        <v>150000</v>
      </c>
      <c r="H92" s="66">
        <v>150000</v>
      </c>
      <c r="I92" s="67" t="s">
        <v>3897</v>
      </c>
    </row>
    <row r="93" spans="1:9" ht="50.1" customHeight="1">
      <c r="A93" s="126" t="s">
        <v>17</v>
      </c>
      <c r="B93" s="63" t="s">
        <v>4115</v>
      </c>
      <c r="C93" s="63" t="s">
        <v>25</v>
      </c>
      <c r="D93" s="63" t="s">
        <v>4054</v>
      </c>
      <c r="E93" s="63" t="s">
        <v>4045</v>
      </c>
      <c r="F93" s="64">
        <v>46023</v>
      </c>
      <c r="G93" s="65">
        <v>6000000</v>
      </c>
      <c r="H93" s="66">
        <v>6000000</v>
      </c>
      <c r="I93" s="67" t="s">
        <v>3897</v>
      </c>
    </row>
    <row r="94" spans="1:9" ht="50.1" customHeight="1">
      <c r="A94" s="126" t="s">
        <v>17</v>
      </c>
      <c r="B94" s="63" t="s">
        <v>4115</v>
      </c>
      <c r="C94" s="63" t="s">
        <v>25</v>
      </c>
      <c r="D94" s="63" t="s">
        <v>4055</v>
      </c>
      <c r="E94" s="63" t="s">
        <v>4056</v>
      </c>
      <c r="F94" s="64">
        <v>46023</v>
      </c>
      <c r="G94" s="65">
        <v>18000</v>
      </c>
      <c r="H94" s="66">
        <v>18000</v>
      </c>
      <c r="I94" s="67" t="s">
        <v>3897</v>
      </c>
    </row>
    <row r="95" spans="1:9" ht="50.1" customHeight="1">
      <c r="A95" s="126" t="s">
        <v>17</v>
      </c>
      <c r="B95" s="63" t="s">
        <v>4115</v>
      </c>
      <c r="C95" s="63" t="s">
        <v>25</v>
      </c>
      <c r="D95" s="63" t="s">
        <v>4057</v>
      </c>
      <c r="E95" s="63" t="s">
        <v>4056</v>
      </c>
      <c r="F95" s="64">
        <v>46023</v>
      </c>
      <c r="G95" s="65">
        <v>16000</v>
      </c>
      <c r="H95" s="66">
        <v>16000</v>
      </c>
      <c r="I95" s="67" t="s">
        <v>3897</v>
      </c>
    </row>
    <row r="96" spans="1:9" ht="50.1" customHeight="1">
      <c r="A96" s="126" t="s">
        <v>17</v>
      </c>
      <c r="B96" s="63" t="s">
        <v>4115</v>
      </c>
      <c r="C96" s="63" t="s">
        <v>25</v>
      </c>
      <c r="D96" s="63" t="s">
        <v>4058</v>
      </c>
      <c r="E96" s="63" t="s">
        <v>4059</v>
      </c>
      <c r="F96" s="64">
        <v>46023</v>
      </c>
      <c r="G96" s="65">
        <v>10000</v>
      </c>
      <c r="H96" s="66">
        <v>10000</v>
      </c>
      <c r="I96" s="67" t="s">
        <v>3897</v>
      </c>
    </row>
    <row r="97" spans="1:9" ht="50.1" customHeight="1">
      <c r="A97" s="126" t="s">
        <v>17</v>
      </c>
      <c r="B97" s="63" t="s">
        <v>4115</v>
      </c>
      <c r="C97" s="63" t="s">
        <v>4060</v>
      </c>
      <c r="D97" s="63" t="s">
        <v>4061</v>
      </c>
      <c r="E97" s="139" t="s">
        <v>4062</v>
      </c>
      <c r="F97" s="140">
        <v>46023</v>
      </c>
      <c r="G97" s="141">
        <v>780000</v>
      </c>
      <c r="H97" s="142">
        <v>780000</v>
      </c>
      <c r="I97" s="67" t="s">
        <v>3897</v>
      </c>
    </row>
    <row r="98" spans="1:9" ht="50.1" customHeight="1">
      <c r="A98" s="126" t="s">
        <v>17</v>
      </c>
      <c r="B98" s="63" t="s">
        <v>4115</v>
      </c>
      <c r="C98" s="63" t="s">
        <v>4060</v>
      </c>
      <c r="D98" s="63" t="s">
        <v>4063</v>
      </c>
      <c r="E98" s="139" t="s">
        <v>4064</v>
      </c>
      <c r="F98" s="144">
        <v>46023</v>
      </c>
      <c r="G98" s="145">
        <v>11000000</v>
      </c>
      <c r="H98" s="146">
        <v>11000000</v>
      </c>
      <c r="I98" s="67" t="s">
        <v>3897</v>
      </c>
    </row>
    <row r="99" spans="1:9" ht="50.1" customHeight="1">
      <c r="A99" s="126" t="s">
        <v>17</v>
      </c>
      <c r="B99" s="63" t="s">
        <v>4115</v>
      </c>
      <c r="C99" s="63" t="s">
        <v>4060</v>
      </c>
      <c r="D99" s="63" t="s">
        <v>4065</v>
      </c>
      <c r="E99" s="139" t="s">
        <v>4066</v>
      </c>
      <c r="F99" s="144">
        <v>46023</v>
      </c>
      <c r="G99" s="145">
        <v>700000</v>
      </c>
      <c r="H99" s="146">
        <v>700000</v>
      </c>
      <c r="I99" s="67" t="s">
        <v>3897</v>
      </c>
    </row>
    <row r="100" spans="1:9" ht="50.1" customHeight="1">
      <c r="A100" s="126" t="s">
        <v>17</v>
      </c>
      <c r="B100" s="63" t="s">
        <v>4115</v>
      </c>
      <c r="C100" s="63" t="s">
        <v>4060</v>
      </c>
      <c r="D100" s="63" t="s">
        <v>4067</v>
      </c>
      <c r="E100" s="139" t="s">
        <v>4068</v>
      </c>
      <c r="F100" s="144">
        <v>46023</v>
      </c>
      <c r="G100" s="145">
        <v>1500000</v>
      </c>
      <c r="H100" s="146">
        <v>1500000</v>
      </c>
      <c r="I100" s="67" t="s">
        <v>3897</v>
      </c>
    </row>
    <row r="101" spans="1:9" ht="50.1" customHeight="1">
      <c r="A101" s="126" t="s">
        <v>17</v>
      </c>
      <c r="B101" s="63" t="s">
        <v>4115</v>
      </c>
      <c r="C101" s="63" t="s">
        <v>4060</v>
      </c>
      <c r="D101" s="63" t="s">
        <v>4069</v>
      </c>
      <c r="E101" s="139" t="s">
        <v>4070</v>
      </c>
      <c r="F101" s="144">
        <v>46023</v>
      </c>
      <c r="G101" s="145">
        <v>3375000</v>
      </c>
      <c r="H101" s="146">
        <v>3375000</v>
      </c>
      <c r="I101" s="67" t="s">
        <v>3897</v>
      </c>
    </row>
    <row r="102" spans="1:9" ht="50.1" customHeight="1">
      <c r="A102" s="126" t="s">
        <v>17</v>
      </c>
      <c r="B102" s="63" t="s">
        <v>4115</v>
      </c>
      <c r="C102" s="63" t="s">
        <v>4060</v>
      </c>
      <c r="D102" s="63" t="s">
        <v>4071</v>
      </c>
      <c r="E102" s="139" t="s">
        <v>4072</v>
      </c>
      <c r="F102" s="144">
        <v>46023</v>
      </c>
      <c r="G102" s="145">
        <v>5000000</v>
      </c>
      <c r="H102" s="146">
        <v>5000000</v>
      </c>
      <c r="I102" s="67" t="s">
        <v>3897</v>
      </c>
    </row>
    <row r="103" spans="1:9" ht="50.1" customHeight="1">
      <c r="A103" s="126" t="s">
        <v>17</v>
      </c>
      <c r="B103" s="63" t="s">
        <v>4115</v>
      </c>
      <c r="C103" s="63" t="s">
        <v>4060</v>
      </c>
      <c r="D103" s="63" t="s">
        <v>4073</v>
      </c>
      <c r="E103" s="139" t="s">
        <v>4074</v>
      </c>
      <c r="F103" s="144">
        <v>46023</v>
      </c>
      <c r="G103" s="145">
        <v>7800000</v>
      </c>
      <c r="H103" s="146">
        <v>7800000</v>
      </c>
      <c r="I103" s="67" t="s">
        <v>3897</v>
      </c>
    </row>
    <row r="104" spans="1:9" ht="50.1" customHeight="1">
      <c r="A104" s="126" t="s">
        <v>17</v>
      </c>
      <c r="B104" s="63" t="s">
        <v>4115</v>
      </c>
      <c r="C104" s="63" t="s">
        <v>4060</v>
      </c>
      <c r="D104" s="63" t="s">
        <v>4075</v>
      </c>
      <c r="E104" s="139" t="s">
        <v>4076</v>
      </c>
      <c r="F104" s="144">
        <v>46023</v>
      </c>
      <c r="G104" s="145">
        <v>960000</v>
      </c>
      <c r="H104" s="146">
        <v>960000</v>
      </c>
      <c r="I104" s="67" t="s">
        <v>3897</v>
      </c>
    </row>
    <row r="105" spans="1:9" ht="50.1" customHeight="1">
      <c r="A105" s="126" t="s">
        <v>17</v>
      </c>
      <c r="B105" s="63" t="s">
        <v>4115</v>
      </c>
      <c r="C105" s="63" t="s">
        <v>4060</v>
      </c>
      <c r="D105" s="63" t="s">
        <v>4077</v>
      </c>
      <c r="E105" s="139" t="s">
        <v>4078</v>
      </c>
      <c r="F105" s="144">
        <v>46023</v>
      </c>
      <c r="G105" s="145">
        <v>2400000</v>
      </c>
      <c r="H105" s="146">
        <v>2400000</v>
      </c>
      <c r="I105" s="67" t="s">
        <v>3897</v>
      </c>
    </row>
    <row r="106" spans="1:9" ht="50.1" customHeight="1">
      <c r="A106" s="126" t="s">
        <v>17</v>
      </c>
      <c r="B106" s="63" t="s">
        <v>4115</v>
      </c>
      <c r="C106" s="63" t="s">
        <v>4060</v>
      </c>
      <c r="D106" s="63" t="s">
        <v>4079</v>
      </c>
      <c r="E106" s="139" t="s">
        <v>4080</v>
      </c>
      <c r="F106" s="144">
        <v>46023</v>
      </c>
      <c r="G106" s="145">
        <v>24480</v>
      </c>
      <c r="H106" s="146">
        <v>24480</v>
      </c>
      <c r="I106" s="67" t="s">
        <v>3897</v>
      </c>
    </row>
    <row r="107" spans="1:9" ht="50.1" customHeight="1">
      <c r="A107" s="126" t="s">
        <v>17</v>
      </c>
      <c r="B107" s="63" t="s">
        <v>4115</v>
      </c>
      <c r="C107" s="63" t="s">
        <v>4081</v>
      </c>
      <c r="D107" s="63" t="s">
        <v>4082</v>
      </c>
      <c r="E107" s="63" t="s">
        <v>4083</v>
      </c>
      <c r="F107" s="64">
        <v>46023</v>
      </c>
      <c r="G107" s="65">
        <v>3457878.58</v>
      </c>
      <c r="H107" s="66">
        <v>3457878.58</v>
      </c>
      <c r="I107" s="67" t="s">
        <v>3897</v>
      </c>
    </row>
    <row r="108" spans="1:9" ht="50.1" customHeight="1">
      <c r="A108" s="126" t="s">
        <v>17</v>
      </c>
      <c r="B108" s="63" t="s">
        <v>4115</v>
      </c>
      <c r="C108" s="63" t="s">
        <v>4084</v>
      </c>
      <c r="D108" s="63" t="s">
        <v>4085</v>
      </c>
      <c r="E108" s="63" t="s">
        <v>4083</v>
      </c>
      <c r="F108" s="64">
        <v>46023</v>
      </c>
      <c r="G108" s="147">
        <v>3407500</v>
      </c>
      <c r="H108" s="66">
        <v>3407500</v>
      </c>
      <c r="I108" s="67" t="s">
        <v>3897</v>
      </c>
    </row>
    <row r="109" spans="1:9" ht="50.1" customHeight="1">
      <c r="A109" s="126" t="s">
        <v>17</v>
      </c>
      <c r="B109" s="63" t="s">
        <v>4115</v>
      </c>
      <c r="C109" s="63" t="s">
        <v>4086</v>
      </c>
      <c r="D109" s="63" t="s">
        <v>4087</v>
      </c>
      <c r="E109" s="63" t="s">
        <v>4083</v>
      </c>
      <c r="F109" s="64">
        <v>46023</v>
      </c>
      <c r="G109" s="65">
        <v>4500500.5</v>
      </c>
      <c r="H109" s="66">
        <v>4500500.5</v>
      </c>
      <c r="I109" s="67" t="s">
        <v>3897</v>
      </c>
    </row>
    <row r="110" spans="1:9" ht="50.1" customHeight="1">
      <c r="A110" s="126" t="s">
        <v>17</v>
      </c>
      <c r="B110" s="63" t="s">
        <v>4115</v>
      </c>
      <c r="C110" s="63" t="s">
        <v>4088</v>
      </c>
      <c r="D110" s="63" t="s">
        <v>4087</v>
      </c>
      <c r="E110" s="63" t="s">
        <v>4083</v>
      </c>
      <c r="F110" s="64">
        <v>46023</v>
      </c>
      <c r="G110" s="147">
        <v>3730000</v>
      </c>
      <c r="H110" s="66">
        <v>3730000</v>
      </c>
      <c r="I110" s="67" t="s">
        <v>3897</v>
      </c>
    </row>
    <row r="111" spans="1:9" ht="50.1" customHeight="1">
      <c r="A111" s="126" t="s">
        <v>17</v>
      </c>
      <c r="B111" s="63" t="s">
        <v>4115</v>
      </c>
      <c r="C111" s="63" t="s">
        <v>4089</v>
      </c>
      <c r="D111" s="148" t="s">
        <v>4090</v>
      </c>
      <c r="E111" s="63" t="s">
        <v>4083</v>
      </c>
      <c r="F111" s="64">
        <v>46023</v>
      </c>
      <c r="G111" s="65">
        <v>11031917.699999999</v>
      </c>
      <c r="H111" s="66">
        <v>11031917.699999999</v>
      </c>
      <c r="I111" s="67" t="s">
        <v>3897</v>
      </c>
    </row>
    <row r="112" spans="1:9" ht="50.1" customHeight="1">
      <c r="A112" s="126" t="s">
        <v>17</v>
      </c>
      <c r="B112" s="63" t="s">
        <v>4115</v>
      </c>
      <c r="C112" s="63" t="s">
        <v>4089</v>
      </c>
      <c r="D112" s="63" t="s">
        <v>4091</v>
      </c>
      <c r="E112" s="63" t="s">
        <v>4092</v>
      </c>
      <c r="F112" s="64">
        <v>46023</v>
      </c>
      <c r="G112" s="149">
        <v>2999052.3</v>
      </c>
      <c r="H112" s="66">
        <v>2999052.3</v>
      </c>
      <c r="I112" s="67" t="s">
        <v>3897</v>
      </c>
    </row>
    <row r="113" spans="1:9" ht="50.1" customHeight="1">
      <c r="A113" s="126" t="s">
        <v>17</v>
      </c>
      <c r="B113" s="63" t="s">
        <v>4115</v>
      </c>
      <c r="C113" s="63" t="s">
        <v>4093</v>
      </c>
      <c r="D113" s="150" t="s">
        <v>4094</v>
      </c>
      <c r="E113" s="63" t="s">
        <v>3976</v>
      </c>
      <c r="F113" s="64">
        <v>46023</v>
      </c>
      <c r="G113" s="65">
        <v>500000</v>
      </c>
      <c r="H113" s="66">
        <v>500000</v>
      </c>
      <c r="I113" s="67" t="s">
        <v>3897</v>
      </c>
    </row>
    <row r="114" spans="1:9" ht="50.1" customHeight="1">
      <c r="A114" s="126" t="s">
        <v>17</v>
      </c>
      <c r="B114" s="63" t="s">
        <v>4115</v>
      </c>
      <c r="C114" s="63" t="s">
        <v>4093</v>
      </c>
      <c r="D114" s="150" t="s">
        <v>4095</v>
      </c>
      <c r="E114" s="63" t="s">
        <v>4096</v>
      </c>
      <c r="F114" s="64">
        <v>46023</v>
      </c>
      <c r="G114" s="65">
        <v>500000</v>
      </c>
      <c r="H114" s="66">
        <v>500000</v>
      </c>
      <c r="I114" s="67" t="s">
        <v>3897</v>
      </c>
    </row>
    <row r="115" spans="1:9" ht="50.1" customHeight="1">
      <c r="A115" s="126" t="s">
        <v>17</v>
      </c>
      <c r="B115" s="63" t="s">
        <v>4115</v>
      </c>
      <c r="C115" s="63" t="s">
        <v>4093</v>
      </c>
      <c r="D115" s="151" t="s">
        <v>4097</v>
      </c>
      <c r="E115" s="63" t="s">
        <v>4096</v>
      </c>
      <c r="F115" s="64">
        <v>46023</v>
      </c>
      <c r="G115" s="65">
        <v>1500000</v>
      </c>
      <c r="H115" s="66">
        <v>1500000</v>
      </c>
      <c r="I115" s="67" t="s">
        <v>3897</v>
      </c>
    </row>
    <row r="116" spans="1:9" ht="50.1" customHeight="1">
      <c r="A116" s="126" t="s">
        <v>17</v>
      </c>
      <c r="B116" s="63" t="s">
        <v>4115</v>
      </c>
      <c r="C116" s="63" t="s">
        <v>4093</v>
      </c>
      <c r="D116" s="152" t="s">
        <v>4098</v>
      </c>
      <c r="E116" s="63" t="s">
        <v>4096</v>
      </c>
      <c r="F116" s="64">
        <v>46023</v>
      </c>
      <c r="G116" s="65">
        <v>6000000</v>
      </c>
      <c r="H116" s="66">
        <v>6000000</v>
      </c>
      <c r="I116" s="67" t="s">
        <v>3897</v>
      </c>
    </row>
    <row r="117" spans="1:9" ht="50.1" customHeight="1">
      <c r="A117" s="126" t="s">
        <v>17</v>
      </c>
      <c r="B117" s="63" t="s">
        <v>4115</v>
      </c>
      <c r="C117" s="143" t="s">
        <v>4099</v>
      </c>
      <c r="D117" s="143" t="s">
        <v>4100</v>
      </c>
      <c r="E117" s="143" t="s">
        <v>4101</v>
      </c>
      <c r="F117" s="140">
        <v>46327</v>
      </c>
      <c r="G117" s="141">
        <v>10000000</v>
      </c>
      <c r="H117" s="142">
        <v>1666666.6666666667</v>
      </c>
      <c r="I117" s="67" t="s">
        <v>3897</v>
      </c>
    </row>
    <row r="118" spans="1:9" ht="50.1" customHeight="1">
      <c r="A118" s="126" t="s">
        <v>17</v>
      </c>
      <c r="B118" s="63" t="s">
        <v>4115</v>
      </c>
      <c r="C118" s="139" t="s">
        <v>4099</v>
      </c>
      <c r="D118" s="139" t="s">
        <v>4102</v>
      </c>
      <c r="E118" s="139" t="s">
        <v>4103</v>
      </c>
      <c r="F118" s="144">
        <v>46023</v>
      </c>
      <c r="G118" s="145">
        <v>800000</v>
      </c>
      <c r="H118" s="146">
        <v>800000</v>
      </c>
      <c r="I118" s="67" t="s">
        <v>3897</v>
      </c>
    </row>
    <row r="119" spans="1:9" ht="50.1" customHeight="1">
      <c r="A119" s="126" t="s">
        <v>17</v>
      </c>
      <c r="B119" s="63" t="s">
        <v>4115</v>
      </c>
      <c r="C119" s="139" t="s">
        <v>4104</v>
      </c>
      <c r="D119" s="139" t="s">
        <v>4105</v>
      </c>
      <c r="E119" s="139" t="s">
        <v>4106</v>
      </c>
      <c r="F119" s="144">
        <v>46235</v>
      </c>
      <c r="G119" s="145">
        <v>70000</v>
      </c>
      <c r="H119" s="146">
        <v>29166.666666666664</v>
      </c>
      <c r="I119" s="67" t="s">
        <v>3897</v>
      </c>
    </row>
    <row r="120" spans="1:9" ht="50.1" customHeight="1">
      <c r="A120" s="126" t="s">
        <v>17</v>
      </c>
      <c r="B120" s="63" t="s">
        <v>4115</v>
      </c>
      <c r="C120" s="139" t="s">
        <v>4099</v>
      </c>
      <c r="D120" s="139" t="s">
        <v>4107</v>
      </c>
      <c r="E120" s="139" t="s">
        <v>4101</v>
      </c>
      <c r="F120" s="144">
        <v>46082</v>
      </c>
      <c r="G120" s="145">
        <v>5000000</v>
      </c>
      <c r="H120" s="146">
        <v>4166666.666666667</v>
      </c>
      <c r="I120" s="67" t="s">
        <v>3897</v>
      </c>
    </row>
    <row r="121" spans="1:9" ht="50.1" customHeight="1">
      <c r="A121" s="126" t="s">
        <v>17</v>
      </c>
      <c r="B121" s="63" t="s">
        <v>4115</v>
      </c>
      <c r="C121" s="139" t="s">
        <v>4108</v>
      </c>
      <c r="D121" s="139" t="s">
        <v>4109</v>
      </c>
      <c r="E121" s="139" t="s">
        <v>4110</v>
      </c>
      <c r="F121" s="144">
        <v>46174</v>
      </c>
      <c r="G121" s="145">
        <v>5000000</v>
      </c>
      <c r="H121" s="146">
        <v>2916666.666666667</v>
      </c>
      <c r="I121" s="67" t="s">
        <v>3897</v>
      </c>
    </row>
    <row r="122" spans="1:9" ht="50.1" customHeight="1">
      <c r="A122" s="126" t="s">
        <v>17</v>
      </c>
      <c r="B122" s="63" t="s">
        <v>4115</v>
      </c>
      <c r="C122" s="139" t="s">
        <v>4104</v>
      </c>
      <c r="D122" s="139" t="s">
        <v>4111</v>
      </c>
      <c r="E122" s="139" t="s">
        <v>4112</v>
      </c>
      <c r="F122" s="144">
        <v>46174</v>
      </c>
      <c r="G122" s="145">
        <v>8000000</v>
      </c>
      <c r="H122" s="146">
        <v>4666666.666666666</v>
      </c>
      <c r="I122" s="67" t="s">
        <v>3897</v>
      </c>
    </row>
    <row r="123" spans="1:9" ht="50.1" customHeight="1">
      <c r="A123" s="126" t="s">
        <v>17</v>
      </c>
      <c r="B123" s="63" t="s">
        <v>4115</v>
      </c>
      <c r="C123" s="139" t="s">
        <v>1946</v>
      </c>
      <c r="D123" s="139" t="s">
        <v>4113</v>
      </c>
      <c r="E123" s="139" t="s">
        <v>4114</v>
      </c>
      <c r="F123" s="144">
        <v>46174</v>
      </c>
      <c r="G123" s="145">
        <v>2000000</v>
      </c>
      <c r="H123" s="146">
        <v>1166666.6666666665</v>
      </c>
      <c r="I123" s="67" t="s">
        <v>3897</v>
      </c>
    </row>
    <row r="124" spans="1:9" ht="50.1" customHeight="1">
      <c r="A124" s="124" t="s">
        <v>2710</v>
      </c>
      <c r="B124" s="63" t="s">
        <v>4115</v>
      </c>
      <c r="C124" s="91" t="s">
        <v>4116</v>
      </c>
      <c r="D124" s="91" t="s">
        <v>4118</v>
      </c>
      <c r="E124" s="91" t="s">
        <v>4119</v>
      </c>
      <c r="F124" s="92">
        <v>46023</v>
      </c>
      <c r="G124" s="104">
        <f>360000*6</f>
        <v>2160000</v>
      </c>
      <c r="H124" s="105">
        <f t="shared" ref="H124:H129" si="0">G124</f>
        <v>2160000</v>
      </c>
      <c r="I124" s="67" t="s">
        <v>3897</v>
      </c>
    </row>
    <row r="125" spans="1:9" ht="50.1" customHeight="1">
      <c r="A125" s="124" t="s">
        <v>2710</v>
      </c>
      <c r="B125" s="63" t="s">
        <v>4115</v>
      </c>
      <c r="C125" s="91" t="s">
        <v>4116</v>
      </c>
      <c r="D125" s="93" t="s">
        <v>4120</v>
      </c>
      <c r="E125" s="91" t="s">
        <v>4119</v>
      </c>
      <c r="F125" s="94">
        <v>46054</v>
      </c>
      <c r="G125" s="105">
        <f>500000*5</f>
        <v>2500000</v>
      </c>
      <c r="H125" s="105">
        <f t="shared" si="0"/>
        <v>2500000</v>
      </c>
      <c r="I125" s="67" t="s">
        <v>3897</v>
      </c>
    </row>
    <row r="126" spans="1:9" ht="50.1" customHeight="1">
      <c r="A126" s="124" t="s">
        <v>2710</v>
      </c>
      <c r="B126" s="63" t="s">
        <v>4115</v>
      </c>
      <c r="C126" s="91" t="s">
        <v>4116</v>
      </c>
      <c r="D126" s="93" t="s">
        <v>4121</v>
      </c>
      <c r="E126" s="91" t="s">
        <v>4119</v>
      </c>
      <c r="F126" s="94">
        <v>46082</v>
      </c>
      <c r="G126" s="105">
        <f>600000*4</f>
        <v>2400000</v>
      </c>
      <c r="H126" s="105">
        <f t="shared" si="0"/>
        <v>2400000</v>
      </c>
      <c r="I126" s="67" t="s">
        <v>3897</v>
      </c>
    </row>
    <row r="127" spans="1:9" ht="50.1" customHeight="1">
      <c r="A127" s="124" t="s">
        <v>2710</v>
      </c>
      <c r="B127" s="63" t="s">
        <v>4115</v>
      </c>
      <c r="C127" s="91" t="s">
        <v>4116</v>
      </c>
      <c r="D127" s="93" t="s">
        <v>4122</v>
      </c>
      <c r="E127" s="91" t="s">
        <v>4119</v>
      </c>
      <c r="F127" s="94">
        <v>46113</v>
      </c>
      <c r="G127" s="105">
        <f>400000*3</f>
        <v>1200000</v>
      </c>
      <c r="H127" s="105">
        <f t="shared" si="0"/>
        <v>1200000</v>
      </c>
      <c r="I127" s="67" t="s">
        <v>3897</v>
      </c>
    </row>
    <row r="128" spans="1:9" ht="50.1" customHeight="1">
      <c r="A128" s="124" t="s">
        <v>2710</v>
      </c>
      <c r="B128" s="63" t="s">
        <v>4115</v>
      </c>
      <c r="C128" s="91" t="s">
        <v>4116</v>
      </c>
      <c r="D128" s="93" t="s">
        <v>4123</v>
      </c>
      <c r="E128" s="91" t="s">
        <v>4119</v>
      </c>
      <c r="F128" s="94">
        <v>46143</v>
      </c>
      <c r="G128" s="105">
        <f>500000*5</f>
        <v>2500000</v>
      </c>
      <c r="H128" s="105">
        <f t="shared" si="0"/>
        <v>2500000</v>
      </c>
      <c r="I128" s="67" t="s">
        <v>3897</v>
      </c>
    </row>
    <row r="129" spans="1:9" ht="50.1" customHeight="1">
      <c r="A129" s="124" t="s">
        <v>2710</v>
      </c>
      <c r="B129" s="63" t="s">
        <v>4115</v>
      </c>
      <c r="C129" s="91" t="s">
        <v>4116</v>
      </c>
      <c r="D129" s="93" t="s">
        <v>4124</v>
      </c>
      <c r="E129" s="91" t="s">
        <v>4119</v>
      </c>
      <c r="F129" s="94">
        <v>46174</v>
      </c>
      <c r="G129" s="105">
        <f>1200000*6</f>
        <v>7200000</v>
      </c>
      <c r="H129" s="105">
        <f t="shared" si="0"/>
        <v>7200000</v>
      </c>
      <c r="I129" s="67" t="s">
        <v>3897</v>
      </c>
    </row>
    <row r="130" spans="1:9" ht="50.1" customHeight="1">
      <c r="A130" s="124" t="s">
        <v>2710</v>
      </c>
      <c r="B130" s="63" t="s">
        <v>4115</v>
      </c>
      <c r="C130" s="91" t="s">
        <v>4116</v>
      </c>
      <c r="D130" s="93" t="s">
        <v>4125</v>
      </c>
      <c r="E130" s="91" t="s">
        <v>4119</v>
      </c>
      <c r="F130" s="94">
        <v>46204</v>
      </c>
      <c r="G130" s="105">
        <f>400000*4</f>
        <v>1600000</v>
      </c>
      <c r="H130" s="105">
        <f>G130</f>
        <v>1600000</v>
      </c>
      <c r="I130" s="67" t="s">
        <v>3897</v>
      </c>
    </row>
    <row r="131" spans="1:9" ht="50.1" customHeight="1">
      <c r="A131" s="124" t="s">
        <v>2710</v>
      </c>
      <c r="B131" s="63" t="s">
        <v>4115</v>
      </c>
      <c r="C131" s="91" t="s">
        <v>2713</v>
      </c>
      <c r="D131" s="91" t="s">
        <v>4126</v>
      </c>
      <c r="E131" s="91" t="s">
        <v>4127</v>
      </c>
      <c r="F131" s="92">
        <v>46023</v>
      </c>
      <c r="G131" s="154">
        <v>8000000</v>
      </c>
      <c r="H131" s="154">
        <v>8000000</v>
      </c>
      <c r="I131" s="67" t="s">
        <v>3897</v>
      </c>
    </row>
    <row r="132" spans="1:9" ht="50.1" customHeight="1">
      <c r="A132" s="124" t="s">
        <v>2710</v>
      </c>
      <c r="B132" s="63" t="s">
        <v>4115</v>
      </c>
      <c r="C132" s="91" t="s">
        <v>2713</v>
      </c>
      <c r="D132" s="93" t="s">
        <v>4128</v>
      </c>
      <c r="E132" s="91" t="s">
        <v>4127</v>
      </c>
      <c r="F132" s="94">
        <v>46023</v>
      </c>
      <c r="G132" s="155">
        <v>1900000</v>
      </c>
      <c r="H132" s="155">
        <v>1900000</v>
      </c>
      <c r="I132" s="67" t="s">
        <v>3897</v>
      </c>
    </row>
    <row r="133" spans="1:9" ht="50.1" customHeight="1">
      <c r="A133" s="124" t="s">
        <v>2710</v>
      </c>
      <c r="B133" s="63" t="s">
        <v>4115</v>
      </c>
      <c r="C133" s="91" t="s">
        <v>2713</v>
      </c>
      <c r="D133" s="93" t="s">
        <v>4129</v>
      </c>
      <c r="E133" s="91" t="s">
        <v>4127</v>
      </c>
      <c r="F133" s="94">
        <v>46023</v>
      </c>
      <c r="G133" s="155">
        <v>8000000</v>
      </c>
      <c r="H133" s="155">
        <v>8000000</v>
      </c>
      <c r="I133" s="67" t="s">
        <v>3897</v>
      </c>
    </row>
    <row r="134" spans="1:9" ht="50.1" customHeight="1">
      <c r="A134" s="124" t="s">
        <v>2710</v>
      </c>
      <c r="B134" s="63" t="s">
        <v>4115</v>
      </c>
      <c r="C134" s="91" t="s">
        <v>2713</v>
      </c>
      <c r="D134" s="91" t="s">
        <v>4130</v>
      </c>
      <c r="E134" s="91" t="s">
        <v>4131</v>
      </c>
      <c r="F134" s="94">
        <v>46023</v>
      </c>
      <c r="G134" s="155">
        <v>72000000</v>
      </c>
      <c r="H134" s="155">
        <v>72000000</v>
      </c>
      <c r="I134" s="67" t="s">
        <v>3897</v>
      </c>
    </row>
    <row r="135" spans="1:9" ht="50.1" customHeight="1">
      <c r="A135" s="124" t="s">
        <v>2710</v>
      </c>
      <c r="B135" s="63" t="s">
        <v>4115</v>
      </c>
      <c r="C135" s="100" t="s">
        <v>4117</v>
      </c>
      <c r="D135" s="100" t="s">
        <v>4132</v>
      </c>
      <c r="E135" s="100" t="s">
        <v>4133</v>
      </c>
      <c r="F135" s="101">
        <v>46054</v>
      </c>
      <c r="G135" s="156">
        <v>3456989.36</v>
      </c>
      <c r="H135" s="103">
        <v>288082.44666666666</v>
      </c>
      <c r="I135" s="67" t="s">
        <v>3897</v>
      </c>
    </row>
    <row r="136" spans="1:9" ht="50.1" customHeight="1">
      <c r="A136" s="124" t="s">
        <v>2710</v>
      </c>
      <c r="B136" s="63" t="s">
        <v>4115</v>
      </c>
      <c r="C136" s="96" t="s">
        <v>4117</v>
      </c>
      <c r="D136" s="96" t="s">
        <v>4134</v>
      </c>
      <c r="E136" s="96" t="s">
        <v>4135</v>
      </c>
      <c r="F136" s="98">
        <v>46082</v>
      </c>
      <c r="G136" s="157">
        <v>1164623.71</v>
      </c>
      <c r="H136" s="97">
        <v>97051.97583333333</v>
      </c>
      <c r="I136" s="67" t="s">
        <v>3897</v>
      </c>
    </row>
    <row r="137" spans="1:9" ht="50.1" customHeight="1">
      <c r="A137" s="124" t="s">
        <v>2710</v>
      </c>
      <c r="B137" s="63" t="s">
        <v>4115</v>
      </c>
      <c r="C137" s="96" t="s">
        <v>4117</v>
      </c>
      <c r="D137" s="96" t="s">
        <v>4136</v>
      </c>
      <c r="E137" s="96" t="s">
        <v>4137</v>
      </c>
      <c r="F137" s="98">
        <v>46113</v>
      </c>
      <c r="G137" s="157">
        <v>200000</v>
      </c>
      <c r="H137" s="97">
        <v>16666.666666666668</v>
      </c>
      <c r="I137" s="67" t="s">
        <v>3897</v>
      </c>
    </row>
    <row r="138" spans="1:9" ht="50.1" customHeight="1">
      <c r="A138" s="124" t="s">
        <v>2710</v>
      </c>
      <c r="B138" s="63" t="s">
        <v>4115</v>
      </c>
      <c r="C138" s="96" t="s">
        <v>4117</v>
      </c>
      <c r="D138" s="96" t="s">
        <v>4138</v>
      </c>
      <c r="E138" s="96" t="s">
        <v>4139</v>
      </c>
      <c r="F138" s="98">
        <v>46023</v>
      </c>
      <c r="G138" s="157">
        <v>17658179.660000004</v>
      </c>
      <c r="H138" s="97">
        <v>1471514.9716666669</v>
      </c>
      <c r="I138" s="67" t="s">
        <v>3897</v>
      </c>
    </row>
    <row r="139" spans="1:9" ht="50.1" customHeight="1">
      <c r="A139" s="124" t="s">
        <v>2710</v>
      </c>
      <c r="B139" s="63" t="s">
        <v>4115</v>
      </c>
      <c r="C139" s="96" t="s">
        <v>2711</v>
      </c>
      <c r="D139" s="96" t="s">
        <v>4140</v>
      </c>
      <c r="E139" s="96" t="s">
        <v>4141</v>
      </c>
      <c r="F139" s="98">
        <v>46023</v>
      </c>
      <c r="G139" s="157">
        <v>1500000</v>
      </c>
      <c r="H139" s="97">
        <v>1500000</v>
      </c>
      <c r="I139" s="67" t="s">
        <v>3897</v>
      </c>
    </row>
    <row r="140" spans="1:9" ht="50.1" customHeight="1">
      <c r="A140" s="124" t="s">
        <v>2710</v>
      </c>
      <c r="B140" s="63" t="s">
        <v>4115</v>
      </c>
      <c r="C140" s="96" t="s">
        <v>2711</v>
      </c>
      <c r="D140" s="96" t="s">
        <v>4142</v>
      </c>
      <c r="E140" s="96" t="s">
        <v>4143</v>
      </c>
      <c r="F140" s="98">
        <v>46023</v>
      </c>
      <c r="G140" s="157">
        <v>400000</v>
      </c>
      <c r="H140" s="97">
        <v>400000</v>
      </c>
      <c r="I140" s="67" t="s">
        <v>3897</v>
      </c>
    </row>
    <row r="141" spans="1:9" ht="50.1" customHeight="1">
      <c r="A141" s="124" t="s">
        <v>2710</v>
      </c>
      <c r="B141" s="63" t="s">
        <v>4115</v>
      </c>
      <c r="C141" s="96" t="s">
        <v>2711</v>
      </c>
      <c r="D141" s="96" t="s">
        <v>4144</v>
      </c>
      <c r="E141" s="96" t="s">
        <v>4145</v>
      </c>
      <c r="F141" s="98">
        <v>46023</v>
      </c>
      <c r="G141" s="157">
        <v>195000</v>
      </c>
      <c r="H141" s="97">
        <v>195000</v>
      </c>
      <c r="I141" s="67" t="s">
        <v>3897</v>
      </c>
    </row>
    <row r="142" spans="1:9" ht="50.1" customHeight="1">
      <c r="A142" s="124" t="s">
        <v>2710</v>
      </c>
      <c r="B142" s="63" t="s">
        <v>4115</v>
      </c>
      <c r="C142" s="100" t="s">
        <v>2715</v>
      </c>
      <c r="D142" s="100" t="s">
        <v>4146</v>
      </c>
      <c r="E142" s="100" t="s">
        <v>4147</v>
      </c>
      <c r="F142" s="101">
        <v>46082</v>
      </c>
      <c r="G142" s="156">
        <v>180000</v>
      </c>
      <c r="H142" s="103">
        <v>150000</v>
      </c>
      <c r="I142" s="67" t="s">
        <v>3897</v>
      </c>
    </row>
    <row r="143" spans="1:9" ht="50.1" customHeight="1">
      <c r="A143" s="124" t="s">
        <v>2710</v>
      </c>
      <c r="B143" s="63" t="s">
        <v>4115</v>
      </c>
      <c r="C143" s="100" t="s">
        <v>2715</v>
      </c>
      <c r="D143" s="96" t="s">
        <v>4148</v>
      </c>
      <c r="E143" s="96" t="s">
        <v>4149</v>
      </c>
      <c r="F143" s="98">
        <v>46113</v>
      </c>
      <c r="G143" s="157">
        <v>250000</v>
      </c>
      <c r="H143" s="97">
        <v>187500</v>
      </c>
      <c r="I143" s="67" t="s">
        <v>3897</v>
      </c>
    </row>
    <row r="144" spans="1:9" ht="50.1" customHeight="1">
      <c r="A144" s="124" t="s">
        <v>2710</v>
      </c>
      <c r="B144" s="63" t="s">
        <v>4115</v>
      </c>
      <c r="C144" s="100" t="s">
        <v>2715</v>
      </c>
      <c r="D144" s="96" t="s">
        <v>4150</v>
      </c>
      <c r="E144" s="96" t="s">
        <v>4151</v>
      </c>
      <c r="F144" s="98">
        <v>46204</v>
      </c>
      <c r="G144" s="157">
        <v>160000</v>
      </c>
      <c r="H144" s="97">
        <v>80000</v>
      </c>
      <c r="I144" s="67" t="s">
        <v>3897</v>
      </c>
    </row>
    <row r="145" spans="1:9" ht="50.1" customHeight="1">
      <c r="A145" s="124" t="s">
        <v>2710</v>
      </c>
      <c r="B145" s="63" t="s">
        <v>4115</v>
      </c>
      <c r="C145" s="100" t="s">
        <v>2715</v>
      </c>
      <c r="D145" s="96" t="s">
        <v>4152</v>
      </c>
      <c r="E145" s="96" t="s">
        <v>4153</v>
      </c>
      <c r="F145" s="98">
        <v>46054</v>
      </c>
      <c r="G145" s="157">
        <v>320000</v>
      </c>
      <c r="H145" s="97">
        <v>293333.33333333337</v>
      </c>
      <c r="I145" s="67" t="s">
        <v>3897</v>
      </c>
    </row>
    <row r="146" spans="1:9" ht="50.1" customHeight="1">
      <c r="A146" s="124" t="s">
        <v>2710</v>
      </c>
      <c r="B146" s="63" t="s">
        <v>4115</v>
      </c>
      <c r="C146" s="100" t="s">
        <v>2715</v>
      </c>
      <c r="D146" s="96" t="s">
        <v>4154</v>
      </c>
      <c r="E146" s="96" t="s">
        <v>4155</v>
      </c>
      <c r="F146" s="98">
        <v>46143</v>
      </c>
      <c r="G146" s="157">
        <v>400000</v>
      </c>
      <c r="H146" s="97">
        <v>266666.66666666669</v>
      </c>
      <c r="I146" s="67" t="s">
        <v>3897</v>
      </c>
    </row>
    <row r="147" spans="1:9" ht="50.1" customHeight="1">
      <c r="A147" s="124" t="s">
        <v>2710</v>
      </c>
      <c r="B147" s="63" t="s">
        <v>4115</v>
      </c>
      <c r="C147" s="100" t="s">
        <v>2715</v>
      </c>
      <c r="D147" s="96" t="s">
        <v>4156</v>
      </c>
      <c r="E147" s="96" t="s">
        <v>4157</v>
      </c>
      <c r="F147" s="98">
        <v>46054</v>
      </c>
      <c r="G147" s="157">
        <v>350000</v>
      </c>
      <c r="H147" s="97">
        <v>320833.33333333337</v>
      </c>
      <c r="I147" s="67" t="s">
        <v>3897</v>
      </c>
    </row>
    <row r="148" spans="1:9" ht="50.1" customHeight="1">
      <c r="A148" s="124" t="s">
        <v>2710</v>
      </c>
      <c r="B148" s="63" t="s">
        <v>4115</v>
      </c>
      <c r="C148" s="100" t="s">
        <v>2715</v>
      </c>
      <c r="D148" s="96" t="s">
        <v>4158</v>
      </c>
      <c r="E148" s="96" t="s">
        <v>4159</v>
      </c>
      <c r="F148" s="98">
        <v>46204</v>
      </c>
      <c r="G148" s="157">
        <v>300000</v>
      </c>
      <c r="H148" s="97">
        <v>150000</v>
      </c>
      <c r="I148" s="67" t="s">
        <v>3897</v>
      </c>
    </row>
    <row r="149" spans="1:9" ht="50.1" customHeight="1">
      <c r="A149" s="124" t="s">
        <v>2710</v>
      </c>
      <c r="B149" s="63" t="s">
        <v>4115</v>
      </c>
      <c r="C149" s="100" t="s">
        <v>2715</v>
      </c>
      <c r="D149" s="96" t="s">
        <v>4160</v>
      </c>
      <c r="E149" s="96" t="s">
        <v>4161</v>
      </c>
      <c r="F149" s="98">
        <v>46113</v>
      </c>
      <c r="G149" s="157">
        <v>350000</v>
      </c>
      <c r="H149" s="97">
        <v>262500</v>
      </c>
      <c r="I149" s="67" t="s">
        <v>3897</v>
      </c>
    </row>
    <row r="150" spans="1:9" ht="50.1" customHeight="1">
      <c r="A150" s="124" t="s">
        <v>2710</v>
      </c>
      <c r="B150" s="63" t="s">
        <v>4115</v>
      </c>
      <c r="C150" s="96" t="s">
        <v>2715</v>
      </c>
      <c r="D150" s="96" t="s">
        <v>4162</v>
      </c>
      <c r="E150" s="96" t="s">
        <v>4163</v>
      </c>
      <c r="F150" s="98">
        <v>46054</v>
      </c>
      <c r="G150" s="157">
        <v>130000</v>
      </c>
      <c r="H150" s="97">
        <v>119166.66666666667</v>
      </c>
      <c r="I150" s="67" t="s">
        <v>3897</v>
      </c>
    </row>
    <row r="151" spans="1:9" ht="50.1" customHeight="1">
      <c r="A151" s="124" t="s">
        <v>2710</v>
      </c>
      <c r="B151" s="63" t="s">
        <v>4115</v>
      </c>
      <c r="C151" s="96" t="s">
        <v>2715</v>
      </c>
      <c r="D151" s="96" t="s">
        <v>4164</v>
      </c>
      <c r="E151" s="96" t="s">
        <v>4165</v>
      </c>
      <c r="F151" s="98">
        <v>46235</v>
      </c>
      <c r="G151" s="157">
        <v>250000</v>
      </c>
      <c r="H151" s="97">
        <v>104166.66666666666</v>
      </c>
      <c r="I151" s="67" t="s">
        <v>3897</v>
      </c>
    </row>
    <row r="152" spans="1:9" ht="50.1" customHeight="1">
      <c r="A152" s="124" t="s">
        <v>2710</v>
      </c>
      <c r="B152" s="63" t="s">
        <v>4115</v>
      </c>
      <c r="C152" s="96" t="s">
        <v>2715</v>
      </c>
      <c r="D152" s="96" t="s">
        <v>4166</v>
      </c>
      <c r="E152" s="96" t="s">
        <v>4167</v>
      </c>
      <c r="F152" s="98">
        <v>46266</v>
      </c>
      <c r="G152" s="157">
        <v>150000</v>
      </c>
      <c r="H152" s="97">
        <v>50000</v>
      </c>
      <c r="I152" s="67" t="s">
        <v>3897</v>
      </c>
    </row>
    <row r="153" spans="1:9" ht="50.1" customHeight="1">
      <c r="A153" s="124" t="s">
        <v>2710</v>
      </c>
      <c r="B153" s="63" t="s">
        <v>4115</v>
      </c>
      <c r="C153" s="96" t="s">
        <v>2715</v>
      </c>
      <c r="D153" s="96" t="s">
        <v>4168</v>
      </c>
      <c r="E153" s="96" t="s">
        <v>4169</v>
      </c>
      <c r="F153" s="98">
        <v>46054</v>
      </c>
      <c r="G153" s="157">
        <v>100000</v>
      </c>
      <c r="H153" s="97">
        <v>91666.666666666672</v>
      </c>
      <c r="I153" s="67" t="s">
        <v>3897</v>
      </c>
    </row>
    <row r="154" spans="1:9" ht="50.1" customHeight="1">
      <c r="A154" s="124" t="s">
        <v>2900</v>
      </c>
      <c r="B154" s="63" t="s">
        <v>4115</v>
      </c>
      <c r="C154" s="93" t="s">
        <v>2903</v>
      </c>
      <c r="D154" s="93" t="s">
        <v>4171</v>
      </c>
      <c r="E154" s="93" t="s">
        <v>4172</v>
      </c>
      <c r="F154" s="94">
        <v>46054</v>
      </c>
      <c r="G154" s="95">
        <v>200000</v>
      </c>
      <c r="H154" s="105">
        <v>200000</v>
      </c>
      <c r="I154" s="67" t="s">
        <v>3897</v>
      </c>
    </row>
    <row r="155" spans="1:9" ht="50.1" customHeight="1">
      <c r="A155" s="124" t="s">
        <v>2900</v>
      </c>
      <c r="B155" s="63" t="s">
        <v>4115</v>
      </c>
      <c r="C155" s="93" t="s">
        <v>2903</v>
      </c>
      <c r="D155" s="93" t="s">
        <v>4173</v>
      </c>
      <c r="E155" s="93" t="s">
        <v>4174</v>
      </c>
      <c r="F155" s="94">
        <v>46296</v>
      </c>
      <c r="G155" s="95">
        <v>9000</v>
      </c>
      <c r="H155" s="105">
        <v>9000</v>
      </c>
      <c r="I155" s="67" t="s">
        <v>3897</v>
      </c>
    </row>
    <row r="156" spans="1:9" ht="50.1" customHeight="1">
      <c r="A156" s="124" t="s">
        <v>2900</v>
      </c>
      <c r="B156" s="63" t="s">
        <v>4115</v>
      </c>
      <c r="C156" s="117" t="s">
        <v>2916</v>
      </c>
      <c r="D156" s="159" t="s">
        <v>4175</v>
      </c>
      <c r="E156" s="160" t="s">
        <v>4176</v>
      </c>
      <c r="F156" s="121">
        <v>46023</v>
      </c>
      <c r="G156" s="122">
        <v>2500000</v>
      </c>
      <c r="H156" s="123">
        <v>2500000</v>
      </c>
      <c r="I156" s="67" t="s">
        <v>3897</v>
      </c>
    </row>
    <row r="157" spans="1:9" ht="50.1" customHeight="1">
      <c r="A157" s="124" t="s">
        <v>2900</v>
      </c>
      <c r="B157" s="63" t="s">
        <v>4115</v>
      </c>
      <c r="C157" s="117" t="s">
        <v>2916</v>
      </c>
      <c r="D157" s="161" t="s">
        <v>4177</v>
      </c>
      <c r="E157" s="160" t="s">
        <v>4178</v>
      </c>
      <c r="F157" s="121">
        <v>46024</v>
      </c>
      <c r="G157" s="119">
        <v>1500000</v>
      </c>
      <c r="H157" s="105">
        <v>1500000</v>
      </c>
      <c r="I157" s="67" t="s">
        <v>3897</v>
      </c>
    </row>
    <row r="158" spans="1:9" ht="50.1" customHeight="1">
      <c r="A158" s="124" t="s">
        <v>2900</v>
      </c>
      <c r="B158" s="63" t="s">
        <v>4115</v>
      </c>
      <c r="C158" s="117" t="s">
        <v>2916</v>
      </c>
      <c r="D158" s="162" t="s">
        <v>4179</v>
      </c>
      <c r="E158" s="160" t="s">
        <v>4180</v>
      </c>
      <c r="F158" s="121">
        <v>46025</v>
      </c>
      <c r="G158" s="119">
        <v>1000000</v>
      </c>
      <c r="H158" s="105">
        <v>1000000</v>
      </c>
      <c r="I158" s="67" t="s">
        <v>3897</v>
      </c>
    </row>
    <row r="159" spans="1:9" ht="50.1" customHeight="1">
      <c r="A159" s="124" t="s">
        <v>2900</v>
      </c>
      <c r="B159" s="63" t="s">
        <v>4115</v>
      </c>
      <c r="C159" s="158" t="s">
        <v>2916</v>
      </c>
      <c r="D159" s="163" t="s">
        <v>4181</v>
      </c>
      <c r="E159" s="164" t="s">
        <v>4182</v>
      </c>
      <c r="F159" s="118">
        <v>46023</v>
      </c>
      <c r="G159" s="119">
        <v>250000</v>
      </c>
      <c r="H159" s="105">
        <v>250000</v>
      </c>
      <c r="I159" s="67" t="s">
        <v>3897</v>
      </c>
    </row>
    <row r="160" spans="1:9" ht="50.1" customHeight="1">
      <c r="A160" s="124" t="s">
        <v>2900</v>
      </c>
      <c r="B160" s="63" t="s">
        <v>4115</v>
      </c>
      <c r="C160" s="117" t="s">
        <v>2916</v>
      </c>
      <c r="D160" s="120" t="s">
        <v>4183</v>
      </c>
      <c r="E160" s="117" t="s">
        <v>4184</v>
      </c>
      <c r="F160" s="118">
        <v>46204</v>
      </c>
      <c r="G160" s="119">
        <v>25000</v>
      </c>
      <c r="H160" s="105">
        <v>25000</v>
      </c>
      <c r="I160" s="67" t="s">
        <v>3897</v>
      </c>
    </row>
    <row r="161" spans="1:9" ht="50.1" customHeight="1">
      <c r="A161" s="124" t="s">
        <v>2900</v>
      </c>
      <c r="B161" s="63" t="s">
        <v>4115</v>
      </c>
      <c r="C161" s="96" t="s">
        <v>2916</v>
      </c>
      <c r="D161" s="96" t="s">
        <v>4185</v>
      </c>
      <c r="E161" s="96" t="s">
        <v>4186</v>
      </c>
      <c r="F161" s="98">
        <v>46023</v>
      </c>
      <c r="G161" s="99">
        <v>2400000</v>
      </c>
      <c r="H161" s="97">
        <v>2400000</v>
      </c>
      <c r="I161" s="67" t="s">
        <v>3897</v>
      </c>
    </row>
    <row r="162" spans="1:9" ht="50.1" customHeight="1">
      <c r="A162" s="124" t="s">
        <v>2900</v>
      </c>
      <c r="B162" s="63" t="s">
        <v>4115</v>
      </c>
      <c r="C162" s="96" t="s">
        <v>2906</v>
      </c>
      <c r="D162" s="96" t="s">
        <v>4187</v>
      </c>
      <c r="E162" s="96" t="s">
        <v>4188</v>
      </c>
      <c r="F162" s="98">
        <v>46174</v>
      </c>
      <c r="G162" s="99">
        <v>55000</v>
      </c>
      <c r="H162" s="97">
        <v>55000</v>
      </c>
      <c r="I162" s="67" t="s">
        <v>3897</v>
      </c>
    </row>
    <row r="163" spans="1:9" ht="50.1" customHeight="1">
      <c r="A163" s="124" t="s">
        <v>2900</v>
      </c>
      <c r="B163" s="63" t="s">
        <v>4115</v>
      </c>
      <c r="C163" s="96" t="s">
        <v>2906</v>
      </c>
      <c r="D163" s="96" t="s">
        <v>4189</v>
      </c>
      <c r="E163" s="96" t="s">
        <v>4190</v>
      </c>
      <c r="F163" s="98">
        <v>46023</v>
      </c>
      <c r="G163" s="99">
        <v>300000</v>
      </c>
      <c r="H163" s="97">
        <v>300000</v>
      </c>
      <c r="I163" s="67" t="s">
        <v>3897</v>
      </c>
    </row>
    <row r="164" spans="1:9" ht="50.1" customHeight="1">
      <c r="A164" s="124" t="s">
        <v>2900</v>
      </c>
      <c r="B164" s="63" t="s">
        <v>4115</v>
      </c>
      <c r="C164" s="96" t="s">
        <v>2906</v>
      </c>
      <c r="D164" s="96" t="s">
        <v>4191</v>
      </c>
      <c r="E164" s="96" t="s">
        <v>4192</v>
      </c>
      <c r="F164" s="98">
        <v>46174</v>
      </c>
      <c r="G164" s="99">
        <v>30000</v>
      </c>
      <c r="H164" s="97">
        <v>30000</v>
      </c>
      <c r="I164" s="67" t="s">
        <v>3897</v>
      </c>
    </row>
    <row r="165" spans="1:9" ht="50.1" customHeight="1">
      <c r="A165" s="124" t="s">
        <v>2900</v>
      </c>
      <c r="B165" s="63" t="s">
        <v>4115</v>
      </c>
      <c r="C165" s="96" t="s">
        <v>2906</v>
      </c>
      <c r="D165" s="96" t="s">
        <v>4193</v>
      </c>
      <c r="E165" s="96" t="s">
        <v>4194</v>
      </c>
      <c r="F165" s="98">
        <v>46054</v>
      </c>
      <c r="G165" s="99">
        <v>7000000</v>
      </c>
      <c r="H165" s="97">
        <v>7000000</v>
      </c>
      <c r="I165" s="67" t="s">
        <v>3897</v>
      </c>
    </row>
    <row r="166" spans="1:9" ht="50.1" customHeight="1">
      <c r="A166" s="124" t="s">
        <v>2900</v>
      </c>
      <c r="B166" s="63" t="s">
        <v>4115</v>
      </c>
      <c r="C166" s="96" t="s">
        <v>2906</v>
      </c>
      <c r="D166" s="96" t="s">
        <v>4195</v>
      </c>
      <c r="E166" s="96" t="s">
        <v>4196</v>
      </c>
      <c r="F166" s="98">
        <v>46023</v>
      </c>
      <c r="G166" s="99">
        <v>150000</v>
      </c>
      <c r="H166" s="97">
        <v>150000</v>
      </c>
      <c r="I166" s="67" t="s">
        <v>3897</v>
      </c>
    </row>
    <row r="167" spans="1:9" ht="50.1" customHeight="1">
      <c r="A167" s="124" t="s">
        <v>2900</v>
      </c>
      <c r="B167" s="63" t="s">
        <v>4115</v>
      </c>
      <c r="C167" s="96" t="s">
        <v>2906</v>
      </c>
      <c r="D167" s="96" t="s">
        <v>4197</v>
      </c>
      <c r="E167" s="96" t="s">
        <v>4198</v>
      </c>
      <c r="F167" s="98">
        <v>46023</v>
      </c>
      <c r="G167" s="99">
        <v>1800000</v>
      </c>
      <c r="H167" s="97">
        <v>1800000</v>
      </c>
      <c r="I167" s="67" t="s">
        <v>3897</v>
      </c>
    </row>
    <row r="168" spans="1:9" ht="50.1" customHeight="1">
      <c r="A168" s="124" t="s">
        <v>2900</v>
      </c>
      <c r="B168" s="63" t="s">
        <v>4115</v>
      </c>
      <c r="C168" s="100" t="s">
        <v>4170</v>
      </c>
      <c r="D168" s="100" t="s">
        <v>4199</v>
      </c>
      <c r="E168" s="100" t="s">
        <v>4200</v>
      </c>
      <c r="F168" s="101">
        <v>46023</v>
      </c>
      <c r="G168" s="102">
        <v>116000</v>
      </c>
      <c r="H168" s="103">
        <v>116000</v>
      </c>
      <c r="I168" s="67" t="s">
        <v>3897</v>
      </c>
    </row>
    <row r="169" spans="1:9" ht="50.1" customHeight="1">
      <c r="A169" s="124" t="s">
        <v>2900</v>
      </c>
      <c r="B169" s="63" t="s">
        <v>4115</v>
      </c>
      <c r="C169" s="96" t="s">
        <v>4170</v>
      </c>
      <c r="D169" s="96" t="s">
        <v>4201</v>
      </c>
      <c r="E169" s="96" t="s">
        <v>4202</v>
      </c>
      <c r="F169" s="98">
        <v>46023</v>
      </c>
      <c r="G169" s="99">
        <v>5760</v>
      </c>
      <c r="H169" s="97">
        <v>5760</v>
      </c>
      <c r="I169" s="67" t="s">
        <v>3897</v>
      </c>
    </row>
    <row r="170" spans="1:9" ht="50.1" customHeight="1">
      <c r="A170" s="124" t="s">
        <v>3077</v>
      </c>
      <c r="B170" s="63" t="s">
        <v>4115</v>
      </c>
      <c r="C170" s="165" t="s">
        <v>3880</v>
      </c>
      <c r="D170" s="166" t="s">
        <v>4203</v>
      </c>
      <c r="E170" s="166" t="s">
        <v>4204</v>
      </c>
      <c r="F170" s="167">
        <v>46023</v>
      </c>
      <c r="G170" s="168">
        <v>315000</v>
      </c>
      <c r="H170" s="169">
        <v>315000</v>
      </c>
      <c r="I170" s="67" t="s">
        <v>3897</v>
      </c>
    </row>
    <row r="171" spans="1:9" ht="50.1" customHeight="1">
      <c r="A171" s="124" t="s">
        <v>3077</v>
      </c>
      <c r="B171" s="63" t="s">
        <v>4115</v>
      </c>
      <c r="C171" s="170" t="s">
        <v>3881</v>
      </c>
      <c r="D171" s="170" t="s">
        <v>4205</v>
      </c>
      <c r="E171" s="170" t="s">
        <v>4206</v>
      </c>
      <c r="F171" s="171">
        <v>46046</v>
      </c>
      <c r="G171" s="172">
        <v>1028960.4</v>
      </c>
      <c r="H171" s="173">
        <v>1028960.3999999999</v>
      </c>
      <c r="I171" s="67" t="s">
        <v>3897</v>
      </c>
    </row>
    <row r="172" spans="1:9" ht="50.1" customHeight="1">
      <c r="A172" s="124" t="s">
        <v>3077</v>
      </c>
      <c r="B172" s="63" t="s">
        <v>4115</v>
      </c>
      <c r="C172" s="174" t="s">
        <v>3222</v>
      </c>
      <c r="D172" s="175" t="s">
        <v>4207</v>
      </c>
      <c r="E172" s="175" t="s">
        <v>4208</v>
      </c>
      <c r="F172" s="176">
        <v>46023</v>
      </c>
      <c r="G172" s="177">
        <v>778717.06</v>
      </c>
      <c r="H172" s="178">
        <v>778717.06</v>
      </c>
      <c r="I172" s="67" t="s">
        <v>3897</v>
      </c>
    </row>
    <row r="173" spans="1:9" ht="50.1" customHeight="1">
      <c r="A173" s="124" t="s">
        <v>3077</v>
      </c>
      <c r="B173" s="63" t="s">
        <v>4115</v>
      </c>
      <c r="C173" s="174" t="s">
        <v>3222</v>
      </c>
      <c r="D173" s="179" t="s">
        <v>4209</v>
      </c>
      <c r="E173" s="180" t="s">
        <v>4210</v>
      </c>
      <c r="F173" s="176">
        <v>46143</v>
      </c>
      <c r="G173" s="181">
        <v>266648.09000000003</v>
      </c>
      <c r="H173" s="178">
        <v>177765.39333333334</v>
      </c>
      <c r="I173" s="67" t="s">
        <v>3897</v>
      </c>
    </row>
    <row r="174" spans="1:9" ht="50.1" customHeight="1">
      <c r="A174" s="124" t="s">
        <v>3077</v>
      </c>
      <c r="B174" s="63" t="s">
        <v>4115</v>
      </c>
      <c r="C174" s="174" t="s">
        <v>3222</v>
      </c>
      <c r="D174" s="179" t="s">
        <v>4211</v>
      </c>
      <c r="E174" s="180" t="s">
        <v>4212</v>
      </c>
      <c r="F174" s="176">
        <v>46023</v>
      </c>
      <c r="G174" s="181">
        <v>700579.08</v>
      </c>
      <c r="H174" s="178">
        <v>700579.08</v>
      </c>
      <c r="I174" s="67" t="s">
        <v>3897</v>
      </c>
    </row>
    <row r="175" spans="1:9" ht="50.1" customHeight="1">
      <c r="A175" s="124" t="s">
        <v>3077</v>
      </c>
      <c r="B175" s="63" t="s">
        <v>4115</v>
      </c>
      <c r="C175" s="170" t="s">
        <v>3884</v>
      </c>
      <c r="D175" s="170" t="s">
        <v>4213</v>
      </c>
      <c r="E175" s="170" t="s">
        <v>4214</v>
      </c>
      <c r="F175" s="171">
        <v>46082</v>
      </c>
      <c r="G175" s="182">
        <v>115000</v>
      </c>
      <c r="H175" s="173">
        <v>95833.333333333343</v>
      </c>
      <c r="I175" s="67" t="s">
        <v>3897</v>
      </c>
    </row>
    <row r="176" spans="1:9" ht="50.1" customHeight="1">
      <c r="A176" s="124" t="s">
        <v>3077</v>
      </c>
      <c r="B176" s="63" t="s">
        <v>4115</v>
      </c>
      <c r="C176" s="183" t="s">
        <v>3884</v>
      </c>
      <c r="D176" s="183" t="s">
        <v>4215</v>
      </c>
      <c r="E176" s="183" t="s">
        <v>4216</v>
      </c>
      <c r="F176" s="184">
        <v>46204</v>
      </c>
      <c r="G176" s="185">
        <v>280000</v>
      </c>
      <c r="H176" s="186">
        <v>140000</v>
      </c>
      <c r="I176" s="67" t="s">
        <v>3897</v>
      </c>
    </row>
    <row r="177" spans="1:9" ht="50.1" customHeight="1">
      <c r="A177" s="124" t="s">
        <v>3077</v>
      </c>
      <c r="B177" s="63" t="s">
        <v>4115</v>
      </c>
      <c r="C177" s="183" t="s">
        <v>4217</v>
      </c>
      <c r="D177" s="183" t="s">
        <v>4218</v>
      </c>
      <c r="E177" s="183" t="s">
        <v>4219</v>
      </c>
      <c r="F177" s="184">
        <v>46204</v>
      </c>
      <c r="G177" s="185">
        <v>7181199.96</v>
      </c>
      <c r="H177" s="186">
        <v>3590599.9799999995</v>
      </c>
      <c r="I177" s="67" t="s">
        <v>3897</v>
      </c>
    </row>
    <row r="178" spans="1:9" ht="50.1" customHeight="1">
      <c r="A178" s="124" t="s">
        <v>3077</v>
      </c>
      <c r="B178" s="63" t="s">
        <v>4115</v>
      </c>
      <c r="C178" s="170" t="s">
        <v>4220</v>
      </c>
      <c r="D178" s="170" t="s">
        <v>4221</v>
      </c>
      <c r="E178" s="170" t="s">
        <v>4222</v>
      </c>
      <c r="F178" s="171">
        <v>46023</v>
      </c>
      <c r="G178" s="182">
        <v>17496</v>
      </c>
      <c r="H178" s="173">
        <v>17496</v>
      </c>
      <c r="I178" s="67" t="s">
        <v>3897</v>
      </c>
    </row>
    <row r="179" spans="1:9" ht="50.1" customHeight="1">
      <c r="A179" s="124" t="s">
        <v>3077</v>
      </c>
      <c r="B179" s="63" t="s">
        <v>4115</v>
      </c>
      <c r="C179" s="166" t="s">
        <v>3080</v>
      </c>
      <c r="D179" s="166" t="s">
        <v>4223</v>
      </c>
      <c r="E179" s="166" t="s">
        <v>3885</v>
      </c>
      <c r="F179" s="167">
        <v>46023</v>
      </c>
      <c r="G179" s="168">
        <v>58000</v>
      </c>
      <c r="H179" s="169">
        <f>G179</f>
        <v>58000</v>
      </c>
      <c r="I179" s="67" t="s">
        <v>3897</v>
      </c>
    </row>
    <row r="180" spans="1:9" ht="50.1" customHeight="1">
      <c r="A180" s="124" t="s">
        <v>3077</v>
      </c>
      <c r="B180" s="63" t="s">
        <v>4115</v>
      </c>
      <c r="C180" s="166" t="s">
        <v>3080</v>
      </c>
      <c r="D180" s="166" t="s">
        <v>4224</v>
      </c>
      <c r="E180" s="166" t="s">
        <v>3885</v>
      </c>
      <c r="F180" s="167">
        <v>46023</v>
      </c>
      <c r="G180" s="168">
        <v>57000</v>
      </c>
      <c r="H180" s="169">
        <f t="shared" ref="H180:H181" si="1">G180</f>
        <v>57000</v>
      </c>
      <c r="I180" s="67" t="s">
        <v>3897</v>
      </c>
    </row>
    <row r="181" spans="1:9" ht="50.1" customHeight="1">
      <c r="A181" s="124" t="s">
        <v>3077</v>
      </c>
      <c r="B181" s="63" t="s">
        <v>4115</v>
      </c>
      <c r="C181" s="165" t="s">
        <v>3080</v>
      </c>
      <c r="D181" s="166" t="s">
        <v>4225</v>
      </c>
      <c r="E181" s="165" t="s">
        <v>3885</v>
      </c>
      <c r="F181" s="167">
        <v>46174</v>
      </c>
      <c r="G181" s="168">
        <v>521418.72</v>
      </c>
      <c r="H181" s="169">
        <f t="shared" si="1"/>
        <v>521418.72</v>
      </c>
      <c r="I181" s="67" t="s">
        <v>3897</v>
      </c>
    </row>
  </sheetData>
  <autoFilter ref="A1:I1"/>
  <dataValidations count="5">
    <dataValidation type="list" allowBlank="1" showInputMessage="1" showErrorMessage="1" sqref="F124:F130 F170">
      <formula1>#REF!</formula1>
    </dataValidation>
    <dataValidation type="list" allowBlank="1" showInputMessage="1" showErrorMessage="1" sqref="F131:F134">
      <formula1>$L$1:$L$12</formula1>
    </dataValidation>
    <dataValidation type="list" allowBlank="1" showInputMessage="1" showErrorMessage="1" sqref="F154:F155">
      <formula1>$M$1:$M$9</formula1>
    </dataValidation>
    <dataValidation type="list" allowBlank="1" showInputMessage="1" showErrorMessage="1" sqref="F179:F181">
      <formula1>$M$1:$M$12</formula1>
    </dataValidation>
    <dataValidation type="list" allowBlank="1" showErrorMessage="1" sqref="F172:F174">
      <formula1>$L$1:$L$12</formula1>
    </dataValidation>
  </dataValidation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topLeftCell="B1" workbookViewId="0">
      <selection activeCell="H1" sqref="H1"/>
    </sheetView>
  </sheetViews>
  <sheetFormatPr defaultRowHeight="15"/>
  <cols>
    <col min="1" max="1" width="30.7109375" customWidth="1"/>
    <col min="2" max="2" width="35.7109375" customWidth="1"/>
    <col min="3" max="3" width="12.7109375" customWidth="1"/>
    <col min="4" max="4" width="20.7109375" customWidth="1"/>
    <col min="5" max="5" width="15.7109375" customWidth="1"/>
    <col min="6" max="6" width="30.7109375" customWidth="1"/>
    <col min="7" max="7" width="15.7109375" customWidth="1"/>
    <col min="8" max="8" width="30.7109375" customWidth="1"/>
  </cols>
  <sheetData>
    <row r="1" spans="1:8">
      <c r="A1" s="191" t="s">
        <v>0</v>
      </c>
      <c r="B1" s="193" t="s">
        <v>4226</v>
      </c>
      <c r="C1" s="193" t="s">
        <v>4257</v>
      </c>
      <c r="D1" s="191" t="s">
        <v>4309</v>
      </c>
      <c r="E1" s="193" t="s">
        <v>4313</v>
      </c>
      <c r="F1" s="191" t="s">
        <v>4314</v>
      </c>
      <c r="G1" s="193" t="s">
        <v>4345</v>
      </c>
      <c r="H1" s="191" t="s">
        <v>4346</v>
      </c>
    </row>
    <row r="2" spans="1:8">
      <c r="A2" s="192" t="s">
        <v>17</v>
      </c>
      <c r="B2" s="194" t="s">
        <v>4227</v>
      </c>
      <c r="C2" s="194" t="s">
        <v>4258</v>
      </c>
      <c r="D2" s="192" t="s">
        <v>4310</v>
      </c>
      <c r="E2" s="195">
        <v>57120.89</v>
      </c>
      <c r="F2" s="192" t="s">
        <v>4315</v>
      </c>
      <c r="G2" s="195">
        <v>6883.8</v>
      </c>
      <c r="H2" s="192" t="s">
        <v>126</v>
      </c>
    </row>
    <row r="3" spans="1:8">
      <c r="A3" s="192" t="s">
        <v>3259</v>
      </c>
      <c r="B3" s="194" t="s">
        <v>4228</v>
      </c>
      <c r="C3" s="194" t="s">
        <v>4259</v>
      </c>
      <c r="D3" s="192" t="s">
        <v>4310</v>
      </c>
      <c r="E3" s="195">
        <v>67600</v>
      </c>
      <c r="F3" s="192" t="s">
        <v>4316</v>
      </c>
      <c r="G3" s="195">
        <v>3460</v>
      </c>
      <c r="H3" s="192" t="s">
        <v>2405</v>
      </c>
    </row>
    <row r="4" spans="1:8">
      <c r="A4" s="192" t="s">
        <v>17</v>
      </c>
      <c r="B4" s="194" t="s">
        <v>4229</v>
      </c>
      <c r="C4" s="194" t="s">
        <v>4260</v>
      </c>
      <c r="D4" s="192" t="s">
        <v>4310</v>
      </c>
      <c r="E4" s="195">
        <v>384000</v>
      </c>
      <c r="F4" s="192" t="s">
        <v>4317</v>
      </c>
      <c r="G4" s="195">
        <v>384000</v>
      </c>
      <c r="H4" s="192" t="s">
        <v>126</v>
      </c>
    </row>
    <row r="5" spans="1:8">
      <c r="A5" s="192" t="s">
        <v>17</v>
      </c>
      <c r="B5" s="194" t="s">
        <v>4227</v>
      </c>
      <c r="C5" s="194" t="s">
        <v>4261</v>
      </c>
      <c r="D5" s="192" t="s">
        <v>4310</v>
      </c>
      <c r="E5" s="195">
        <v>66675.179999999993</v>
      </c>
      <c r="F5" s="192" t="s">
        <v>4318</v>
      </c>
      <c r="G5" s="195">
        <v>23563.79</v>
      </c>
      <c r="H5" s="192" t="s">
        <v>126</v>
      </c>
    </row>
    <row r="6" spans="1:8">
      <c r="A6" s="192" t="s">
        <v>17</v>
      </c>
      <c r="B6" s="194" t="s">
        <v>4227</v>
      </c>
      <c r="C6" s="194" t="s">
        <v>4262</v>
      </c>
      <c r="D6" s="192" t="s">
        <v>4310</v>
      </c>
      <c r="E6" s="195">
        <v>11308</v>
      </c>
      <c r="F6" s="192" t="s">
        <v>4319</v>
      </c>
      <c r="G6" s="195">
        <v>11308</v>
      </c>
      <c r="H6" s="192" t="s">
        <v>126</v>
      </c>
    </row>
    <row r="7" spans="1:8">
      <c r="A7" s="192" t="s">
        <v>17</v>
      </c>
      <c r="B7" s="194" t="s">
        <v>4230</v>
      </c>
      <c r="C7" s="194" t="s">
        <v>4263</v>
      </c>
      <c r="D7" s="192" t="s">
        <v>4311</v>
      </c>
      <c r="E7" s="195">
        <v>11068147.1</v>
      </c>
      <c r="F7" s="192" t="s">
        <v>111</v>
      </c>
      <c r="G7" s="195">
        <v>41017.5</v>
      </c>
      <c r="H7" s="192"/>
    </row>
    <row r="8" spans="1:8">
      <c r="A8" s="192" t="s">
        <v>17</v>
      </c>
      <c r="B8" s="194" t="s">
        <v>4230</v>
      </c>
      <c r="C8" s="194" t="s">
        <v>4264</v>
      </c>
      <c r="D8" s="192" t="s">
        <v>4311</v>
      </c>
      <c r="E8" s="195">
        <v>622241.38</v>
      </c>
      <c r="F8" s="192" t="s">
        <v>120</v>
      </c>
      <c r="G8" s="195">
        <v>15550</v>
      </c>
      <c r="H8" s="192"/>
    </row>
    <row r="9" spans="1:8">
      <c r="A9" s="192" t="s">
        <v>17</v>
      </c>
      <c r="B9" s="194" t="s">
        <v>4227</v>
      </c>
      <c r="C9" s="194" t="s">
        <v>4265</v>
      </c>
      <c r="D9" s="192" t="s">
        <v>4310</v>
      </c>
      <c r="E9" s="195">
        <v>63179.7</v>
      </c>
      <c r="F9" s="192" t="s">
        <v>2280</v>
      </c>
      <c r="G9" s="195">
        <v>9028.6299999999992</v>
      </c>
      <c r="H9" s="192" t="s">
        <v>126</v>
      </c>
    </row>
    <row r="10" spans="1:8">
      <c r="A10" s="192" t="s">
        <v>17</v>
      </c>
      <c r="B10" s="194" t="s">
        <v>4227</v>
      </c>
      <c r="C10" s="194" t="s">
        <v>4266</v>
      </c>
      <c r="D10" s="192" t="s">
        <v>4310</v>
      </c>
      <c r="E10" s="195">
        <v>11308</v>
      </c>
      <c r="F10" s="192" t="s">
        <v>2289</v>
      </c>
      <c r="G10" s="195">
        <v>11308</v>
      </c>
      <c r="H10" s="192" t="s">
        <v>126</v>
      </c>
    </row>
    <row r="11" spans="1:8">
      <c r="A11" s="192" t="s">
        <v>17</v>
      </c>
      <c r="B11" s="194" t="s">
        <v>4231</v>
      </c>
      <c r="C11" s="194" t="s">
        <v>4267</v>
      </c>
      <c r="D11" s="192" t="s">
        <v>4310</v>
      </c>
      <c r="E11" s="195">
        <v>209809.71</v>
      </c>
      <c r="F11" s="192" t="s">
        <v>4320</v>
      </c>
      <c r="G11" s="195">
        <v>209809.71</v>
      </c>
      <c r="H11" s="192" t="s">
        <v>126</v>
      </c>
    </row>
    <row r="12" spans="1:8">
      <c r="A12" s="192" t="s">
        <v>17</v>
      </c>
      <c r="B12" s="194" t="s">
        <v>4232</v>
      </c>
      <c r="C12" s="194" t="s">
        <v>4268</v>
      </c>
      <c r="D12" s="192" t="s">
        <v>4311</v>
      </c>
      <c r="E12" s="195">
        <v>2724973.16</v>
      </c>
      <c r="F12" s="192" t="s">
        <v>114</v>
      </c>
      <c r="G12" s="195">
        <v>3254.85</v>
      </c>
      <c r="H12" s="192"/>
    </row>
    <row r="13" spans="1:8">
      <c r="A13" s="192" t="s">
        <v>3259</v>
      </c>
      <c r="B13" s="194" t="s">
        <v>4228</v>
      </c>
      <c r="C13" s="194" t="s">
        <v>4269</v>
      </c>
      <c r="D13" s="192" t="s">
        <v>4310</v>
      </c>
      <c r="E13" s="195">
        <v>127124</v>
      </c>
      <c r="F13" s="192" t="s">
        <v>4316</v>
      </c>
      <c r="G13" s="195">
        <v>5400</v>
      </c>
      <c r="H13" s="192" t="s">
        <v>2405</v>
      </c>
    </row>
    <row r="14" spans="1:8">
      <c r="A14" s="192" t="s">
        <v>3259</v>
      </c>
      <c r="B14" s="194" t="s">
        <v>4228</v>
      </c>
      <c r="C14" s="194" t="s">
        <v>3866</v>
      </c>
      <c r="D14" s="192" t="s">
        <v>4312</v>
      </c>
      <c r="E14" s="195">
        <v>334550</v>
      </c>
      <c r="F14" s="192" t="s">
        <v>4316</v>
      </c>
      <c r="G14" s="195"/>
      <c r="H14" s="192" t="s">
        <v>2405</v>
      </c>
    </row>
    <row r="15" spans="1:8">
      <c r="A15" s="192" t="s">
        <v>17</v>
      </c>
      <c r="B15" s="194" t="s">
        <v>4227</v>
      </c>
      <c r="C15" s="194" t="s">
        <v>4270</v>
      </c>
      <c r="D15" s="192" t="s">
        <v>4310</v>
      </c>
      <c r="E15" s="195">
        <v>76742.84</v>
      </c>
      <c r="F15" s="192" t="s">
        <v>4321</v>
      </c>
      <c r="G15" s="195">
        <v>41200.400000000001</v>
      </c>
      <c r="H15" s="192" t="s">
        <v>126</v>
      </c>
    </row>
    <row r="16" spans="1:8">
      <c r="A16" s="192" t="s">
        <v>3077</v>
      </c>
      <c r="B16" s="194" t="s">
        <v>4233</v>
      </c>
      <c r="C16" s="194" t="s">
        <v>4271</v>
      </c>
      <c r="D16" s="192" t="s">
        <v>4310</v>
      </c>
      <c r="E16" s="195">
        <v>17508.5</v>
      </c>
      <c r="F16" s="192" t="s">
        <v>4322</v>
      </c>
      <c r="G16" s="195">
        <v>675</v>
      </c>
      <c r="H16" s="192" t="s">
        <v>239</v>
      </c>
    </row>
    <row r="17" spans="1:8">
      <c r="A17" s="192" t="s">
        <v>17</v>
      </c>
      <c r="B17" s="194" t="s">
        <v>4234</v>
      </c>
      <c r="C17" s="194" t="s">
        <v>4272</v>
      </c>
      <c r="D17" s="192" t="s">
        <v>4311</v>
      </c>
      <c r="E17" s="195">
        <v>627867.25</v>
      </c>
      <c r="F17" s="192" t="s">
        <v>4323</v>
      </c>
      <c r="G17" s="195">
        <v>93524</v>
      </c>
      <c r="H17" s="192" t="s">
        <v>838</v>
      </c>
    </row>
    <row r="18" spans="1:8">
      <c r="A18" s="192" t="s">
        <v>17</v>
      </c>
      <c r="B18" s="194" t="s">
        <v>4230</v>
      </c>
      <c r="C18" s="194" t="s">
        <v>4273</v>
      </c>
      <c r="D18" s="192" t="s">
        <v>4311</v>
      </c>
      <c r="E18" s="195">
        <v>36108000</v>
      </c>
      <c r="F18" s="192" t="s">
        <v>111</v>
      </c>
      <c r="G18" s="195">
        <v>86674.5</v>
      </c>
      <c r="H18" s="192"/>
    </row>
    <row r="19" spans="1:8">
      <c r="A19" s="192" t="s">
        <v>17</v>
      </c>
      <c r="B19" s="194" t="s">
        <v>4230</v>
      </c>
      <c r="C19" s="194" t="s">
        <v>4274</v>
      </c>
      <c r="D19" s="192" t="s">
        <v>4311</v>
      </c>
      <c r="E19" s="195">
        <v>4768785</v>
      </c>
      <c r="F19" s="192" t="s">
        <v>111</v>
      </c>
      <c r="G19" s="195">
        <v>33530</v>
      </c>
      <c r="H19" s="192" t="s">
        <v>52</v>
      </c>
    </row>
    <row r="20" spans="1:8">
      <c r="A20" s="192" t="s">
        <v>17</v>
      </c>
      <c r="B20" s="194" t="s">
        <v>4230</v>
      </c>
      <c r="C20" s="194" t="s">
        <v>4275</v>
      </c>
      <c r="D20" s="192" t="s">
        <v>4311</v>
      </c>
      <c r="E20" s="195">
        <v>2892777.84</v>
      </c>
      <c r="F20" s="192" t="s">
        <v>111</v>
      </c>
      <c r="G20" s="195">
        <v>33112.199999999997</v>
      </c>
      <c r="H20" s="192" t="s">
        <v>52</v>
      </c>
    </row>
    <row r="21" spans="1:8">
      <c r="A21" s="192" t="s">
        <v>17</v>
      </c>
      <c r="B21" s="194" t="s">
        <v>4230</v>
      </c>
      <c r="C21" s="194" t="s">
        <v>4276</v>
      </c>
      <c r="D21" s="192" t="s">
        <v>4311</v>
      </c>
      <c r="E21" s="195">
        <v>4546689.12</v>
      </c>
      <c r="F21" s="192" t="s">
        <v>111</v>
      </c>
      <c r="G21" s="195">
        <v>39184.5</v>
      </c>
      <c r="H21" s="192"/>
    </row>
    <row r="22" spans="1:8">
      <c r="A22" s="192" t="s">
        <v>17</v>
      </c>
      <c r="B22" s="194" t="s">
        <v>4230</v>
      </c>
      <c r="C22" s="194" t="s">
        <v>4277</v>
      </c>
      <c r="D22" s="192" t="s">
        <v>4311</v>
      </c>
      <c r="E22" s="195">
        <v>1785243.24</v>
      </c>
      <c r="F22" s="192" t="s">
        <v>111</v>
      </c>
      <c r="G22" s="195">
        <v>40161.300000000003</v>
      </c>
      <c r="H22" s="192" t="s">
        <v>52</v>
      </c>
    </row>
    <row r="23" spans="1:8">
      <c r="A23" s="192" t="s">
        <v>17</v>
      </c>
      <c r="B23" s="194" t="s">
        <v>4230</v>
      </c>
      <c r="C23" s="194" t="s">
        <v>4278</v>
      </c>
      <c r="D23" s="192" t="s">
        <v>4311</v>
      </c>
      <c r="E23" s="195">
        <v>1299690</v>
      </c>
      <c r="F23" s="192" t="s">
        <v>111</v>
      </c>
      <c r="G23" s="195">
        <v>32287.5</v>
      </c>
      <c r="H23" s="192" t="s">
        <v>52</v>
      </c>
    </row>
    <row r="24" spans="1:8">
      <c r="A24" s="192" t="s">
        <v>17</v>
      </c>
      <c r="B24" s="194" t="s">
        <v>4230</v>
      </c>
      <c r="C24" s="194" t="s">
        <v>4279</v>
      </c>
      <c r="D24" s="192" t="s">
        <v>4311</v>
      </c>
      <c r="E24" s="195">
        <v>1197644.3999999999</v>
      </c>
      <c r="F24" s="192" t="s">
        <v>111</v>
      </c>
      <c r="G24" s="195">
        <v>42402.3</v>
      </c>
      <c r="H24" s="192"/>
    </row>
    <row r="25" spans="1:8">
      <c r="A25" s="192" t="s">
        <v>17</v>
      </c>
      <c r="B25" s="194" t="s">
        <v>4230</v>
      </c>
      <c r="C25" s="194" t="s">
        <v>4280</v>
      </c>
      <c r="D25" s="192" t="s">
        <v>4311</v>
      </c>
      <c r="E25" s="195">
        <v>1166760</v>
      </c>
      <c r="F25" s="192" t="s">
        <v>111</v>
      </c>
      <c r="G25" s="195">
        <v>30380</v>
      </c>
      <c r="H25" s="192"/>
    </row>
    <row r="26" spans="1:8">
      <c r="A26" s="192" t="s">
        <v>17</v>
      </c>
      <c r="B26" s="194" t="s">
        <v>4230</v>
      </c>
      <c r="C26" s="194" t="s">
        <v>4281</v>
      </c>
      <c r="D26" s="192" t="s">
        <v>4311</v>
      </c>
      <c r="E26" s="195">
        <v>6665743.7999999998</v>
      </c>
      <c r="F26" s="192" t="s">
        <v>4324</v>
      </c>
      <c r="G26" s="195">
        <v>31840</v>
      </c>
      <c r="H26" s="192"/>
    </row>
    <row r="27" spans="1:8">
      <c r="A27" s="192" t="s">
        <v>17</v>
      </c>
      <c r="B27" s="194" t="s">
        <v>4230</v>
      </c>
      <c r="C27" s="194" t="s">
        <v>4282</v>
      </c>
      <c r="D27" s="192" t="s">
        <v>4311</v>
      </c>
      <c r="E27" s="195">
        <v>8207589.5999999996</v>
      </c>
      <c r="F27" s="192" t="s">
        <v>4324</v>
      </c>
      <c r="G27" s="195">
        <v>44023</v>
      </c>
      <c r="H27" s="192"/>
    </row>
    <row r="28" spans="1:8">
      <c r="A28" s="192" t="s">
        <v>17</v>
      </c>
      <c r="B28" s="194" t="s">
        <v>4230</v>
      </c>
      <c r="C28" s="194" t="s">
        <v>4283</v>
      </c>
      <c r="D28" s="192" t="s">
        <v>4311</v>
      </c>
      <c r="E28" s="195">
        <v>2740046.4</v>
      </c>
      <c r="F28" s="192" t="s">
        <v>4324</v>
      </c>
      <c r="G28" s="195">
        <v>39426.400000000001</v>
      </c>
      <c r="H28" s="192" t="s">
        <v>118</v>
      </c>
    </row>
    <row r="29" spans="1:8">
      <c r="A29" s="192" t="s">
        <v>3077</v>
      </c>
      <c r="B29" s="194" t="s">
        <v>4235</v>
      </c>
      <c r="C29" s="194" t="s">
        <v>4284</v>
      </c>
      <c r="D29" s="192" t="s">
        <v>4310</v>
      </c>
      <c r="E29" s="195">
        <v>207320</v>
      </c>
      <c r="F29" s="192" t="s">
        <v>4325</v>
      </c>
      <c r="G29" s="195">
        <v>17420</v>
      </c>
      <c r="H29" s="192" t="s">
        <v>126</v>
      </c>
    </row>
    <row r="30" spans="1:8">
      <c r="A30" s="192" t="s">
        <v>3077</v>
      </c>
      <c r="B30" s="194" t="s">
        <v>4236</v>
      </c>
      <c r="C30" s="194" t="s">
        <v>4285</v>
      </c>
      <c r="D30" s="192" t="s">
        <v>4310</v>
      </c>
      <c r="E30" s="195">
        <v>109780</v>
      </c>
      <c r="F30" s="192" t="s">
        <v>4326</v>
      </c>
      <c r="G30" s="195">
        <v>24500</v>
      </c>
      <c r="H30" s="192" t="s">
        <v>4347</v>
      </c>
    </row>
    <row r="31" spans="1:8">
      <c r="A31" s="192" t="s">
        <v>3077</v>
      </c>
      <c r="B31" s="194" t="s">
        <v>4237</v>
      </c>
      <c r="C31" s="194" t="s">
        <v>4286</v>
      </c>
      <c r="D31" s="192" t="s">
        <v>4310</v>
      </c>
      <c r="E31" s="195">
        <v>97488</v>
      </c>
      <c r="F31" s="192" t="s">
        <v>4327</v>
      </c>
      <c r="G31" s="195">
        <v>63224</v>
      </c>
      <c r="H31" s="192" t="s">
        <v>214</v>
      </c>
    </row>
    <row r="32" spans="1:8">
      <c r="A32" s="192" t="s">
        <v>3077</v>
      </c>
      <c r="B32" s="194" t="s">
        <v>4238</v>
      </c>
      <c r="C32" s="194" t="s">
        <v>4287</v>
      </c>
      <c r="D32" s="192" t="s">
        <v>4310</v>
      </c>
      <c r="E32" s="195">
        <v>55999.95</v>
      </c>
      <c r="F32" s="192" t="s">
        <v>211</v>
      </c>
      <c r="G32" s="195">
        <v>55999.95</v>
      </c>
      <c r="H32" s="192" t="s">
        <v>214</v>
      </c>
    </row>
    <row r="33" spans="1:8">
      <c r="A33" s="192" t="s">
        <v>17</v>
      </c>
      <c r="B33" s="194" t="s">
        <v>4227</v>
      </c>
      <c r="C33" s="194" t="s">
        <v>4288</v>
      </c>
      <c r="D33" s="192" t="s">
        <v>4310</v>
      </c>
      <c r="E33" s="195">
        <v>43926.400000000001</v>
      </c>
      <c r="F33" s="192" t="s">
        <v>4328</v>
      </c>
      <c r="G33" s="195">
        <v>9028.6299999999992</v>
      </c>
      <c r="H33" s="192" t="s">
        <v>126</v>
      </c>
    </row>
    <row r="34" spans="1:8">
      <c r="A34" s="192" t="s">
        <v>3077</v>
      </c>
      <c r="B34" s="194" t="s">
        <v>4239</v>
      </c>
      <c r="C34" s="194" t="s">
        <v>4289</v>
      </c>
      <c r="D34" s="192" t="s">
        <v>4310</v>
      </c>
      <c r="E34" s="195">
        <v>84500</v>
      </c>
      <c r="F34" s="192" t="s">
        <v>4329</v>
      </c>
      <c r="G34" s="195">
        <v>25350</v>
      </c>
      <c r="H34" s="192" t="s">
        <v>214</v>
      </c>
    </row>
    <row r="35" spans="1:8">
      <c r="A35" s="192" t="s">
        <v>3077</v>
      </c>
      <c r="B35" s="194" t="s">
        <v>4240</v>
      </c>
      <c r="C35" s="194" t="s">
        <v>4290</v>
      </c>
      <c r="D35" s="192" t="s">
        <v>4310</v>
      </c>
      <c r="E35" s="195">
        <v>171510.5</v>
      </c>
      <c r="F35" s="192" t="s">
        <v>4330</v>
      </c>
      <c r="G35" s="195">
        <v>4002.8</v>
      </c>
      <c r="H35" s="192" t="s">
        <v>214</v>
      </c>
    </row>
    <row r="36" spans="1:8">
      <c r="A36" s="192" t="s">
        <v>3077</v>
      </c>
      <c r="B36" s="194" t="s">
        <v>4241</v>
      </c>
      <c r="C36" s="194" t="s">
        <v>4291</v>
      </c>
      <c r="D36" s="192" t="s">
        <v>4310</v>
      </c>
      <c r="E36" s="195">
        <v>56890</v>
      </c>
      <c r="F36" s="192" t="s">
        <v>4331</v>
      </c>
      <c r="G36" s="195">
        <v>56890</v>
      </c>
      <c r="H36" s="192" t="s">
        <v>214</v>
      </c>
    </row>
    <row r="37" spans="1:8">
      <c r="A37" s="192" t="s">
        <v>3077</v>
      </c>
      <c r="B37" s="194" t="s">
        <v>4242</v>
      </c>
      <c r="C37" s="194" t="s">
        <v>4292</v>
      </c>
      <c r="D37" s="192" t="s">
        <v>4310</v>
      </c>
      <c r="E37" s="195">
        <v>40772.07</v>
      </c>
      <c r="F37" s="192" t="s">
        <v>4332</v>
      </c>
      <c r="G37" s="195">
        <v>5522.04</v>
      </c>
      <c r="H37" s="192" t="s">
        <v>1455</v>
      </c>
    </row>
    <row r="38" spans="1:8">
      <c r="A38" s="192" t="s">
        <v>3077</v>
      </c>
      <c r="B38" s="194" t="s">
        <v>4243</v>
      </c>
      <c r="C38" s="194" t="s">
        <v>4293</v>
      </c>
      <c r="D38" s="192" t="s">
        <v>4310</v>
      </c>
      <c r="E38" s="195">
        <v>5796.22</v>
      </c>
      <c r="F38" s="192" t="s">
        <v>4333</v>
      </c>
      <c r="G38" s="195">
        <v>83</v>
      </c>
      <c r="H38" s="192" t="s">
        <v>58</v>
      </c>
    </row>
    <row r="39" spans="1:8">
      <c r="A39" s="192" t="s">
        <v>3077</v>
      </c>
      <c r="B39" s="194" t="s">
        <v>4238</v>
      </c>
      <c r="C39" s="194" t="s">
        <v>4294</v>
      </c>
      <c r="D39" s="192" t="s">
        <v>4310</v>
      </c>
      <c r="E39" s="195">
        <v>53757.21</v>
      </c>
      <c r="F39" s="192" t="s">
        <v>969</v>
      </c>
      <c r="G39" s="195">
        <v>40784.25</v>
      </c>
      <c r="H39" s="192" t="s">
        <v>1455</v>
      </c>
    </row>
    <row r="40" spans="1:8">
      <c r="A40" s="192" t="s">
        <v>3077</v>
      </c>
      <c r="B40" s="194" t="s">
        <v>4244</v>
      </c>
      <c r="C40" s="194" t="s">
        <v>4295</v>
      </c>
      <c r="D40" s="192" t="s">
        <v>4310</v>
      </c>
      <c r="E40" s="195">
        <v>134445.85999999999</v>
      </c>
      <c r="F40" s="192" t="s">
        <v>4334</v>
      </c>
      <c r="G40" s="195">
        <v>3225</v>
      </c>
      <c r="H40" s="192" t="s">
        <v>214</v>
      </c>
    </row>
    <row r="41" spans="1:8">
      <c r="A41" s="192" t="s">
        <v>3077</v>
      </c>
      <c r="B41" s="194" t="s">
        <v>4245</v>
      </c>
      <c r="C41" s="194" t="s">
        <v>4296</v>
      </c>
      <c r="D41" s="192" t="s">
        <v>4310</v>
      </c>
      <c r="E41" s="195">
        <v>52202.99</v>
      </c>
      <c r="F41" s="192" t="s">
        <v>4335</v>
      </c>
      <c r="G41" s="195">
        <v>15445.61</v>
      </c>
      <c r="H41" s="192" t="s">
        <v>214</v>
      </c>
    </row>
    <row r="42" spans="1:8">
      <c r="A42" s="192" t="s">
        <v>2900</v>
      </c>
      <c r="B42" s="194" t="s">
        <v>4246</v>
      </c>
      <c r="C42" s="194" t="s">
        <v>4297</v>
      </c>
      <c r="D42" s="192" t="s">
        <v>4310</v>
      </c>
      <c r="E42" s="195">
        <v>23040</v>
      </c>
      <c r="F42" s="192" t="s">
        <v>946</v>
      </c>
      <c r="G42" s="195">
        <v>23040</v>
      </c>
      <c r="H42" s="192" t="s">
        <v>1453</v>
      </c>
    </row>
    <row r="43" spans="1:8">
      <c r="A43" s="192" t="s">
        <v>2900</v>
      </c>
      <c r="B43" s="194" t="s">
        <v>4247</v>
      </c>
      <c r="C43" s="194" t="s">
        <v>4298</v>
      </c>
      <c r="D43" s="192" t="s">
        <v>4310</v>
      </c>
      <c r="E43" s="195">
        <v>13050</v>
      </c>
      <c r="F43" s="192" t="s">
        <v>4336</v>
      </c>
      <c r="G43" s="195">
        <v>13050</v>
      </c>
      <c r="H43" s="192" t="s">
        <v>1455</v>
      </c>
    </row>
    <row r="44" spans="1:8">
      <c r="A44" s="192" t="s">
        <v>17</v>
      </c>
      <c r="B44" s="194" t="s">
        <v>4248</v>
      </c>
      <c r="C44" s="194" t="s">
        <v>4299</v>
      </c>
      <c r="D44" s="192" t="s">
        <v>4310</v>
      </c>
      <c r="E44" s="195">
        <v>150666.6</v>
      </c>
      <c r="F44" s="192" t="s">
        <v>4337</v>
      </c>
      <c r="G44" s="195">
        <v>150666.6</v>
      </c>
      <c r="H44" s="192" t="s">
        <v>126</v>
      </c>
    </row>
    <row r="45" spans="1:8">
      <c r="A45" s="192" t="s">
        <v>2900</v>
      </c>
      <c r="B45" s="194" t="s">
        <v>4249</v>
      </c>
      <c r="C45" s="194" t="s">
        <v>4300</v>
      </c>
      <c r="D45" s="192" t="s">
        <v>4310</v>
      </c>
      <c r="E45" s="195">
        <v>223846.5</v>
      </c>
      <c r="F45" s="192" t="s">
        <v>4338</v>
      </c>
      <c r="G45" s="195">
        <v>16562.5</v>
      </c>
      <c r="H45" s="192" t="s">
        <v>1455</v>
      </c>
    </row>
    <row r="46" spans="1:8">
      <c r="A46" s="192" t="s">
        <v>2900</v>
      </c>
      <c r="B46" s="194" t="s">
        <v>4250</v>
      </c>
      <c r="C46" s="194" t="s">
        <v>4301</v>
      </c>
      <c r="D46" s="192" t="s">
        <v>4310</v>
      </c>
      <c r="E46" s="195">
        <v>92417</v>
      </c>
      <c r="F46" s="192" t="s">
        <v>4339</v>
      </c>
      <c r="G46" s="195">
        <v>18980</v>
      </c>
      <c r="H46" s="192" t="s">
        <v>1455</v>
      </c>
    </row>
    <row r="47" spans="1:8">
      <c r="A47" s="192" t="s">
        <v>2900</v>
      </c>
      <c r="B47" s="194" t="s">
        <v>4251</v>
      </c>
      <c r="C47" s="194" t="s">
        <v>4302</v>
      </c>
      <c r="D47" s="192" t="s">
        <v>4310</v>
      </c>
      <c r="E47" s="195">
        <v>3836.58</v>
      </c>
      <c r="F47" s="192" t="s">
        <v>4340</v>
      </c>
      <c r="G47" s="195">
        <v>2082.4</v>
      </c>
      <c r="H47" s="192" t="s">
        <v>170</v>
      </c>
    </row>
    <row r="48" spans="1:8">
      <c r="A48" s="192" t="s">
        <v>17</v>
      </c>
      <c r="B48" s="194" t="s">
        <v>4252</v>
      </c>
      <c r="C48" s="194" t="s">
        <v>4303</v>
      </c>
      <c r="D48" s="192" t="s">
        <v>4310</v>
      </c>
      <c r="E48" s="195">
        <v>47691.98</v>
      </c>
      <c r="F48" s="192" t="s">
        <v>2215</v>
      </c>
      <c r="G48" s="195">
        <v>47691.98</v>
      </c>
      <c r="H48" s="192" t="s">
        <v>126</v>
      </c>
    </row>
    <row r="49" spans="1:8">
      <c r="A49" s="192" t="s">
        <v>17</v>
      </c>
      <c r="B49" s="194" t="s">
        <v>4253</v>
      </c>
      <c r="C49" s="194" t="s">
        <v>4304</v>
      </c>
      <c r="D49" s="192" t="s">
        <v>4310</v>
      </c>
      <c r="E49" s="195">
        <v>38606.449999999997</v>
      </c>
      <c r="F49" s="192" t="s">
        <v>2229</v>
      </c>
      <c r="G49" s="195">
        <v>1825</v>
      </c>
      <c r="H49" s="192" t="s">
        <v>21</v>
      </c>
    </row>
    <row r="50" spans="1:8">
      <c r="A50" s="192" t="s">
        <v>3077</v>
      </c>
      <c r="B50" s="194" t="s">
        <v>4254</v>
      </c>
      <c r="C50" s="194" t="s">
        <v>4305</v>
      </c>
      <c r="D50" s="192" t="s">
        <v>4310</v>
      </c>
      <c r="E50" s="195">
        <v>10000</v>
      </c>
      <c r="F50" s="192" t="s">
        <v>4341</v>
      </c>
      <c r="G50" s="195">
        <v>10000</v>
      </c>
      <c r="H50" s="192" t="s">
        <v>126</v>
      </c>
    </row>
    <row r="51" spans="1:8">
      <c r="A51" s="192" t="s">
        <v>2900</v>
      </c>
      <c r="B51" s="194" t="s">
        <v>4255</v>
      </c>
      <c r="C51" s="194" t="s">
        <v>4306</v>
      </c>
      <c r="D51" s="192" t="s">
        <v>4312</v>
      </c>
      <c r="E51" s="195">
        <v>780</v>
      </c>
      <c r="F51" s="192" t="s">
        <v>4342</v>
      </c>
      <c r="G51" s="195"/>
      <c r="H51" s="192" t="s">
        <v>170</v>
      </c>
    </row>
    <row r="52" spans="1:8">
      <c r="A52" s="192" t="s">
        <v>17</v>
      </c>
      <c r="B52" s="194" t="s">
        <v>4234</v>
      </c>
      <c r="C52" s="194" t="s">
        <v>4307</v>
      </c>
      <c r="D52" s="192" t="s">
        <v>4312</v>
      </c>
      <c r="E52" s="195">
        <v>338400</v>
      </c>
      <c r="F52" s="192" t="s">
        <v>4343</v>
      </c>
      <c r="G52" s="195"/>
      <c r="H52" s="192" t="s">
        <v>838</v>
      </c>
    </row>
    <row r="53" spans="1:8">
      <c r="A53" s="192" t="s">
        <v>3077</v>
      </c>
      <c r="B53" s="194" t="s">
        <v>4256</v>
      </c>
      <c r="C53" s="194" t="s">
        <v>4308</v>
      </c>
      <c r="D53" s="192" t="s">
        <v>4311</v>
      </c>
      <c r="E53" s="195">
        <v>49800</v>
      </c>
      <c r="F53" s="192" t="s">
        <v>4344</v>
      </c>
      <c r="G53" s="195">
        <v>6555</v>
      </c>
      <c r="H53" s="192" t="s">
        <v>1369</v>
      </c>
    </row>
    <row r="54" spans="1:8">
      <c r="A54" s="192"/>
      <c r="B54" s="194"/>
      <c r="C54" s="194"/>
      <c r="D54" s="192"/>
      <c r="E54" s="195"/>
      <c r="F54" s="192"/>
      <c r="G54" s="195"/>
      <c r="H54" s="192"/>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workbookViewId="0">
      <selection activeCell="B2" sqref="B2:B6"/>
    </sheetView>
  </sheetViews>
  <sheetFormatPr defaultRowHeight="15"/>
  <cols>
    <col min="1" max="1" width="12.85546875" customWidth="1"/>
    <col min="2" max="9" width="15.42578125" bestFit="1" customWidth="1"/>
  </cols>
  <sheetData>
    <row r="1" spans="1:14" ht="15.75" thickBot="1">
      <c r="A1" s="196" t="s">
        <v>8</v>
      </c>
      <c r="B1" t="s">
        <v>10</v>
      </c>
      <c r="C1" s="197" t="s">
        <v>4348</v>
      </c>
      <c r="D1" s="197" t="s">
        <v>4349</v>
      </c>
      <c r="E1" s="197" t="s">
        <v>4350</v>
      </c>
      <c r="F1" s="197" t="s">
        <v>4351</v>
      </c>
      <c r="G1" s="197" t="s">
        <v>4352</v>
      </c>
      <c r="H1" s="197" t="s">
        <v>4353</v>
      </c>
      <c r="I1" s="197" t="s">
        <v>4354</v>
      </c>
      <c r="J1" s="197" t="s">
        <v>4355</v>
      </c>
      <c r="K1" s="197" t="s">
        <v>4356</v>
      </c>
      <c r="L1" s="197" t="s">
        <v>4357</v>
      </c>
      <c r="M1" s="197" t="s">
        <v>4358</v>
      </c>
      <c r="N1" s="197" t="s">
        <v>4359</v>
      </c>
    </row>
    <row r="2" spans="1:14" ht="15.75" thickBot="1">
      <c r="A2" s="198" t="s">
        <v>2900</v>
      </c>
      <c r="B2" t="s">
        <v>4381</v>
      </c>
      <c r="C2" s="199">
        <v>54367.82</v>
      </c>
      <c r="D2" s="199">
        <v>227966.31</v>
      </c>
      <c r="E2" s="199">
        <v>129651.1</v>
      </c>
      <c r="F2" s="199">
        <v>99979.78</v>
      </c>
      <c r="G2" s="199">
        <v>1440796.71</v>
      </c>
      <c r="H2" s="199">
        <v>134634.81</v>
      </c>
      <c r="I2" s="200" t="s">
        <v>4360</v>
      </c>
      <c r="J2" s="199">
        <v>91747.11</v>
      </c>
      <c r="K2" s="201"/>
      <c r="L2" s="201"/>
      <c r="M2" s="201"/>
      <c r="N2" s="201"/>
    </row>
    <row r="3" spans="1:14" ht="15.75" thickBot="1">
      <c r="A3" s="198" t="s">
        <v>3077</v>
      </c>
      <c r="B3" t="s">
        <v>4381</v>
      </c>
      <c r="C3" s="199">
        <v>1596362.07</v>
      </c>
      <c r="D3" s="199">
        <v>1753740.16</v>
      </c>
      <c r="E3" s="199">
        <v>1188772.99</v>
      </c>
      <c r="F3" s="199">
        <v>1958967.46</v>
      </c>
      <c r="G3" s="199">
        <v>2347110.31</v>
      </c>
      <c r="H3" s="199">
        <v>2107849.7799999998</v>
      </c>
      <c r="I3" s="199">
        <v>2016517.95</v>
      </c>
      <c r="J3" s="199">
        <v>5678774.2800000003</v>
      </c>
      <c r="K3" s="201"/>
      <c r="L3" s="201"/>
      <c r="M3" s="201"/>
      <c r="N3" s="201"/>
    </row>
    <row r="4" spans="1:14" ht="15.75" thickBot="1">
      <c r="A4" s="198" t="s">
        <v>17</v>
      </c>
      <c r="B4" t="s">
        <v>4381</v>
      </c>
      <c r="C4" s="199">
        <v>7343207.9500000002</v>
      </c>
      <c r="D4" s="199">
        <v>6750114.6799999997</v>
      </c>
      <c r="E4" s="199">
        <v>6008498.6600000001</v>
      </c>
      <c r="F4" s="199">
        <v>12231232.02</v>
      </c>
      <c r="G4" s="199">
        <v>9677409.4499999993</v>
      </c>
      <c r="H4" s="199">
        <v>10040236.529999999</v>
      </c>
      <c r="I4" s="199">
        <v>7238808.79</v>
      </c>
      <c r="J4" s="199">
        <v>12852387.300000001</v>
      </c>
      <c r="K4" s="201"/>
      <c r="L4" s="201"/>
      <c r="M4" s="201"/>
      <c r="N4" s="201"/>
    </row>
    <row r="5" spans="1:14" ht="15.75" thickBot="1">
      <c r="A5" s="198" t="s">
        <v>2710</v>
      </c>
      <c r="B5" t="s">
        <v>4381</v>
      </c>
      <c r="C5" s="199">
        <v>1008674.07</v>
      </c>
      <c r="D5" s="199">
        <v>1498747.49</v>
      </c>
      <c r="E5" s="199">
        <v>4110902.78</v>
      </c>
      <c r="F5" s="199">
        <v>6423174.9800000004</v>
      </c>
      <c r="G5" s="199">
        <v>3001600.32</v>
      </c>
      <c r="H5" s="199">
        <v>3433507.46</v>
      </c>
      <c r="I5" s="199">
        <v>3458082.54</v>
      </c>
      <c r="J5" s="199">
        <v>3640760.78</v>
      </c>
      <c r="K5" s="201"/>
      <c r="L5" s="201"/>
      <c r="M5" s="201"/>
      <c r="N5" s="201"/>
    </row>
    <row r="6" spans="1:14" ht="15.75" thickBot="1">
      <c r="A6" s="198" t="s">
        <v>3259</v>
      </c>
      <c r="B6" t="s">
        <v>4381</v>
      </c>
      <c r="C6" s="199">
        <v>25072.17</v>
      </c>
      <c r="D6" s="199">
        <v>944078.59</v>
      </c>
      <c r="E6" s="199">
        <v>47905.73</v>
      </c>
      <c r="F6" s="199">
        <v>864320.31</v>
      </c>
      <c r="G6" s="199">
        <v>722580.37</v>
      </c>
      <c r="H6" s="199">
        <v>421613.04</v>
      </c>
      <c r="I6" s="199">
        <v>615086.46</v>
      </c>
      <c r="J6" s="199">
        <v>456083.15</v>
      </c>
      <c r="K6" s="201"/>
      <c r="L6" s="201"/>
      <c r="M6" s="201"/>
      <c r="N6" s="201"/>
    </row>
  </sheetData>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workbookViewId="0">
      <selection activeCell="H12" sqref="H12"/>
    </sheetView>
  </sheetViews>
  <sheetFormatPr defaultRowHeight="15"/>
  <cols>
    <col min="1" max="1" width="15.42578125" customWidth="1"/>
    <col min="2" max="2" width="14.5703125" bestFit="1" customWidth="1"/>
    <col min="13" max="13" width="10.85546875" bestFit="1" customWidth="1"/>
  </cols>
  <sheetData>
    <row r="1" spans="1:14" ht="15.75" thickBot="1">
      <c r="A1" s="196" t="s">
        <v>8</v>
      </c>
      <c r="B1" t="s">
        <v>10</v>
      </c>
      <c r="C1" s="197" t="s">
        <v>4348</v>
      </c>
      <c r="D1" s="197" t="s">
        <v>4349</v>
      </c>
      <c r="E1" s="197" t="s">
        <v>4350</v>
      </c>
      <c r="F1" s="197" t="s">
        <v>4351</v>
      </c>
      <c r="G1" s="197" t="s">
        <v>4352</v>
      </c>
      <c r="H1" s="197" t="s">
        <v>4353</v>
      </c>
      <c r="I1" s="197" t="s">
        <v>4354</v>
      </c>
      <c r="J1" s="197" t="s">
        <v>4355</v>
      </c>
      <c r="K1" s="197" t="s">
        <v>4356</v>
      </c>
      <c r="L1" s="197" t="s">
        <v>4357</v>
      </c>
      <c r="M1" s="197" t="s">
        <v>4358</v>
      </c>
      <c r="N1" s="197" t="s">
        <v>4359</v>
      </c>
    </row>
    <row r="2" spans="1:14" ht="18.75">
      <c r="A2" s="242" t="s">
        <v>3259</v>
      </c>
      <c r="B2" t="s">
        <v>4382</v>
      </c>
      <c r="C2" s="243">
        <v>34000</v>
      </c>
      <c r="D2" s="244"/>
      <c r="E2" s="243">
        <v>73524</v>
      </c>
      <c r="F2" s="244"/>
      <c r="G2" s="244"/>
      <c r="H2" s="244"/>
      <c r="I2" s="244"/>
      <c r="J2" s="244">
        <v>0</v>
      </c>
      <c r="K2" s="245">
        <v>0</v>
      </c>
      <c r="L2" s="221">
        <v>0</v>
      </c>
      <c r="M2" s="221"/>
      <c r="N2" s="221"/>
    </row>
    <row r="3" spans="1:14" ht="18.75">
      <c r="A3" s="246" t="s">
        <v>17</v>
      </c>
      <c r="B3" t="s">
        <v>4382</v>
      </c>
      <c r="C3" s="247">
        <v>519104.07</v>
      </c>
      <c r="D3" s="248">
        <v>6941267.3900000006</v>
      </c>
      <c r="E3" s="247">
        <v>543810.09</v>
      </c>
      <c r="F3" s="248">
        <v>2484865</v>
      </c>
      <c r="G3" s="247"/>
      <c r="H3" s="247"/>
      <c r="I3" s="247"/>
      <c r="J3" s="249">
        <v>150666.6</v>
      </c>
      <c r="K3" s="250">
        <v>0</v>
      </c>
      <c r="L3" s="250">
        <v>0</v>
      </c>
      <c r="M3" s="250"/>
      <c r="N3" s="250"/>
    </row>
    <row r="4" spans="1:14" ht="18.75">
      <c r="A4" s="251" t="s">
        <v>3077</v>
      </c>
      <c r="B4" t="s">
        <v>4382</v>
      </c>
      <c r="C4" s="252"/>
      <c r="D4" s="253"/>
      <c r="E4" s="252">
        <v>17508.5</v>
      </c>
      <c r="F4" s="112">
        <v>664598.44999999995</v>
      </c>
      <c r="G4" s="253">
        <v>150008.29999999999</v>
      </c>
      <c r="H4" s="252">
        <v>7298.15</v>
      </c>
      <c r="I4" s="253"/>
      <c r="J4" s="253">
        <v>0</v>
      </c>
      <c r="K4" s="254">
        <v>10000</v>
      </c>
      <c r="L4" s="255">
        <v>0</v>
      </c>
      <c r="M4" s="255"/>
      <c r="N4" s="255"/>
    </row>
    <row r="5" spans="1:14" ht="18.75">
      <c r="A5" s="256" t="s">
        <v>2710</v>
      </c>
      <c r="B5" t="s">
        <v>4382</v>
      </c>
      <c r="C5" s="257"/>
      <c r="D5" s="257"/>
      <c r="E5" s="257"/>
      <c r="F5" s="257"/>
      <c r="G5" s="257"/>
      <c r="H5" s="257"/>
      <c r="I5" s="257"/>
      <c r="J5" s="257"/>
      <c r="K5" s="245">
        <v>0</v>
      </c>
      <c r="L5" s="255">
        <v>0</v>
      </c>
      <c r="M5" s="255"/>
      <c r="N5" s="255"/>
    </row>
    <row r="6" spans="1:14" ht="18.75">
      <c r="A6" s="251" t="s">
        <v>2900</v>
      </c>
      <c r="B6" t="s">
        <v>4382</v>
      </c>
      <c r="C6" s="252"/>
      <c r="D6" s="253"/>
      <c r="E6" s="253"/>
      <c r="F6" s="253"/>
      <c r="G6" s="253"/>
      <c r="H6" s="253"/>
      <c r="I6" s="252">
        <v>23040</v>
      </c>
      <c r="J6" s="253">
        <v>0</v>
      </c>
      <c r="K6" s="255">
        <v>0</v>
      </c>
      <c r="L6" s="255">
        <v>0</v>
      </c>
      <c r="M6" s="255"/>
      <c r="N6" s="255"/>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heetViews>
  <sheetFormatPr defaultRowHeight="15"/>
  <cols>
    <col min="1" max="1" width="11.5703125" customWidth="1"/>
    <col min="2" max="2" width="9.5703125" customWidth="1"/>
    <col min="3" max="4" width="10.5703125" bestFit="1" customWidth="1"/>
    <col min="5" max="5" width="11.5703125" bestFit="1" customWidth="1"/>
    <col min="6" max="6" width="9.5703125" customWidth="1"/>
    <col min="7" max="7" width="9.5703125" bestFit="1" customWidth="1"/>
  </cols>
  <sheetData>
    <row r="1" spans="1:7">
      <c r="A1" s="202" t="s">
        <v>4361</v>
      </c>
      <c r="B1" t="s">
        <v>10</v>
      </c>
      <c r="C1" s="203" t="s">
        <v>3259</v>
      </c>
      <c r="D1" s="203" t="s">
        <v>2710</v>
      </c>
      <c r="E1" s="204" t="s">
        <v>3077</v>
      </c>
      <c r="F1" s="203" t="s">
        <v>17</v>
      </c>
      <c r="G1" s="205" t="s">
        <v>2900</v>
      </c>
    </row>
    <row r="2" spans="1:7">
      <c r="A2" s="202" t="s">
        <v>4348</v>
      </c>
      <c r="B2" t="s">
        <v>4384</v>
      </c>
      <c r="C2" s="206">
        <v>25072.17</v>
      </c>
      <c r="D2" s="207">
        <v>1008674.07</v>
      </c>
      <c r="E2" s="208">
        <v>1596362.07</v>
      </c>
      <c r="F2" s="209">
        <v>7343207.9500000002</v>
      </c>
      <c r="G2" s="210">
        <v>54367.82</v>
      </c>
    </row>
    <row r="3" spans="1:7">
      <c r="A3" s="202" t="s">
        <v>4349</v>
      </c>
      <c r="B3" t="s">
        <v>4384</v>
      </c>
      <c r="C3" s="211">
        <v>944078.59000000008</v>
      </c>
      <c r="D3" s="207">
        <v>1498747.49</v>
      </c>
      <c r="E3" s="208">
        <v>1753740.16</v>
      </c>
      <c r="F3" s="207">
        <v>6750114.6799999997</v>
      </c>
      <c r="G3" s="210">
        <v>227966.31</v>
      </c>
    </row>
    <row r="4" spans="1:7">
      <c r="A4" s="202" t="s">
        <v>4350</v>
      </c>
      <c r="B4" t="s">
        <v>4384</v>
      </c>
      <c r="C4" s="206">
        <v>47905.73</v>
      </c>
      <c r="D4" s="207">
        <v>4110902.78</v>
      </c>
      <c r="E4" s="212">
        <v>1188772.99</v>
      </c>
      <c r="F4" s="209">
        <v>6008498.6600000001</v>
      </c>
      <c r="G4" s="210">
        <v>129651.1</v>
      </c>
    </row>
    <row r="5" spans="1:7">
      <c r="A5" s="202" t="s">
        <v>4351</v>
      </c>
      <c r="B5" t="s">
        <v>4384</v>
      </c>
      <c r="C5" s="211">
        <v>864320.31</v>
      </c>
      <c r="D5" s="207">
        <v>6423174.9800000004</v>
      </c>
      <c r="E5" s="208">
        <v>1958967.46</v>
      </c>
      <c r="F5" s="209">
        <v>12231232.02</v>
      </c>
      <c r="G5" s="210">
        <v>99979.78</v>
      </c>
    </row>
    <row r="6" spans="1:7">
      <c r="A6" s="202" t="s">
        <v>4352</v>
      </c>
      <c r="B6" t="s">
        <v>4384</v>
      </c>
      <c r="C6" s="211">
        <v>722580.37</v>
      </c>
      <c r="D6" s="207">
        <v>3001600.32</v>
      </c>
      <c r="E6" s="208">
        <v>2347110.31</v>
      </c>
      <c r="F6" s="209">
        <v>9677409.4499999993</v>
      </c>
      <c r="G6" s="210">
        <v>144076.71</v>
      </c>
    </row>
    <row r="7" spans="1:7">
      <c r="A7" s="202" t="s">
        <v>4353</v>
      </c>
      <c r="B7" t="s">
        <v>4384</v>
      </c>
      <c r="C7" s="211">
        <v>421613.04000000004</v>
      </c>
      <c r="D7" s="207">
        <v>3433507.46</v>
      </c>
      <c r="E7" s="208">
        <v>2107849.7799999998</v>
      </c>
      <c r="F7" s="213">
        <v>10040236.529999999</v>
      </c>
      <c r="G7" s="210">
        <v>134634.81</v>
      </c>
    </row>
    <row r="8" spans="1:7">
      <c r="A8" s="202" t="s">
        <v>4354</v>
      </c>
      <c r="B8" t="s">
        <v>4384</v>
      </c>
      <c r="C8" s="214">
        <v>615086.46</v>
      </c>
      <c r="D8" s="207">
        <v>3458082.54</v>
      </c>
      <c r="E8" s="213">
        <v>2016517.95</v>
      </c>
      <c r="F8" s="213">
        <v>7238808.79</v>
      </c>
      <c r="G8" s="215"/>
    </row>
    <row r="9" spans="1:7">
      <c r="A9" s="202" t="s">
        <v>4355</v>
      </c>
      <c r="B9" t="s">
        <v>4384</v>
      </c>
      <c r="C9" s="216">
        <v>456083.45</v>
      </c>
      <c r="D9" s="217">
        <v>3640760.78</v>
      </c>
      <c r="E9" s="216">
        <v>5678774.2800000012</v>
      </c>
      <c r="F9" s="217">
        <v>12852386.999999998</v>
      </c>
      <c r="G9" s="210">
        <v>91747.11</v>
      </c>
    </row>
    <row r="10" spans="1:7">
      <c r="A10" s="202" t="s">
        <v>4356</v>
      </c>
      <c r="B10" t="s">
        <v>4384</v>
      </c>
      <c r="C10" s="218">
        <v>679473.67</v>
      </c>
      <c r="D10" s="218">
        <v>2945028.02</v>
      </c>
      <c r="E10" s="218">
        <v>7169702.6500000004</v>
      </c>
      <c r="F10" s="219">
        <v>13293206.34</v>
      </c>
      <c r="G10" s="218">
        <v>91747.19</v>
      </c>
    </row>
    <row r="11" spans="1:7">
      <c r="A11" s="202" t="s">
        <v>4357</v>
      </c>
      <c r="B11" t="s">
        <v>4384</v>
      </c>
      <c r="C11" s="211"/>
      <c r="D11" s="207"/>
      <c r="E11" s="212"/>
      <c r="F11" s="207"/>
      <c r="G11" s="211"/>
    </row>
    <row r="12" spans="1:7">
      <c r="A12" s="202" t="s">
        <v>4358</v>
      </c>
      <c r="B12" t="s">
        <v>4384</v>
      </c>
      <c r="C12" s="211"/>
      <c r="D12" s="207"/>
      <c r="E12" s="212"/>
      <c r="F12" s="207"/>
      <c r="G12" s="211"/>
    </row>
    <row r="13" spans="1:7">
      <c r="A13" s="202" t="s">
        <v>4359</v>
      </c>
      <c r="B13" t="s">
        <v>4384</v>
      </c>
      <c r="C13" s="211"/>
      <c r="D13" s="207"/>
      <c r="E13" s="212"/>
      <c r="F13" s="207"/>
      <c r="G13" s="211"/>
    </row>
    <row r="14" spans="1:7">
      <c r="A14" s="220"/>
      <c r="B14" s="220"/>
      <c r="C14" s="220"/>
      <c r="D14" s="220"/>
      <c r="E14" s="220"/>
      <c r="F14" s="220"/>
      <c r="G14" s="220"/>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activeCell="K15" sqref="K15"/>
    </sheetView>
  </sheetViews>
  <sheetFormatPr defaultRowHeight="15"/>
  <cols>
    <col min="2" max="2" width="9.5703125" bestFit="1" customWidth="1"/>
    <col min="3" max="4" width="10.5703125" bestFit="1" customWidth="1"/>
    <col min="5" max="6" width="11.5703125" bestFit="1" customWidth="1"/>
  </cols>
  <sheetData>
    <row r="1" spans="1:7">
      <c r="A1" s="222" t="s">
        <v>4361</v>
      </c>
      <c r="B1" t="s">
        <v>10</v>
      </c>
      <c r="C1" s="223" t="s">
        <v>3259</v>
      </c>
      <c r="D1" s="223" t="s">
        <v>2710</v>
      </c>
      <c r="E1" s="223" t="s">
        <v>3077</v>
      </c>
      <c r="F1" s="223" t="s">
        <v>17</v>
      </c>
      <c r="G1" s="224" t="s">
        <v>2900</v>
      </c>
    </row>
    <row r="2" spans="1:7">
      <c r="A2" s="225" t="s">
        <v>4348</v>
      </c>
      <c r="B2" t="s">
        <v>4383</v>
      </c>
      <c r="C2" s="226">
        <v>25072.17</v>
      </c>
      <c r="D2" s="227">
        <v>1008674.07</v>
      </c>
      <c r="E2" s="228">
        <v>1596362.07</v>
      </c>
      <c r="F2" s="228">
        <v>7343207.9500000002</v>
      </c>
      <c r="G2" s="229">
        <v>54367.82</v>
      </c>
    </row>
    <row r="3" spans="1:7">
      <c r="A3" s="225" t="s">
        <v>4349</v>
      </c>
      <c r="B3" t="s">
        <v>4383</v>
      </c>
      <c r="C3" s="230">
        <v>944078.59</v>
      </c>
      <c r="D3" s="227">
        <v>1498747.49</v>
      </c>
      <c r="E3" s="228">
        <v>1753740.16</v>
      </c>
      <c r="F3" s="231">
        <v>6750114.6799999997</v>
      </c>
      <c r="G3" s="232">
        <v>227966.31</v>
      </c>
    </row>
    <row r="4" spans="1:7">
      <c r="A4" s="225" t="s">
        <v>4350</v>
      </c>
      <c r="B4" t="s">
        <v>4383</v>
      </c>
      <c r="C4" s="226">
        <v>47905.73</v>
      </c>
      <c r="D4" s="227">
        <v>4110902.78</v>
      </c>
      <c r="E4" s="233">
        <v>1188772.99</v>
      </c>
      <c r="F4" s="228">
        <v>6008498.6600000001</v>
      </c>
      <c r="G4" s="229">
        <v>129651.1</v>
      </c>
    </row>
    <row r="5" spans="1:7">
      <c r="A5" s="225" t="s">
        <v>4351</v>
      </c>
      <c r="B5" t="s">
        <v>4383</v>
      </c>
      <c r="C5" s="230">
        <v>864320.31</v>
      </c>
      <c r="D5" s="227">
        <v>6423174.9800000004</v>
      </c>
      <c r="E5" s="228">
        <v>1958967.46</v>
      </c>
      <c r="F5" s="228">
        <v>12231232.02</v>
      </c>
      <c r="G5" s="229">
        <v>99979.78</v>
      </c>
    </row>
    <row r="6" spans="1:7">
      <c r="A6" s="225" t="s">
        <v>4352</v>
      </c>
      <c r="B6" t="s">
        <v>4383</v>
      </c>
      <c r="C6" s="230">
        <v>722580.37</v>
      </c>
      <c r="D6" s="227">
        <v>3001600.32</v>
      </c>
      <c r="E6" s="228">
        <v>2347110.31</v>
      </c>
      <c r="F6" s="228">
        <v>9677409.4499999993</v>
      </c>
      <c r="G6" s="229">
        <v>144076.71</v>
      </c>
    </row>
    <row r="7" spans="1:7">
      <c r="A7" s="225" t="s">
        <v>4353</v>
      </c>
      <c r="B7" t="s">
        <v>4383</v>
      </c>
      <c r="C7" s="230">
        <v>421613.04</v>
      </c>
      <c r="D7" s="227">
        <v>3433507.46</v>
      </c>
      <c r="E7" s="228">
        <v>2107849.7799999998</v>
      </c>
      <c r="F7" s="234">
        <v>10040236.529999999</v>
      </c>
      <c r="G7" s="229">
        <v>134634.81</v>
      </c>
    </row>
    <row r="8" spans="1:7">
      <c r="A8" s="225" t="s">
        <v>4354</v>
      </c>
      <c r="B8" t="s">
        <v>4383</v>
      </c>
      <c r="C8" s="235">
        <v>615086.46</v>
      </c>
      <c r="D8" s="236">
        <v>3458082.54</v>
      </c>
      <c r="E8" s="234">
        <v>2016517.95</v>
      </c>
      <c r="F8" s="234">
        <v>7238808.79</v>
      </c>
      <c r="G8" s="237"/>
    </row>
    <row r="9" spans="1:7">
      <c r="A9" s="225" t="s">
        <v>4355</v>
      </c>
      <c r="B9" t="s">
        <v>4383</v>
      </c>
      <c r="C9" s="235">
        <v>456083.45</v>
      </c>
      <c r="D9" s="238">
        <v>3640760.78</v>
      </c>
      <c r="E9" s="235">
        <v>5678774.2800000003</v>
      </c>
      <c r="F9" s="238">
        <v>12852387</v>
      </c>
      <c r="G9" s="239">
        <v>91747.11</v>
      </c>
    </row>
    <row r="10" spans="1:7">
      <c r="A10" s="225" t="s">
        <v>4356</v>
      </c>
      <c r="B10" t="s">
        <v>4383</v>
      </c>
      <c r="C10" s="240">
        <v>679473.67</v>
      </c>
      <c r="D10" s="240">
        <v>2945028.02</v>
      </c>
      <c r="E10" s="240">
        <v>7169702.6500000004</v>
      </c>
      <c r="F10" s="235">
        <v>13293206.34</v>
      </c>
      <c r="G10" s="240">
        <v>91747.19</v>
      </c>
    </row>
    <row r="11" spans="1:7">
      <c r="A11" s="225" t="s">
        <v>4357</v>
      </c>
      <c r="B11" t="s">
        <v>4383</v>
      </c>
      <c r="C11" s="233"/>
      <c r="D11" s="241"/>
      <c r="E11" s="233"/>
      <c r="F11" s="241"/>
      <c r="G11" s="233"/>
    </row>
    <row r="12" spans="1:7">
      <c r="A12" s="225" t="s">
        <v>4358</v>
      </c>
      <c r="B12" t="s">
        <v>4383</v>
      </c>
      <c r="C12" s="230"/>
      <c r="D12" s="227"/>
      <c r="E12" s="230"/>
      <c r="F12" s="227"/>
      <c r="G12" s="230"/>
    </row>
    <row r="13" spans="1:7">
      <c r="A13" s="225" t="s">
        <v>4359</v>
      </c>
      <c r="B13" t="s">
        <v>4383</v>
      </c>
      <c r="C13" s="230"/>
      <c r="D13" s="227"/>
      <c r="E13" s="230"/>
      <c r="F13" s="227"/>
      <c r="G13" s="230"/>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K9" sqref="K9"/>
    </sheetView>
  </sheetViews>
  <sheetFormatPr defaultRowHeight="15"/>
  <cols>
    <col min="1" max="1" width="13.85546875" bestFit="1" customWidth="1"/>
    <col min="2" max="2" width="19.85546875" style="214" customWidth="1"/>
  </cols>
  <sheetData>
    <row r="1" spans="1:2">
      <c r="A1" t="s">
        <v>4362</v>
      </c>
      <c r="B1" s="214" t="s">
        <v>4365</v>
      </c>
    </row>
    <row r="2" spans="1:2">
      <c r="A2" t="s">
        <v>4363</v>
      </c>
      <c r="B2" s="214">
        <v>115358412632</v>
      </c>
    </row>
    <row r="3" spans="1:2">
      <c r="A3" t="s">
        <v>4364</v>
      </c>
      <c r="B3" s="214">
        <v>359412365</v>
      </c>
    </row>
  </sheetData>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tabSelected="1" topLeftCell="A4" workbookViewId="0">
      <selection activeCell="C9" sqref="C9"/>
    </sheetView>
  </sheetViews>
  <sheetFormatPr defaultRowHeight="15"/>
  <cols>
    <col min="2" max="2" width="48.140625" bestFit="1" customWidth="1"/>
    <col min="3" max="3" width="64.85546875" customWidth="1"/>
    <col min="4" max="4" width="11.140625" bestFit="1" customWidth="1"/>
    <col min="5" max="5" width="8.42578125" bestFit="1" customWidth="1"/>
    <col min="6" max="6" width="12.28515625" bestFit="1" customWidth="1"/>
    <col min="7" max="7" width="11.7109375" bestFit="1" customWidth="1"/>
    <col min="8" max="8" width="14" bestFit="1" customWidth="1"/>
  </cols>
  <sheetData>
    <row r="1" spans="1:8" ht="15.75" thickBot="1">
      <c r="A1" s="259" t="s">
        <v>0</v>
      </c>
      <c r="B1" s="260" t="s">
        <v>4367</v>
      </c>
      <c r="C1" t="s">
        <v>4368</v>
      </c>
      <c r="D1" s="112" t="s">
        <v>4369</v>
      </c>
      <c r="E1" s="192" t="s">
        <v>4370</v>
      </c>
      <c r="F1" s="261" t="s">
        <v>4371</v>
      </c>
      <c r="G1" s="262" t="s">
        <v>4372</v>
      </c>
      <c r="H1" s="262" t="s">
        <v>4373</v>
      </c>
    </row>
    <row r="2" spans="1:8" ht="30" thickBot="1">
      <c r="A2" s="278" t="s">
        <v>17</v>
      </c>
      <c r="B2" s="279" t="s">
        <v>4229</v>
      </c>
      <c r="C2" s="279" t="s">
        <v>4317</v>
      </c>
      <c r="D2" s="280">
        <v>2</v>
      </c>
      <c r="E2" s="281">
        <v>45717</v>
      </c>
      <c r="F2" s="282">
        <v>45678</v>
      </c>
      <c r="G2" s="283">
        <v>384000</v>
      </c>
      <c r="H2" s="284" t="s">
        <v>4374</v>
      </c>
    </row>
    <row r="3" spans="1:8" ht="30" thickBot="1">
      <c r="A3" s="285" t="s">
        <v>17</v>
      </c>
      <c r="B3" s="286" t="s">
        <v>4231</v>
      </c>
      <c r="C3" s="286" t="s">
        <v>4320</v>
      </c>
      <c r="D3" s="287">
        <v>1</v>
      </c>
      <c r="E3" s="288">
        <v>45931</v>
      </c>
      <c r="F3" s="289">
        <v>45698</v>
      </c>
      <c r="G3" s="290">
        <v>209809.71</v>
      </c>
      <c r="H3" s="291" t="s">
        <v>4374</v>
      </c>
    </row>
    <row r="4" spans="1:8" ht="30" thickBot="1">
      <c r="A4" s="292" t="s">
        <v>17</v>
      </c>
      <c r="B4" s="293" t="s">
        <v>4230</v>
      </c>
      <c r="C4" s="293" t="s">
        <v>4324</v>
      </c>
      <c r="D4" s="294">
        <v>3349620</v>
      </c>
      <c r="E4" s="293" t="s">
        <v>4281</v>
      </c>
      <c r="F4" s="295">
        <v>45763</v>
      </c>
      <c r="G4" s="296">
        <v>287415.7</v>
      </c>
      <c r="H4" s="297" t="s">
        <v>4374</v>
      </c>
    </row>
    <row r="5" spans="1:8" ht="30" thickBot="1">
      <c r="A5" s="285" t="s">
        <v>17</v>
      </c>
      <c r="B5" s="286" t="s">
        <v>4230</v>
      </c>
      <c r="C5" s="286" t="s">
        <v>4324</v>
      </c>
      <c r="D5" s="287">
        <v>4319784</v>
      </c>
      <c r="E5" s="286" t="s">
        <v>4282</v>
      </c>
      <c r="F5" s="289">
        <v>45763</v>
      </c>
      <c r="G5" s="298">
        <v>880840</v>
      </c>
      <c r="H5" s="291" t="s">
        <v>4374</v>
      </c>
    </row>
    <row r="6" spans="1:8" ht="30" thickBot="1">
      <c r="A6" s="292" t="s">
        <v>17</v>
      </c>
      <c r="B6" s="293" t="s">
        <v>4230</v>
      </c>
      <c r="C6" s="293" t="s">
        <v>4324</v>
      </c>
      <c r="D6" s="294">
        <v>1239840</v>
      </c>
      <c r="E6" s="293" t="s">
        <v>4283</v>
      </c>
      <c r="F6" s="295">
        <v>45763</v>
      </c>
      <c r="G6" s="299">
        <v>157882.4</v>
      </c>
      <c r="H6" s="297" t="s">
        <v>4374</v>
      </c>
    </row>
    <row r="7" spans="1:8" ht="30" thickBot="1">
      <c r="A7" s="285" t="s">
        <v>17</v>
      </c>
      <c r="B7" s="286" t="s">
        <v>4234</v>
      </c>
      <c r="C7" s="300" t="s">
        <v>2515</v>
      </c>
      <c r="D7" s="301">
        <v>189</v>
      </c>
      <c r="E7" s="286" t="s">
        <v>4272</v>
      </c>
      <c r="F7" s="289">
        <v>45736</v>
      </c>
      <c r="G7" s="302">
        <v>160800</v>
      </c>
      <c r="H7" s="291" t="s">
        <v>4374</v>
      </c>
    </row>
    <row r="8" spans="1:8" ht="44.25" thickBot="1">
      <c r="A8" s="292" t="s">
        <v>17</v>
      </c>
      <c r="B8" s="293" t="s">
        <v>4234</v>
      </c>
      <c r="C8" s="303" t="s">
        <v>4390</v>
      </c>
      <c r="D8" s="304">
        <v>29</v>
      </c>
      <c r="E8" s="293" t="s">
        <v>4272</v>
      </c>
      <c r="F8" s="295">
        <v>45736</v>
      </c>
      <c r="G8" s="283">
        <v>80743.25</v>
      </c>
      <c r="H8" s="297" t="s">
        <v>4374</v>
      </c>
    </row>
    <row r="9" spans="1:8" ht="30" thickBot="1">
      <c r="A9" s="305" t="s">
        <v>3077</v>
      </c>
      <c r="B9" s="286" t="s">
        <v>4233</v>
      </c>
      <c r="C9" s="306" t="s">
        <v>4375</v>
      </c>
      <c r="D9" s="301">
        <v>100</v>
      </c>
      <c r="E9" s="286" t="s">
        <v>4271</v>
      </c>
      <c r="F9" s="289">
        <v>45729</v>
      </c>
      <c r="G9" s="307">
        <v>1100</v>
      </c>
      <c r="H9" s="291" t="s">
        <v>4374</v>
      </c>
    </row>
    <row r="10" spans="1:8" ht="30" thickBot="1">
      <c r="A10" s="308" t="s">
        <v>3077</v>
      </c>
      <c r="B10" s="293" t="s">
        <v>4233</v>
      </c>
      <c r="C10" s="309" t="s">
        <v>4376</v>
      </c>
      <c r="D10" s="304">
        <v>170</v>
      </c>
      <c r="E10" s="293" t="s">
        <v>4271</v>
      </c>
      <c r="F10" s="295">
        <v>45729</v>
      </c>
      <c r="G10" s="283">
        <v>2992</v>
      </c>
      <c r="H10" s="297" t="s">
        <v>4374</v>
      </c>
    </row>
    <row r="11" spans="1:8" ht="30" thickBot="1">
      <c r="A11" s="305" t="s">
        <v>3077</v>
      </c>
      <c r="B11" s="286" t="s">
        <v>4233</v>
      </c>
      <c r="C11" s="306" t="s">
        <v>4377</v>
      </c>
      <c r="D11" s="301">
        <v>125</v>
      </c>
      <c r="E11" s="286" t="s">
        <v>4271</v>
      </c>
      <c r="F11" s="289">
        <v>45729</v>
      </c>
      <c r="G11" s="301">
        <v>537.5</v>
      </c>
      <c r="H11" s="291" t="s">
        <v>4374</v>
      </c>
    </row>
    <row r="12" spans="1:8" ht="30" thickBot="1">
      <c r="A12" s="308" t="s">
        <v>3077</v>
      </c>
      <c r="B12" s="293" t="s">
        <v>4233</v>
      </c>
      <c r="C12" s="310" t="s">
        <v>4322</v>
      </c>
      <c r="D12" s="294">
        <v>125</v>
      </c>
      <c r="E12" s="293" t="s">
        <v>4271</v>
      </c>
      <c r="F12" s="295">
        <v>45729</v>
      </c>
      <c r="G12" s="304">
        <v>675</v>
      </c>
      <c r="H12" s="297" t="s">
        <v>4374</v>
      </c>
    </row>
    <row r="13" spans="1:8" ht="30.75" thickBot="1">
      <c r="A13" s="305" t="s">
        <v>3077</v>
      </c>
      <c r="B13" s="286" t="s">
        <v>4235</v>
      </c>
      <c r="C13" s="311" t="s">
        <v>4378</v>
      </c>
      <c r="D13" s="287">
        <v>1</v>
      </c>
      <c r="E13" s="286" t="s">
        <v>4284</v>
      </c>
      <c r="F13" s="289">
        <v>45770</v>
      </c>
      <c r="G13" s="307">
        <v>189900</v>
      </c>
      <c r="H13" s="291" t="s">
        <v>4374</v>
      </c>
    </row>
    <row r="14" spans="1:8" ht="30.75" thickBot="1">
      <c r="A14" s="308" t="s">
        <v>3077</v>
      </c>
      <c r="B14" s="293" t="s">
        <v>4235</v>
      </c>
      <c r="C14" s="312" t="s">
        <v>4325</v>
      </c>
      <c r="D14" s="294">
        <v>1</v>
      </c>
      <c r="E14" s="293" t="s">
        <v>4284</v>
      </c>
      <c r="F14" s="295">
        <v>45770</v>
      </c>
      <c r="G14" s="283">
        <v>17420</v>
      </c>
      <c r="H14" s="297" t="s">
        <v>4374</v>
      </c>
    </row>
    <row r="15" spans="1:8" ht="30" thickBot="1">
      <c r="A15" s="305" t="s">
        <v>3077</v>
      </c>
      <c r="B15" s="286" t="s">
        <v>4236</v>
      </c>
      <c r="C15" s="306" t="s">
        <v>4379</v>
      </c>
      <c r="D15" s="301">
        <v>250</v>
      </c>
      <c r="E15" s="286" t="s">
        <v>4285</v>
      </c>
      <c r="F15" s="289">
        <v>45770</v>
      </c>
      <c r="G15" s="307">
        <v>65850</v>
      </c>
      <c r="H15" s="291" t="s">
        <v>4374</v>
      </c>
    </row>
    <row r="16" spans="1:8" ht="30.75" thickBot="1">
      <c r="A16" s="308" t="s">
        <v>3077</v>
      </c>
      <c r="B16" s="293" t="s">
        <v>4236</v>
      </c>
      <c r="C16" s="309" t="s">
        <v>4380</v>
      </c>
      <c r="D16" s="304">
        <v>250</v>
      </c>
      <c r="E16" s="293" t="s">
        <v>4285</v>
      </c>
      <c r="F16" s="295">
        <v>45770</v>
      </c>
      <c r="G16" s="283">
        <v>19430</v>
      </c>
      <c r="H16" s="297" t="s">
        <v>4374</v>
      </c>
    </row>
    <row r="17" spans="1:8" ht="30.75" thickBot="1">
      <c r="A17" s="305" t="s">
        <v>3077</v>
      </c>
      <c r="B17" s="286" t="s">
        <v>4236</v>
      </c>
      <c r="C17" s="313" t="s">
        <v>4326</v>
      </c>
      <c r="D17" s="287">
        <v>5</v>
      </c>
      <c r="E17" s="286" t="s">
        <v>4285</v>
      </c>
      <c r="F17" s="289">
        <v>45770</v>
      </c>
      <c r="G17" s="307">
        <v>24500</v>
      </c>
      <c r="H17" s="291" t="s">
        <v>4374</v>
      </c>
    </row>
    <row r="18" spans="1:8" ht="30" thickBot="1">
      <c r="A18" s="314" t="s">
        <v>2900</v>
      </c>
      <c r="B18" s="312" t="s">
        <v>4246</v>
      </c>
      <c r="C18" s="315" t="s">
        <v>946</v>
      </c>
      <c r="D18" s="316">
        <v>29</v>
      </c>
      <c r="E18" s="317" t="s">
        <v>4298</v>
      </c>
      <c r="F18" s="318">
        <v>45876</v>
      </c>
      <c r="G18" s="319">
        <v>23040</v>
      </c>
      <c r="H18" s="297" t="s">
        <v>4374</v>
      </c>
    </row>
    <row r="19" spans="1:8" ht="30.75" thickBot="1">
      <c r="A19" s="320" t="s">
        <v>17</v>
      </c>
      <c r="B19" s="321" t="s">
        <v>4253</v>
      </c>
      <c r="C19" s="322" t="s">
        <v>4391</v>
      </c>
      <c r="D19" s="323">
        <v>2</v>
      </c>
      <c r="E19" s="321" t="s">
        <v>4304</v>
      </c>
      <c r="F19" s="324">
        <v>45911</v>
      </c>
      <c r="G19" s="323">
        <v>982.57</v>
      </c>
      <c r="H19" s="291" t="s">
        <v>4374</v>
      </c>
    </row>
    <row r="20" spans="1:8" ht="30.75" thickBot="1">
      <c r="A20" s="325" t="s">
        <v>17</v>
      </c>
      <c r="B20" s="326" t="s">
        <v>4253</v>
      </c>
      <c r="C20" s="327" t="s">
        <v>4392</v>
      </c>
      <c r="D20" s="328">
        <v>50</v>
      </c>
      <c r="E20" s="326" t="s">
        <v>4304</v>
      </c>
      <c r="F20" s="318">
        <v>45911</v>
      </c>
      <c r="G20" s="329">
        <v>9653.8799999999992</v>
      </c>
      <c r="H20" s="297" t="s">
        <v>4374</v>
      </c>
    </row>
    <row r="21" spans="1:8" ht="30.75" thickBot="1">
      <c r="A21" s="320" t="s">
        <v>17</v>
      </c>
      <c r="B21" s="321" t="s">
        <v>4253</v>
      </c>
      <c r="C21" s="322" t="s">
        <v>4393</v>
      </c>
      <c r="D21" s="323">
        <v>50</v>
      </c>
      <c r="E21" s="321" t="s">
        <v>4304</v>
      </c>
      <c r="F21" s="324">
        <v>45911</v>
      </c>
      <c r="G21" s="330">
        <v>21400</v>
      </c>
      <c r="H21" s="291" t="s">
        <v>4374</v>
      </c>
    </row>
    <row r="22" spans="1:8" ht="30.75" thickBot="1">
      <c r="A22" s="325" t="s">
        <v>17</v>
      </c>
      <c r="B22" s="326" t="s">
        <v>4253</v>
      </c>
      <c r="C22" s="327" t="s">
        <v>4394</v>
      </c>
      <c r="D22" s="328">
        <v>5</v>
      </c>
      <c r="E22" s="326" t="s">
        <v>4304</v>
      </c>
      <c r="F22" s="318">
        <v>45911</v>
      </c>
      <c r="G22" s="328">
        <v>405</v>
      </c>
      <c r="H22" s="297" t="s">
        <v>4374</v>
      </c>
    </row>
    <row r="23" spans="1:8" ht="30.75" thickBot="1">
      <c r="A23" s="320" t="s">
        <v>17</v>
      </c>
      <c r="B23" s="321" t="s">
        <v>4253</v>
      </c>
      <c r="C23" s="322" t="s">
        <v>4395</v>
      </c>
      <c r="D23" s="323">
        <v>5</v>
      </c>
      <c r="E23" s="321" t="s">
        <v>4304</v>
      </c>
      <c r="F23" s="324">
        <v>45911</v>
      </c>
      <c r="G23" s="323">
        <v>690</v>
      </c>
      <c r="H23" s="291" t="s">
        <v>4374</v>
      </c>
    </row>
    <row r="24" spans="1:8" ht="30.75" thickBot="1">
      <c r="A24" s="325" t="s">
        <v>17</v>
      </c>
      <c r="B24" s="326" t="s">
        <v>4253</v>
      </c>
      <c r="C24" s="327" t="s">
        <v>2227</v>
      </c>
      <c r="D24" s="328">
        <v>5</v>
      </c>
      <c r="E24" s="326" t="s">
        <v>4304</v>
      </c>
      <c r="F24" s="318">
        <v>45911</v>
      </c>
      <c r="G24" s="329">
        <v>1825</v>
      </c>
      <c r="H24" s="297" t="s">
        <v>4374</v>
      </c>
    </row>
    <row r="25" spans="1:8" ht="30.75" thickBot="1">
      <c r="A25" s="320" t="s">
        <v>17</v>
      </c>
      <c r="B25" s="321" t="s">
        <v>4253</v>
      </c>
      <c r="C25" s="322" t="s">
        <v>2228</v>
      </c>
      <c r="D25" s="323">
        <v>5</v>
      </c>
      <c r="E25" s="321" t="s">
        <v>4304</v>
      </c>
      <c r="F25" s="324">
        <v>45911</v>
      </c>
      <c r="G25" s="330">
        <v>1825</v>
      </c>
      <c r="H25" s="291" t="s">
        <v>4374</v>
      </c>
    </row>
    <row r="26" spans="1:8" ht="30.75" thickBot="1">
      <c r="A26" s="325" t="s">
        <v>17</v>
      </c>
      <c r="B26" s="326" t="s">
        <v>4253</v>
      </c>
      <c r="C26" s="327" t="s">
        <v>2229</v>
      </c>
      <c r="D26" s="328">
        <v>5</v>
      </c>
      <c r="E26" s="326" t="s">
        <v>4304</v>
      </c>
      <c r="F26" s="318">
        <v>45911</v>
      </c>
      <c r="G26" s="329">
        <v>1825</v>
      </c>
      <c r="H26" s="297" t="s">
        <v>4374</v>
      </c>
    </row>
    <row r="27" spans="1:8" ht="30" thickBot="1">
      <c r="A27" s="320" t="s">
        <v>17</v>
      </c>
      <c r="B27" s="331" t="s">
        <v>4234</v>
      </c>
      <c r="C27" s="311" t="s">
        <v>4343</v>
      </c>
      <c r="D27" s="332">
        <v>90</v>
      </c>
      <c r="E27" s="311" t="s">
        <v>4307</v>
      </c>
      <c r="F27" s="333">
        <v>45946</v>
      </c>
      <c r="G27" s="334">
        <v>338400</v>
      </c>
      <c r="H27" s="291" t="s">
        <v>4374</v>
      </c>
    </row>
    <row r="28" spans="1:8" ht="30" thickBot="1">
      <c r="A28" s="335" t="s">
        <v>3077</v>
      </c>
      <c r="B28" s="312" t="s">
        <v>4233</v>
      </c>
      <c r="C28" s="336" t="s">
        <v>4396</v>
      </c>
      <c r="D28" s="337">
        <v>70</v>
      </c>
      <c r="E28" s="338" t="s">
        <v>4271</v>
      </c>
      <c r="F28" s="339">
        <v>45729</v>
      </c>
      <c r="G28" s="340">
        <v>406</v>
      </c>
      <c r="H28" s="341" t="s">
        <v>4397</v>
      </c>
    </row>
    <row r="29" spans="1:8" ht="30" thickBot="1">
      <c r="A29" s="342" t="s">
        <v>3077</v>
      </c>
      <c r="B29" s="311" t="s">
        <v>4233</v>
      </c>
      <c r="C29" s="343" t="s">
        <v>2140</v>
      </c>
      <c r="D29" s="344">
        <v>315</v>
      </c>
      <c r="E29" s="345" t="s">
        <v>4271</v>
      </c>
      <c r="F29" s="346">
        <v>45729</v>
      </c>
      <c r="G29" s="347">
        <v>1638</v>
      </c>
      <c r="H29" s="348" t="s">
        <v>4397</v>
      </c>
    </row>
    <row r="30" spans="1:8" ht="30" thickBot="1">
      <c r="A30" s="335" t="s">
        <v>3077</v>
      </c>
      <c r="B30" s="312" t="s">
        <v>4233</v>
      </c>
      <c r="C30" s="336" t="s">
        <v>269</v>
      </c>
      <c r="D30" s="337">
        <v>800</v>
      </c>
      <c r="E30" s="338" t="s">
        <v>4271</v>
      </c>
      <c r="F30" s="349">
        <v>45729</v>
      </c>
      <c r="G30" s="350">
        <v>10160</v>
      </c>
      <c r="H30" s="341" t="s">
        <v>4397</v>
      </c>
    </row>
    <row r="31" spans="1:8" ht="30.75" thickBot="1">
      <c r="A31" s="351" t="s">
        <v>17</v>
      </c>
      <c r="B31" s="311" t="s">
        <v>4234</v>
      </c>
      <c r="C31" s="352" t="s">
        <v>4398</v>
      </c>
      <c r="D31" s="353">
        <v>206</v>
      </c>
      <c r="E31" s="354" t="s">
        <v>4272</v>
      </c>
      <c r="F31" s="355">
        <v>45736</v>
      </c>
      <c r="G31" s="356">
        <v>93524</v>
      </c>
      <c r="H31" s="348" t="s">
        <v>4397</v>
      </c>
    </row>
    <row r="32" spans="1:8" ht="30" thickBot="1">
      <c r="A32" s="357" t="s">
        <v>2900</v>
      </c>
      <c r="B32" s="312" t="s">
        <v>4246</v>
      </c>
      <c r="C32" s="312" t="s">
        <v>946</v>
      </c>
      <c r="D32" s="358">
        <v>32</v>
      </c>
      <c r="E32" s="359" t="s">
        <v>4297</v>
      </c>
      <c r="F32" s="349">
        <v>45862</v>
      </c>
      <c r="G32" s="360">
        <v>23040</v>
      </c>
      <c r="H32" s="361" t="s">
        <v>4374</v>
      </c>
    </row>
    <row r="33" spans="1:8" ht="30.75" thickBot="1">
      <c r="A33" s="362" t="s">
        <v>3077</v>
      </c>
      <c r="B33" s="331" t="s">
        <v>4254</v>
      </c>
      <c r="C33" s="311" t="s">
        <v>4341</v>
      </c>
      <c r="D33" s="353">
        <v>1</v>
      </c>
      <c r="E33" s="354" t="s">
        <v>4305</v>
      </c>
      <c r="F33" s="333">
        <v>45917</v>
      </c>
      <c r="G33" s="334">
        <v>10000</v>
      </c>
      <c r="H33" s="363" t="s">
        <v>4374</v>
      </c>
    </row>
    <row r="34" spans="1:8" ht="30" thickBot="1">
      <c r="A34" s="364" t="s">
        <v>3077</v>
      </c>
      <c r="B34" s="326" t="s">
        <v>4256</v>
      </c>
      <c r="C34" s="312" t="s">
        <v>4399</v>
      </c>
      <c r="D34" s="365">
        <v>1200</v>
      </c>
      <c r="E34" s="366" t="s">
        <v>4308</v>
      </c>
      <c r="F34" s="367">
        <v>45960</v>
      </c>
      <c r="G34" s="319">
        <v>19800</v>
      </c>
      <c r="H34" s="368" t="s">
        <v>4374</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ORCAMENTO_GERAL</vt:lpstr>
      <vt:lpstr>PLANEJAMENTO_AQUISICOES</vt:lpstr>
      <vt:lpstr>PLANEJAMENTO_SERVICOS_EXISTENTE</vt:lpstr>
      <vt:lpstr>PLANEJAMENTO_NOVOS_SERVICOS</vt:lpstr>
      <vt:lpstr>ORDENS_DE_COMPRA</vt:lpstr>
      <vt:lpstr>NF_DE_SERVICO</vt:lpstr>
      <vt:lpstr>NF_DE_AQUISICAO</vt:lpstr>
      <vt:lpstr>AQUISICAO_MENSAL</vt:lpstr>
      <vt:lpstr>SERVICO_MENSAL</vt:lpstr>
      <vt:lpstr>PROPOSTA_ORCAMENTARIA</vt:lpstr>
      <vt:lpstr>NAO_PLANEJADO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2025-12-12T12:47:58Z</dcterms:modified>
</cp:coreProperties>
</file>